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Match_Intel" sheetId="2" state="visible" r:id="rId4"/>
    <sheet name="Board" sheetId="3" state="visible" r:id="rId5"/>
    <sheet name="Matches" sheetId="4" state="visible" r:id="rId6"/>
    <sheet name="Projections" sheetId="5" state="visible" r:id="rId7"/>
    <sheet name="Calc" sheetId="6" state="visible" r:id="rId8"/>
    <sheet name="Config" sheetId="7" state="visible" r:id="rId9"/>
    <sheet name="Players" sheetId="8" state="visible" r:id="rId10"/>
    <sheet name="Map_Stats" sheetId="9" state="visible" r:id="rId11"/>
    <sheet name="Book_Props" sheetId="10" state="visible" r:id="rId12"/>
    <sheet name="Round_Ladders" sheetId="11" state="visible" r:id="rId13"/>
    <sheet name="HLTV_Teams" sheetId="12" state="visible" r:id="rId14"/>
    <sheet name="HLTV_Long" sheetId="13" state="visible" r:id="rId15"/>
    <sheet name="HLTV_Veto" sheetId="14" state="visible" r:id="rId16"/>
    <sheet name="Log" sheetId="15" state="visible" r:id="rId17"/>
    <sheet name="Data_Checks" sheetId="16" state="visible" r:id="rId18"/>
  </sheets>
  <definedNames>
    <definedName function="false" hidden="true" localSheetId="13" name="_xlnm._FilterDatabase" vbProcedure="false">HLTV_Veto!$A$1:$G$169</definedName>
    <definedName function="false" hidden="true" localSheetId="8" name="_xlnm._FilterDatabase" vbProcedure="false">Map_Stats!$A$1:$K$642</definedName>
    <definedName function="false" hidden="true" localSheetId="7" name="_xlnm._FilterDatabase" vbProcedure="false">Players!$A$1:$O$105</definedName>
    <definedName function="false" hidden="true" localSheetId="4" name="_xlnm._FilterDatabase" vbProcedure="false">Projections!$A$1:$AE$195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<sst xmlns="http://schemas.openxmlformats.org/spreadsheetml/2006/main" count="10682" uniqueCount="2582">
  <si>
    <t xml:space="preserve">FPS Player Model — CS2 + Valorant</t>
  </si>
  <si>
    <t xml:space="preserve">Kills and headshot projections built map by map: per-map KPR × the rounds you expect on that map.</t>
  </si>
  <si>
    <t xml:space="preserve">Slate 2026-10-20 · 194 board legs · 13 matches</t>
  </si>
  <si>
    <t xml:space="preserve">HOW TO USE</t>
  </si>
  <si>
    <t xml:space="preserve">1. Matches tab: every match on the slate, one row each. The shaded columns are yours — Map 1, Map 2, Map 3 (dropdowns) and Rounds M1/M2/M3. They arrive prefilled: maps from PickFinder's Map Picks, rounds from Thunderpick's Total Rounds ladder for that map. Change any of them and every projection for that match recalculates.</t>
  </si>
  <si>
    <t xml:space="preserve">2. Board tab: pick a match in the shaded cell B2. Both rosters load, ranked by projected Maps 1-2 kills, with the PrizePicks line, the model's P(over), Thunderpick's own kill-line median and PickFinder's L10 beside it.</t>
  </si>
  <si>
    <t xml:space="preserve">3. Projections tab: every leg on the board (Maps 1-2, Map 1, Map 2 — kills and HS), filterable.</t>
  </si>
  <si>
    <t xml:space="preserve">4. Log tab: the same projections frozen as values at default settings when the sheet was built. Type the result in Actual after settlement; Result fills itself. This is the forward record the model does not yet have.</t>
  </si>
  <si>
    <t xml:space="preserve">THE MODEL, IN FOUR LINES</t>
  </si>
  <si>
    <t xml:space="preserve">Per-map KPR = (n × map KPR + SHRINK_MAPS × overall KPR) ÷ (n + SHRINK_MAPS), n = maps the player has on that map in PickFinder's sample. A map he has never played uses his overall KPR.</t>
  </si>
  <si>
    <t xml:space="preserve">Kills on map k = per-map KPR × rounds on map k.  Maps 1-2 = map 1 + map 2.  Maps 1-3 = maps 1-2 + P(map 3) × map 3.</t>
  </si>
  <si>
    <t xml:space="preserve">HS on map k = kills on map k × per-map HS%, shrunk the same way.  (CS2 only — PickFinder posts no Valorant HS%.)</t>
  </si>
  <si>
    <t xml:space="preserve">P(over) = normal approximation with variance = KILLS_DISPERSION × projection, continuity-corrected, so a whole-number line shows its push probability separately.</t>
  </si>
  <si>
    <t xml:space="preserve">WHERE EACH NUMBER COMES FROM</t>
  </si>
  <si>
    <t xml:space="preserve">PickFinder → Player Stats panel (Map Stats): maps played, kills/map, KPR, HS%, K/D per map; the Per Round toggle gives overall Kills/Round. Same page → Maps panel: Map Picks likelihood for the matchup. /props: lines and L5/L10/L15/H2H/streak.</t>
  </si>
  <si>
    <t xml:space="preserve">Thunderpick → /api/markets: Match Winner, Best of 3 Correct Match Score, Map k Winner, Total Rounds - Map k, team Total Rounds - Map k, Round Handicap - Map k, Overtime Yes/No - Map k, and each player's Total Kills ladder for maps 1 and 2. Every price is devigged multiplicatively; ladders are read at their 50% crossing.</t>
  </si>
  <si>
    <t xml:space="preserve">Valorant: PickFinder gives per-map KILLS but not per-map KPR. The sheet converts with the player's average map length (Kills/Map ÷ Kills/Round), i.e. it assumes his maps run equally long. CS2 uses PickFinder's own KPR.</t>
  </si>
  <si>
    <t xml:space="preserve">HLTV → /betting/analytics/&lt;match&gt;: per team and per map, average rounds lost in wins and rounds won in losses; series-score distribution and overtime % (3 months); veto stats (first pick, first ban, win %, played).</t>
  </si>
  <si>
    <t xml:space="preserve">ROUND-DIFFERENTIAL LAYER (CS2) — the "adj" columns</t>
  </si>
  <si>
    <t xml:space="preserve">A team scores ~4.76 kills per round it WINS and ~1.82 per round it LOSES. A player's KPR was earned at his team's historical round share; tonight he plays at a different one. Adj kills = kills × (a·s + b·(1−s)) ÷ (a·s_hist + b·(1−s_hist)).</t>
  </si>
  <si>
    <t xml:space="preserve">s (tonight, per map) comes from HLTV's conditional margins: if A wins the map, B takes the average of A's rounds-lost-in-wins and B's rounds-won-in-losses on that map, and the reverse if B wins, weighted by Thunderpick's Map k Winner odds. Matches shows the result as HLTV rounds, HLTV A margin and HLTV A share per map. s_hist is each team's round share over HLTV's 3-month sample (HLTV_Teams tab). DIFF_WEIGHT on Config scales it; 0 turns it off.</t>
  </si>
  <si>
    <t xml:space="preserve">It is PAPER: base and adjusted projections are both logged, and Prereg_Differential_2026-10-03 registered how they will be scored before the first match. On the first slate it moved projections toward the PrizePicks lines (MAE 1.72 → 1.52) and toward Thunderpick's own kill ladders (1.72 → 1.45) — better calibrated, which is not the same as an edge.</t>
  </si>
  <si>
    <t xml:space="preserve">READ THIS BEFORE TRUSTING A NUMBER</t>
  </si>
  <si>
    <t xml:space="preserve">The Thunderpick per-map rounds total is the default because it is the market's number, not because it forecasts well. In this project's record the posted per-map total is 0-for-3 forward and ran ~16% short of realised on slate 33. If you have a view on a stomp or an overtime map, the Rounds cells are where it goes.</t>
  </si>
  <si>
    <t xml:space="preserve">Round differential — who wins the rounds — is the largest effect in the record (+34 points over-rate gap). The base projection ignores it; the adj columns are the first attempt at a pre-game handle and are not yet tested.</t>
  </si>
  <si>
    <t xml:space="preserve">Per-map samples are small (3–9 maps). Shrinkage is why a 3-map Nuke at 0.95 does not become the projection. Model side and P(over) are PAPER columns: an ordering, not an edge, until the Log says otherwise.</t>
  </si>
  <si>
    <t xml:space="preserve">Map Picks shares sum to ~100% across maps; they are PickFinder's likelihood for a map appearing, not the veto. The decider and map order are only known after veto — confirm Map 1 / Map 2 before lock.</t>
  </si>
  <si>
    <t xml:space="preserve">Data_Checks lists every integrity identity that was run on this slate's captures and anything that failed.</t>
  </si>
  <si>
    <t xml:space="preserve">REFRESHING</t>
  </si>
  <si>
    <t xml:space="preserve">Each slate is rebuilt from fresh captures and imported over this file (File → Import → Replace spreadsheet), so the link stays the same. Your shaded edits are per slate and are replaced on the next import.</t>
  </si>
  <si>
    <t xml:space="preserve">Match Intel — 2026-10-20</t>
  </si>
  <si>
    <t xml:space="preserve">Recent form, margins, ranks, pistols, map pools and recent vetoes per match. Windows: HLTV 3 months to the day before the slate; vlr last 10 series. Bucket probabilities are the frozen v2 model (PAPER, not a pick). Margins are rounds: + won by, − lost by.</t>
  </si>
  <si>
    <t xml:space="preserve">CS2 [NO MARKET] · AE vs RA   |   05:00 UTC   |   Bo3</t>
  </si>
  <si>
    <t xml:space="preserve">No HLTV intel captured for this match.</t>
  </si>
  <si>
    <t xml:space="preserve">CS2 · PRIV vs ALL   |   09:00 UTC   |   Bo3   |   Win: PRIV 38% – ALL 62%   |   2-0 18% · 2-1 20% · 1-2 29% · 0-2 32%</t>
  </si>
  <si>
    <t xml:space="preserve">Private (PRIV)</t>
  </si>
  <si>
    <t xml:space="preserve">Alliance (ALL)</t>
  </si>
  <si>
    <t xml:space="preserve">Rank</t>
  </si>
  <si>
    <t xml:space="preserve">HLTV: #63 · VRS: #80</t>
  </si>
  <si>
    <t xml:space="preserve">HLTV: #29 · VRS: #36</t>
  </si>
  <si>
    <t xml:space="preserve">Last 10 maps (newest first)</t>
  </si>
  <si>
    <t xml:space="preserve">5-5   L L W W W W L L W L</t>
  </si>
  <si>
    <t xml:space="preserve">2-8   L L L L L L W L W L</t>
  </si>
  <si>
    <t xml:space="preserve">Last 10 maps, avg margin</t>
  </si>
  <si>
    <t xml:space="preserve">+0.3</t>
  </si>
  <si>
    <t xml:space="preserve">-3.4</t>
  </si>
  <si>
    <t xml:space="preserve">3 months: maps W-L</t>
  </si>
  <si>
    <t xml:space="preserve">17-10 (63%)</t>
  </si>
  <si>
    <t xml:space="preserve">9-17 (35%)</t>
  </si>
  <si>
    <t xml:space="preserve">Avg margin in wins / losses</t>
  </si>
  <si>
    <t xml:space="preserve">+6.2 / -4.5</t>
  </si>
  <si>
    <t xml:space="preserve">+3.1 / -5.9</t>
  </si>
  <si>
    <t xml:space="preserve">Stomps for / against (8+)</t>
  </si>
  <si>
    <t xml:space="preserve">4 / 2</t>
  </si>
  <si>
    <t xml:space="preserve">0 / 6</t>
  </si>
  <si>
    <t xml:space="preserve">Pistols (3 months)</t>
  </si>
  <si>
    <t xml:space="preserve">not captured</t>
  </si>
  <si>
    <t xml:space="preserve">Kill share (last 6 series, all maps)</t>
  </si>
  <si>
    <t xml:space="preserve">6 series · 14 maps · team 79.6 kills/map
sowalio 21.4% (17.1/map)
z1k4 21.3% (17.0/map)
H4SAN4TOR 20.9% (16.6/map)
1eeR 18.6% (14.8/map)
sh1nejezzz 17.8% (14.1/map)</t>
  </si>
  <si>
    <t xml:space="preserve">6 series · 14 maps · team 67.1 kills/map
eraa 23.9% (16.1/map)
bobeksde 22.3% (15.0/map)
avid 18.0% (12.1/map)
upE 17.9% (12.0/map)
twist 17.9% (12.0/map)</t>
  </si>
  <si>
    <t xml:space="preserve">Last 5 series</t>
  </si>
  <si>
    <t xml:space="preserve">0 - 2  PRIVATE vs BIG
2 - 0  PRIVATE vs UPGRADE
2 - 1  PRIVATE vs Honvéd
1 - 2  PRIVATE vs Johnny Speeds
13 - 8  PRIVATE vs BET-M</t>
  </si>
  <si>
    <t xml:space="preserve">0 - 2  Alliance vs The MongolZ
0 - 2  Alliance vs fnatic
0 - 2  Alliance vs Nemiga
2 - 1  Alliance vs Astralis
0 - 2  Alliance vs 3DMAX</t>
  </si>
  <si>
    <t xml:space="preserve">Recent vetoes (last 5)</t>
  </si>
  <si>
    <t xml:space="preserve">First ban: Inferno×5   First pick: Mirage×2, Dust2×1
19th of Octo  PRIVATE vs BIG:  opp ban Dust2 · us ban Inferno · opp pick Cache · us pick Mirage · us ban Nuke · opp ban Anubis · left Ancient
16th of Octo  PRIVATE vs UPGRADE:  us ban Inferno · opp ban Mirage · us pick Dust2 · opp pick Anubis · us ban Cache · opp ban Ancient · left Nuke
15th of Octo  PRIVATE vs Honvéd:  opp ban Nuke · us ban Inferno · opp pick Cache · us pick Ancient · opp ban Mirage · us ban Anubis · left Dust2
12th of Octo  PRIVATE vs Johnny Speeds:  opp ban Anubis · us ban Inferno · opp pick Cache · us pick Mirage · us ban Dust2 · opp ban Ancient · left Nuke
11th of Octo  PRIVATE vs BET-M:  opp ban Cache · opp ban Mirage · us ban Inferno · us ban Anubis · us ban Nuke · opp ban Ancient · left Dust2</t>
  </si>
  <si>
    <t xml:space="preserve">First ban: Mirage×3, Cache×2   First pick: Inferno×4, Ancient×1
19th of Octo  Alliance vs The MongolZ:  us ban Cache · opp ban Anubis · us pick Inferno · opp pick Dust2 · opp ban Nuke · us ban Mirage · left Ancient
3rd of Octob  Alliance vs fnatic:  opp ban Nuke · us ban Mirage · opp pick Cache · us pick Inferno · us ban Anubis · opp ban Ancient · left Dust2
2nd of Octob  Alliance vs Nemiga:  opp ban Inferno · us ban Mirage · opp pick Cache · us pick Ancient · us ban Dust2 · opp ban Nuke · left Anubis
1st of Octob  Alliance vs Astralis:  us ban Mirage · opp ban Dust2 · us pick Inferno · opp pick Cache · opp ban Anubis · us ban Ancient · left Nuke
26th of Sept  Alliance vs 3DMAX:  opp ban Mirage · us ban Cache · opp pick Dust2 · us pick Inferno · us ban Anubis · opp ban Nuke · left Ancient</t>
  </si>
  <si>
    <t xml:space="preserve">Map</t>
  </si>
  <si>
    <t xml:space="preserve">PF pick %</t>
  </si>
  <si>
    <t xml:space="preserve">A maps</t>
  </si>
  <si>
    <t xml:space="preserve">A W-L</t>
  </si>
  <si>
    <t xml:space="preserve">A avg ±</t>
  </si>
  <si>
    <t xml:space="preserve">A CT %</t>
  </si>
  <si>
    <t xml:space="preserve">A T %</t>
  </si>
  <si>
    <t xml:space="preserve">A pistol</t>
  </si>
  <si>
    <t xml:space="preserve">B maps</t>
  </si>
  <si>
    <t xml:space="preserve">B W-L</t>
  </si>
  <si>
    <t xml:space="preserve">B avg ±</t>
  </si>
  <si>
    <t xml:space="preserve">B CT %</t>
  </si>
  <si>
    <t xml:space="preserve">B T %</t>
  </si>
  <si>
    <t xml:space="preserve">B pistol</t>
  </si>
  <si>
    <t xml:space="preserve">A 8+ | A 3-7 | close/OT | B 3-7 | B 8+</t>
  </si>
  <si>
    <t xml:space="preserve">E rounds</t>
  </si>
  <si>
    <t xml:space="preserve">Ancient</t>
  </si>
  <si>
    <t xml:space="preserve">30%</t>
  </si>
  <si>
    <t xml:space="preserve">5-0</t>
  </si>
  <si>
    <t xml:space="preserve">+5.6</t>
  </si>
  <si>
    <t xml:space="preserve">56.0%</t>
  </si>
  <si>
    <t xml:space="preserve">67.2%</t>
  </si>
  <si>
    <t xml:space="preserve">4/10</t>
  </si>
  <si>
    <t xml:space="preserve">3-2</t>
  </si>
  <si>
    <t xml:space="preserve">-0.8</t>
  </si>
  <si>
    <t xml:space="preserve">56.7%</t>
  </si>
  <si>
    <t xml:space="preserve">38.9%</t>
  </si>
  <si>
    <t xml:space="preserve">3/10</t>
  </si>
  <si>
    <t xml:space="preserve">11% | 39% | 29% | 19% | 3%</t>
  </si>
  <si>
    <t xml:space="preserve">22.3</t>
  </si>
  <si>
    <t xml:space="preserve">Dust2</t>
  </si>
  <si>
    <t xml:space="preserve">20%</t>
  </si>
  <si>
    <t xml:space="preserve">4-1</t>
  </si>
  <si>
    <t xml:space="preserve">+4.4</t>
  </si>
  <si>
    <t xml:space="preserve">60.6%</t>
  </si>
  <si>
    <t xml:space="preserve">58.0%</t>
  </si>
  <si>
    <t xml:space="preserve">7/10</t>
  </si>
  <si>
    <t xml:space="preserve">0-5</t>
  </si>
  <si>
    <t xml:space="preserve">-4.8</t>
  </si>
  <si>
    <t xml:space="preserve">48.3%</t>
  </si>
  <si>
    <t xml:space="preserve">26.1%</t>
  </si>
  <si>
    <t xml:space="preserve">14% | 43% | 26% | 14% | 2%</t>
  </si>
  <si>
    <t xml:space="preserve">22.0</t>
  </si>
  <si>
    <t xml:space="preserve">Inferno</t>
  </si>
  <si>
    <t xml:space="preserve">18%</t>
  </si>
  <si>
    <t xml:space="preserve">4-6</t>
  </si>
  <si>
    <t xml:space="preserve">-2.3</t>
  </si>
  <si>
    <t xml:space="preserve">44.6%</t>
  </si>
  <si>
    <t xml:space="preserve">44.7%</t>
  </si>
  <si>
    <t xml:space="preserve">8/20</t>
  </si>
  <si>
    <t xml:space="preserve">8% | 34% | 30% | 23% | 4%</t>
  </si>
  <si>
    <t xml:space="preserve">22.5</t>
  </si>
  <si>
    <t xml:space="preserve">Nuke</t>
  </si>
  <si>
    <t xml:space="preserve">8%</t>
  </si>
  <si>
    <t xml:space="preserve">1-2</t>
  </si>
  <si>
    <t xml:space="preserve">-1.0</t>
  </si>
  <si>
    <t xml:space="preserve">52.8%</t>
  </si>
  <si>
    <t xml:space="preserve">41.4%</t>
  </si>
  <si>
    <t xml:space="preserve">4/6</t>
  </si>
  <si>
    <t xml:space="preserve">2-0</t>
  </si>
  <si>
    <t xml:space="preserve">+2.5</t>
  </si>
  <si>
    <t xml:space="preserve">65.2%</t>
  </si>
  <si>
    <t xml:space="preserve">45.8%</t>
  </si>
  <si>
    <t xml:space="preserve">2/4</t>
  </si>
  <si>
    <t xml:space="preserve">5% | 25% | 30% | 32% | 8%</t>
  </si>
  <si>
    <t xml:space="preserve">Cache</t>
  </si>
  <si>
    <t xml:space="preserve">-5.2</t>
  </si>
  <si>
    <t xml:space="preserve">52.7%</t>
  </si>
  <si>
    <t xml:space="preserve">23.6%</t>
  </si>
  <si>
    <t xml:space="preserve">5/10</t>
  </si>
  <si>
    <t xml:space="preserve">0-4</t>
  </si>
  <si>
    <t xml:space="preserve">-6.8</t>
  </si>
  <si>
    <t xml:space="preserve">39.6%</t>
  </si>
  <si>
    <t xml:space="preserve">20.7%</t>
  </si>
  <si>
    <t xml:space="preserve">3/8</t>
  </si>
  <si>
    <t xml:space="preserve">7% | 31% | 31% | 26% | 5%</t>
  </si>
  <si>
    <t xml:space="preserve">Mirage</t>
  </si>
  <si>
    <t xml:space="preserve">5-1</t>
  </si>
  <si>
    <t xml:space="preserve">+5.2</t>
  </si>
  <si>
    <t xml:space="preserve">66.7%</t>
  </si>
  <si>
    <t xml:space="preserve">58.5%</t>
  </si>
  <si>
    <t xml:space="preserve">7/12</t>
  </si>
  <si>
    <t xml:space="preserve">10% | 38% | 29% | 19% | 3%</t>
  </si>
  <si>
    <t xml:space="preserve">Anubis</t>
  </si>
  <si>
    <t xml:space="preserve">2-1</t>
  </si>
  <si>
    <t xml:space="preserve">+2.7</t>
  </si>
  <si>
    <t xml:space="preserve">72.7%</t>
  </si>
  <si>
    <t xml:space="preserve">47.2%</t>
  </si>
  <si>
    <t xml:space="preserve">3/6</t>
  </si>
  <si>
    <t xml:space="preserve">8% | 33% | 30% | 24% | 5%</t>
  </si>
  <si>
    <t xml:space="preserve">CS2 [NO MARKET] · MZP vs ex-RUSTEC   |   09:00 UTC   |   Bo3</t>
  </si>
  <si>
    <t xml:space="preserve">CS2 · BBL vs BCG   |   11:00 UTC   |   Bo3   |   Win: BBL 39% – BCG 61%   |   2-0 20% · 2-1 19% · 1-2 26% · 0-2 35%</t>
  </si>
  <si>
    <t xml:space="preserve">BBL Esports (BBL)</t>
  </si>
  <si>
    <t xml:space="preserve">BC.Game (BCG)</t>
  </si>
  <si>
    <t xml:space="preserve">HLTV: #48 · VRS: #35</t>
  </si>
  <si>
    <t xml:space="preserve">HLTV: #51 · VRS: #41</t>
  </si>
  <si>
    <t xml:space="preserve">6-4   W L W W W L W W L L</t>
  </si>
  <si>
    <t xml:space="preserve">5-5   W W L W L L L W L W</t>
  </si>
  <si>
    <t xml:space="preserve">+2.3</t>
  </si>
  <si>
    <t xml:space="preserve">-0.6</t>
  </si>
  <si>
    <t xml:space="preserve">31-32 (49%)</t>
  </si>
  <si>
    <t xml:space="preserve">26-13 (67%)</t>
  </si>
  <si>
    <t xml:space="preserve">+6.1 / -5.1</t>
  </si>
  <si>
    <t xml:space="preserve">+6.0 / -4.2</t>
  </si>
  <si>
    <t xml:space="preserve">12 / 7</t>
  </si>
  <si>
    <t xml:space="preserve">8 / 2</t>
  </si>
  <si>
    <t xml:space="preserve">6 series · 16 maps · team 76.0 kills/map
leakz 22.0% (16.7/map)
NickyB 21.6% (16.4/map)
salazar 20.8% (15.8/map)
IceBerg 17.4% (13.2/map)
MistR 16.0% (13.9/map)
Boye 2.1% (13.0/map) (sub)</t>
  </si>
  <si>
    <t xml:space="preserve">6 series · 13 maps · team 69.5 kills/map
s1mple 24.3% (16.8/map)
mzinho 21.6% (15.0/map)
Senzu 20.2% (14.0/map)
Magisk 18.1% (12.5/map)
asap 15.9% (11.1/map)</t>
  </si>
  <si>
    <t xml:space="preserve">2 - 1  BBL vs Betclic
2 - 1  BBL vs ex-RUSTEC
2 - 0  BBL vs EYEBALLERS
1 - 2  BBL vs JiJieHao
1 - 2  BBL vs Liquid</t>
  </si>
  <si>
    <t xml:space="preserve">13 - 10  BC.Game vs WBT
13 - 8  BC.Game vs Drama
1 - 2  BC.Game vs MIBR
0 - 2  BC.Game vs HEROIC
2 - 1  BC.Game vs MIBR</t>
  </si>
  <si>
    <t xml:space="preserve">First ban: Dust2×5   First pick: Nuke×3, Cache×1
19th of Octo  BBL vs Betclic:  opp ban Inferno · us ban Dust2 · opp pick Cache · us pick Nuke · us ban Anubis · opp ban Ancient · left Mirage
17th of Octo  BBL vs ex-RUSTEC:  opp ban Cache · us ban Dust2 · opp pick Anubis · us pick Nuke · us ban Mirage · opp ban Inferno · left Ancient
16th of Octo  BBL vs EYEBALLERS:  opp ban Nuke · us ban Dust2 · opp pick Anubis · us pick Cache · us ban Mirage · opp ban Ancient · left Inferno
13th of Octo  BBL vs JiJieHao:  us ban Dust2 · opp ban Nuke · us pick Inferno · opp pick Mirage · us ban Anubis · opp ban Ancient · left Cache
13th of Octo  BBL vs Liquid:  us ban Dust2 · opp ban Ancient · us pick Nuke · opp pick Mirage · us ban Anubis · opp ban Inferno · left Cache</t>
  </si>
  <si>
    <t xml:space="preserve">First ban: Ancient×2, Anubis×2   First pick: Cache×2, Mirage×1
19th of Octo  BC.Game vs WBT:  opp ban Inferno · opp ban Cache · us ban Ancient · us ban Anubis · us ban Mirage · opp ban Nuke · left Dust2
19th of Octo  BC.Game vs Drama:  opp ban Dust2 · opp ban Cache · us ban Ancient · us ban Anubis · us ban Inferno · opp ban Nuke · left Mirage
15th of Octo  BC.Game vs MIBR:  us ban Anubis · opp ban Dust2 · us pick Mirage · opp pick Ancient · us ban Nuke · opp ban Cache · left Inferno
15th of Octo  BC.Game vs HEROIC:  us ban Inferno · opp ban Anubis · us pick Cache · opp pick Nuke · us ban Ancient · opp ban Dust2 · left Mirage
15th of Octo  BC.Game vs MIBR:  us ban Anubis · opp ban Dust2 · us pick Cache · opp pick Ancient · us ban Inferno · opp ban Mirage · left Nuke</t>
  </si>
  <si>
    <t xml:space="preserve">38%</t>
  </si>
  <si>
    <t xml:space="preserve">4-8</t>
  </si>
  <si>
    <t xml:space="preserve">-0.7</t>
  </si>
  <si>
    <t xml:space="preserve">45.2%</t>
  </si>
  <si>
    <t xml:space="preserve">51.8%</t>
  </si>
  <si>
    <t xml:space="preserve">15/24</t>
  </si>
  <si>
    <t xml:space="preserve">8-1</t>
  </si>
  <si>
    <t xml:space="preserve">+4.2</t>
  </si>
  <si>
    <t xml:space="preserve">63.5%</t>
  </si>
  <si>
    <t xml:space="preserve">57.3%</t>
  </si>
  <si>
    <t xml:space="preserve">8/18</t>
  </si>
  <si>
    <t xml:space="preserve">3% | 17% | 28% | 40% | 12%</t>
  </si>
  <si>
    <t xml:space="preserve">22.2</t>
  </si>
  <si>
    <t xml:space="preserve">23%</t>
  </si>
  <si>
    <t xml:space="preserve">9-8</t>
  </si>
  <si>
    <t xml:space="preserve">+0.2</t>
  </si>
  <si>
    <t xml:space="preserve">49.3%</t>
  </si>
  <si>
    <t xml:space="preserve">51.5%</t>
  </si>
  <si>
    <t xml:space="preserve">15/34</t>
  </si>
  <si>
    <t xml:space="preserve">4-5</t>
  </si>
  <si>
    <t xml:space="preserve">+0.8</t>
  </si>
  <si>
    <t xml:space="preserve">55.9%</t>
  </si>
  <si>
    <t xml:space="preserve">46.9%</t>
  </si>
  <si>
    <t xml:space="preserve">11/18</t>
  </si>
  <si>
    <t xml:space="preserve">6% | 28% | 30% | 30% | 6%</t>
  </si>
  <si>
    <t xml:space="preserve">9%</t>
  </si>
  <si>
    <t xml:space="preserve">6-3</t>
  </si>
  <si>
    <t xml:space="preserve">+4.7</t>
  </si>
  <si>
    <t xml:space="preserve">62.4%</t>
  </si>
  <si>
    <t xml:space="preserve">61.4%</t>
  </si>
  <si>
    <t xml:space="preserve">12/18</t>
  </si>
  <si>
    <t xml:space="preserve">-1.7</t>
  </si>
  <si>
    <t xml:space="preserve">44.4%</t>
  </si>
  <si>
    <t xml:space="preserve">48.0%</t>
  </si>
  <si>
    <t xml:space="preserve">13% | 41% | 27% | 16% | 2%</t>
  </si>
  <si>
    <t xml:space="preserve">6-4</t>
  </si>
  <si>
    <t xml:space="preserve">+0.5</t>
  </si>
  <si>
    <t xml:space="preserve">51.3%</t>
  </si>
  <si>
    <t xml:space="preserve">50.9%</t>
  </si>
  <si>
    <t xml:space="preserve">+1.6</t>
  </si>
  <si>
    <t xml:space="preserve">60.4%</t>
  </si>
  <si>
    <t xml:space="preserve">6/10</t>
  </si>
  <si>
    <t xml:space="preserve">6% | 27% | 30% | 30% | 7%</t>
  </si>
  <si>
    <t xml:space="preserve">5-7</t>
  </si>
  <si>
    <t xml:space="preserve">-1.2</t>
  </si>
  <si>
    <t xml:space="preserve">51.0%</t>
  </si>
  <si>
    <t xml:space="preserve">40.8%</t>
  </si>
  <si>
    <t xml:space="preserve">8/24</t>
  </si>
  <si>
    <t xml:space="preserve">5-2</t>
  </si>
  <si>
    <t xml:space="preserve">+2.9</t>
  </si>
  <si>
    <t xml:space="preserve">65.4%</t>
  </si>
  <si>
    <t xml:space="preserve">46.3%</t>
  </si>
  <si>
    <t xml:space="preserve">6/14</t>
  </si>
  <si>
    <t xml:space="preserve">3% | 19% | 29% | 38% | 11%</t>
  </si>
  <si>
    <t xml:space="preserve">7%</t>
  </si>
  <si>
    <t xml:space="preserve">33.3%</t>
  </si>
  <si>
    <t xml:space="preserve">63.6%</t>
  </si>
  <si>
    <t xml:space="preserve">2/6</t>
  </si>
  <si>
    <t xml:space="preserve">0-1</t>
  </si>
  <si>
    <t xml:space="preserve">-2.0</t>
  </si>
  <si>
    <t xml:space="preserve">41.7%</t>
  </si>
  <si>
    <t xml:space="preserve">50.0%</t>
  </si>
  <si>
    <t xml:space="preserve">2/2</t>
  </si>
  <si>
    <t xml:space="preserve">6% | 28% | 31% | 29% | 6%</t>
  </si>
  <si>
    <t xml:space="preserve">+7.4</t>
  </si>
  <si>
    <t xml:space="preserve">73.1%</t>
  </si>
  <si>
    <t xml:space="preserve">65.9%</t>
  </si>
  <si>
    <t xml:space="preserve">3% | 17% | 28% | 41% | 12%</t>
  </si>
  <si>
    <t xml:space="preserve">CS2 · INF vs EF   |   11:00 UTC   |   Bo3   |   Win: INF 32% – EF 68%   |   2-0 16% · 2-1 16% · 1-2 28% · 0-2 41%</t>
  </si>
  <si>
    <t xml:space="preserve">Infinite Gaming (INF)</t>
  </si>
  <si>
    <t xml:space="preserve">Eternal Fire (EF)</t>
  </si>
  <si>
    <t xml:space="preserve">HLTV: #78 · VRS: #61</t>
  </si>
  <si>
    <t xml:space="preserve">HLTV: #43 · VRS: #37</t>
  </si>
  <si>
    <t xml:space="preserve">4-6   W W L L L L L L W W</t>
  </si>
  <si>
    <t xml:space="preserve">3-7   L L L L W L L W L W</t>
  </si>
  <si>
    <t xml:space="preserve">-0.9</t>
  </si>
  <si>
    <t xml:space="preserve">-1.4</t>
  </si>
  <si>
    <t xml:space="preserve">28-41 (41%)</t>
  </si>
  <si>
    <t xml:space="preserve">55-36 (60%)</t>
  </si>
  <si>
    <t xml:space="preserve">+4.2 / -5.0</t>
  </si>
  <si>
    <t xml:space="preserve">+5.3 / -4.7</t>
  </si>
  <si>
    <t xml:space="preserve">3 / 9</t>
  </si>
  <si>
    <t xml:space="preserve">11 / 7</t>
  </si>
  <si>
    <t xml:space="preserve">49.3% (68-70) · R2 conv 82.4% · R2 break 11.4%</t>
  </si>
  <si>
    <t xml:space="preserve">53.3% (97-85) · R2 conv 81.4% · R2 break 18.8%</t>
  </si>
  <si>
    <t xml:space="preserve">6 series · 10 maps · team 75.7 kills/map
sl3nd 24.3% (18.4/map)
Blytz 21.3% (16.1/map)
kyuubii 18.6% (14.1/map)
volt 18.2% (13.8/map)
kreaz 14.3% (13.5/map)
ScrunK 3.3% (12.5/map) (sub)</t>
  </si>
  <si>
    <t xml:space="preserve">6 series · 15 maps · team 75.9 kills/map
jottAAA 24.1% (18.3/map)
Kvem 19.3% (14.7/map)
soulfly 19.3% (14.7/map)
regali 18.7% (14.2/map)
MisteM 18.5% (14.1/map)</t>
  </si>
  <si>
    <t xml:space="preserve">13 - 5  INFINITE vs BASEMENT BOYS
13 - 11  INFINITE vs Insiders
0 - 2  INFINITE vs WBT
0 - 2  INFINITE vs G2 Ares
0 - 2  INFINITE vs SAW</t>
  </si>
  <si>
    <t xml:space="preserve">0 - 2  Eternal Fire vs Nuclear TigeRES
1 - 2  Eternal Fire vs Betclic
0 - 2  Eternal Fire vs Ninjas in Pyjamas
2 - 1  Eternal Fire vs JiJieHao
2 - 0  Eternal Fire vs Sangal</t>
  </si>
  <si>
    <t xml:space="preserve">First ban: Anubis×3, Mirage×1   First pick: Ancient×3
19th of Octo  INFINITE vs BASEMENT BOYS:  opp ban Inferno · opp ban Anubis · us ban Mirage · us ban Dust2 · us ban Nuke · opp ban Cache · left Ancient
19th of Octo  INFINITE vs Insiders:  opp ban Nuke · opp ban Inferno · us ban Ancient · us ban Anubis · us ban Dust2 · opp ban Cache · left Mirage
9th of Octob  INFINITE vs WBT:  opp ban Inferno · us ban Anubis · opp pick Dust2 · us pick Ancient · opp ban Cache · us ban Nuke · left Mirage
8th of Octob  INFINITE vs G2 Ares:  opp ban Nuke · us ban Anubis · opp pick Inferno · us pick Ancient · opp ban Dust2 · us ban Cache · left Mirage
4th of Octob  INFINITE vs SAW:  opp ban Mirage · us ban Anubis · opp pick Nuke · us pick Ancient · opp ban Dust2 · us ban Inferno · left Cache</t>
  </si>
  <si>
    <t xml:space="preserve">First ban: Nuke×5   First pick: Dust2×5
17th of Octo  Eternal Fire vs Nuclear TigeRES:  opp ban Cache · us ban Nuke · opp pick Anubis · us pick Dust2 · us ban Inferno · opp ban Mirage · left Ancient
16th of Octo  Eternal Fire vs Betclic:  opp ban Inferno · us ban Nuke · opp pick Anubis · us pick Dust2 · us ban Mirage · opp ban Ancient · left Cache
3rd of Octob  Eternal Fire vs Ninjas in Pyjamas:  us ban Nuke · opp ban Anubis · us pick Dust2 · opp pick Inferno · us ban Mirage · opp ban Ancient · left Cache
3rd of Octob  Eternal Fire vs JiJieHao:  us ban Nuke · opp ban Cache · us pick Dust2 · opp pick Mirage · us ban Inferno · opp ban Ancient · left Anubis
3rd of Octob  Eternal Fire vs Sangal:  us ban Nuke · opp ban Inferno · us pick Dust2 · opp pick Cache · us ban Anubis · opp ban Ancient · left Mirage</t>
  </si>
  <si>
    <t xml:space="preserve">32%</t>
  </si>
  <si>
    <t xml:space="preserve">6-8</t>
  </si>
  <si>
    <t xml:space="preserve">56.1%</t>
  </si>
  <si>
    <t xml:space="preserve">39.9%</t>
  </si>
  <si>
    <t xml:space="preserve">12/28</t>
  </si>
  <si>
    <t xml:space="preserve">12-5</t>
  </si>
  <si>
    <t xml:space="preserve">+2.6</t>
  </si>
  <si>
    <t xml:space="preserve">58.6%</t>
  </si>
  <si>
    <t xml:space="preserve">53.5%</t>
  </si>
  <si>
    <t xml:space="preserve">16/34</t>
  </si>
  <si>
    <t xml:space="preserve">31%</t>
  </si>
  <si>
    <t xml:space="preserve">3-11</t>
  </si>
  <si>
    <t xml:space="preserve">-3.5</t>
  </si>
  <si>
    <t xml:space="preserve">16/28</t>
  </si>
  <si>
    <t xml:space="preserve">12-6</t>
  </si>
  <si>
    <t xml:space="preserve">+2.4</t>
  </si>
  <si>
    <t xml:space="preserve">56.4%</t>
  </si>
  <si>
    <t xml:space="preserve">54.4%</t>
  </si>
  <si>
    <t xml:space="preserve">19/36</t>
  </si>
  <si>
    <t xml:space="preserve">2% | 13% | 25% | 44% | 15%</t>
  </si>
  <si>
    <t xml:space="preserve">21.9</t>
  </si>
  <si>
    <t xml:space="preserve">11%</t>
  </si>
  <si>
    <t xml:space="preserve">10-8</t>
  </si>
  <si>
    <t xml:space="preserve">55.6%</t>
  </si>
  <si>
    <t xml:space="preserve">45.3%</t>
  </si>
  <si>
    <t xml:space="preserve">22/36</t>
  </si>
  <si>
    <t xml:space="preserve">8-8</t>
  </si>
  <si>
    <t xml:space="preserve">-0.3</t>
  </si>
  <si>
    <t xml:space="preserve">48.5%</t>
  </si>
  <si>
    <t xml:space="preserve">17/32</t>
  </si>
  <si>
    <t xml:space="preserve">7% | 30% | 30% | 27% | 6%</t>
  </si>
  <si>
    <t xml:space="preserve">10%</t>
  </si>
  <si>
    <t xml:space="preserve">+3.2</t>
  </si>
  <si>
    <t xml:space="preserve">52.0%</t>
  </si>
  <si>
    <t xml:space="preserve">10-7</t>
  </si>
  <si>
    <t xml:space="preserve">+0.9</t>
  </si>
  <si>
    <t xml:space="preserve">55.2%</t>
  </si>
  <si>
    <t xml:space="preserve">49.0%</t>
  </si>
  <si>
    <t xml:space="preserve">19/34</t>
  </si>
  <si>
    <t xml:space="preserve">7% | 30% | 30% | 27% | 5%</t>
  </si>
  <si>
    <t xml:space="preserve">5%</t>
  </si>
  <si>
    <t xml:space="preserve">-8.0</t>
  </si>
  <si>
    <t xml:space="preserve">8.3%</t>
  </si>
  <si>
    <t xml:space="preserve">1/2</t>
  </si>
  <si>
    <t xml:space="preserve">7-5</t>
  </si>
  <si>
    <t xml:space="preserve">45.5%</t>
  </si>
  <si>
    <t xml:space="preserve">55.0%</t>
  </si>
  <si>
    <t xml:space="preserve">12/24</t>
  </si>
  <si>
    <t xml:space="preserve">5% | 26% | 30% | 31% | 7%</t>
  </si>
  <si>
    <t xml:space="preserve">3-6</t>
  </si>
  <si>
    <t xml:space="preserve">-2.7</t>
  </si>
  <si>
    <t xml:space="preserve">47.5%</t>
  </si>
  <si>
    <t xml:space="preserve">39.1%</t>
  </si>
  <si>
    <t xml:space="preserve">6/18</t>
  </si>
  <si>
    <t xml:space="preserve">6-5</t>
  </si>
  <si>
    <t xml:space="preserve">57.7%</t>
  </si>
  <si>
    <t xml:space="preserve">14/22</t>
  </si>
  <si>
    <t xml:space="preserve">2% | 16% | 27% | 41% | 13%</t>
  </si>
  <si>
    <t xml:space="preserve">22.1</t>
  </si>
  <si>
    <t xml:space="preserve">3-5</t>
  </si>
  <si>
    <t xml:space="preserve">-1.9</t>
  </si>
  <si>
    <t xml:space="preserve">51.2%</t>
  </si>
  <si>
    <t xml:space="preserve">40.4%</t>
  </si>
  <si>
    <t xml:space="preserve">6/16</t>
  </si>
  <si>
    <t xml:space="preserve">5% | 25% | 30% | 33% | 8%</t>
  </si>
  <si>
    <t xml:space="preserve">CS2 · TL vs MGC   |   12:00 UTC   |   Bo3   |   Win: TL 60% – MGC 40%   |   2-0 31% · 2-1 29% · 1-2 21% · 0-2 19%</t>
  </si>
  <si>
    <t xml:space="preserve">Liquid (TL)</t>
  </si>
  <si>
    <t xml:space="preserve">Magic (MGC)</t>
  </si>
  <si>
    <t xml:space="preserve">HLTV: #27 · VRS: #24</t>
  </si>
  <si>
    <t xml:space="preserve">HLTV: #26 · VRS: #32</t>
  </si>
  <si>
    <t xml:space="preserve">4-6   L L L L W W W L W L</t>
  </si>
  <si>
    <t xml:space="preserve">3-7   L L L L L W L W L W</t>
  </si>
  <si>
    <t xml:space="preserve">-1.6</t>
  </si>
  <si>
    <t xml:space="preserve">-3.7</t>
  </si>
  <si>
    <t xml:space="preserve">41-23 (64%)</t>
  </si>
  <si>
    <t xml:space="preserve">29-27 (52%)</t>
  </si>
  <si>
    <t xml:space="preserve">+5.8 / -5.6</t>
  </si>
  <si>
    <t xml:space="preserve">+4.5 / -5.7</t>
  </si>
  <si>
    <t xml:space="preserve">14 / 4</t>
  </si>
  <si>
    <t xml:space="preserve">4 / 7</t>
  </si>
  <si>
    <t xml:space="preserve">6 series · 15 maps · team 70.8 kills/map
EliGE 24.0% (17.0/map)
malbsMd 20.5% (14.5/map)
NAF 20.2% (14.3/map)
Jorko 19.5% (13.8/map)
JT 15.7% (11.1/map)</t>
  </si>
  <si>
    <t xml:space="preserve">6 series · 16 maps · team 62.6 kills/map
mo0N 23.4% (16.7/map)
tenzy 21.4% (13.4/map)
MaSvAl 19.2% (12.0/map)
sFade8 18.0% (11.2/map)
AW 14.6% (11.2/map)
eksiver 2.6% (8.7/map) (sub)
lattykk 0.9% (4.5/map) (sub)</t>
  </si>
  <si>
    <t xml:space="preserve">0 - 2  Liquid vs fnatic
1 - 2  Liquid vs Ninjas in Pyjamas
2 - 0  Liquid vs JiJieHao
1 - 2  Liquid vs 100 Thieves
2 - 1  Liquid vs BBL</t>
  </si>
  <si>
    <t xml:space="preserve">0 - 2  magic vs PARIVISION
0 - 2  magic vs GamerLegion
1 - 2  magic vs Ninjas in Pyjamas
2 - 1  magic vs GamerLegion
2 - 1  magic vs EYEBALLERS</t>
  </si>
  <si>
    <t xml:space="preserve">First ban: Ancient×5   First pick: Inferno×2, Mirage×2
19th of Octo  Liquid vs fnatic:  us ban Ancient · opp ban Nuke · us pick Inferno · opp pick Cache · opp ban Mirage · us ban Dust2 · left Anubis
16th of Octo  Liquid vs Ninjas in Pyjamas:  us ban Ancient · opp ban Anubis · us pick Mirage · opp pick Nuke · us ban Dust2 · opp ban Inferno · left Cache
13th of Octo  Liquid vs JiJieHao:  opp ban Nuke · us ban Ancient · opp pick Mirage · us pick Cache · opp ban Anubis · us ban Dust2 · left Inferno
13th of Octo  Liquid vs 100 Thieves:  opp ban Anubis · us ban Ancient · opp pick Dust2 · us pick Inferno · opp ban Cache · us ban Nuke · left Mirage
13th of Octo  Liquid vs BBL:  opp ban Dust2 · us ban Ancient · opp pick Nuke · us pick Mirage · opp ban Anubis · us ban Inferno · left Cache</t>
  </si>
  <si>
    <t xml:space="preserve">First ban: Nuke×4, Inferno×1   First pick: Ancient×2, Dust2×2
19th of Octo  magic vs PARIVISION:  us ban Inferno · opp ban Nuke · us pick Mirage · opp pick Ancient · opp ban Anubis · us ban Cache · left Dust2
28th of Sept  magic vs GamerLegion:  opp ban Anubis · us ban Nuke · opp pick Cache · us pick Ancient · us ban Inferno · opp ban Dust2 · left Mirage
27th of Sept  magic vs Ninjas in Pyjamas:  us ban Nuke · opp ban Anubis · us pick Ancient · opp pick Inferno · opp ban Dust2 · us ban Cache · left Mirage
26th of Sept  magic vs GamerLegion:  us ban Nuke · opp ban Anubis · us pick Dust2 · opp pick Cache · opp ban Inferno · us ban Mirage · left Ancient
25th of Sept  magic vs EYEBALLERS:  opp ban Cache · us ban Nuke · opp pick Anubis · us pick Dust2 · us ban Mirage · opp ban Inferno · left Ancient</t>
  </si>
  <si>
    <t xml:space="preserve">25%</t>
  </si>
  <si>
    <t xml:space="preserve">8-2</t>
  </si>
  <si>
    <t xml:space="preserve">57.0%</t>
  </si>
  <si>
    <t xml:space="preserve">57.4%</t>
  </si>
  <si>
    <t xml:space="preserve">16/20</t>
  </si>
  <si>
    <t xml:space="preserve">10/18</t>
  </si>
  <si>
    <t xml:space="preserve">-3.2</t>
  </si>
  <si>
    <t xml:space="preserve">37.5%</t>
  </si>
  <si>
    <t xml:space="preserve">9/16</t>
  </si>
  <si>
    <t xml:space="preserve">4% | 22% | 30% | 36% | 9%</t>
  </si>
  <si>
    <t xml:space="preserve">22.4</t>
  </si>
  <si>
    <t xml:space="preserve">9-3</t>
  </si>
  <si>
    <t xml:space="preserve">+3.4</t>
  </si>
  <si>
    <t xml:space="preserve">58.4%</t>
  </si>
  <si>
    <t xml:space="preserve">13/24</t>
  </si>
  <si>
    <t xml:space="preserve">2-3</t>
  </si>
  <si>
    <t xml:space="preserve">42.5%</t>
  </si>
  <si>
    <t xml:space="preserve">12% | 40% | 28% | 17% | 3%</t>
  </si>
  <si>
    <t xml:space="preserve">13%</t>
  </si>
  <si>
    <t xml:space="preserve">8-5</t>
  </si>
  <si>
    <t xml:space="preserve">+1.4</t>
  </si>
  <si>
    <t xml:space="preserve">50.7%</t>
  </si>
  <si>
    <t xml:space="preserve">15/26</t>
  </si>
  <si>
    <t xml:space="preserve">6-2</t>
  </si>
  <si>
    <t xml:space="preserve">53.8%</t>
  </si>
  <si>
    <t xml:space="preserve">7/16</t>
  </si>
  <si>
    <t xml:space="preserve">7% | 30% | 30% | 28% | 6%</t>
  </si>
  <si>
    <t xml:space="preserve">6-1</t>
  </si>
  <si>
    <t xml:space="preserve">+4.6</t>
  </si>
  <si>
    <t xml:space="preserve">70.9%</t>
  </si>
  <si>
    <t xml:space="preserve">49.2%</t>
  </si>
  <si>
    <t xml:space="preserve">8/14</t>
  </si>
  <si>
    <t xml:space="preserve">51.7%</t>
  </si>
  <si>
    <t xml:space="preserve">45.6%</t>
  </si>
  <si>
    <t xml:space="preserve">11% | 38% | 29% | 19% | 3%</t>
  </si>
  <si>
    <t xml:space="preserve">-3.0</t>
  </si>
  <si>
    <t xml:space="preserve">25.0%</t>
  </si>
  <si>
    <t xml:space="preserve">11-9</t>
  </si>
  <si>
    <t xml:space="preserve">47.8%</t>
  </si>
  <si>
    <t xml:space="preserve">19/40</t>
  </si>
  <si>
    <t xml:space="preserve">6% | 30% | 30% | 28% | 6%</t>
  </si>
  <si>
    <t xml:space="preserve">7-6</t>
  </si>
  <si>
    <t xml:space="preserve">+1.2</t>
  </si>
  <si>
    <t xml:space="preserve">13/26</t>
  </si>
  <si>
    <t xml:space="preserve">7% | 32% | 30% | 25% | 5%</t>
  </si>
  <si>
    <t xml:space="preserve">CS2 · HERO vs HS   |   14:00 UTC   |   Bo3   |   Win: HERO 87% – HS 13%   |   2-0 61% · 2-1 26% · 1-2 6% · 0-2 7%</t>
  </si>
  <si>
    <t xml:space="preserve">HEROIC (HERO)</t>
  </si>
  <si>
    <t xml:space="preserve">HyperSpirit (HS)</t>
  </si>
  <si>
    <t xml:space="preserve">HLTV: #25 · VRS: #12</t>
  </si>
  <si>
    <t xml:space="preserve">HLTV: #151 · VRS: #132</t>
  </si>
  <si>
    <t xml:space="preserve">7-3   W W L L W L W W W W</t>
  </si>
  <si>
    <t xml:space="preserve">8-2   W W W W L W W L W W</t>
  </si>
  <si>
    <t xml:space="preserve">54-26 (68%)</t>
  </si>
  <si>
    <t xml:space="preserve">+6.5 / -4.5</t>
  </si>
  <si>
    <t xml:space="preserve">+5.5 / -5.8</t>
  </si>
  <si>
    <t xml:space="preserve">22 / 1</t>
  </si>
  <si>
    <t xml:space="preserve">5 / 8</t>
  </si>
  <si>
    <t xml:space="preserve">63.7% (102-58) · R2 conv 82.2% · R2 break 15.5%</t>
  </si>
  <si>
    <t xml:space="preserve">6 series · 16 maps · team 74.6 kills/map
Brollan 22.7% (16.9/map)
nilo 22.6% (16.9/map)
susp 19.3% (14.4/map)
MartinezSa 17.9% (13.4/map)
Chr1zN 17.4% (13.0/map)</t>
  </si>
  <si>
    <t xml:space="preserve">6 series · 14 maps · team 74.4 kills/map
Scr0b 21.6% (16.1/map)
d1maje 20.7% (15.4/map)
starplajerz 20.4% (15.1/map)
Ciocardau 20.2% (15.0/map)
Q-Q 17.2% (12.8/map)</t>
  </si>
  <si>
    <t xml:space="preserve">2 - 1  HEROIC vs 100 Thieves
1 - 2  HEROIC vs Ninjas in Pyjamas
2 - 0  HEROIC vs fnatic
2 - 0  HEROIC vs BC.Game
2 - 1  HEROIC vs Envy</t>
  </si>
  <si>
    <t xml:space="preserve">2 - 0  HYPERSPIRIT vs Sashi
2 - 0  HYPERSPIRIT vs MOUZ NXT
5 - 13  HYPERSPIRIT vs Iberian Soul
2 - 1  HYPERSPIRIT vs 6yuBoJlbl
2 - 1  HYPERSPIRIT vs Rune Eaters</t>
  </si>
  <si>
    <t xml:space="preserve">First ban: Anubis×5   First pick: Inferno×3, Dust2×1
17th of Octo  HEROIC vs 100 Thieves:  opp ban Cache · us ban Anubis · opp pick Dust2 · us pick Inferno · opp ban Nuke · us ban Mirage · left Ancient
17th of Octo  HEROIC vs Ninjas in Pyjamas:  opp ban Dust2 · us ban Anubis · opp pick Cache · us pick Inferno · opp ban Ancient · us ban Nuke · left Mirage
16th of Octo  HEROIC vs fnatic:  opp ban Nuke · us ban Anubis · opp pick Cache · us pick Dust2 · opp ban Inferno · us ban Ancient · left Mirage
15th of Octo  HEROIC vs BC.Game:  opp ban Inferno · us ban Anubis · opp pick Cache · us pick Nuke · opp ban Ancient · us ban Dust2 · left Mirage
15th of Octo  HEROIC vs Envy:  opp ban Mirage · us ban Anubis · opp pick Cache · us pick Inferno · opp ban Nuke · us ban Dust2 · left Ancient</t>
  </si>
  <si>
    <t xml:space="preserve">First ban: Nuke×4, Dust2×1   First pick: Cache×3, Ancient×1
19th of Octo  HYPERSPIRIT vs Sashi:  us ban Nuke · opp ban Cache · us pick Ancient · opp pick Mirage · us ban Dust2 · opp ban Inferno · left Anubis
19th of Octo  HYPERSPIRIT vs MOUZ NXT:  opp ban Inferno · us ban Nuke · opp pick Dust2 · us pick Cache · us ban Ancient · opp ban Anubis · left Mirage
19th of Octo  HYPERSPIRIT vs Iberian Soul:  opp ban Dust2 · opp ban Cache · us ban Nuke · us ban Inferno · us ban Ancient · opp ban Anubis · left Mirage
18th of Octo  HYPERSPIRIT vs 6yuBoJlbl:  opp ban Anubis · us ban Nuke · opp pick Mirage · us pick Cache · opp ban Inferno · us ban Dust2 · left Ancient
16th of Octo  HYPERSPIRIT vs Rune Eaters:  opp ban Nuke · us ban Dust2 · opp pick Mirage · us pick Cache · opp ban Anubis · us ban Ancient · left Inferno</t>
  </si>
  <si>
    <t xml:space="preserve">50%</t>
  </si>
  <si>
    <t xml:space="preserve">9-5</t>
  </si>
  <si>
    <t xml:space="preserve">53.7%</t>
  </si>
  <si>
    <t xml:space="preserve">19/28</t>
  </si>
  <si>
    <t xml:space="preserve">10-5</t>
  </si>
  <si>
    <t xml:space="preserve">+2.1</t>
  </si>
  <si>
    <t xml:space="preserve">56.8%</t>
  </si>
  <si>
    <t xml:space="preserve">17/30</t>
  </si>
  <si>
    <t xml:space="preserve">5% | 27% | 30% | 31% | 7%</t>
  </si>
  <si>
    <t xml:space="preserve">11-4</t>
  </si>
  <si>
    <t xml:space="preserve">+4.0</t>
  </si>
  <si>
    <t xml:space="preserve">62.9%</t>
  </si>
  <si>
    <t xml:space="preserve">20/30</t>
  </si>
  <si>
    <t xml:space="preserve">5-5</t>
  </si>
  <si>
    <t xml:space="preserve">-0.4</t>
  </si>
  <si>
    <t xml:space="preserve">48.1%</t>
  </si>
  <si>
    <t xml:space="preserve">13/20</t>
  </si>
  <si>
    <t xml:space="preserve">13% | 42% | 27% | 16% | 2%</t>
  </si>
  <si>
    <t xml:space="preserve">11-5</t>
  </si>
  <si>
    <t xml:space="preserve">+3.6</t>
  </si>
  <si>
    <t xml:space="preserve">20/32</t>
  </si>
  <si>
    <t xml:space="preserve">47.1%</t>
  </si>
  <si>
    <t xml:space="preserve">10/24</t>
  </si>
  <si>
    <t xml:space="preserve">14% | 42% | 27% | 15% | 2%</t>
  </si>
  <si>
    <t xml:space="preserve">55.4%</t>
  </si>
  <si>
    <t xml:space="preserve">20/34</t>
  </si>
  <si>
    <t xml:space="preserve">43.4%</t>
  </si>
  <si>
    <t xml:space="preserve">11% | 40% | 28% | 18% | 3%</t>
  </si>
  <si>
    <t xml:space="preserve">6%</t>
  </si>
  <si>
    <t xml:space="preserve">7-4</t>
  </si>
  <si>
    <t xml:space="preserve">+2.0</t>
  </si>
  <si>
    <t xml:space="preserve">61.8%</t>
  </si>
  <si>
    <t xml:space="preserve">13/22</t>
  </si>
  <si>
    <t xml:space="preserve">5-6</t>
  </si>
  <si>
    <t xml:space="preserve">-0.2</t>
  </si>
  <si>
    <t xml:space="preserve">50.8%</t>
  </si>
  <si>
    <t xml:space="preserve">9/22</t>
  </si>
  <si>
    <t xml:space="preserve">9% | 34% | 30% | 23% | 4%</t>
  </si>
  <si>
    <t xml:space="preserve">4%</t>
  </si>
  <si>
    <t xml:space="preserve">71.8%</t>
  </si>
  <si>
    <t xml:space="preserve">10/14</t>
  </si>
  <si>
    <t xml:space="preserve">3-3</t>
  </si>
  <si>
    <t xml:space="preserve">46.8%</t>
  </si>
  <si>
    <t xml:space="preserve">8/12</t>
  </si>
  <si>
    <t xml:space="preserve">6% | 28% | 30% | 29% | 6%</t>
  </si>
  <si>
    <t xml:space="preserve">CS2 · JJH vs IS   |   14:00 UTC   |   Bo3   |   Win: JJH 55% – IS 45%   |   2-0 29% · 2-1 26% · 1-2 21% · 0-2 24%</t>
  </si>
  <si>
    <t xml:space="preserve">JiJieHao (JJH)</t>
  </si>
  <si>
    <t xml:space="preserve">Iberian Soul (IS)</t>
  </si>
  <si>
    <t xml:space="preserve">HLTV: #44 · VRS: #30</t>
  </si>
  <si>
    <t xml:space="preserve">HLTV: #57 · VRS: #52</t>
  </si>
  <si>
    <t xml:space="preserve">3-7   L L W W L L L L W L</t>
  </si>
  <si>
    <t xml:space="preserve">-3.1</t>
  </si>
  <si>
    <t xml:space="preserve">+2.2</t>
  </si>
  <si>
    <t xml:space="preserve">29-26 (53%)</t>
  </si>
  <si>
    <t xml:space="preserve">30-24 (56%)</t>
  </si>
  <si>
    <t xml:space="preserve">+5.2 / -4.9</t>
  </si>
  <si>
    <t xml:space="preserve">+5.5 / -5.4</t>
  </si>
  <si>
    <t xml:space="preserve">6 / 4</t>
  </si>
  <si>
    <t xml:space="preserve">5 / 7</t>
  </si>
  <si>
    <t xml:space="preserve">6 series · 14 maps · team 72.9 kills/map
CacaNito 22.5% (16.4/map)
m1N1 22.0% (16.0/map)
0SAMAS 21.7% (15.8/map)
sinnopsyy 17.1% (12.4/map)
Bibu 16.9% (12.3/map)</t>
  </si>
  <si>
    <t xml:space="preserve">6 series · 11 maps · team 78.7 kills/map
sausol 22.5% (17.7/map)
dav1g 20.9% (16.5/map)
alex 19.4% (15.3/map)
mopoz 18.9% (14.9/map)
Ag1l 18.2% (14.4/map)</t>
  </si>
  <si>
    <t xml:space="preserve">0 - 2  JiJieHao vs Liquid
2 - 1  JiJieHao vs BBL
0 - 2  JiJieHao vs 100 Thieves
1 - 2  JiJieHao vs Eternal Fire
2 - 1  JiJieHao vs 100 Thieves</t>
  </si>
  <si>
    <t xml:space="preserve">13 - 8  Iberian Soul vs Sashi
13 - 5  Iberian Soul vs HYPERSPIRIT
0 - 2  Iberian Soul vs Black Phoenix
2 - 1  Iberian Soul vs Nemiga
2 - 0  Iberian Soul vs Noir Verse</t>
  </si>
  <si>
    <t xml:space="preserve">First ban: Nuke×4, Cache×1   First pick: Mirage×3, Cache×2
13th of Octo  JiJieHao vs Liquid:  us ban Nuke · opp ban Ancient · us pick Mirage · opp pick Cache · us ban Anubis · opp ban Dust2 · left Inferno
13th of Octo  JiJieHao vs BBL:  opp ban Dust2 · us ban Nuke · opp pick Inferno · us pick Mirage · opp ban Anubis · us ban Ancient · left Cache
13th of Octo  JiJieHao vs 100 Thieves:  us ban Nuke · opp ban Mirage · us pick Cache · opp pick Dust2 · us ban Ancient · opp ban Anubis · left Inferno
3rd of Octob  JiJieHao vs Eternal Fire:  opp ban Nuke · us ban Cache · opp pick Dust2 · us pick Mirage · opp ban Inferno · us ban Ancient · left Anubis
3rd of Octob  JiJieHao vs 100 Thieves:  opp ban Mirage · us ban Nuke · opp pick Dust2 · us pick Cache · opp ban Ancient · us ban Inferno · left Anubis</t>
  </si>
  <si>
    <t xml:space="preserve">First ban: Dust2×5   First pick: Nuke×2, Inferno×1
19th of Octo  Iberian Soul vs Sashi:  opp ban Ancient · opp ban Nuke · us ban Dust2 · us ban Cache · us ban Anubis · opp ban Mirage · left Inferno
19th of Octo  Iberian Soul vs HYPERSPIRIT:  us ban Dust2 · us ban Cache · opp ban Nuke · opp ban Inferno · opp ban Ancient · us ban Anubis · left Mirage
10th of Octo  Iberian Soul vs Black Phoenix:  opp ban Ancient · us ban Dust2 · opp pick Mirage · us pick Inferno · opp ban Anubis · us ban Cache · left Nuke
10th of Octo  Iberian Soul vs Nemiga:  opp ban Inferno · us ban Dust2 · opp pick Cache · us pick Nuke · opp ban Ancient · us ban Anubis · left Mirage
9th of Octob  Iberian Soul vs Noir Verse:  opp ban Inferno · us ban Dust2 · opp pick Ancient · us pick Nuke · opp ban Anubis · us ban Cache · left Mirage</t>
  </si>
  <si>
    <t xml:space="preserve">43%</t>
  </si>
  <si>
    <t xml:space="preserve">10-3</t>
  </si>
  <si>
    <t xml:space="preserve">+3.5</t>
  </si>
  <si>
    <t xml:space="preserve">59.0%</t>
  </si>
  <si>
    <t xml:space="preserve">-0.5</t>
  </si>
  <si>
    <t xml:space="preserve">48.8%</t>
  </si>
  <si>
    <t xml:space="preserve">49.1%</t>
  </si>
  <si>
    <t xml:space="preserve">8/22</t>
  </si>
  <si>
    <t xml:space="preserve">41.5%</t>
  </si>
  <si>
    <t xml:space="preserve">9/12</t>
  </si>
  <si>
    <t xml:space="preserve">+2.8</t>
  </si>
  <si>
    <t xml:space="preserve">57.6%</t>
  </si>
  <si>
    <t xml:space="preserve">56.6%</t>
  </si>
  <si>
    <t xml:space="preserve">10/22</t>
  </si>
  <si>
    <t xml:space="preserve">4% | 23% | 30% | 34% | 8%</t>
  </si>
  <si>
    <t xml:space="preserve">4-3</t>
  </si>
  <si>
    <t xml:space="preserve">+1.3</t>
  </si>
  <si>
    <t xml:space="preserve">54.9%</t>
  </si>
  <si>
    <t xml:space="preserve">4/14</t>
  </si>
  <si>
    <t xml:space="preserve">+1.0</t>
  </si>
  <si>
    <t xml:space="preserve">54.3%</t>
  </si>
  <si>
    <t xml:space="preserve">49.6%</t>
  </si>
  <si>
    <t xml:space="preserve">6% | 29% | 31% | 29% | 6%</t>
  </si>
  <si>
    <t xml:space="preserve">+0.0</t>
  </si>
  <si>
    <t xml:space="preserve">53.2%</t>
  </si>
  <si>
    <t xml:space="preserve">46.7%</t>
  </si>
  <si>
    <t xml:space="preserve">10/20</t>
  </si>
  <si>
    <t xml:space="preserve">61.5%</t>
  </si>
  <si>
    <t xml:space="preserve">58.3%</t>
  </si>
  <si>
    <t xml:space="preserve">5% | 24% | 30% | 33% | 8%</t>
  </si>
  <si>
    <t xml:space="preserve">47.3%</t>
  </si>
  <si>
    <t xml:space="preserve">47.0%</t>
  </si>
  <si>
    <t xml:space="preserve">7/20</t>
  </si>
  <si>
    <t xml:space="preserve">2-6</t>
  </si>
  <si>
    <t xml:space="preserve">-4.0</t>
  </si>
  <si>
    <t xml:space="preserve">43.5%</t>
  </si>
  <si>
    <t xml:space="preserve">34.4%</t>
  </si>
  <si>
    <t xml:space="preserve">8/16</t>
  </si>
  <si>
    <t xml:space="preserve">9% | 35% | 30% | 22% | 4%</t>
  </si>
  <si>
    <t xml:space="preserve">67.0%</t>
  </si>
  <si>
    <t xml:space="preserve">43.3%</t>
  </si>
  <si>
    <t xml:space="preserve">5% | 23% | 30% | 34% | 8%</t>
  </si>
  <si>
    <t xml:space="preserve">2-7</t>
  </si>
  <si>
    <t xml:space="preserve">-2.8</t>
  </si>
  <si>
    <t xml:space="preserve">49.5%</t>
  </si>
  <si>
    <t xml:space="preserve">37.8%</t>
  </si>
  <si>
    <t xml:space="preserve">4% | 22% | 30% | 35% | 9%</t>
  </si>
  <si>
    <t xml:space="preserve">CS2 · SAW vs SIN   |   14:00 UTC   |   Bo3   |   Win: SAW 39% – SIN 61%   |   2-0 20% · 2-1 19% · 1-2 27% · 0-2 35%</t>
  </si>
  <si>
    <t xml:space="preserve">SAw (SAW)</t>
  </si>
  <si>
    <t xml:space="preserve">SINNERS (SIN)</t>
  </si>
  <si>
    <t xml:space="preserve">HLTV: #64 · VRS: #48</t>
  </si>
  <si>
    <t xml:space="preserve">HLTV: #45 · VRS: #46</t>
  </si>
  <si>
    <t xml:space="preserve">5-5   W W L L W W L L L W</t>
  </si>
  <si>
    <t xml:space="preserve">3-7   L L L L W W L W L L</t>
  </si>
  <si>
    <t xml:space="preserve">-1.8</t>
  </si>
  <si>
    <t xml:space="preserve">34-18 (65%)</t>
  </si>
  <si>
    <t xml:space="preserve">52-44 (54%)</t>
  </si>
  <si>
    <t xml:space="preserve">+5.3 / -4.9</t>
  </si>
  <si>
    <t xml:space="preserve">+6.3 / -5.5</t>
  </si>
  <si>
    <t xml:space="preserve">8 / 4</t>
  </si>
  <si>
    <t xml:space="preserve">17 / 12</t>
  </si>
  <si>
    <t xml:space="preserve">54.7% (105-87) · R2 conv 77.9% · R2 break 20.0%</t>
  </si>
  <si>
    <t xml:space="preserve">6 series · 6 maps · team 68.3 kills/map
ewjerkz 24.1% (16.5/map)
krazy 22.0% (15.0/map)
story 21.7% (14.8/map)
NOPEEj 17.8% (12.2/map)
MUTiRiS 14.4% (9.8/map)</t>
  </si>
  <si>
    <t xml:space="preserve">6 series · 13 maps · team 64.5 kills/map
stressarN 22.7% (14.6/map)
MoDo 20.9% (13.5/map)
beastik 20.3% (13.1/map)
SHOCK 19.1% (12.3/map)
kisserek 17.1% (11.0/map)</t>
  </si>
  <si>
    <t xml:space="preserve">13 - 7  SAW vs ASTRAL
13 - 1  SAW vs Bayankhongor
4 - 13  SAW vs RBLS
10 - 13  SAW vs Sangal
13 - 10  SAW vs Lazer Cats</t>
  </si>
  <si>
    <t xml:space="preserve">0 - 2  SINNERS vs GamerLegion
1 - 2  SINNERS vs Black Phoenix
2 - 1  SINNERS vs Nemesis
1 - 2  SINNERS vs Ninjas in Pyjamas
13 - 5  SINNERS vs 100 Thieves</t>
  </si>
  <si>
    <t xml:space="preserve">First ban: Mirage×4, Dust2×1   First pick: —
19th of Octo  SAW vs ASTRAL:  opp ban Inferno · opp ban Anubis · us ban Mirage · us ban Ancient · us ban Dust2 · opp ban Nuke · left Cache
19th of Octo  SAW vs Bayankhongor:  us ban Mirage · us ban Dust2 · opp ban Nuke · opp ban Inferno · opp ban Cache · us ban Ancient · left Anubis
7th of Octob  SAW vs RBLS:  opp ban Mirage · us ban Dust2 · opp ban Cache · us ban Anubis · opp ban Ancient · us ban Inferno · left Nuke
7th of Octob  SAW vs Sangal:  opp ban Inferno · us ban Mirage · opp ban Ancient · us ban Anubis · opp ban Cache · us ban Dust2 · left Nuke
7th of Octob  SAW vs Lazer Cats:  us ban Mirage · opp ban Cache · us ban Anubis · opp ban Nuke · us ban Dust2 · opp ban Inferno · left Ancient</t>
  </si>
  <si>
    <t xml:space="preserve">First ban: Anubis×2, Inferno×2   First pick: Mirage×2, Ancient×1
9th of Octob  SINNERS vs GamerLegion:  opp ban Dust2 · us ban Cache · opp pick Nuke · us pick Ancient · us ban Inferno · opp ban Anubis · left Mirage
8th of Octob  SINNERS vs Black Phoenix:  opp ban Ancient · us ban Anubis · opp pick Dust2 · us pick Mirage · opp ban Cache · us ban Inferno · left Nuke
8th of Octob  SINNERS vs Nemesis:  us ban Inferno · opp ban Mirage · us pick Dust2 · opp pick Cache · opp ban Anubis · us ban Nuke · left Ancient
3rd of Octob  SINNERS vs Ninjas in Pyjamas:  opp ban Dust2 · us ban Inferno · opp pick Cache · us pick Mirage · opp ban Ancient · us ban Anubis · left Nuke
2nd of Octob  SINNERS vs 100 Thieves:  us ban Anubis · opp ban Cache · us ban Inferno · opp ban Ancient · us ban Dust2 · opp ban Nuke · left Mirage</t>
  </si>
  <si>
    <t xml:space="preserve">24%</t>
  </si>
  <si>
    <t xml:space="preserve">55.8%</t>
  </si>
  <si>
    <t xml:space="preserve">7-10</t>
  </si>
  <si>
    <t xml:space="preserve">46.2%</t>
  </si>
  <si>
    <t xml:space="preserve">5-4</t>
  </si>
  <si>
    <t xml:space="preserve">59.8%</t>
  </si>
  <si>
    <t xml:space="preserve">3-7</t>
  </si>
  <si>
    <t xml:space="preserve">52.5%</t>
  </si>
  <si>
    <t xml:space="preserve">7% | 31% | 30% | 26% | 5%</t>
  </si>
  <si>
    <t xml:space="preserve">17%</t>
  </si>
  <si>
    <t xml:space="preserve">5-3</t>
  </si>
  <si>
    <t xml:space="preserve">57.1%</t>
  </si>
  <si>
    <t xml:space="preserve">+1.5</t>
  </si>
  <si>
    <t xml:space="preserve">57.2%</t>
  </si>
  <si>
    <t xml:space="preserve">12%</t>
  </si>
  <si>
    <t xml:space="preserve">1-4</t>
  </si>
  <si>
    <t xml:space="preserve">-5.4</t>
  </si>
  <si>
    <t xml:space="preserve">18.9%</t>
  </si>
  <si>
    <t xml:space="preserve">1/10</t>
  </si>
  <si>
    <t xml:space="preserve">15-7</t>
  </si>
  <si>
    <t xml:space="preserve">58.1%</t>
  </si>
  <si>
    <t xml:space="preserve">26/44</t>
  </si>
  <si>
    <t xml:space="preserve">1% | 11% | 23% | 47% | 18%</t>
  </si>
  <si>
    <t xml:space="preserve">21.7</t>
  </si>
  <si>
    <t xml:space="preserve">10-1</t>
  </si>
  <si>
    <t xml:space="preserve">65.0%</t>
  </si>
  <si>
    <t xml:space="preserve">4-7</t>
  </si>
  <si>
    <t xml:space="preserve">45.9%</t>
  </si>
  <si>
    <t xml:space="preserve">5/22</t>
  </si>
  <si>
    <t xml:space="preserve">15% | 44% | 25% | 13% | 2%</t>
  </si>
  <si>
    <t xml:space="preserve">13-8</t>
  </si>
  <si>
    <t xml:space="preserve">61.0%</t>
  </si>
  <si>
    <t xml:space="preserve">22/42</t>
  </si>
  <si>
    <t xml:space="preserve">7% | 32% | 30% | 26% | 5%</t>
  </si>
  <si>
    <t xml:space="preserve">CS2 [NO MARKET] · ASTR vs LG   |   14:00 UTC   |   Bo3</t>
  </si>
  <si>
    <t xml:space="preserve">CS2 · BIG vs MGLZ   |   15:00 UTC   |   Bo3   |   Win: BIG 47% – MGLZ 53%   |   2-0 22% · 2-1 25% · 1-2 26% · 0-2 27%</t>
  </si>
  <si>
    <t xml:space="preserve">BIG (BIG)</t>
  </si>
  <si>
    <t xml:space="preserve">MongolZ (MGLZ)</t>
  </si>
  <si>
    <t xml:space="preserve">HLTV: #37 · VRS: #27</t>
  </si>
  <si>
    <t xml:space="preserve">HLTV: #20 · VRS: #51</t>
  </si>
  <si>
    <t xml:space="preserve">6-4   W W L W L L L W W W</t>
  </si>
  <si>
    <t xml:space="preserve">4-6   W W L L L L W L L W</t>
  </si>
  <si>
    <t xml:space="preserve">23-18 (56%)</t>
  </si>
  <si>
    <t xml:space="preserve">12-11 (52%)</t>
  </si>
  <si>
    <t xml:space="preserve">+5.3 / -5.5</t>
  </si>
  <si>
    <t xml:space="preserve">+5.1 / -5.2</t>
  </si>
  <si>
    <t xml:space="preserve">5 / 6</t>
  </si>
  <si>
    <t xml:space="preserve">2 / 3</t>
  </si>
  <si>
    <t xml:space="preserve">6 series · 16 maps · team 69.4 kills/map
blameF 22.4% (15.6/map)
gr1ks 20.3% (14.1/map)
faveN 19.9% (13.8/map)
JDC 19.3% (13.4/map)
tabseN 18.1% (12.6/map)</t>
  </si>
  <si>
    <t xml:space="preserve">6 series · 14 maps · team 68.7 kills/map
910 24.2% (16.6/map)
bLitz 21.5% (14.8/map)
DarkMeister 14.8% (11.8/map)
cobrazera 13.1% (18.0/map)
tikuak 12.7% (10.2/map)
Techno 9.9% (10.6/map)
nin9 3.8% (18.5/map) (sub)</t>
  </si>
  <si>
    <t xml:space="preserve">2 - 0  BIG vs PRIVATE
1 - 2  BIG vs Astralis
1 - 2  BIG vs Luminosity
2 - 1  BIG vs fnatic
1 - 2  BIG vs G2</t>
  </si>
  <si>
    <t xml:space="preserve">2 - 0  The MongolZ vs Alliance
0 - 2  The MongolZ vs 5star
1 - 2  The MongolZ vs MIBR
0 - 2  The MongolZ vs Falcons
2 - 0  The MongolZ vs paiN</t>
  </si>
  <si>
    <t xml:space="preserve">First ban: Dust2×1, Ancient×1   First pick: Cache×3, Inferno×2
19th of Octo  BIG vs PRIVATE:  us ban Dust2 · opp ban Inferno · us pick Cache · opp pick Mirage · opp ban Nuke · us ban Anubis · left Ancient
3rd of Octob  BIG vs Astralis:  opp ban Dust2 · us ban Ancient · opp pick Cache · us pick Inferno · us ban Nuke · opp ban Anubis · left Mirage
2nd of Octob  BIG vs Luminosity:  opp ban Anubis · us ban Nuke · opp pick Inferno · us pick Cache · us ban Dust2 · opp ban Ancient · left Mirage
1st of Octob  BIG vs fnatic:  opp ban Nuke · us ban Anubis · opp pick Ancient · us pick Inferno · us ban Dust2 · opp ban Cache · left Mirage
9th of Septe  BIG vs G2:  us ban Inferno · opp ban Nuke · us pick Cache · opp pick Mirage · us ban Dust2 · opp ban Anubis · left Ancient</t>
  </si>
  <si>
    <t xml:space="preserve">First ban: Anubis×5   First pick: Inferno×2, Dust2×1
19th of Octo  The MongolZ vs Alliance:  opp ban Cache · us ban Anubis · opp pick Inferno · us pick Dust2 · us ban Nuke · opp ban Mirage · left Ancient
9th of Septe  The MongolZ vs 5star:  opp ban Dust2 · us ban Anubis · opp pick Inferno · us pick Nuke · opp ban Mirage · us ban Cache · left Ancient
8th of Septe  The MongolZ vs MIBR:  opp ban Dust2 · us ban Anubis · opp pick Ancient · us pick Mirage · opp ban Cache · us ban Nuke · left Inferno
20th of Augu  The MongolZ vs Falcons:  us ban Anubis · opp ban Cache · us pick Inferno · opp pick Dust2 · us ban Ancient · opp ban Mirage · left Nuke
16th of Augu  The MongolZ vs paiN:  opp ban Ancient · us ban Anubis · opp pick Nuke · us pick Inferno · opp ban Cache · us ban Dust2 · left Mirage</t>
  </si>
  <si>
    <t xml:space="preserve">46%</t>
  </si>
  <si>
    <t xml:space="preserve">51.9%</t>
  </si>
  <si>
    <t xml:space="preserve">5/16</t>
  </si>
  <si>
    <t xml:space="preserve">3-4</t>
  </si>
  <si>
    <t xml:space="preserve">-1.1</t>
  </si>
  <si>
    <t xml:space="preserve">53.1%</t>
  </si>
  <si>
    <t xml:space="preserve">7/14</t>
  </si>
  <si>
    <t xml:space="preserve">36%</t>
  </si>
  <si>
    <t xml:space="preserve">40.0%</t>
  </si>
  <si>
    <t xml:space="preserve">3-1</t>
  </si>
  <si>
    <t xml:space="preserve">+1.8</t>
  </si>
  <si>
    <t xml:space="preserve">54.7%</t>
  </si>
  <si>
    <t xml:space="preserve">52.1%</t>
  </si>
  <si>
    <t xml:space="preserve">5/8</t>
  </si>
  <si>
    <t xml:space="preserve">+3.3</t>
  </si>
  <si>
    <t xml:space="preserve">69.4%</t>
  </si>
  <si>
    <t xml:space="preserve">1-3</t>
  </si>
  <si>
    <t xml:space="preserve">55.1%</t>
  </si>
  <si>
    <t xml:space="preserve">31.8%</t>
  </si>
  <si>
    <t xml:space="preserve">+0.6</t>
  </si>
  <si>
    <t xml:space="preserve">43.0%</t>
  </si>
  <si>
    <t xml:space="preserve">59.5%</t>
  </si>
  <si>
    <t xml:space="preserve">64.0%</t>
  </si>
  <si>
    <t xml:space="preserve">42.0%</t>
  </si>
  <si>
    <t xml:space="preserve">58.7%</t>
  </si>
  <si>
    <t xml:space="preserve">1-0</t>
  </si>
  <si>
    <t xml:space="preserve">+5.0</t>
  </si>
  <si>
    <t xml:space="preserve">88.9%</t>
  </si>
  <si>
    <t xml:space="preserve">2/18</t>
  </si>
  <si>
    <t xml:space="preserve">2-2</t>
  </si>
  <si>
    <t xml:space="preserve">54.5%</t>
  </si>
  <si>
    <t xml:space="preserve">2/8</t>
  </si>
  <si>
    <t xml:space="preserve">4% | 24% | 30% | 34% | 8%</t>
  </si>
  <si>
    <t xml:space="preserve">CS2 [NO MARKET] · FOKUS vs ex-ZT   |   15:00 UTC   |   Bo3</t>
  </si>
  <si>
    <t xml:space="preserve">CS2 · FNC vs PRV   |   18:00 UTC   |   Bo3   |   Win: FNC 37% – PRV 63%   |   2-0 17% · 2-1 20% · 1-2 28% · 0-2 35%</t>
  </si>
  <si>
    <t xml:space="preserve">fnatic (FNC)</t>
  </si>
  <si>
    <t xml:space="preserve">PARIVISION (PRV)</t>
  </si>
  <si>
    <t xml:space="preserve">HLTV: #34 · VRS: #25</t>
  </si>
  <si>
    <t xml:space="preserve">HLTV: #13 · VRS: #16</t>
  </si>
  <si>
    <t xml:space="preserve">6-4   W W L L W W W W L L</t>
  </si>
  <si>
    <t xml:space="preserve">4-6   W W L L W L L L L W</t>
  </si>
  <si>
    <t xml:space="preserve">+1.9</t>
  </si>
  <si>
    <t xml:space="preserve">51-29 (64%)</t>
  </si>
  <si>
    <t xml:space="preserve">15-20 (43%)</t>
  </si>
  <si>
    <t xml:space="preserve">+5.5 / -4.6</t>
  </si>
  <si>
    <t xml:space="preserve">+5.7 / -5.3</t>
  </si>
  <si>
    <t xml:space="preserve">17 / 6</t>
  </si>
  <si>
    <t xml:space="preserve">6 / 7</t>
  </si>
  <si>
    <t xml:space="preserve">58.1% (93-67) · R2 conv 90.3% · R2 break 14.9%</t>
  </si>
  <si>
    <t xml:space="preserve">6 series · 13 maps · team 70.8 kills/map
jambo 23.6% (16.7/map)
jackasmo 21.6% (15.3/map)
cairne 20.2% (14.3/map)
mazay 17.9% (12.7/map)
fEAR 16.7% (11.8/map)</t>
  </si>
  <si>
    <t xml:space="preserve">6 series · 15 maps · team 67.4 kills/map
xiELO 24.6% (16.6/map)
zweih 19.6% (13.2/map)
Jame 19.5% (13.1/map)
HObbit 19.2% (12.9/map)
FL1T 17.1% (11.5/map)</t>
  </si>
  <si>
    <t xml:space="preserve">2 - 0  fnatic vs Liquid
0 - 2  fnatic vs HEROIC
2 - 0  fnatic vs HOTU
2 - 0  fnatic vs Sashi
0 - 2  fnatic vs HOTU</t>
  </si>
  <si>
    <t xml:space="preserve">2 - 0  PARIVISION vs magic
1 - 2  PARIVISION vs BETBOOM
0 - 2  PARIVISION vs Legacy
0 - 2  PARIVISION vs Vitality
2 - 1  PARIVISION vs Natus Vincere</t>
  </si>
  <si>
    <t xml:space="preserve">First ban: Nuke×5   First pick: Ancient×3, Cache×2
19th of Octo  fnatic vs Liquid:  opp ban Ancient · us ban Nuke · opp pick Inferno · us pick Cache · us ban Mirage · opp ban Dust2 · left Anubis
16th of Octo  fnatic vs HEROIC:  us ban Nuke · opp ban Anubis · us pick Cache · opp pick Dust2 · us ban Inferno · opp ban Ancient · left Mirage
14th of Octo  fnatic vs HOTU:  us ban Nuke · opp ban Inferno · us pick Ancient · opp pick Dust2 · us ban Mirage · opp ban Anubis · left Cache
14th of Octo  fnatic vs Sashi:  opp ban Cache · us ban Nuke · opp pick Inferno · us pick Ancient · opp ban Anubis · us ban Dust2 · left Mirage
14th of Octo  fnatic vs HOTU:  us ban Nuke · opp ban Inferno · us pick Ancient · opp pick Dust2 · us ban Mirage · opp ban Anubis · left Cache</t>
  </si>
  <si>
    <t xml:space="preserve">First ban: Nuke×5   First pick: Ancient×2, Inferno×2
19th of Octo  PARIVISION vs magic:  opp ban Inferno · us ban Nuke · opp pick Mirage · us pick Ancient · us ban Anubis · opp ban Cache · left Dust2
15th of Octo  PARIVISION vs BETBOOM:  us ban Nuke · opp ban Inferno · us pick Ancient · opp pick Anubis · us ban Cache · opp ban Dust2 · left Mirage
14th of Octo  PARIVISION vs Legacy:  us ban Nuke · opp ban Anubis · us pick Dust2 · opp pick Mirage · us ban Cache · opp ban Inferno · left Ancient
9th of Octob  PARIVISION vs Vitality:  us ban Nuke · opp ban Ancient · us pick Inferno · opp pick Dust2 · us ban Cache · opp ban Mirage · left Anubis
7th of Octob  PARIVISION vs Natus Vincere:  us ban Nuke · opp ban Ancient · us pick Inferno · opp pick Cache · us ban Anubis · opp ban Dust2 · left Mirage</t>
  </si>
  <si>
    <t xml:space="preserve">54%</t>
  </si>
  <si>
    <t xml:space="preserve">18/36</t>
  </si>
  <si>
    <t xml:space="preserve">7-2</t>
  </si>
  <si>
    <t xml:space="preserve">+3.1</t>
  </si>
  <si>
    <t xml:space="preserve">62.3%</t>
  </si>
  <si>
    <t xml:space="preserve">54.1%</t>
  </si>
  <si>
    <t xml:space="preserve">9-4</t>
  </si>
  <si>
    <t xml:space="preserve">62.7%</t>
  </si>
  <si>
    <t xml:space="preserve">16/26</t>
  </si>
  <si>
    <t xml:space="preserve">42.9%</t>
  </si>
  <si>
    <t xml:space="preserve">9% | 36% | 29% | 21% | 4%</t>
  </si>
  <si>
    <t xml:space="preserve">-2.1</t>
  </si>
  <si>
    <t xml:space="preserve">9/20</t>
  </si>
  <si>
    <t xml:space="preserve">1-5</t>
  </si>
  <si>
    <t xml:space="preserve">43.7%</t>
  </si>
  <si>
    <t xml:space="preserve">4/12</t>
  </si>
  <si>
    <t xml:space="preserve">11/20</t>
  </si>
  <si>
    <t xml:space="preserve">44.8%</t>
  </si>
  <si>
    <t xml:space="preserve">12% | 41% | 27% | 17% | 3%</t>
  </si>
  <si>
    <t xml:space="preserve">15-3</t>
  </si>
  <si>
    <t xml:space="preserve">+3.8</t>
  </si>
  <si>
    <t xml:space="preserve">61.2%</t>
  </si>
  <si>
    <t xml:space="preserve">27/36</t>
  </si>
  <si>
    <t xml:space="preserve">1-1</t>
  </si>
  <si>
    <t xml:space="preserve">4/4</t>
  </si>
  <si>
    <t xml:space="preserve">12% | 40% | 28% | 18% | 3%</t>
  </si>
  <si>
    <t xml:space="preserve">+0.4</t>
  </si>
  <si>
    <t xml:space="preserve">12/22</t>
  </si>
  <si>
    <t xml:space="preserve">54.2%</t>
  </si>
  <si>
    <t xml:space="preserve">Board</t>
  </si>
  <si>
    <t xml:space="preserve">Match:</t>
  </si>
  <si>
    <t xml:space="preserve">CS2 [NO MARKET] · AE vs RA</t>
  </si>
  <si>
    <t xml:space="preserve">Teams</t>
  </si>
  <si>
    <t xml:space="preserve">Start (CT)</t>
  </si>
  <si>
    <t xml:space="preserve">Bo</t>
  </si>
  <si>
    <t xml:space="preserve">P(A wins)</t>
  </si>
  <si>
    <t xml:space="preserve">P(A 2-0)</t>
  </si>
  <si>
    <t xml:space="preserve">P(B 2-0)</t>
  </si>
  <si>
    <t xml:space="preserve">P(3 maps)</t>
  </si>
  <si>
    <t xml:space="preserve">Map pick #1</t>
  </si>
  <si>
    <t xml:space="preserve">Map pick #2</t>
  </si>
  <si>
    <t xml:space="preserve">TP rounds M1</t>
  </si>
  <si>
    <t xml:space="preserve">TP rounds M2</t>
  </si>
  <si>
    <t xml:space="preserve">P(OT) M1</t>
  </si>
  <si>
    <t xml:space="preserve">A margin M1</t>
  </si>
  <si>
    <t xml:space="preserve">A rounds M1</t>
  </si>
  <si>
    <t xml:space="preserve">B rounds M1</t>
  </si>
  <si>
    <t xml:space="preserve">HLTV rounds M1</t>
  </si>
  <si>
    <t xml:space="preserve">HLTV A margin M1</t>
  </si>
  <si>
    <t xml:space="preserve">Hist share A / B</t>
  </si>
  <si>
    <t xml:space="preserve">IN USE</t>
  </si>
  <si>
    <t xml:space="preserve">Team</t>
  </si>
  <si>
    <t xml:space="preserve">Player</t>
  </si>
  <si>
    <t xml:space="preserve">KPR M1</t>
  </si>
  <si>
    <t xml:space="preserve">KPR M2</t>
  </si>
  <si>
    <t xml:space="preserve">Kills M1</t>
  </si>
  <si>
    <t xml:space="preserve">Kills M2</t>
  </si>
  <si>
    <t xml:space="preserve">Kills 1-2</t>
  </si>
  <si>
    <t xml:space="preserve">Diff mult</t>
  </si>
  <si>
    <t xml:space="preserve">Adj K 1-2</t>
  </si>
  <si>
    <t xml:space="preserve">PP line</t>
  </si>
  <si>
    <t xml:space="preserve">P(over)</t>
  </si>
  <si>
    <t xml:space="preserve">Adj P(over)</t>
  </si>
  <si>
    <t xml:space="preserve">TP book</t>
  </si>
  <si>
    <t xml:space="preserve">PF L10</t>
  </si>
  <si>
    <t xml:space="preserve">HS% 1-2</t>
  </si>
  <si>
    <t xml:space="preserve">HS 1-2</t>
  </si>
  <si>
    <t xml:space="preserve">PP HS line</t>
  </si>
  <si>
    <t xml:space="preserve">P(over) HS</t>
  </si>
  <si>
    <t xml:space="preserve">Sample</t>
  </si>
  <si>
    <t xml:space="preserve">Flags</t>
  </si>
  <si>
    <t xml:space="preserve">row</t>
  </si>
  <si>
    <t xml:space="preserve">Kills = Σ over the chosen maps of (per-map KPR, shrunk toward the player's overall KPR by SHRINK_MAPS) × rounds. HS = kills × per-map HS%, shrunk the same way. P(over) is a normal approximation with variance = KILLS_DISPERSION × projection.</t>
  </si>
  <si>
    <t xml:space="preserve">Adj = the round-differential layer (CS2): each map's kills × (a·s + b·(1−s)) ÷ (a·s_hist + b·(1−s_hist)), s = the team's expected round share on that map from HLTV conditional margins and Thunderpick map odds, s_hist = its round share over HLTV's 3-month sample. PAPER: neither column has a forward record.</t>
  </si>
  <si>
    <t xml:space="preserve">Matches — pick the maps and rounds for every match in the shaded columns</t>
  </si>
  <si>
    <t xml:space="preserve">Prefilled: maps from PickFinder Map Picks (#1, #2, #3), rounds from Thunderpick "Total Rounds - Map k" (devigged 50% crossing). Overwrite any shaded cell; Calc, Projections and Board follow instantly.</t>
  </si>
  <si>
    <t xml:space="preserve">Match</t>
  </si>
  <si>
    <t xml:space="preserve">Title</t>
  </si>
  <si>
    <t xml:space="preserve">Team A</t>
  </si>
  <si>
    <t xml:space="preserve">Team B</t>
  </si>
  <si>
    <t xml:space="preserve">Map pick #3</t>
  </si>
  <si>
    <t xml:space="preserve">Picks from</t>
  </si>
  <si>
    <t xml:space="preserve">TP rounds M3</t>
  </si>
  <si>
    <t xml:space="preserve">TP markets</t>
  </si>
  <si>
    <t xml:space="preserve">Map 1</t>
  </si>
  <si>
    <t xml:space="preserve">Map 2</t>
  </si>
  <si>
    <t xml:space="preserve">Map 3</t>
  </si>
  <si>
    <t xml:space="preserve">Rounds M1</t>
  </si>
  <si>
    <t xml:space="preserve">Rounds M2</t>
  </si>
  <si>
    <t xml:space="preserve">Rounds M3</t>
  </si>
  <si>
    <t xml:space="preserve">P(map 3) used</t>
  </si>
  <si>
    <t xml:space="preserve">Tag A</t>
  </si>
  <si>
    <t xml:space="preserve">Tag B</t>
  </si>
  <si>
    <t xml:space="preserve">P(A map 1)</t>
  </si>
  <si>
    <t xml:space="preserve">P(A map 2)</t>
  </si>
  <si>
    <t xml:space="preserve">P(A map 3)</t>
  </si>
  <si>
    <t xml:space="preserve">A hist share</t>
  </si>
  <si>
    <t xml:space="preserve">B hist share</t>
  </si>
  <si>
    <t xml:space="preserve">HLTV cA M1</t>
  </si>
  <si>
    <t xml:space="preserve">HLTV cB M1</t>
  </si>
  <si>
    <t xml:space="preserve">HLTV src M1</t>
  </si>
  <si>
    <t xml:space="preserve">HLTV A share M1</t>
  </si>
  <si>
    <t xml:space="preserve">HLTV cA M2</t>
  </si>
  <si>
    <t xml:space="preserve">HLTV cB M2</t>
  </si>
  <si>
    <t xml:space="preserve">HLTV src M2</t>
  </si>
  <si>
    <t xml:space="preserve">HLTV rounds M2</t>
  </si>
  <si>
    <t xml:space="preserve">HLTV A margin M2</t>
  </si>
  <si>
    <t xml:space="preserve">HLTV A share M2</t>
  </si>
  <si>
    <t xml:space="preserve">HLTV cA M3</t>
  </si>
  <si>
    <t xml:space="preserve">HLTV cB M3</t>
  </si>
  <si>
    <t xml:space="preserve">HLTV src M3</t>
  </si>
  <si>
    <t xml:space="preserve">HLTV rounds M3</t>
  </si>
  <si>
    <t xml:space="preserve">HLTV A margin M3</t>
  </si>
  <si>
    <t xml:space="preserve">HLTV A share M3</t>
  </si>
  <si>
    <t xml:space="preserve">CS2</t>
  </si>
  <si>
    <t xml:space="preserve">Tue 00:00</t>
  </si>
  <si>
    <t xml:space="preserve">AE (AE)</t>
  </si>
  <si>
    <t xml:space="preserve">RA (RA)</t>
  </si>
  <si>
    <t xml:space="preserve">Dust2 53%</t>
  </si>
  <si>
    <t xml:space="preserve">Cache 26%</t>
  </si>
  <si>
    <t xml:space="preserve">Ancient 6%</t>
  </si>
  <si>
    <t xml:space="preserve">PF Map Picks</t>
  </si>
  <si>
    <t xml:space="preserve">AE</t>
  </si>
  <si>
    <t xml:space="preserve">RA</t>
  </si>
  <si>
    <t xml:space="preserve">CS2 · PRIV vs ALL</t>
  </si>
  <si>
    <t xml:space="preserve">Tue 04:00</t>
  </si>
  <si>
    <t xml:space="preserve">Ancient 30%</t>
  </si>
  <si>
    <t xml:space="preserve">Dust2 20%</t>
  </si>
  <si>
    <t xml:space="preserve">Inferno 18%</t>
  </si>
  <si>
    <t xml:space="preserve">PRIV</t>
  </si>
  <si>
    <t xml:space="preserve">ALL</t>
  </si>
  <si>
    <t xml:space="preserve">CS2 [NO MARKET] · MZP vs ex-RUSTEC</t>
  </si>
  <si>
    <t xml:space="preserve">MZP (MZP)</t>
  </si>
  <si>
    <t xml:space="preserve">ex-RUSTEC (ex-RUSTEC)</t>
  </si>
  <si>
    <t xml:space="preserve">Nuke 70%</t>
  </si>
  <si>
    <t xml:space="preserve">Inferno 8%</t>
  </si>
  <si>
    <t xml:space="preserve">Mirage 7%</t>
  </si>
  <si>
    <t xml:space="preserve">MZP</t>
  </si>
  <si>
    <t xml:space="preserve">ex-RUSTEC</t>
  </si>
  <si>
    <t xml:space="preserve">CS2 · BBL vs BCG</t>
  </si>
  <si>
    <t xml:space="preserve">Tue 06:00</t>
  </si>
  <si>
    <t xml:space="preserve">Cache 38%</t>
  </si>
  <si>
    <t xml:space="preserve">Nuke 23%</t>
  </si>
  <si>
    <t xml:space="preserve">Ancient 9%</t>
  </si>
  <si>
    <t xml:space="preserve">BBL</t>
  </si>
  <si>
    <t xml:space="preserve">BCG</t>
  </si>
  <si>
    <t xml:space="preserve">CS2 · INF vs EF</t>
  </si>
  <si>
    <t xml:space="preserve">Ancient 32%</t>
  </si>
  <si>
    <t xml:space="preserve">Dust2 31%</t>
  </si>
  <si>
    <t xml:space="preserve">Mirage 11%</t>
  </si>
  <si>
    <t xml:space="preserve">INF</t>
  </si>
  <si>
    <t xml:space="preserve">EF</t>
  </si>
  <si>
    <t xml:space="preserve">CS2 · TL vs MGC</t>
  </si>
  <si>
    <t xml:space="preserve">Tue 07:00</t>
  </si>
  <si>
    <t xml:space="preserve">Mirage 25%</t>
  </si>
  <si>
    <t xml:space="preserve">Anubis 18%</t>
  </si>
  <si>
    <t xml:space="preserve">TL</t>
  </si>
  <si>
    <t xml:space="preserve">MGC</t>
  </si>
  <si>
    <t xml:space="preserve">CS2 · HERO vs HS</t>
  </si>
  <si>
    <t xml:space="preserve">Tue 09:00</t>
  </si>
  <si>
    <t xml:space="preserve">Cache 50%</t>
  </si>
  <si>
    <t xml:space="preserve">Inferno 20%</t>
  </si>
  <si>
    <t xml:space="preserve">Ancient 8%</t>
  </si>
  <si>
    <t xml:space="preserve">HERO</t>
  </si>
  <si>
    <t xml:space="preserve">HS</t>
  </si>
  <si>
    <t xml:space="preserve">CS2 · JJH vs IS</t>
  </si>
  <si>
    <t xml:space="preserve">Mirage 43%</t>
  </si>
  <si>
    <t xml:space="preserve">JJH</t>
  </si>
  <si>
    <t xml:space="preserve">IS</t>
  </si>
  <si>
    <t xml:space="preserve">CS2 · SAW vs SIN</t>
  </si>
  <si>
    <t xml:space="preserve">Cache 24%</t>
  </si>
  <si>
    <t xml:space="preserve">Ancient 17%</t>
  </si>
  <si>
    <t xml:space="preserve">SAW</t>
  </si>
  <si>
    <t xml:space="preserve">SIN</t>
  </si>
  <si>
    <t xml:space="preserve">CS2 [NO MARKET] · ASTR vs LG</t>
  </si>
  <si>
    <t xml:space="preserve">ASTR (ASTR)</t>
  </si>
  <si>
    <t xml:space="preserve">LG (LG)</t>
  </si>
  <si>
    <t xml:space="preserve">Inferno 41%</t>
  </si>
  <si>
    <t xml:space="preserve">Dust2 17%</t>
  </si>
  <si>
    <t xml:space="preserve">Ancient 13%</t>
  </si>
  <si>
    <t xml:space="preserve">ASTR</t>
  </si>
  <si>
    <t xml:space="preserve">LG</t>
  </si>
  <si>
    <t xml:space="preserve">CS2 · BIG vs MGLZ</t>
  </si>
  <si>
    <t xml:space="preserve">Tue 10:00</t>
  </si>
  <si>
    <t xml:space="preserve">Inferno 46%</t>
  </si>
  <si>
    <t xml:space="preserve">Dust2 36%</t>
  </si>
  <si>
    <t xml:space="preserve">Nuke 9%</t>
  </si>
  <si>
    <t xml:space="preserve">BIG</t>
  </si>
  <si>
    <t xml:space="preserve">MGLZ</t>
  </si>
  <si>
    <t xml:space="preserve">CS2 [NO MARKET] · FOKUS vs ex-ZT</t>
  </si>
  <si>
    <t xml:space="preserve">FOKUS (FOKUS)</t>
  </si>
  <si>
    <t xml:space="preserve">ex-ZT (ex-ZT)</t>
  </si>
  <si>
    <t xml:space="preserve">Cache 58%</t>
  </si>
  <si>
    <t xml:space="preserve">Nuke 10%</t>
  </si>
  <si>
    <t xml:space="preserve">FOKUS</t>
  </si>
  <si>
    <t xml:space="preserve">ex-ZT</t>
  </si>
  <si>
    <t xml:space="preserve">CS2 · FNC vs PRV</t>
  </si>
  <si>
    <t xml:space="preserve">Tue 13:00</t>
  </si>
  <si>
    <t xml:space="preserve">Ancient 54%</t>
  </si>
  <si>
    <t xml:space="preserve">Inferno 12%</t>
  </si>
  <si>
    <t xml:space="preserve">Dust2 12%</t>
  </si>
  <si>
    <t xml:space="preserve">FNC</t>
  </si>
  <si>
    <t xml:space="preserve">PRV</t>
  </si>
  <si>
    <t xml:space="preserve">Market</t>
  </si>
  <si>
    <t xml:space="preserve">Line</t>
  </si>
  <si>
    <t xml:space="preserve">Proj</t>
  </si>
  <si>
    <t xml:space="preserve">Sigma</t>
  </si>
  <si>
    <t xml:space="preserve">P(under)</t>
  </si>
  <si>
    <t xml:space="preserve">P(push)</t>
  </si>
  <si>
    <t xml:space="preserve">Model side (paper)</t>
  </si>
  <si>
    <t xml:space="preserve">TP book median</t>
  </si>
  <si>
    <t xml:space="preserve">PF Avg L10</t>
  </si>
  <si>
    <t xml:space="preserve">PF L5</t>
  </si>
  <si>
    <t xml:space="preserve">PF L15</t>
  </si>
  <si>
    <t xml:space="preserve">PF H2H</t>
  </si>
  <si>
    <t xml:space="preserve">PF streak</t>
  </si>
  <si>
    <t xml:space="preserve">Maps used</t>
  </si>
  <si>
    <t xml:space="preserve">Rounds used</t>
  </si>
  <si>
    <t xml:space="preserve">Calc key</t>
  </si>
  <si>
    <t xml:space="preserve">Code</t>
  </si>
  <si>
    <t xml:space="preserve">Lookup</t>
  </si>
  <si>
    <t xml:space="preserve">Proj adj</t>
  </si>
  <si>
    <t xml:space="preserve">Sigma adj</t>
  </si>
  <si>
    <t xml:space="preserve">P(over) adj</t>
  </si>
  <si>
    <t xml:space="preserve">P(under) adj</t>
  </si>
  <si>
    <t xml:space="preserve">Side adj (paper)</t>
  </si>
  <si>
    <t xml:space="preserve">3gl</t>
  </si>
  <si>
    <t xml:space="preserve">Maps 1-2 Kills</t>
  </si>
  <si>
    <t xml:space="preserve">100%/1/1</t>
  </si>
  <si>
    <t xml:space="preserve">kn6f2ad0sktmmzc|CS2 [NO MARKET] · AE vs RA</t>
  </si>
  <si>
    <t xml:space="preserve">K12</t>
  </si>
  <si>
    <t xml:space="preserve">ChildKing</t>
  </si>
  <si>
    <t xml:space="preserve">Maps 1-2 HS</t>
  </si>
  <si>
    <t xml:space="preserve">0%/0/1</t>
  </si>
  <si>
    <t xml:space="preserve">f9wcr2x423brdzr|CS2 [NO MARKET] · AE vs RA</t>
  </si>
  <si>
    <t xml:space="preserve">H12</t>
  </si>
  <si>
    <t xml:space="preserve">Kaze</t>
  </si>
  <si>
    <t xml:space="preserve">ughyxb03plt3xrp|CS2 [NO MARKET] · AE vs RA</t>
  </si>
  <si>
    <t xml:space="preserve">L1haNg</t>
  </si>
  <si>
    <t xml:space="preserve">67%/2/3</t>
  </si>
  <si>
    <t xml:space="preserve">je1olgjbcmc9iwy|CS2 [NO MARKET] · AE vs RA</t>
  </si>
  <si>
    <t xml:space="preserve">0%/0/3</t>
  </si>
  <si>
    <t xml:space="preserve">Summer</t>
  </si>
  <si>
    <t xml:space="preserve">33%/1/3</t>
  </si>
  <si>
    <t xml:space="preserve">d0e1cvnzi7r6gn1|CS2 [NO MARKET] · AE vs RA</t>
  </si>
  <si>
    <t xml:space="preserve">afro</t>
  </si>
  <si>
    <t xml:space="preserve">-</t>
  </si>
  <si>
    <t xml:space="preserve">now9yw1c0z61fxl|CS2 [NO MARKET] · ASTR vs LG</t>
  </si>
  <si>
    <t xml:space="preserve">AZUWU</t>
  </si>
  <si>
    <t xml:space="preserve">5b322opruaopkmm|CS2 [NO MARKET] · ASTR vs LG</t>
  </si>
  <si>
    <t xml:space="preserve">lux</t>
  </si>
  <si>
    <t xml:space="preserve">oau6mcpwamuknva|CS2 [NO MARKET] · ASTR vs LG</t>
  </si>
  <si>
    <t xml:space="preserve">Rainwaker</t>
  </si>
  <si>
    <t xml:space="preserve">a8s1ja8a0vwhgvp|CS2 [NO MARKET] · ASTR vs LG</t>
  </si>
  <si>
    <t xml:space="preserve">Yxngstxr</t>
  </si>
  <si>
    <t xml:space="preserve">4g49imv2ok4y1rr|CS2 [NO MARKET] · ASTR vs LG</t>
  </si>
  <si>
    <t xml:space="preserve">Banjo</t>
  </si>
  <si>
    <t xml:space="preserve">ghy1dudzs9kapjt|CS2 [NO MARKET] · FOKUS vs ex-ZT</t>
  </si>
  <si>
    <t xml:space="preserve">jocab</t>
  </si>
  <si>
    <t xml:space="preserve">100%/2/2</t>
  </si>
  <si>
    <t xml:space="preserve">x2emtl5gfecz2g5|CS2 [NO MARKET] · FOKUS vs ex-ZT</t>
  </si>
  <si>
    <t xml:space="preserve">Matheos</t>
  </si>
  <si>
    <t xml:space="preserve">dhsfp2nlwaldqcx|CS2 [NO MARKET] · FOKUS vs ex-ZT</t>
  </si>
  <si>
    <t xml:space="preserve">podi</t>
  </si>
  <si>
    <t xml:space="preserve">86isvekrtorp4vs|CS2 [NO MARKET] · FOKUS vs ex-ZT</t>
  </si>
  <si>
    <t xml:space="preserve">ztr</t>
  </si>
  <si>
    <t xml:space="preserve">6pbbnemawwfgnr5|CS2 [NO MARKET] · FOKUS vs ex-ZT</t>
  </si>
  <si>
    <t xml:space="preserve">F1KU</t>
  </si>
  <si>
    <t xml:space="preserve">h2c84157n2ymvv2|CS2 [NO MARKET] · MZP vs ex-RUSTEC</t>
  </si>
  <si>
    <t xml:space="preserve">forsyy</t>
  </si>
  <si>
    <t xml:space="preserve">4bqrch5n45sx5u9|CS2 [NO MARKET] · MZP vs ex-RUSTEC</t>
  </si>
  <si>
    <t xml:space="preserve">MaiL09</t>
  </si>
  <si>
    <t xml:space="preserve">cenz32hm5akyeqy|CS2 [NO MARKET] · MZP vs ex-RUSTEC</t>
  </si>
  <si>
    <t xml:space="preserve">Plopski</t>
  </si>
  <si>
    <t xml:space="preserve">vwa09ypl40r89pt|CS2 [NO MARKET] · MZP vs ex-RUSTEC</t>
  </si>
  <si>
    <t xml:space="preserve">stanislaw</t>
  </si>
  <si>
    <t xml:space="preserve">vl85mzwiy0ds144|CS2 [NO MARKET] · MZP vs ex-RUSTEC</t>
  </si>
  <si>
    <t xml:space="preserve">bl1x1</t>
  </si>
  <si>
    <t xml:space="preserve">60%/3/5</t>
  </si>
  <si>
    <t xml:space="preserve">u2qbkafgxd78s8o|CS2 [NO MARKET] · MZP vs ex-RUSTEC</t>
  </si>
  <si>
    <t xml:space="preserve">Brilliance</t>
  </si>
  <si>
    <t xml:space="preserve">ib0ui40iou8m5h8|CS2 [NO MARKET] · MZP vs ex-RUSTEC</t>
  </si>
  <si>
    <t xml:space="preserve">relaxxie</t>
  </si>
  <si>
    <t xml:space="preserve">vv1atvr3j4yt4h1|CS2 [NO MARKET] · MZP vs ex-RUSTEC</t>
  </si>
  <si>
    <t xml:space="preserve">yiksrezo</t>
  </si>
  <si>
    <t xml:space="preserve">dvwiagwt3fsxpwe|CS2 [NO MARKET] · MZP vs ex-RUSTEC</t>
  </si>
  <si>
    <t xml:space="preserve">youka</t>
  </si>
  <si>
    <t xml:space="preserve">41ry45brll61gbm|CS2 [NO MARKET] · MZP vs ex-RUSTEC</t>
  </si>
  <si>
    <t xml:space="preserve">Leakz</t>
  </si>
  <si>
    <t xml:space="preserve">0%/0/2</t>
  </si>
  <si>
    <t xml:space="preserve">aulcxwhkh0pxo6k|CS2 · BBL vs BCG</t>
  </si>
  <si>
    <t xml:space="preserve">MistR</t>
  </si>
  <si>
    <t xml:space="preserve">8n1op8gu0s0g5np|CS2 · BBL vs BCG</t>
  </si>
  <si>
    <t xml:space="preserve">NickyB</t>
  </si>
  <si>
    <t xml:space="preserve">4u8b77givp2ury3|CS2 · BBL vs BCG</t>
  </si>
  <si>
    <t xml:space="preserve">salazar</t>
  </si>
  <si>
    <t xml:space="preserve">n7dezrlm3ggjepw|CS2 · BBL vs BCG</t>
  </si>
  <si>
    <t xml:space="preserve">asap</t>
  </si>
  <si>
    <t xml:space="preserve">sr5c0xeb12zshv5|CS2 · BBL vs BCG</t>
  </si>
  <si>
    <t xml:space="preserve">Magisk</t>
  </si>
  <si>
    <t xml:space="preserve">1d7bsesjr3mn3m2|CS2 · BBL vs BCG</t>
  </si>
  <si>
    <t xml:space="preserve">mzinho</t>
  </si>
  <si>
    <t xml:space="preserve">d5pdwo5hc84he1g|CS2 · BBL vs BCG</t>
  </si>
  <si>
    <t xml:space="preserve">s1mple</t>
  </si>
  <si>
    <t xml:space="preserve">wmdnx0gqjw734wn|CS2 · BBL vs BCG</t>
  </si>
  <si>
    <t xml:space="preserve">senzu</t>
  </si>
  <si>
    <t xml:space="preserve">5mlzxv2cg2u3emi|CS2 · BBL vs BCG</t>
  </si>
  <si>
    <t xml:space="preserve">blameF</t>
  </si>
  <si>
    <t xml:space="preserve">8trkhn8eds1uu4p|CS2 · BIG vs MGLZ</t>
  </si>
  <si>
    <t xml:space="preserve">faveN</t>
  </si>
  <si>
    <t xml:space="preserve">50%/1/2</t>
  </si>
  <si>
    <t xml:space="preserve">8aq8zm8lnarakek|CS2 · BIG vs MGLZ</t>
  </si>
  <si>
    <t xml:space="preserve">gr1ks</t>
  </si>
  <si>
    <t xml:space="preserve">3m04868n6ftaamy|CS2 · BIG vs MGLZ</t>
  </si>
  <si>
    <t xml:space="preserve">JDC</t>
  </si>
  <si>
    <t xml:space="preserve">cbsjkz3yqg99r06|CS2 · BIG vs MGLZ</t>
  </si>
  <si>
    <t xml:space="preserve">910</t>
  </si>
  <si>
    <t xml:space="preserve">5ttqna5u230tb49|CS2 · BIG vs MGLZ</t>
  </si>
  <si>
    <t xml:space="preserve">bLitz</t>
  </si>
  <si>
    <t xml:space="preserve">56bqvguml6vhetk|CS2 · BIG vs MGLZ</t>
  </si>
  <si>
    <t xml:space="preserve">cobrazera</t>
  </si>
  <si>
    <t xml:space="preserve">01464eymprqfx0w|CS2 · BIG vs MGLZ</t>
  </si>
  <si>
    <t xml:space="preserve">nin9</t>
  </si>
  <si>
    <t xml:space="preserve">dobeml44vsvpy4d|CS2 · BIG vs MGLZ</t>
  </si>
  <si>
    <t xml:space="preserve">Techno</t>
  </si>
  <si>
    <t xml:space="preserve">f34szm5kcyom32u|CS2 · BIG vs MGLZ</t>
  </si>
  <si>
    <t xml:space="preserve">cairne</t>
  </si>
  <si>
    <t xml:space="preserve">25%/1/4</t>
  </si>
  <si>
    <t xml:space="preserve">h6qqf27cvpf4wi5|CS2 · FNC vs PRV</t>
  </si>
  <si>
    <t xml:space="preserve">fear</t>
  </si>
  <si>
    <t xml:space="preserve">f9t8og97ml0t6z0|CS2 · FNC vs PRV</t>
  </si>
  <si>
    <t xml:space="preserve">jackasmo</t>
  </si>
  <si>
    <t xml:space="preserve">82nefkkz4qxb3gq|CS2 · FNC vs PRV</t>
  </si>
  <si>
    <t xml:space="preserve">Jambo</t>
  </si>
  <si>
    <t xml:space="preserve">vri96qu30akszzt|CS2 · FNC vs PRV</t>
  </si>
  <si>
    <t xml:space="preserve">mazay</t>
  </si>
  <si>
    <t xml:space="preserve">nm2jvu2w8c75yhk|CS2 · FNC vs PRV</t>
  </si>
  <si>
    <t xml:space="preserve">FL1T</t>
  </si>
  <si>
    <t xml:space="preserve">100%/3/3</t>
  </si>
  <si>
    <t xml:space="preserve">a3gx8x64bsz5lau|CS2 · FNC vs PRV</t>
  </si>
  <si>
    <t xml:space="preserve">HObbit</t>
  </si>
  <si>
    <t xml:space="preserve">p8559s3zjqtcahr|CS2 · FNC vs PRV</t>
  </si>
  <si>
    <t xml:space="preserve">Jame</t>
  </si>
  <si>
    <t xml:space="preserve">83%/5/6</t>
  </si>
  <si>
    <t xml:space="preserve">cydchkok64imq1a|CS2 · FNC vs PRV</t>
  </si>
  <si>
    <t xml:space="preserve">xiELO</t>
  </si>
  <si>
    <t xml:space="preserve">100%/4/4</t>
  </si>
  <si>
    <t xml:space="preserve">bqc9xefllzsykyn|CS2 · FNC vs PRV</t>
  </si>
  <si>
    <t xml:space="preserve">zweih</t>
  </si>
  <si>
    <t xml:space="preserve">yx4766zs82zoa4m|CS2 · FNC vs PRV</t>
  </si>
  <si>
    <t xml:space="preserve">Brollan</t>
  </si>
  <si>
    <t xml:space="preserve">wtlsowfl6o5b5pg|CS2 · HERO vs HS</t>
  </si>
  <si>
    <t xml:space="preserve">Chr1zN</t>
  </si>
  <si>
    <t xml:space="preserve">4neyyyoi8995r0v|CS2 · HERO vs HS</t>
  </si>
  <si>
    <t xml:space="preserve">Martinez</t>
  </si>
  <si>
    <t xml:space="preserve">6abl2drrh6zq9lw|CS2 · HERO vs HS</t>
  </si>
  <si>
    <t xml:space="preserve">nilo</t>
  </si>
  <si>
    <t xml:space="preserve">zk657eunk3op4kx|CS2 · HERO vs HS</t>
  </si>
  <si>
    <t xml:space="preserve">susp</t>
  </si>
  <si>
    <t xml:space="preserve">u12f792swgv1x5z|CS2 · HERO vs HS</t>
  </si>
  <si>
    <t xml:space="preserve">jottAAA</t>
  </si>
  <si>
    <t xml:space="preserve">rfuts2r0t85cd95|CS2 · INF vs EF</t>
  </si>
  <si>
    <t xml:space="preserve">Kvem</t>
  </si>
  <si>
    <t xml:space="preserve">t2lttsuygcwlbxl|CS2 · INF vs EF</t>
  </si>
  <si>
    <t xml:space="preserve">MisteM</t>
  </si>
  <si>
    <t xml:space="preserve">mp3vrg2adugpxjt|CS2 · INF vs EF</t>
  </si>
  <si>
    <t xml:space="preserve">regali</t>
  </si>
  <si>
    <t xml:space="preserve">v15ff2btfwe796g|CS2 · INF vs EF</t>
  </si>
  <si>
    <t xml:space="preserve">Soulfly</t>
  </si>
  <si>
    <t xml:space="preserve">agwfljw0nydsug9|CS2 · INF vs EF</t>
  </si>
  <si>
    <t xml:space="preserve">kyuubii</t>
  </si>
  <si>
    <t xml:space="preserve">80bybpfrkhru947|CS2 · INF vs EF</t>
  </si>
  <si>
    <t xml:space="preserve">sl3nd</t>
  </si>
  <si>
    <t xml:space="preserve">9ycphxjddne0u4w|CS2 · INF vs EF</t>
  </si>
  <si>
    <t xml:space="preserve">volt</t>
  </si>
  <si>
    <t xml:space="preserve">12s4j1y56sietsk|CS2 · INF vs EF</t>
  </si>
  <si>
    <t xml:space="preserve">Ag1l</t>
  </si>
  <si>
    <t xml:space="preserve">wdrf4z5snuwpkf2|CS2 · JJH vs IS</t>
  </si>
  <si>
    <t xml:space="preserve">alex</t>
  </si>
  <si>
    <t xml:space="preserve">phl4oe3cm0dori9|CS2 · JJH vs IS</t>
  </si>
  <si>
    <t xml:space="preserve">dav1g</t>
  </si>
  <si>
    <t xml:space="preserve">fcuzodaqfntg95o|CS2 · JJH vs IS</t>
  </si>
  <si>
    <t xml:space="preserve">mopoz</t>
  </si>
  <si>
    <t xml:space="preserve">8y2vu0o81k1ojys|CS2 · JJH vs IS</t>
  </si>
  <si>
    <t xml:space="preserve">sausol</t>
  </si>
  <si>
    <t xml:space="preserve">ltwiotm7m8sg32v|CS2 · JJH vs IS</t>
  </si>
  <si>
    <t xml:space="preserve">0SAMAS</t>
  </si>
  <si>
    <t xml:space="preserve">3ur3fyq90jlwliy|CS2 · JJH vs IS</t>
  </si>
  <si>
    <t xml:space="preserve">CacaNito</t>
  </si>
  <si>
    <t xml:space="preserve">lykfimmteia2jqy|CS2 · JJH vs IS</t>
  </si>
  <si>
    <t xml:space="preserve">m1N1</t>
  </si>
  <si>
    <t xml:space="preserve">u9fufnbk30lfitd|CS2 · JJH vs IS</t>
  </si>
  <si>
    <t xml:space="preserve">sinnopsyy</t>
  </si>
  <si>
    <t xml:space="preserve">r77hvt5nvgfdk4q|CS2 · JJH vs IS</t>
  </si>
  <si>
    <t xml:space="preserve">avid</t>
  </si>
  <si>
    <t xml:space="preserve">4fdepq2kwuzxzif|CS2 · PRIV vs ALL</t>
  </si>
  <si>
    <t xml:space="preserve">bobeksde</t>
  </si>
  <si>
    <t xml:space="preserve">vvspq85e8g20hak|CS2 · PRIV vs ALL</t>
  </si>
  <si>
    <t xml:space="preserve">eraa</t>
  </si>
  <si>
    <t xml:space="preserve">4etihlcb5nvt11f|CS2 · PRIV vs ALL</t>
  </si>
  <si>
    <t xml:space="preserve">twist</t>
  </si>
  <si>
    <t xml:space="preserve">bl2bft1d69f03ls|CS2 · PRIV vs ALL</t>
  </si>
  <si>
    <t xml:space="preserve">upE</t>
  </si>
  <si>
    <t xml:space="preserve">q3clylb2zmlguaj|CS2 · PRIV vs ALL</t>
  </si>
  <si>
    <t xml:space="preserve">1eeR</t>
  </si>
  <si>
    <t xml:space="preserve">rd8ddgmnqexx8qo|CS2 · PRIV vs ALL</t>
  </si>
  <si>
    <t xml:space="preserve">H4SAN4TOR</t>
  </si>
  <si>
    <t xml:space="preserve">50%/2/4</t>
  </si>
  <si>
    <t xml:space="preserve">9o5rlocll7u8d8u|CS2 · PRIV vs ALL</t>
  </si>
  <si>
    <t xml:space="preserve">75%/3/4</t>
  </si>
  <si>
    <t xml:space="preserve">sh1nejezzz</t>
  </si>
  <si>
    <t xml:space="preserve">7ktwlxlmswh9ifd|CS2 · PRIV vs ALL</t>
  </si>
  <si>
    <t xml:space="preserve">sowalio</t>
  </si>
  <si>
    <t xml:space="preserve">sqc0ysaaur7o8rm|CS2 · PRIV vs ALL</t>
  </si>
  <si>
    <t xml:space="preserve">z1k4</t>
  </si>
  <si>
    <t xml:space="preserve">m5gpzgv9dxw9wy5|CS2 · PRIV vs ALL</t>
  </si>
  <si>
    <t xml:space="preserve">ewjerkz</t>
  </si>
  <si>
    <t xml:space="preserve">xvvfmhrcbb80sbg|CS2 · SAW vs SIN</t>
  </si>
  <si>
    <t xml:space="preserve">krazy</t>
  </si>
  <si>
    <t xml:space="preserve">kydgyu0yno6fmgg|CS2 · SAW vs SIN</t>
  </si>
  <si>
    <t xml:space="preserve">MUTiRiS</t>
  </si>
  <si>
    <t xml:space="preserve">1s3tek2ny0plcv8|CS2 · SAW vs SIN</t>
  </si>
  <si>
    <t xml:space="preserve">NOPEEJ</t>
  </si>
  <si>
    <t xml:space="preserve">wmlzs7f7r7rjkdf|CS2 · SAW vs SIN</t>
  </si>
  <si>
    <t xml:space="preserve">story</t>
  </si>
  <si>
    <t xml:space="preserve">fdlb7vusl2zjbn9|CS2 · SAW vs SIN</t>
  </si>
  <si>
    <t xml:space="preserve">beastik</t>
  </si>
  <si>
    <t xml:space="preserve">8aai8x2gzwv7n81|CS2 · SAW vs SIN</t>
  </si>
  <si>
    <t xml:space="preserve">kisserek</t>
  </si>
  <si>
    <t xml:space="preserve">lsulnpetantoynq|CS2 · SAW vs SIN</t>
  </si>
  <si>
    <t xml:space="preserve">MoDo</t>
  </si>
  <si>
    <t xml:space="preserve">1hopqlnjw3mlmoz|CS2 · SAW vs SIN</t>
  </si>
  <si>
    <t xml:space="preserve">SHOCK</t>
  </si>
  <si>
    <t xml:space="preserve">ve4e5j5hk63t18f|CS2 · SAW vs SIN</t>
  </si>
  <si>
    <t xml:space="preserve">stressarN</t>
  </si>
  <si>
    <t xml:space="preserve">y49315sm0j0j0bi|CS2 · SAW vs SIN</t>
  </si>
  <si>
    <t xml:space="preserve">AW</t>
  </si>
  <si>
    <t xml:space="preserve">70ftfg9ppj5ovwx|CS2 · TL vs MGC</t>
  </si>
  <si>
    <t xml:space="preserve">MaSvAl</t>
  </si>
  <si>
    <t xml:space="preserve">5aj8l8ayaerznme|CS2 · TL vs MGC</t>
  </si>
  <si>
    <t xml:space="preserve">sFade8</t>
  </si>
  <si>
    <t xml:space="preserve">2mxcc4bdxuksk8r|CS2 · TL vs MGC</t>
  </si>
  <si>
    <t xml:space="preserve">tENZY</t>
  </si>
  <si>
    <t xml:space="preserve">97fbh7iare9uasg|CS2 · TL vs MGC</t>
  </si>
  <si>
    <t xml:space="preserve">EliGE</t>
  </si>
  <si>
    <t xml:space="preserve">we8rbjpf65bc2tn|CS2 · TL vs MGC</t>
  </si>
  <si>
    <t xml:space="preserve">Jorko</t>
  </si>
  <si>
    <t xml:space="preserve">eb7cqiuc8bqx4zr|CS2 · TL vs MGC</t>
  </si>
  <si>
    <t xml:space="preserve">JT</t>
  </si>
  <si>
    <t xml:space="preserve">j4y4z5p4stvkatz|CS2 · TL vs MGC</t>
  </si>
  <si>
    <t xml:space="preserve">malbsMd</t>
  </si>
  <si>
    <t xml:space="preserve">30ba4vwtbgb75sn|CS2 · TL vs MGC</t>
  </si>
  <si>
    <t xml:space="preserve">NAF</t>
  </si>
  <si>
    <t xml:space="preserve">as14gj4lvoykr11|CS2 · TL vs MGC</t>
  </si>
  <si>
    <t xml:space="preserve">Key</t>
  </si>
  <si>
    <t xml:space="preserve">PID</t>
  </si>
  <si>
    <t xml:space="preserve">R1</t>
  </si>
  <si>
    <t xml:space="preserve">R2</t>
  </si>
  <si>
    <t xml:space="preserve">R3</t>
  </si>
  <si>
    <t xml:space="preserve">P3</t>
  </si>
  <si>
    <t xml:space="preserve">Sample maps</t>
  </si>
  <si>
    <t xml:space="preserve">KPR all</t>
  </si>
  <si>
    <t xml:space="preserve">HS% all</t>
  </si>
  <si>
    <t xml:space="preserve">M1 n</t>
  </si>
  <si>
    <t xml:space="preserve">M1 KPR raw</t>
  </si>
  <si>
    <t xml:space="preserve">M1 HS raw</t>
  </si>
  <si>
    <t xml:space="preserve">M1 KPR</t>
  </si>
  <si>
    <t xml:space="preserve">M1 HS%</t>
  </si>
  <si>
    <t xml:space="preserve">M1 Kills</t>
  </si>
  <si>
    <t xml:space="preserve">M1 HS</t>
  </si>
  <si>
    <t xml:space="preserve">M2 n</t>
  </si>
  <si>
    <t xml:space="preserve">M2 KPR raw</t>
  </si>
  <si>
    <t xml:space="preserve">M2 HS raw</t>
  </si>
  <si>
    <t xml:space="preserve">M2 KPR</t>
  </si>
  <si>
    <t xml:space="preserve">M2 HS%</t>
  </si>
  <si>
    <t xml:space="preserve">M2 Kills</t>
  </si>
  <si>
    <t xml:space="preserve">M2 HS</t>
  </si>
  <si>
    <t xml:space="preserve">M3 n</t>
  </si>
  <si>
    <t xml:space="preserve">M3 KPR raw</t>
  </si>
  <si>
    <t xml:space="preserve">M3 HS raw</t>
  </si>
  <si>
    <t xml:space="preserve">M3 KPR</t>
  </si>
  <si>
    <t xml:space="preserve">M3 HS%</t>
  </si>
  <si>
    <t xml:space="preserve">M3 Kills</t>
  </si>
  <si>
    <t xml:space="preserve">M3 HS</t>
  </si>
  <si>
    <t xml:space="preserve">Kills 1-3</t>
  </si>
  <si>
    <t xml:space="preserve">HS 1-3</t>
  </si>
  <si>
    <t xml:space="preserve">Board rank</t>
  </si>
  <si>
    <t xml:space="preserve">Side</t>
  </si>
  <si>
    <t xml:space="preserve">Hist share</t>
  </si>
  <si>
    <t xml:space="preserve">M1 share</t>
  </si>
  <si>
    <t xml:space="preserve">M1 mult</t>
  </si>
  <si>
    <t xml:space="preserve">M2 share</t>
  </si>
  <si>
    <t xml:space="preserve">M2 mult</t>
  </si>
  <si>
    <t xml:space="preserve">M3 share</t>
  </si>
  <si>
    <t xml:space="preserve">M3 mult</t>
  </si>
  <si>
    <t xml:space="preserve">M1 Kills adj</t>
  </si>
  <si>
    <t xml:space="preserve">M2 Kills adj</t>
  </si>
  <si>
    <t xml:space="preserve">M3 Kills adj</t>
  </si>
  <si>
    <t xml:space="preserve">Kills 1-2 adj</t>
  </si>
  <si>
    <t xml:space="preserve">Kills 1-3 adj</t>
  </si>
  <si>
    <t xml:space="preserve">M1 HS adj</t>
  </si>
  <si>
    <t xml:space="preserve">M2 HS adj</t>
  </si>
  <si>
    <t xml:space="preserve">M3 HS adj</t>
  </si>
  <si>
    <t xml:space="preserve">HS 1-2 adj</t>
  </si>
  <si>
    <t xml:space="preserve">HS 1-3 adj</t>
  </si>
  <si>
    <t xml:space="preserve">Diff mult 1-2</t>
  </si>
  <si>
    <t xml:space="preserve">kn6f2ad0sktmmzc</t>
  </si>
  <si>
    <t xml:space="preserve">f9wcr2x423brdzr</t>
  </si>
  <si>
    <t xml:space="preserve">ughyxb03plt3xrp</t>
  </si>
  <si>
    <t xml:space="preserve">je1olgjbcmc9iwy</t>
  </si>
  <si>
    <t xml:space="preserve">d0e1cvnzi7r6gn1</t>
  </si>
  <si>
    <t xml:space="preserve">now9yw1c0z61fxl</t>
  </si>
  <si>
    <t xml:space="preserve">5b322opruaopkmm</t>
  </si>
  <si>
    <t xml:space="preserve">oau6mcpwamuknva</t>
  </si>
  <si>
    <t xml:space="preserve">a8s1ja8a0vwhgvp</t>
  </si>
  <si>
    <t xml:space="preserve">4g49imv2ok4y1rr</t>
  </si>
  <si>
    <t xml:space="preserve">ghy1dudzs9kapjt</t>
  </si>
  <si>
    <t xml:space="preserve">x2emtl5gfecz2g5</t>
  </si>
  <si>
    <t xml:space="preserve">dhsfp2nlwaldqcx</t>
  </si>
  <si>
    <t xml:space="preserve">86isvekrtorp4vs</t>
  </si>
  <si>
    <t xml:space="preserve">6pbbnemawwfgnr5</t>
  </si>
  <si>
    <t xml:space="preserve">h2c84157n2ymvv2</t>
  </si>
  <si>
    <t xml:space="preserve">4bqrch5n45sx5u9</t>
  </si>
  <si>
    <t xml:space="preserve">cenz32hm5akyeqy</t>
  </si>
  <si>
    <t xml:space="preserve">vwa09ypl40r89pt</t>
  </si>
  <si>
    <t xml:space="preserve">vl85mzwiy0ds144</t>
  </si>
  <si>
    <t xml:space="preserve">u2qbkafgxd78s8o</t>
  </si>
  <si>
    <t xml:space="preserve">ib0ui40iou8m5h8</t>
  </si>
  <si>
    <t xml:space="preserve">vv1atvr3j4yt4h1</t>
  </si>
  <si>
    <t xml:space="preserve">dvwiagwt3fsxpwe</t>
  </si>
  <si>
    <t xml:space="preserve">41ry45brll61gbm</t>
  </si>
  <si>
    <t xml:space="preserve">aulcxwhkh0pxo6k</t>
  </si>
  <si>
    <t xml:space="preserve">8n1op8gu0s0g5np</t>
  </si>
  <si>
    <t xml:space="preserve">4u8b77givp2ury3</t>
  </si>
  <si>
    <t xml:space="preserve">n7dezrlm3ggjepw</t>
  </si>
  <si>
    <t xml:space="preserve">sr5c0xeb12zshv5</t>
  </si>
  <si>
    <t xml:space="preserve">1d7bsesjr3mn3m2</t>
  </si>
  <si>
    <t xml:space="preserve">d5pdwo5hc84he1g</t>
  </si>
  <si>
    <t xml:space="preserve">wmdnx0gqjw734wn</t>
  </si>
  <si>
    <t xml:space="preserve">5mlzxv2cg2u3emi</t>
  </si>
  <si>
    <t xml:space="preserve">8trkhn8eds1uu4p</t>
  </si>
  <si>
    <t xml:space="preserve">8aq8zm8lnarakek</t>
  </si>
  <si>
    <t xml:space="preserve">3m04868n6ftaamy</t>
  </si>
  <si>
    <t xml:space="preserve">cbsjkz3yqg99r06</t>
  </si>
  <si>
    <t xml:space="preserve">5ttqna5u230tb49</t>
  </si>
  <si>
    <t xml:space="preserve">56bqvguml6vhetk</t>
  </si>
  <si>
    <t xml:space="preserve">01464eymprqfx0w</t>
  </si>
  <si>
    <t xml:space="preserve">dobeml44vsvpy4d</t>
  </si>
  <si>
    <t xml:space="preserve">f34szm5kcyom32u</t>
  </si>
  <si>
    <t xml:space="preserve">h6qqf27cvpf4wi5</t>
  </si>
  <si>
    <t xml:space="preserve">f9t8og97ml0t6z0</t>
  </si>
  <si>
    <t xml:space="preserve">82nefkkz4qxb3gq</t>
  </si>
  <si>
    <t xml:space="preserve">vri96qu30akszzt</t>
  </si>
  <si>
    <t xml:space="preserve">nm2jvu2w8c75yhk</t>
  </si>
  <si>
    <t xml:space="preserve">a3gx8x64bsz5lau</t>
  </si>
  <si>
    <t xml:space="preserve">p8559s3zjqtcahr</t>
  </si>
  <si>
    <t xml:space="preserve">cydchkok64imq1a</t>
  </si>
  <si>
    <t xml:space="preserve">bqc9xefllzsykyn</t>
  </si>
  <si>
    <t xml:space="preserve">yx4766zs82zoa4m</t>
  </si>
  <si>
    <t xml:space="preserve">wtlsowfl6o5b5pg</t>
  </si>
  <si>
    <t xml:space="preserve">4neyyyoi8995r0v</t>
  </si>
  <si>
    <t xml:space="preserve">6abl2drrh6zq9lw</t>
  </si>
  <si>
    <t xml:space="preserve">zk657eunk3op4kx</t>
  </si>
  <si>
    <t xml:space="preserve">u12f792swgv1x5z</t>
  </si>
  <si>
    <t xml:space="preserve">rfuts2r0t85cd95</t>
  </si>
  <si>
    <t xml:space="preserve">t2lttsuygcwlbxl</t>
  </si>
  <si>
    <t xml:space="preserve">mp3vrg2adugpxjt</t>
  </si>
  <si>
    <t xml:space="preserve">v15ff2btfwe796g</t>
  </si>
  <si>
    <t xml:space="preserve">agwfljw0nydsug9</t>
  </si>
  <si>
    <t xml:space="preserve">80bybpfrkhru947</t>
  </si>
  <si>
    <t xml:space="preserve">9ycphxjddne0u4w</t>
  </si>
  <si>
    <t xml:space="preserve">12s4j1y56sietsk</t>
  </si>
  <si>
    <t xml:space="preserve">wdrf4z5snuwpkf2</t>
  </si>
  <si>
    <t xml:space="preserve">phl4oe3cm0dori9</t>
  </si>
  <si>
    <t xml:space="preserve">fcuzodaqfntg95o</t>
  </si>
  <si>
    <t xml:space="preserve">8y2vu0o81k1ojys</t>
  </si>
  <si>
    <t xml:space="preserve">ltwiotm7m8sg32v</t>
  </si>
  <si>
    <t xml:space="preserve">3ur3fyq90jlwliy</t>
  </si>
  <si>
    <t xml:space="preserve">lykfimmteia2jqy</t>
  </si>
  <si>
    <t xml:space="preserve">u9fufnbk30lfitd</t>
  </si>
  <si>
    <t xml:space="preserve">r77hvt5nvgfdk4q</t>
  </si>
  <si>
    <t xml:space="preserve">4fdepq2kwuzxzif</t>
  </si>
  <si>
    <t xml:space="preserve">vvspq85e8g20hak</t>
  </si>
  <si>
    <t xml:space="preserve">4etihlcb5nvt11f</t>
  </si>
  <si>
    <t xml:space="preserve">bl2bft1d69f03ls</t>
  </si>
  <si>
    <t xml:space="preserve">q3clylb2zmlguaj</t>
  </si>
  <si>
    <t xml:space="preserve">rd8ddgmnqexx8qo</t>
  </si>
  <si>
    <t xml:space="preserve">9o5rlocll7u8d8u</t>
  </si>
  <si>
    <t xml:space="preserve">7ktwlxlmswh9ifd</t>
  </si>
  <si>
    <t xml:space="preserve">sqc0ysaaur7o8rm</t>
  </si>
  <si>
    <t xml:space="preserve">m5gpzgv9dxw9wy5</t>
  </si>
  <si>
    <t xml:space="preserve">xvvfmhrcbb80sbg</t>
  </si>
  <si>
    <t xml:space="preserve">kydgyu0yno6fmgg</t>
  </si>
  <si>
    <t xml:space="preserve">1s3tek2ny0plcv8</t>
  </si>
  <si>
    <t xml:space="preserve">wmlzs7f7r7rjkdf</t>
  </si>
  <si>
    <t xml:space="preserve">fdlb7vusl2zjbn9</t>
  </si>
  <si>
    <t xml:space="preserve">8aai8x2gzwv7n81</t>
  </si>
  <si>
    <t xml:space="preserve">lsulnpetantoynq</t>
  </si>
  <si>
    <t xml:space="preserve">1hopqlnjw3mlmoz</t>
  </si>
  <si>
    <t xml:space="preserve">ve4e5j5hk63t18f</t>
  </si>
  <si>
    <t xml:space="preserve">y49315sm0j0j0bi</t>
  </si>
  <si>
    <t xml:space="preserve">70ftfg9ppj5ovwx</t>
  </si>
  <si>
    <t xml:space="preserve">5aj8l8ayaerznme</t>
  </si>
  <si>
    <t xml:space="preserve">2mxcc4bdxuksk8r</t>
  </si>
  <si>
    <t xml:space="preserve">97fbh7iare9uasg</t>
  </si>
  <si>
    <t xml:space="preserve">we8rbjpf65bc2tn</t>
  </si>
  <si>
    <t xml:space="preserve">eb7cqiuc8bqx4zr</t>
  </si>
  <si>
    <t xml:space="preserve">j4y4z5p4stvkatz</t>
  </si>
  <si>
    <t xml:space="preserve">30ba4vwtbgb75sn</t>
  </si>
  <si>
    <t xml:space="preserve">as14gj4lvoykr11</t>
  </si>
  <si>
    <t xml:space="preserve">Config — edit the shaded cells only</t>
  </si>
  <si>
    <t xml:space="preserve">Setting</t>
  </si>
  <si>
    <t xml:space="preserve">Value</t>
  </si>
  <si>
    <t xml:space="preserve">Notes</t>
  </si>
  <si>
    <t xml:space="preserve">CS2 maps</t>
  </si>
  <si>
    <t xml:space="preserve">VAL maps</t>
  </si>
  <si>
    <t xml:space="preserve">SHRINK_MAPS</t>
  </si>
  <si>
    <t xml:space="preserve">Maps of the player's OWN overall KPR mixed into each per-map KPR. A player with 3 Ancient maps at 0.95 KPR and 0.72 overall projects (3×0.95+5×0.72)/8 = 0.81 on Ancient. 0 = trust the per-map number fully; 20 = nearly ignore maps. Set by judgment, NOT measured — per-map samples are 3–9 maps, and a 15-series kills mean only reproduces itself at 0.568 split-half.</t>
  </si>
  <si>
    <t xml:space="preserve">KILLS_DISPERSION</t>
  </si>
  <si>
    <t xml:space="preserve">Variance ÷ mean for a kills total. Sets the spread behind P(over). 1.0 = Poisson. 1.4 comes from the Kill_Share_Decomposition test (CV 0.215 on ~30-kill maps 1-2 totals, 17 Valorant players). Headshots inherit it through binomial thinning: φ_HS = HS%×φ + (1−HS%).</t>
  </si>
  <si>
    <t xml:space="preserve">EDGE_MIN</t>
  </si>
  <si>
    <t xml:space="preserve">Model side shows OVER/UNDER only past 50% + this. It is a PAPER column: the KPR × rounds projection has no forward record yet, so this is an ordering, not an edge.</t>
  </si>
  <si>
    <t xml:space="preserve">DEFAULT_ROUNDS_CS2</t>
  </si>
  <si>
    <t xml:space="preserve">Rounds per map used when Thunderpick posts no Total Rounds ladder for a CS2 map.</t>
  </si>
  <si>
    <t xml:space="preserve">DEFAULT_ROUNDS_VAL</t>
  </si>
  <si>
    <t xml:space="preserve">Same for Valorant.</t>
  </si>
  <si>
    <t xml:space="preserve">KPR_ROUND_ELASTICITY</t>
  </si>
  <si>
    <t xml:space="preserve">Kills-per-round dilution on long maps: projection × (rounds ÷ REF)^this. 0 = off. PAPER found corr(rounds, k/rd) = −0.51 on 11 maps, then −0.076 on 14 maps (slate 33) — the slope did not replicate, so it ships off.</t>
  </si>
  <si>
    <t xml:space="preserve">REF_ROUNDS_CS2</t>
  </si>
  <si>
    <t xml:space="preserve">Reference map length for the elasticity above.</t>
  </si>
  <si>
    <t xml:space="preserve">REF_ROUNDS_VAL</t>
  </si>
  <si>
    <t xml:space="preserve">Overpass</t>
  </si>
  <si>
    <t xml:space="preserve">THIN_SAMPLE_MAPS</t>
  </si>
  <si>
    <t xml:space="preserve">Flag a player whose PickFinder sample is below this many maps.</t>
  </si>
  <si>
    <t xml:space="preserve">DIFF_WEIGHT</t>
  </si>
  <si>
    <t xml:space="preserve">Round-differential layer (CS2). Adjusted kills = base kills × multiplier^this. 1 = full, 0 = off. PAPER: the multiplier is the q-adjustment built from HLTV conditional round margins; it has never been scored forward. Both base and adjusted projections are logged.</t>
  </si>
  <si>
    <t xml:space="preserve">KILLS_PER_ROUND_WON</t>
  </si>
  <si>
    <t xml:space="preserve">Team kills per round WON (CS2), from team_kills = a·rounds_won + b·rounds_lost, R² 0.970 on 47 team-maps (Kills_Markets_By_Title).</t>
  </si>
  <si>
    <t xml:space="preserve">KILLS_PER_ROUND_LOST</t>
  </si>
  <si>
    <t xml:space="preserve">Team kills per round LOST (CS2), same fit. The 2.6× ratio is the whole differential effect.</t>
  </si>
  <si>
    <t xml:space="preserve">Slate</t>
  </si>
  <si>
    <t xml:space="preserve">SLATE_DATE</t>
  </si>
  <si>
    <t xml:space="preserve">2026-10-20</t>
  </si>
  <si>
    <t xml:space="preserve">BUILT_UTC</t>
  </si>
  <si>
    <t xml:space="preserve">2026-10-20 03:18</t>
  </si>
  <si>
    <t xml:space="preserve">SOURCES</t>
  </si>
  <si>
    <t xml:space="preserve">PickFinder /props (board + hit rates), PickFinder player pages (Player Stats → Map Stats; Maps → Map Picks), Thunderpick /api/markets (odds, rounds, kill ladders).</t>
  </si>
  <si>
    <t xml:space="preserve">PF matchup</t>
  </si>
  <si>
    <t xml:space="preserve">Maps</t>
  </si>
  <si>
    <t xml:space="preserve">Kills/Map</t>
  </si>
  <si>
    <t xml:space="preserve">KPR</t>
  </si>
  <si>
    <t xml:space="preserve">HS %</t>
  </si>
  <si>
    <t xml:space="preserve">HS/Round</t>
  </si>
  <si>
    <t xml:space="preserve">K/D</t>
  </si>
  <si>
    <t xml:space="preserve">Rating</t>
  </si>
  <si>
    <t xml:space="preserve">Avg rounds/map</t>
  </si>
  <si>
    <t xml:space="preserve">Identity</t>
  </si>
  <si>
    <t xml:space="preserve">PickFinder page</t>
  </si>
  <si>
    <t xml:space="preserve">ALL vs PRIV</t>
  </si>
  <si>
    <t xml:space="preserve">OK</t>
  </si>
  <si>
    <t xml:space="preserve">https://www.pickfinder.app/players/cs2/4fdepq2kwuzxzif</t>
  </si>
  <si>
    <t xml:space="preserve">https://www.pickfinder.app/players/cs2/vvspq85e8g20hak</t>
  </si>
  <si>
    <t xml:space="preserve">https://www.pickfinder.app/players/cs2/4etihlcb5nvt11f</t>
  </si>
  <si>
    <t xml:space="preserve">https://www.pickfinder.app/players/cs2/bl2bft1d69f03ls</t>
  </si>
  <si>
    <t xml:space="preserve">https://www.pickfinder.app/players/cs2/q3clylb2zmlguaj</t>
  </si>
  <si>
    <t xml:space="preserve">BBL vs BCG</t>
  </si>
  <si>
    <t xml:space="preserve">https://www.pickfinder.app/players/cs2/aulcxwhkh0pxo6k</t>
  </si>
  <si>
    <t xml:space="preserve">https://www.pickfinder.app/players/cs2/8n1op8gu0s0g5np</t>
  </si>
  <si>
    <t xml:space="preserve">https://www.pickfinder.app/players/cs2/4u8b77givp2ury3</t>
  </si>
  <si>
    <t xml:space="preserve">https://www.pickfinder.app/players/cs2/n7dezrlm3ggjepw</t>
  </si>
  <si>
    <t xml:space="preserve">BCG vs BBL</t>
  </si>
  <si>
    <t xml:space="preserve">https://www.pickfinder.app/players/cs2/sr5c0xeb12zshv5</t>
  </si>
  <si>
    <t xml:space="preserve">https://www.pickfinder.app/players/cs2/1d7bsesjr3mn3m2</t>
  </si>
  <si>
    <t xml:space="preserve">https://www.pickfinder.app/players/cs2/d5pdwo5hc84he1g</t>
  </si>
  <si>
    <t xml:space="preserve">https://www.pickfinder.app/players/cs2/wmdnx0gqjw734wn</t>
  </si>
  <si>
    <t xml:space="preserve">https://www.pickfinder.app/players/cs2/5mlzxv2cg2u3emi</t>
  </si>
  <si>
    <t xml:space="preserve">BIG vs MGLZ</t>
  </si>
  <si>
    <t xml:space="preserve">https://www.pickfinder.app/players/cs2/8trkhn8eds1uu4p</t>
  </si>
  <si>
    <t xml:space="preserve">https://www.pickfinder.app/players/cs2/8aq8zm8lnarakek</t>
  </si>
  <si>
    <t xml:space="preserve">https://www.pickfinder.app/players/cs2/3m04868n6ftaamy</t>
  </si>
  <si>
    <t xml:space="preserve">https://www.pickfinder.app/players/cs2/cbsjkz3yqg99r06</t>
  </si>
  <si>
    <t xml:space="preserve">EF vs INF</t>
  </si>
  <si>
    <t xml:space="preserve">https://www.pickfinder.app/players/cs2/rfuts2r0t85cd95</t>
  </si>
  <si>
    <t xml:space="preserve">https://www.pickfinder.app/players/cs2/t2lttsuygcwlbxl</t>
  </si>
  <si>
    <t xml:space="preserve">https://www.pickfinder.app/players/cs2/mp3vrg2adugpxjt</t>
  </si>
  <si>
    <t xml:space="preserve">https://www.pickfinder.app/players/cs2/v15ff2btfwe796g</t>
  </si>
  <si>
    <t xml:space="preserve">https://www.pickfinder.app/players/cs2/agwfljw0nydsug9</t>
  </si>
  <si>
    <t xml:space="preserve">FNC vs PRV</t>
  </si>
  <si>
    <t xml:space="preserve">https://www.pickfinder.app/players/cs2/h6qqf27cvpf4wi5</t>
  </si>
  <si>
    <t xml:space="preserve">https://www.pickfinder.app/players/cs2/f9t8og97ml0t6z0</t>
  </si>
  <si>
    <t xml:space="preserve">https://www.pickfinder.app/players/cs2/82nefkkz4qxb3gq</t>
  </si>
  <si>
    <t xml:space="preserve">https://www.pickfinder.app/players/cs2/vri96qu30akszzt</t>
  </si>
  <si>
    <t xml:space="preserve">https://www.pickfinder.app/players/cs2/nm2jvu2w8c75yhk</t>
  </si>
  <si>
    <t xml:space="preserve">FOKUS vs ex-ZT</t>
  </si>
  <si>
    <t xml:space="preserve">https://www.pickfinder.app/players/cs2/ghy1dudzs9kapjt</t>
  </si>
  <si>
    <t xml:space="preserve">https://www.pickfinder.app/players/cs2/x2emtl5gfecz2g5</t>
  </si>
  <si>
    <t xml:space="preserve">https://www.pickfinder.app/players/cs2/dhsfp2nlwaldqcx</t>
  </si>
  <si>
    <t xml:space="preserve">https://www.pickfinder.app/players/cs2/86isvekrtorp4vs</t>
  </si>
  <si>
    <t xml:space="preserve">https://www.pickfinder.app/players/cs2/6pbbnemawwfgnr5</t>
  </si>
  <si>
    <t xml:space="preserve">HERO vs HS</t>
  </si>
  <si>
    <t xml:space="preserve">https://www.pickfinder.app/players/cs2/wtlsowfl6o5b5pg</t>
  </si>
  <si>
    <t xml:space="preserve">https://www.pickfinder.app/players/cs2/4neyyyoi8995r0v</t>
  </si>
  <si>
    <t xml:space="preserve">https://www.pickfinder.app/players/cs2/6abl2drrh6zq9lw</t>
  </si>
  <si>
    <t xml:space="preserve">https://www.pickfinder.app/players/cs2/zk657eunk3op4kx</t>
  </si>
  <si>
    <t xml:space="preserve">https://www.pickfinder.app/players/cs2/u12f792swgv1x5z</t>
  </si>
  <si>
    <t xml:space="preserve">INF vs EF</t>
  </si>
  <si>
    <t xml:space="preserve">https://www.pickfinder.app/players/cs2/80bybpfrkhru947</t>
  </si>
  <si>
    <t xml:space="preserve">https://www.pickfinder.app/players/cs2/9ycphxjddne0u4w</t>
  </si>
  <si>
    <t xml:space="preserve">https://www.pickfinder.app/players/cs2/12s4j1y56sietsk</t>
  </si>
  <si>
    <t xml:space="preserve">IS vs JJH</t>
  </si>
  <si>
    <t xml:space="preserve">https://www.pickfinder.app/players/cs2/wdrf4z5snuwpkf2</t>
  </si>
  <si>
    <t xml:space="preserve">https://www.pickfinder.app/players/cs2/phl4oe3cm0dori9</t>
  </si>
  <si>
    <t xml:space="preserve">https://www.pickfinder.app/players/cs2/fcuzodaqfntg95o</t>
  </si>
  <si>
    <t xml:space="preserve">https://www.pickfinder.app/players/cs2/8y2vu0o81k1ojys</t>
  </si>
  <si>
    <t xml:space="preserve">https://www.pickfinder.app/players/cs2/ltwiotm7m8sg32v</t>
  </si>
  <si>
    <t xml:space="preserve">JJH vs IS</t>
  </si>
  <si>
    <t xml:space="preserve">https://www.pickfinder.app/players/cs2/3ur3fyq90jlwliy</t>
  </si>
  <si>
    <t xml:space="preserve">https://www.pickfinder.app/players/cs2/lykfimmteia2jqy</t>
  </si>
  <si>
    <t xml:space="preserve">https://www.pickfinder.app/players/cs2/u9fufnbk30lfitd</t>
  </si>
  <si>
    <t xml:space="preserve">https://www.pickfinder.app/players/cs2/r77hvt5nvgfdk4q</t>
  </si>
  <si>
    <t xml:space="preserve">LG vs ASTR</t>
  </si>
  <si>
    <t xml:space="preserve">https://www.pickfinder.app/players/cs2/now9yw1c0z61fxl</t>
  </si>
  <si>
    <t xml:space="preserve">https://www.pickfinder.app/players/cs2/5b322opruaopkmm</t>
  </si>
  <si>
    <t xml:space="preserve">https://www.pickfinder.app/players/cs2/oau6mcpwamuknva</t>
  </si>
  <si>
    <t xml:space="preserve">https://www.pickfinder.app/players/cs2/a8s1ja8a0vwhgvp</t>
  </si>
  <si>
    <t xml:space="preserve">https://www.pickfinder.app/players/cs2/4g49imv2ok4y1rr</t>
  </si>
  <si>
    <t xml:space="preserve">MGC vs TL</t>
  </si>
  <si>
    <t xml:space="preserve">https://www.pickfinder.app/players/cs2/70ftfg9ppj5ovwx</t>
  </si>
  <si>
    <t xml:space="preserve">https://www.pickfinder.app/players/cs2/5aj8l8ayaerznme</t>
  </si>
  <si>
    <t xml:space="preserve">https://www.pickfinder.app/players/cs2/2mxcc4bdxuksk8r</t>
  </si>
  <si>
    <t xml:space="preserve">https://www.pickfinder.app/players/cs2/97fbh7iare9uasg</t>
  </si>
  <si>
    <t xml:space="preserve">MGLZ vs BIG</t>
  </si>
  <si>
    <t xml:space="preserve">https://www.pickfinder.app/players/cs2/5ttqna5u230tb49</t>
  </si>
  <si>
    <t xml:space="preserve">https://www.pickfinder.app/players/cs2/56bqvguml6vhetk</t>
  </si>
  <si>
    <t xml:space="preserve">https://www.pickfinder.app/players/cs2/01464eymprqfx0w</t>
  </si>
  <si>
    <t xml:space="preserve">https://www.pickfinder.app/players/cs2/dobeml44vsvpy4d</t>
  </si>
  <si>
    <t xml:space="preserve">https://www.pickfinder.app/players/cs2/f34szm5kcyom32u</t>
  </si>
  <si>
    <t xml:space="preserve">MZP vs ex-RUSTEC</t>
  </si>
  <si>
    <t xml:space="preserve">https://www.pickfinder.app/players/cs2/h2c84157n2ymvv2</t>
  </si>
  <si>
    <t xml:space="preserve">https://www.pickfinder.app/players/cs2/4bqrch5n45sx5u9</t>
  </si>
  <si>
    <t xml:space="preserve">https://www.pickfinder.app/players/cs2/cenz32hm5akyeqy</t>
  </si>
  <si>
    <t xml:space="preserve">https://www.pickfinder.app/players/cs2/vwa09ypl40r89pt</t>
  </si>
  <si>
    <t xml:space="preserve">https://www.pickfinder.app/players/cs2/vl85mzwiy0ds144</t>
  </si>
  <si>
    <t xml:space="preserve">PRIV vs ALL</t>
  </si>
  <si>
    <t xml:space="preserve">https://www.pickfinder.app/players/cs2/rd8ddgmnqexx8qo</t>
  </si>
  <si>
    <t xml:space="preserve">https://www.pickfinder.app/players/cs2/9o5rlocll7u8d8u</t>
  </si>
  <si>
    <t xml:space="preserve">https://www.pickfinder.app/players/cs2/7ktwlxlmswh9ifd</t>
  </si>
  <si>
    <t xml:space="preserve">https://www.pickfinder.app/players/cs2/sqc0ysaaur7o8rm</t>
  </si>
  <si>
    <t xml:space="preserve">https://www.pickfinder.app/players/cs2/m5gpzgv9dxw9wy5</t>
  </si>
  <si>
    <t xml:space="preserve">PRV vs FNC</t>
  </si>
  <si>
    <t xml:space="preserve">https://www.pickfinder.app/players/cs2/a3gx8x64bsz5lau</t>
  </si>
  <si>
    <t xml:space="preserve">https://www.pickfinder.app/players/cs2/p8559s3zjqtcahr</t>
  </si>
  <si>
    <t xml:space="preserve">https://www.pickfinder.app/players/cs2/cydchkok64imq1a</t>
  </si>
  <si>
    <t xml:space="preserve">https://www.pickfinder.app/players/cs2/bqc9xefllzsykyn</t>
  </si>
  <si>
    <t xml:space="preserve">https://www.pickfinder.app/players/cs2/yx4766zs82zoa4m</t>
  </si>
  <si>
    <t xml:space="preserve">RA vs AE</t>
  </si>
  <si>
    <t xml:space="preserve">https://www.pickfinder.app/players/cs2/kn6f2ad0sktmmzc</t>
  </si>
  <si>
    <t xml:space="preserve">https://www.pickfinder.app/players/cs2/f9wcr2x423brdzr</t>
  </si>
  <si>
    <t xml:space="preserve">https://www.pickfinder.app/players/cs2/ughyxb03plt3xrp</t>
  </si>
  <si>
    <t xml:space="preserve">https://www.pickfinder.app/players/cs2/je1olgjbcmc9iwy</t>
  </si>
  <si>
    <t xml:space="preserve">https://www.pickfinder.app/players/cs2/d0e1cvnzi7r6gn1</t>
  </si>
  <si>
    <t xml:space="preserve">SAW vs SIN</t>
  </si>
  <si>
    <t xml:space="preserve">https://www.pickfinder.app/players/cs2/xvvfmhrcbb80sbg</t>
  </si>
  <si>
    <t xml:space="preserve">https://www.pickfinder.app/players/cs2/kydgyu0yno6fmgg</t>
  </si>
  <si>
    <t xml:space="preserve">https://www.pickfinder.app/players/cs2/1s3tek2ny0plcv8</t>
  </si>
  <si>
    <t xml:space="preserve">https://www.pickfinder.app/players/cs2/wmlzs7f7r7rjkdf</t>
  </si>
  <si>
    <t xml:space="preserve">https://www.pickfinder.app/players/cs2/fdlb7vusl2zjbn9</t>
  </si>
  <si>
    <t xml:space="preserve">SIN vs SAW</t>
  </si>
  <si>
    <t xml:space="preserve">https://www.pickfinder.app/players/cs2/8aai8x2gzwv7n81</t>
  </si>
  <si>
    <t xml:space="preserve">https://www.pickfinder.app/players/cs2/lsulnpetantoynq</t>
  </si>
  <si>
    <t xml:space="preserve">https://www.pickfinder.app/players/cs2/1hopqlnjw3mlmoz</t>
  </si>
  <si>
    <t xml:space="preserve">https://www.pickfinder.app/players/cs2/ve4e5j5hk63t18f</t>
  </si>
  <si>
    <t xml:space="preserve">https://www.pickfinder.app/players/cs2/y49315sm0j0j0bi</t>
  </si>
  <si>
    <t xml:space="preserve">TL vs MGC</t>
  </si>
  <si>
    <t xml:space="preserve">https://www.pickfinder.app/players/cs2/we8rbjpf65bc2tn</t>
  </si>
  <si>
    <t xml:space="preserve">https://www.pickfinder.app/players/cs2/eb7cqiuc8bqx4zr</t>
  </si>
  <si>
    <t xml:space="preserve">https://www.pickfinder.app/players/cs2/j4y4z5p4stvkatz</t>
  </si>
  <si>
    <t xml:space="preserve">https://www.pickfinder.app/players/cs2/30ba4vwtbgb75sn</t>
  </si>
  <si>
    <t xml:space="preserve">https://www.pickfinder.app/players/cs2/as14gj4lvoykr11</t>
  </si>
  <si>
    <t xml:space="preserve">ex-RUSTEC vs MZP</t>
  </si>
  <si>
    <t xml:space="preserve">https://www.pickfinder.app/players/cs2/u2qbkafgxd78s8o</t>
  </si>
  <si>
    <t xml:space="preserve">https://www.pickfinder.app/players/cs2/ib0ui40iou8m5h8</t>
  </si>
  <si>
    <t xml:space="preserve">https://www.pickfinder.app/players/cs2/vv1atvr3j4yt4h1</t>
  </si>
  <si>
    <t xml:space="preserve">https://www.pickfinder.app/players/cs2/dvwiagwt3fsxpwe</t>
  </si>
  <si>
    <t xml:space="preserve">https://www.pickfinder.app/players/cs2/41ry45brll61gbm</t>
  </si>
  <si>
    <t xml:space="preserve">Maps (n)</t>
  </si>
  <si>
    <t xml:space="preserve">Kills/map</t>
  </si>
  <si>
    <t xml:space="preserve">KPR (PF)</t>
  </si>
  <si>
    <t xml:space="preserve">KPR used</t>
  </si>
  <si>
    <t xml:space="preserve">3ur3fyq90jlwliy|Anubis</t>
  </si>
  <si>
    <t xml:space="preserve">3ur3fyq90jlwliy|Mirage</t>
  </si>
  <si>
    <t xml:space="preserve">3ur3fyq90jlwliy|Cache</t>
  </si>
  <si>
    <t xml:space="preserve">3ur3fyq90jlwliy|Dust2</t>
  </si>
  <si>
    <t xml:space="preserve">3ur3fyq90jlwliy|Inferno</t>
  </si>
  <si>
    <t xml:space="preserve">3ur3fyq90jlwliy|Ancient</t>
  </si>
  <si>
    <t xml:space="preserve">rd8ddgmnqexx8qo|Mirage</t>
  </si>
  <si>
    <t xml:space="preserve">rd8ddgmnqexx8qo|Dust2</t>
  </si>
  <si>
    <t xml:space="preserve">rd8ddgmnqexx8qo|Ancient</t>
  </si>
  <si>
    <t xml:space="preserve">rd8ddgmnqexx8qo|Cache</t>
  </si>
  <si>
    <t xml:space="preserve">rd8ddgmnqexx8qo|Nuke</t>
  </si>
  <si>
    <t xml:space="preserve">rd8ddgmnqexx8qo|Anubis</t>
  </si>
  <si>
    <t xml:space="preserve">kn6f2ad0sktmmzc|Dust2</t>
  </si>
  <si>
    <t xml:space="preserve">kn6f2ad0sktmmzc|Inferno</t>
  </si>
  <si>
    <t xml:space="preserve">kn6f2ad0sktmmzc|Cache</t>
  </si>
  <si>
    <t xml:space="preserve">kn6f2ad0sktmmzc|Ancient</t>
  </si>
  <si>
    <t xml:space="preserve">kn6f2ad0sktmmzc|Mirage</t>
  </si>
  <si>
    <t xml:space="preserve">kn6f2ad0sktmmzc|Anubis</t>
  </si>
  <si>
    <t xml:space="preserve">5ttqna5u230tb49|Inferno</t>
  </si>
  <si>
    <t xml:space="preserve">5ttqna5u230tb49|Mirage</t>
  </si>
  <si>
    <t xml:space="preserve">5ttqna5u230tb49|Dust2</t>
  </si>
  <si>
    <t xml:space="preserve">5ttqna5u230tb49|Nuke</t>
  </si>
  <si>
    <t xml:space="preserve">5ttqna5u230tb49|Ancient</t>
  </si>
  <si>
    <t xml:space="preserve">5ttqna5u230tb49|Overpass</t>
  </si>
  <si>
    <t xml:space="preserve">5ttqna5u230tb49|Cache</t>
  </si>
  <si>
    <t xml:space="preserve">now9yw1c0z61fxl|Mirage</t>
  </si>
  <si>
    <t xml:space="preserve">now9yw1c0z61fxl|Inferno</t>
  </si>
  <si>
    <t xml:space="preserve">now9yw1c0z61fxl|Dust2</t>
  </si>
  <si>
    <t xml:space="preserve">now9yw1c0z61fxl|Nuke</t>
  </si>
  <si>
    <t xml:space="preserve">now9yw1c0z61fxl|Cache</t>
  </si>
  <si>
    <t xml:space="preserve">now9yw1c0z61fxl|Ancient</t>
  </si>
  <si>
    <t xml:space="preserve">wdrf4z5snuwpkf2|Inferno</t>
  </si>
  <si>
    <t xml:space="preserve">wdrf4z5snuwpkf2|Mirage</t>
  </si>
  <si>
    <t xml:space="preserve">wdrf4z5snuwpkf2|Nuke</t>
  </si>
  <si>
    <t xml:space="preserve">wdrf4z5snuwpkf2|Ancient</t>
  </si>
  <si>
    <t xml:space="preserve">wdrf4z5snuwpkf2|Anubis</t>
  </si>
  <si>
    <t xml:space="preserve">wdrf4z5snuwpkf2|Cache</t>
  </si>
  <si>
    <t xml:space="preserve">wdrf4z5snuwpkf2|Dust2</t>
  </si>
  <si>
    <t xml:space="preserve">phl4oe3cm0dori9|Mirage</t>
  </si>
  <si>
    <t xml:space="preserve">phl4oe3cm0dori9|Inferno</t>
  </si>
  <si>
    <t xml:space="preserve">phl4oe3cm0dori9|Nuke</t>
  </si>
  <si>
    <t xml:space="preserve">phl4oe3cm0dori9|Ancient</t>
  </si>
  <si>
    <t xml:space="preserve">phl4oe3cm0dori9|Cache</t>
  </si>
  <si>
    <t xml:space="preserve">phl4oe3cm0dori9|Anubis</t>
  </si>
  <si>
    <t xml:space="preserve">sr5c0xeb12zshv5|Nuke</t>
  </si>
  <si>
    <t xml:space="preserve">sr5c0xeb12zshv5|Inferno</t>
  </si>
  <si>
    <t xml:space="preserve">sr5c0xeb12zshv5|Dust2</t>
  </si>
  <si>
    <t xml:space="preserve">sr5c0xeb12zshv5|Cache</t>
  </si>
  <si>
    <t xml:space="preserve">sr5c0xeb12zshv5|Anubis</t>
  </si>
  <si>
    <t xml:space="preserve">sr5c0xeb12zshv5|Ancient</t>
  </si>
  <si>
    <t xml:space="preserve">sr5c0xeb12zshv5|Mirage</t>
  </si>
  <si>
    <t xml:space="preserve">4fdepq2kwuzxzif|Inferno</t>
  </si>
  <si>
    <t xml:space="preserve">4fdepq2kwuzxzif|Ancient</t>
  </si>
  <si>
    <t xml:space="preserve">4fdepq2kwuzxzif|Dust2</t>
  </si>
  <si>
    <t xml:space="preserve">4fdepq2kwuzxzif|Nuke</t>
  </si>
  <si>
    <t xml:space="preserve">4fdepq2kwuzxzif|Cache</t>
  </si>
  <si>
    <t xml:space="preserve">70ftfg9ppj5ovwx|Ancient</t>
  </si>
  <si>
    <t xml:space="preserve">70ftfg9ppj5ovwx|Dust2</t>
  </si>
  <si>
    <t xml:space="preserve">70ftfg9ppj5ovwx|Cache</t>
  </si>
  <si>
    <t xml:space="preserve">70ftfg9ppj5ovwx|Inferno</t>
  </si>
  <si>
    <t xml:space="preserve">70ftfg9ppj5ovwx|Mirage</t>
  </si>
  <si>
    <t xml:space="preserve">70ftfg9ppj5ovwx|Anubis</t>
  </si>
  <si>
    <t xml:space="preserve">5b322opruaopkmm|Mirage</t>
  </si>
  <si>
    <t xml:space="preserve">5b322opruaopkmm|Inferno</t>
  </si>
  <si>
    <t xml:space="preserve">5b322opruaopkmm|Dust2</t>
  </si>
  <si>
    <t xml:space="preserve">5b322opruaopkmm|Cache</t>
  </si>
  <si>
    <t xml:space="preserve">5b322opruaopkmm|Nuke</t>
  </si>
  <si>
    <t xml:space="preserve">5b322opruaopkmm|Ancient</t>
  </si>
  <si>
    <t xml:space="preserve">ghy1dudzs9kapjt|Cache</t>
  </si>
  <si>
    <t xml:space="preserve">ghy1dudzs9kapjt|Nuke</t>
  </si>
  <si>
    <t xml:space="preserve">ghy1dudzs9kapjt|Dust2</t>
  </si>
  <si>
    <t xml:space="preserve">ghy1dudzs9kapjt|Ancient</t>
  </si>
  <si>
    <t xml:space="preserve">ghy1dudzs9kapjt|Mirage</t>
  </si>
  <si>
    <t xml:space="preserve">ghy1dudzs9kapjt|Anubis</t>
  </si>
  <si>
    <t xml:space="preserve">ghy1dudzs9kapjt|Inferno</t>
  </si>
  <si>
    <t xml:space="preserve">8aai8x2gzwv7n81|Mirage</t>
  </si>
  <si>
    <t xml:space="preserve">8aai8x2gzwv7n81|Nuke</t>
  </si>
  <si>
    <t xml:space="preserve">8aai8x2gzwv7n81|Cache</t>
  </si>
  <si>
    <t xml:space="preserve">8aai8x2gzwv7n81|Dust2</t>
  </si>
  <si>
    <t xml:space="preserve">8aai8x2gzwv7n81|Ancient</t>
  </si>
  <si>
    <t xml:space="preserve">8aai8x2gzwv7n81|Inferno</t>
  </si>
  <si>
    <t xml:space="preserve">u2qbkafgxd78s8o|Anubis</t>
  </si>
  <si>
    <t xml:space="preserve">u2qbkafgxd78s8o|Mirage</t>
  </si>
  <si>
    <t xml:space="preserve">u2qbkafgxd78s8o|Nuke</t>
  </si>
  <si>
    <t xml:space="preserve">u2qbkafgxd78s8o|Ancient</t>
  </si>
  <si>
    <t xml:space="preserve">u2qbkafgxd78s8o|Cache</t>
  </si>
  <si>
    <t xml:space="preserve">u2qbkafgxd78s8o|Dust2</t>
  </si>
  <si>
    <t xml:space="preserve">u2qbkafgxd78s8o|Inferno</t>
  </si>
  <si>
    <t xml:space="preserve">8trkhn8eds1uu4p|Cache</t>
  </si>
  <si>
    <t xml:space="preserve">8trkhn8eds1uu4p|Mirage</t>
  </si>
  <si>
    <t xml:space="preserve">8trkhn8eds1uu4p|Inferno</t>
  </si>
  <si>
    <t xml:space="preserve">8trkhn8eds1uu4p|Ancient</t>
  </si>
  <si>
    <t xml:space="preserve">8trkhn8eds1uu4p|Dust2</t>
  </si>
  <si>
    <t xml:space="preserve">8trkhn8eds1uu4p|Nuke</t>
  </si>
  <si>
    <t xml:space="preserve">56bqvguml6vhetk|Inferno</t>
  </si>
  <si>
    <t xml:space="preserve">56bqvguml6vhetk|Mirage</t>
  </si>
  <si>
    <t xml:space="preserve">56bqvguml6vhetk|Dust2</t>
  </si>
  <si>
    <t xml:space="preserve">56bqvguml6vhetk|Nuke</t>
  </si>
  <si>
    <t xml:space="preserve">56bqvguml6vhetk|Ancient</t>
  </si>
  <si>
    <t xml:space="preserve">56bqvguml6vhetk|Overpass</t>
  </si>
  <si>
    <t xml:space="preserve">56bqvguml6vhetk|Cache</t>
  </si>
  <si>
    <t xml:space="preserve">vvspq85e8g20hak|Inferno</t>
  </si>
  <si>
    <t xml:space="preserve">vvspq85e8g20hak|Dust2</t>
  </si>
  <si>
    <t xml:space="preserve">vvspq85e8g20hak|Ancient</t>
  </si>
  <si>
    <t xml:space="preserve">vvspq85e8g20hak|Cache</t>
  </si>
  <si>
    <t xml:space="preserve">vvspq85e8g20hak|Nuke</t>
  </si>
  <si>
    <t xml:space="preserve">vvspq85e8g20hak|Mirage</t>
  </si>
  <si>
    <t xml:space="preserve">ib0ui40iou8m5h8|Nuke</t>
  </si>
  <si>
    <t xml:space="preserve">ib0ui40iou8m5h8|Anubis</t>
  </si>
  <si>
    <t xml:space="preserve">ib0ui40iou8m5h8|Ancient</t>
  </si>
  <si>
    <t xml:space="preserve">ib0ui40iou8m5h8|Dust2</t>
  </si>
  <si>
    <t xml:space="preserve">ib0ui40iou8m5h8|Mirage</t>
  </si>
  <si>
    <t xml:space="preserve">ib0ui40iou8m5h8|Inferno</t>
  </si>
  <si>
    <t xml:space="preserve">ib0ui40iou8m5h8|Cache</t>
  </si>
  <si>
    <t xml:space="preserve">wtlsowfl6o5b5pg|Cache</t>
  </si>
  <si>
    <t xml:space="preserve">wtlsowfl6o5b5pg|Dust2</t>
  </si>
  <si>
    <t xml:space="preserve">wtlsowfl6o5b5pg|Inferno</t>
  </si>
  <si>
    <t xml:space="preserve">wtlsowfl6o5b5pg|Ancient</t>
  </si>
  <si>
    <t xml:space="preserve">wtlsowfl6o5b5pg|Mirage</t>
  </si>
  <si>
    <t xml:space="preserve">wtlsowfl6o5b5pg|Nuke</t>
  </si>
  <si>
    <t xml:space="preserve">lykfimmteia2jqy|Mirage</t>
  </si>
  <si>
    <t xml:space="preserve">lykfimmteia2jqy|Anubis</t>
  </si>
  <si>
    <t xml:space="preserve">lykfimmteia2jqy|Cache</t>
  </si>
  <si>
    <t xml:space="preserve">lykfimmteia2jqy|Dust2</t>
  </si>
  <si>
    <t xml:space="preserve">lykfimmteia2jqy|Inferno</t>
  </si>
  <si>
    <t xml:space="preserve">lykfimmteia2jqy|Ancient</t>
  </si>
  <si>
    <t xml:space="preserve">h6qqf27cvpf4wi5|Cache</t>
  </si>
  <si>
    <t xml:space="preserve">h6qqf27cvpf4wi5|Inferno</t>
  </si>
  <si>
    <t xml:space="preserve">h6qqf27cvpf4wi5|Ancient</t>
  </si>
  <si>
    <t xml:space="preserve">h6qqf27cvpf4wi5|Dust2</t>
  </si>
  <si>
    <t xml:space="preserve">h6qqf27cvpf4wi5|Mirage</t>
  </si>
  <si>
    <t xml:space="preserve">h6qqf27cvpf4wi5|Anubis</t>
  </si>
  <si>
    <t xml:space="preserve">f9wcr2x423brdzr|Dust2</t>
  </si>
  <si>
    <t xml:space="preserve">f9wcr2x423brdzr|Inferno</t>
  </si>
  <si>
    <t xml:space="preserve">f9wcr2x423brdzr|Cache</t>
  </si>
  <si>
    <t xml:space="preserve">f9wcr2x423brdzr|Ancient</t>
  </si>
  <si>
    <t xml:space="preserve">f9wcr2x423brdzr|Mirage</t>
  </si>
  <si>
    <t xml:space="preserve">f9wcr2x423brdzr|Anubis</t>
  </si>
  <si>
    <t xml:space="preserve">4neyyyoi8995r0v|Cache</t>
  </si>
  <si>
    <t xml:space="preserve">4neyyyoi8995r0v|Dust2</t>
  </si>
  <si>
    <t xml:space="preserve">4neyyyoi8995r0v|Inferno</t>
  </si>
  <si>
    <t xml:space="preserve">4neyyyoi8995r0v|Ancient</t>
  </si>
  <si>
    <t xml:space="preserve">4neyyyoi8995r0v|Mirage</t>
  </si>
  <si>
    <t xml:space="preserve">4neyyyoi8995r0v|Nuke</t>
  </si>
  <si>
    <t xml:space="preserve">01464eymprqfx0w|Mirage</t>
  </si>
  <si>
    <t xml:space="preserve">01464eymprqfx0w|Inferno</t>
  </si>
  <si>
    <t xml:space="preserve">01464eymprqfx0w|Nuke</t>
  </si>
  <si>
    <t xml:space="preserve">01464eymprqfx0w|Dust2</t>
  </si>
  <si>
    <t xml:space="preserve">01464eymprqfx0w|Ancient</t>
  </si>
  <si>
    <t xml:space="preserve">01464eymprqfx0w|Overpass</t>
  </si>
  <si>
    <t xml:space="preserve">fcuzodaqfntg95o|Mirage</t>
  </si>
  <si>
    <t xml:space="preserve">fcuzodaqfntg95o|Inferno</t>
  </si>
  <si>
    <t xml:space="preserve">fcuzodaqfntg95o|Nuke</t>
  </si>
  <si>
    <t xml:space="preserve">fcuzodaqfntg95o|Ancient</t>
  </si>
  <si>
    <t xml:space="preserve">fcuzodaqfntg95o|Cache</t>
  </si>
  <si>
    <t xml:space="preserve">fcuzodaqfntg95o|Anubis</t>
  </si>
  <si>
    <t xml:space="preserve">we8rbjpf65bc2tn|Mirage</t>
  </si>
  <si>
    <t xml:space="preserve">we8rbjpf65bc2tn|Cache</t>
  </si>
  <si>
    <t xml:space="preserve">we8rbjpf65bc2tn|Inferno</t>
  </si>
  <si>
    <t xml:space="preserve">we8rbjpf65bc2tn|Nuke</t>
  </si>
  <si>
    <t xml:space="preserve">we8rbjpf65bc2tn|Dust2</t>
  </si>
  <si>
    <t xml:space="preserve">we8rbjpf65bc2tn|Anubis</t>
  </si>
  <si>
    <t xml:space="preserve">4etihlcb5nvt11f|Inferno</t>
  </si>
  <si>
    <t xml:space="preserve">4etihlcb5nvt11f|Dust2</t>
  </si>
  <si>
    <t xml:space="preserve">4etihlcb5nvt11f|Ancient</t>
  </si>
  <si>
    <t xml:space="preserve">4etihlcb5nvt11f|Cache</t>
  </si>
  <si>
    <t xml:space="preserve">4etihlcb5nvt11f|Mirage</t>
  </si>
  <si>
    <t xml:space="preserve">4etihlcb5nvt11f|Nuke</t>
  </si>
  <si>
    <t xml:space="preserve">xvvfmhrcbb80sbg|Inferno</t>
  </si>
  <si>
    <t xml:space="preserve">xvvfmhrcbb80sbg|Cache</t>
  </si>
  <si>
    <t xml:space="preserve">xvvfmhrcbb80sbg|Nuke</t>
  </si>
  <si>
    <t xml:space="preserve">xvvfmhrcbb80sbg|Ancient</t>
  </si>
  <si>
    <t xml:space="preserve">xvvfmhrcbb80sbg|Anubis</t>
  </si>
  <si>
    <t xml:space="preserve">xvvfmhrcbb80sbg|Dust2</t>
  </si>
  <si>
    <t xml:space="preserve">h2c84157n2ymvv2|Nuke</t>
  </si>
  <si>
    <t xml:space="preserve">h2c84157n2ymvv2|Mirage</t>
  </si>
  <si>
    <t xml:space="preserve">h2c84157n2ymvv2|Inferno</t>
  </si>
  <si>
    <t xml:space="preserve">h2c84157n2ymvv2|Cache</t>
  </si>
  <si>
    <t xml:space="preserve">h2c84157n2ymvv2|Ancient</t>
  </si>
  <si>
    <t xml:space="preserve">h2c84157n2ymvv2|Anubis</t>
  </si>
  <si>
    <t xml:space="preserve">8aq8zm8lnarakek|Cache</t>
  </si>
  <si>
    <t xml:space="preserve">8aq8zm8lnarakek|Mirage</t>
  </si>
  <si>
    <t xml:space="preserve">8aq8zm8lnarakek|Inferno</t>
  </si>
  <si>
    <t xml:space="preserve">8aq8zm8lnarakek|Ancient</t>
  </si>
  <si>
    <t xml:space="preserve">8aq8zm8lnarakek|Dust2</t>
  </si>
  <si>
    <t xml:space="preserve">8aq8zm8lnarakek|Nuke</t>
  </si>
  <si>
    <t xml:space="preserve">f9t8og97ml0t6z0|Cache</t>
  </si>
  <si>
    <t xml:space="preserve">f9t8og97ml0t6z0|Inferno</t>
  </si>
  <si>
    <t xml:space="preserve">f9t8og97ml0t6z0|Ancient</t>
  </si>
  <si>
    <t xml:space="preserve">f9t8og97ml0t6z0|Dust2</t>
  </si>
  <si>
    <t xml:space="preserve">f9t8og97ml0t6z0|Mirage</t>
  </si>
  <si>
    <t xml:space="preserve">f9t8og97ml0t6z0|Anubis</t>
  </si>
  <si>
    <t xml:space="preserve">a3gx8x64bsz5lau|Ancient</t>
  </si>
  <si>
    <t xml:space="preserve">a3gx8x64bsz5lau|Inferno</t>
  </si>
  <si>
    <t xml:space="preserve">a3gx8x64bsz5lau|Dust2</t>
  </si>
  <si>
    <t xml:space="preserve">a3gx8x64bsz5lau|Mirage</t>
  </si>
  <si>
    <t xml:space="preserve">a3gx8x64bsz5lau|Anubis</t>
  </si>
  <si>
    <t xml:space="preserve">a3gx8x64bsz5lau|Cache</t>
  </si>
  <si>
    <t xml:space="preserve">4bqrch5n45sx5u9|Nuke</t>
  </si>
  <si>
    <t xml:space="preserve">4bqrch5n45sx5u9|Mirage</t>
  </si>
  <si>
    <t xml:space="preserve">4bqrch5n45sx5u9|Inferno</t>
  </si>
  <si>
    <t xml:space="preserve">4bqrch5n45sx5u9|Cache</t>
  </si>
  <si>
    <t xml:space="preserve">4bqrch5n45sx5u9|Ancient</t>
  </si>
  <si>
    <t xml:space="preserve">4bqrch5n45sx5u9|Anubis</t>
  </si>
  <si>
    <t xml:space="preserve">3m04868n6ftaamy|Cache</t>
  </si>
  <si>
    <t xml:space="preserve">3m04868n6ftaamy|Mirage</t>
  </si>
  <si>
    <t xml:space="preserve">3m04868n6ftaamy|Inferno</t>
  </si>
  <si>
    <t xml:space="preserve">3m04868n6ftaamy|Ancient</t>
  </si>
  <si>
    <t xml:space="preserve">3m04868n6ftaamy|Dust2</t>
  </si>
  <si>
    <t xml:space="preserve">3m04868n6ftaamy|Nuke</t>
  </si>
  <si>
    <t xml:space="preserve">9o5rlocll7u8d8u|Mirage</t>
  </si>
  <si>
    <t xml:space="preserve">9o5rlocll7u8d8u|Dust2</t>
  </si>
  <si>
    <t xml:space="preserve">9o5rlocll7u8d8u|Ancient</t>
  </si>
  <si>
    <t xml:space="preserve">9o5rlocll7u8d8u|Cache</t>
  </si>
  <si>
    <t xml:space="preserve">9o5rlocll7u8d8u|Anubis</t>
  </si>
  <si>
    <t xml:space="preserve">9o5rlocll7u8d8u|Nuke</t>
  </si>
  <si>
    <t xml:space="preserve">p8559s3zjqtcahr|Ancient</t>
  </si>
  <si>
    <t xml:space="preserve">p8559s3zjqtcahr|Mirage</t>
  </si>
  <si>
    <t xml:space="preserve">p8559s3zjqtcahr|Dust2</t>
  </si>
  <si>
    <t xml:space="preserve">p8559s3zjqtcahr|Inferno</t>
  </si>
  <si>
    <t xml:space="preserve">p8559s3zjqtcahr|Anubis</t>
  </si>
  <si>
    <t xml:space="preserve">p8559s3zjqtcahr|Cache</t>
  </si>
  <si>
    <t xml:space="preserve">82nefkkz4qxb3gq|Cache</t>
  </si>
  <si>
    <t xml:space="preserve">82nefkkz4qxb3gq|Inferno</t>
  </si>
  <si>
    <t xml:space="preserve">82nefkkz4qxb3gq|Ancient</t>
  </si>
  <si>
    <t xml:space="preserve">82nefkkz4qxb3gq|Dust2</t>
  </si>
  <si>
    <t xml:space="preserve">82nefkkz4qxb3gq|Mirage</t>
  </si>
  <si>
    <t xml:space="preserve">82nefkkz4qxb3gq|Anubis</t>
  </si>
  <si>
    <t xml:space="preserve">vri96qu30akszzt|Cache</t>
  </si>
  <si>
    <t xml:space="preserve">vri96qu30akszzt|Inferno</t>
  </si>
  <si>
    <t xml:space="preserve">vri96qu30akszzt|Ancient</t>
  </si>
  <si>
    <t xml:space="preserve">vri96qu30akszzt|Dust2</t>
  </si>
  <si>
    <t xml:space="preserve">vri96qu30akszzt|Mirage</t>
  </si>
  <si>
    <t xml:space="preserve">vri96qu30akszzt|Anubis</t>
  </si>
  <si>
    <t xml:space="preserve">cydchkok64imq1a|Inferno</t>
  </si>
  <si>
    <t xml:space="preserve">cydchkok64imq1a|Ancient</t>
  </si>
  <si>
    <t xml:space="preserve">cydchkok64imq1a|Dust2</t>
  </si>
  <si>
    <t xml:space="preserve">cydchkok64imq1a|Mirage</t>
  </si>
  <si>
    <t xml:space="preserve">cydchkok64imq1a|Anubis</t>
  </si>
  <si>
    <t xml:space="preserve">cydchkok64imq1a|Cache</t>
  </si>
  <si>
    <t xml:space="preserve">cbsjkz3yqg99r06|Cache</t>
  </si>
  <si>
    <t xml:space="preserve">cbsjkz3yqg99r06|Mirage</t>
  </si>
  <si>
    <t xml:space="preserve">cbsjkz3yqg99r06|Inferno</t>
  </si>
  <si>
    <t xml:space="preserve">cbsjkz3yqg99r06|Ancient</t>
  </si>
  <si>
    <t xml:space="preserve">cbsjkz3yqg99r06|Dust2</t>
  </si>
  <si>
    <t xml:space="preserve">cbsjkz3yqg99r06|Nuke</t>
  </si>
  <si>
    <t xml:space="preserve">x2emtl5gfecz2g5|Cache</t>
  </si>
  <si>
    <t xml:space="preserve">x2emtl5gfecz2g5|Nuke</t>
  </si>
  <si>
    <t xml:space="preserve">x2emtl5gfecz2g5|Dust2</t>
  </si>
  <si>
    <t xml:space="preserve">x2emtl5gfecz2g5|Ancient</t>
  </si>
  <si>
    <t xml:space="preserve">x2emtl5gfecz2g5|Mirage</t>
  </si>
  <si>
    <t xml:space="preserve">x2emtl5gfecz2g5|Anubis</t>
  </si>
  <si>
    <t xml:space="preserve">x2emtl5gfecz2g5|Inferno</t>
  </si>
  <si>
    <t xml:space="preserve">eb7cqiuc8bqx4zr|Cache</t>
  </si>
  <si>
    <t xml:space="preserve">eb7cqiuc8bqx4zr|Mirage</t>
  </si>
  <si>
    <t xml:space="preserve">eb7cqiuc8bqx4zr|Inferno</t>
  </si>
  <si>
    <t xml:space="preserve">eb7cqiuc8bqx4zr|Nuke</t>
  </si>
  <si>
    <t xml:space="preserve">eb7cqiuc8bqx4zr|Dust2</t>
  </si>
  <si>
    <t xml:space="preserve">eb7cqiuc8bqx4zr|Anubis</t>
  </si>
  <si>
    <t xml:space="preserve">rfuts2r0t85cd95|Dust2</t>
  </si>
  <si>
    <t xml:space="preserve">rfuts2r0t85cd95|Anubis</t>
  </si>
  <si>
    <t xml:space="preserve">rfuts2r0t85cd95|Cache</t>
  </si>
  <si>
    <t xml:space="preserve">rfuts2r0t85cd95|Ancient</t>
  </si>
  <si>
    <t xml:space="preserve">rfuts2r0t85cd95|Mirage</t>
  </si>
  <si>
    <t xml:space="preserve">rfuts2r0t85cd95|Inferno</t>
  </si>
  <si>
    <t xml:space="preserve">j4y4z5p4stvkatz|Cache</t>
  </si>
  <si>
    <t xml:space="preserve">j4y4z5p4stvkatz|Mirage</t>
  </si>
  <si>
    <t xml:space="preserve">j4y4z5p4stvkatz|Nuke</t>
  </si>
  <si>
    <t xml:space="preserve">j4y4z5p4stvkatz|Inferno</t>
  </si>
  <si>
    <t xml:space="preserve">j4y4z5p4stvkatz|Dust2</t>
  </si>
  <si>
    <t xml:space="preserve">j4y4z5p4stvkatz|Anubis</t>
  </si>
  <si>
    <t xml:space="preserve">ughyxb03plt3xrp|Dust2</t>
  </si>
  <si>
    <t xml:space="preserve">ughyxb03plt3xrp|Ancient</t>
  </si>
  <si>
    <t xml:space="preserve">ughyxb03plt3xrp|Inferno</t>
  </si>
  <si>
    <t xml:space="preserve">ughyxb03plt3xrp|Cache</t>
  </si>
  <si>
    <t xml:space="preserve">ughyxb03plt3xrp|Mirage</t>
  </si>
  <si>
    <t xml:space="preserve">lsulnpetantoynq|Mirage</t>
  </si>
  <si>
    <t xml:space="preserve">lsulnpetantoynq|Nuke</t>
  </si>
  <si>
    <t xml:space="preserve">lsulnpetantoynq|Dust2</t>
  </si>
  <si>
    <t xml:space="preserve">lsulnpetantoynq|Cache</t>
  </si>
  <si>
    <t xml:space="preserve">lsulnpetantoynq|Ancient</t>
  </si>
  <si>
    <t xml:space="preserve">lsulnpetantoynq|Inferno</t>
  </si>
  <si>
    <t xml:space="preserve">kydgyu0yno6fmgg|Cache</t>
  </si>
  <si>
    <t xml:space="preserve">kydgyu0yno6fmgg|Inferno</t>
  </si>
  <si>
    <t xml:space="preserve">kydgyu0yno6fmgg|Anubis</t>
  </si>
  <si>
    <t xml:space="preserve">kydgyu0yno6fmgg|Ancient</t>
  </si>
  <si>
    <t xml:space="preserve">kydgyu0yno6fmgg|Nuke</t>
  </si>
  <si>
    <t xml:space="preserve">kydgyu0yno6fmgg|Dust2</t>
  </si>
  <si>
    <t xml:space="preserve">t2lttsuygcwlbxl|Dust2</t>
  </si>
  <si>
    <t xml:space="preserve">t2lttsuygcwlbxl|Anubis</t>
  </si>
  <si>
    <t xml:space="preserve">t2lttsuygcwlbxl|Cache</t>
  </si>
  <si>
    <t xml:space="preserve">t2lttsuygcwlbxl|Ancient</t>
  </si>
  <si>
    <t xml:space="preserve">t2lttsuygcwlbxl|Mirage</t>
  </si>
  <si>
    <t xml:space="preserve">t2lttsuygcwlbxl|Inferno</t>
  </si>
  <si>
    <t xml:space="preserve">80bybpfrkhru947|Ancient</t>
  </si>
  <si>
    <t xml:space="preserve">80bybpfrkhru947|Dust2</t>
  </si>
  <si>
    <t xml:space="preserve">80bybpfrkhru947|Mirage</t>
  </si>
  <si>
    <t xml:space="preserve">80bybpfrkhru947|Inferno</t>
  </si>
  <si>
    <t xml:space="preserve">80bybpfrkhru947|Nuke</t>
  </si>
  <si>
    <t xml:space="preserve">80bybpfrkhru947|Cache</t>
  </si>
  <si>
    <t xml:space="preserve">je1olgjbcmc9iwy|Dust2</t>
  </si>
  <si>
    <t xml:space="preserve">je1olgjbcmc9iwy|Inferno</t>
  </si>
  <si>
    <t xml:space="preserve">je1olgjbcmc9iwy|Cache</t>
  </si>
  <si>
    <t xml:space="preserve">je1olgjbcmc9iwy|Ancient</t>
  </si>
  <si>
    <t xml:space="preserve">je1olgjbcmc9iwy|Mirage</t>
  </si>
  <si>
    <t xml:space="preserve">je1olgjbcmc9iwy|Anubis</t>
  </si>
  <si>
    <t xml:space="preserve">aulcxwhkh0pxo6k|Cache</t>
  </si>
  <si>
    <t xml:space="preserve">aulcxwhkh0pxo6k|Mirage</t>
  </si>
  <si>
    <t xml:space="preserve">aulcxwhkh0pxo6k|Ancient</t>
  </si>
  <si>
    <t xml:space="preserve">aulcxwhkh0pxo6k|Nuke</t>
  </si>
  <si>
    <t xml:space="preserve">aulcxwhkh0pxo6k|Inferno</t>
  </si>
  <si>
    <t xml:space="preserve">aulcxwhkh0pxo6k|Anubis</t>
  </si>
  <si>
    <t xml:space="preserve">oau6mcpwamuknva|Mirage</t>
  </si>
  <si>
    <t xml:space="preserve">oau6mcpwamuknva|Inferno</t>
  </si>
  <si>
    <t xml:space="preserve">oau6mcpwamuknva|Dust2</t>
  </si>
  <si>
    <t xml:space="preserve">oau6mcpwamuknva|Cache</t>
  </si>
  <si>
    <t xml:space="preserve">oau6mcpwamuknva|Nuke</t>
  </si>
  <si>
    <t xml:space="preserve">oau6mcpwamuknva|Ancient</t>
  </si>
  <si>
    <t xml:space="preserve">u9fufnbk30lfitd|Mirage</t>
  </si>
  <si>
    <t xml:space="preserve">u9fufnbk30lfitd|Anubis</t>
  </si>
  <si>
    <t xml:space="preserve">u9fufnbk30lfitd|Cache</t>
  </si>
  <si>
    <t xml:space="preserve">u9fufnbk30lfitd|Dust2</t>
  </si>
  <si>
    <t xml:space="preserve">u9fufnbk30lfitd|Inferno</t>
  </si>
  <si>
    <t xml:space="preserve">u9fufnbk30lfitd|Ancient</t>
  </si>
  <si>
    <t xml:space="preserve">1d7bsesjr3mn3m2|Cache</t>
  </si>
  <si>
    <t xml:space="preserve">1d7bsesjr3mn3m2|Nuke</t>
  </si>
  <si>
    <t xml:space="preserve">1d7bsesjr3mn3m2|Dust2</t>
  </si>
  <si>
    <t xml:space="preserve">1d7bsesjr3mn3m2|Inferno</t>
  </si>
  <si>
    <t xml:space="preserve">1d7bsesjr3mn3m2|Ancient</t>
  </si>
  <si>
    <t xml:space="preserve">1d7bsesjr3mn3m2|Mirage</t>
  </si>
  <si>
    <t xml:space="preserve">1d7bsesjr3mn3m2|Anubis</t>
  </si>
  <si>
    <t xml:space="preserve">cenz32hm5akyeqy|Nuke</t>
  </si>
  <si>
    <t xml:space="preserve">cenz32hm5akyeqy|Mirage</t>
  </si>
  <si>
    <t xml:space="preserve">cenz32hm5akyeqy|Inferno</t>
  </si>
  <si>
    <t xml:space="preserve">cenz32hm5akyeqy|Cache</t>
  </si>
  <si>
    <t xml:space="preserve">cenz32hm5akyeqy|Ancient</t>
  </si>
  <si>
    <t xml:space="preserve">cenz32hm5akyeqy|Anubis</t>
  </si>
  <si>
    <t xml:space="preserve">30ba4vwtbgb75sn|Cache</t>
  </si>
  <si>
    <t xml:space="preserve">30ba4vwtbgb75sn|Mirage</t>
  </si>
  <si>
    <t xml:space="preserve">30ba4vwtbgb75sn|Nuke</t>
  </si>
  <si>
    <t xml:space="preserve">30ba4vwtbgb75sn|Inferno</t>
  </si>
  <si>
    <t xml:space="preserve">30ba4vwtbgb75sn|Anubis</t>
  </si>
  <si>
    <t xml:space="preserve">30ba4vwtbgb75sn|Dust2</t>
  </si>
  <si>
    <t xml:space="preserve">30ba4vwtbgb75sn|Ancient</t>
  </si>
  <si>
    <t xml:space="preserve">6abl2drrh6zq9lw|Cache</t>
  </si>
  <si>
    <t xml:space="preserve">6abl2drrh6zq9lw|Dust2</t>
  </si>
  <si>
    <t xml:space="preserve">6abl2drrh6zq9lw|Ancient</t>
  </si>
  <si>
    <t xml:space="preserve">6abl2drrh6zq9lw|Inferno</t>
  </si>
  <si>
    <t xml:space="preserve">6abl2drrh6zq9lw|Mirage</t>
  </si>
  <si>
    <t xml:space="preserve">6abl2drrh6zq9lw|Nuke</t>
  </si>
  <si>
    <t xml:space="preserve">5aj8l8ayaerznme|Ancient</t>
  </si>
  <si>
    <t xml:space="preserve">5aj8l8ayaerznme|Dust2</t>
  </si>
  <si>
    <t xml:space="preserve">5aj8l8ayaerznme|Mirage</t>
  </si>
  <si>
    <t xml:space="preserve">5aj8l8ayaerznme|Cache</t>
  </si>
  <si>
    <t xml:space="preserve">5aj8l8ayaerznme|Inferno</t>
  </si>
  <si>
    <t xml:space="preserve">5aj8l8ayaerznme|Anubis</t>
  </si>
  <si>
    <t xml:space="preserve">dhsfp2nlwaldqcx|Cache</t>
  </si>
  <si>
    <t xml:space="preserve">dhsfp2nlwaldqcx|Nuke</t>
  </si>
  <si>
    <t xml:space="preserve">dhsfp2nlwaldqcx|Dust2</t>
  </si>
  <si>
    <t xml:space="preserve">dhsfp2nlwaldqcx|Ancient</t>
  </si>
  <si>
    <t xml:space="preserve">dhsfp2nlwaldqcx|Mirage</t>
  </si>
  <si>
    <t xml:space="preserve">dhsfp2nlwaldqcx|Anubis</t>
  </si>
  <si>
    <t xml:space="preserve">dhsfp2nlwaldqcx|Inferno</t>
  </si>
  <si>
    <t xml:space="preserve">nm2jvu2w8c75yhk|Cache</t>
  </si>
  <si>
    <t xml:space="preserve">nm2jvu2w8c75yhk|Inferno</t>
  </si>
  <si>
    <t xml:space="preserve">nm2jvu2w8c75yhk|Ancient</t>
  </si>
  <si>
    <t xml:space="preserve">nm2jvu2w8c75yhk|Dust2</t>
  </si>
  <si>
    <t xml:space="preserve">nm2jvu2w8c75yhk|Mirage</t>
  </si>
  <si>
    <t xml:space="preserve">nm2jvu2w8c75yhk|Anubis</t>
  </si>
  <si>
    <t xml:space="preserve">mp3vrg2adugpxjt|Dust2</t>
  </si>
  <si>
    <t xml:space="preserve">mp3vrg2adugpxjt|Anubis</t>
  </si>
  <si>
    <t xml:space="preserve">mp3vrg2adugpxjt|Cache</t>
  </si>
  <si>
    <t xml:space="preserve">mp3vrg2adugpxjt|Ancient</t>
  </si>
  <si>
    <t xml:space="preserve">mp3vrg2adugpxjt|Mirage</t>
  </si>
  <si>
    <t xml:space="preserve">mp3vrg2adugpxjt|Inferno</t>
  </si>
  <si>
    <t xml:space="preserve">8n1op8gu0s0g5np|Cache</t>
  </si>
  <si>
    <t xml:space="preserve">8n1op8gu0s0g5np|Nuke</t>
  </si>
  <si>
    <t xml:space="preserve">8n1op8gu0s0g5np|Ancient</t>
  </si>
  <si>
    <t xml:space="preserve">8n1op8gu0s0g5np|Anubis</t>
  </si>
  <si>
    <t xml:space="preserve">8n1op8gu0s0g5np|Inferno</t>
  </si>
  <si>
    <t xml:space="preserve">8n1op8gu0s0g5np|Mirage</t>
  </si>
  <si>
    <t xml:space="preserve">8n1op8gu0s0g5np|Dust2</t>
  </si>
  <si>
    <t xml:space="preserve">1hopqlnjw3mlmoz|Mirage</t>
  </si>
  <si>
    <t xml:space="preserve">1hopqlnjw3mlmoz|Nuke</t>
  </si>
  <si>
    <t xml:space="preserve">1hopqlnjw3mlmoz|Dust2</t>
  </si>
  <si>
    <t xml:space="preserve">1hopqlnjw3mlmoz|Cache</t>
  </si>
  <si>
    <t xml:space="preserve">1hopqlnjw3mlmoz|Ancient</t>
  </si>
  <si>
    <t xml:space="preserve">1hopqlnjw3mlmoz|Inferno</t>
  </si>
  <si>
    <t xml:space="preserve">8y2vu0o81k1ojys|Mirage</t>
  </si>
  <si>
    <t xml:space="preserve">8y2vu0o81k1ojys|Inferno</t>
  </si>
  <si>
    <t xml:space="preserve">8y2vu0o81k1ojys|Nuke</t>
  </si>
  <si>
    <t xml:space="preserve">8y2vu0o81k1ojys|Ancient</t>
  </si>
  <si>
    <t xml:space="preserve">8y2vu0o81k1ojys|Cache</t>
  </si>
  <si>
    <t xml:space="preserve">8y2vu0o81k1ojys|Anubis</t>
  </si>
  <si>
    <t xml:space="preserve">1s3tek2ny0plcv8|Inferno</t>
  </si>
  <si>
    <t xml:space="preserve">1s3tek2ny0plcv8|Cache</t>
  </si>
  <si>
    <t xml:space="preserve">1s3tek2ny0plcv8|Anubis</t>
  </si>
  <si>
    <t xml:space="preserve">1s3tek2ny0plcv8|Nuke</t>
  </si>
  <si>
    <t xml:space="preserve">1s3tek2ny0plcv8|Ancient</t>
  </si>
  <si>
    <t xml:space="preserve">1s3tek2ny0plcv8|Dust2</t>
  </si>
  <si>
    <t xml:space="preserve">d5pdwo5hc84he1g|Cache</t>
  </si>
  <si>
    <t xml:space="preserve">d5pdwo5hc84he1g|Nuke</t>
  </si>
  <si>
    <t xml:space="preserve">d5pdwo5hc84he1g|Dust2</t>
  </si>
  <si>
    <t xml:space="preserve">d5pdwo5hc84he1g|Inferno</t>
  </si>
  <si>
    <t xml:space="preserve">d5pdwo5hc84he1g|Mirage</t>
  </si>
  <si>
    <t xml:space="preserve">d5pdwo5hc84he1g|Ancient</t>
  </si>
  <si>
    <t xml:space="preserve">d5pdwo5hc84he1g|Anubis</t>
  </si>
  <si>
    <t xml:space="preserve">as14gj4lvoykr11|Mirage</t>
  </si>
  <si>
    <t xml:space="preserve">as14gj4lvoykr11|Cache</t>
  </si>
  <si>
    <t xml:space="preserve">as14gj4lvoykr11|Inferno</t>
  </si>
  <si>
    <t xml:space="preserve">as14gj4lvoykr11|Nuke</t>
  </si>
  <si>
    <t xml:space="preserve">as14gj4lvoykr11|Dust2</t>
  </si>
  <si>
    <t xml:space="preserve">as14gj4lvoykr11|Anubis</t>
  </si>
  <si>
    <t xml:space="preserve">4u8b77givp2ury3|Cache</t>
  </si>
  <si>
    <t xml:space="preserve">4u8b77givp2ury3|Mirage</t>
  </si>
  <si>
    <t xml:space="preserve">4u8b77givp2ury3|Ancient</t>
  </si>
  <si>
    <t xml:space="preserve">4u8b77givp2ury3|Nuke</t>
  </si>
  <si>
    <t xml:space="preserve">4u8b77givp2ury3|Inferno</t>
  </si>
  <si>
    <t xml:space="preserve">4u8b77givp2ury3|Anubis</t>
  </si>
  <si>
    <t xml:space="preserve">zk657eunk3op4kx|Cache</t>
  </si>
  <si>
    <t xml:space="preserve">zk657eunk3op4kx|Dust2</t>
  </si>
  <si>
    <t xml:space="preserve">zk657eunk3op4kx|Ancient</t>
  </si>
  <si>
    <t xml:space="preserve">zk657eunk3op4kx|Inferno</t>
  </si>
  <si>
    <t xml:space="preserve">zk657eunk3op4kx|Mirage</t>
  </si>
  <si>
    <t xml:space="preserve">zk657eunk3op4kx|Nuke</t>
  </si>
  <si>
    <t xml:space="preserve">dobeml44vsvpy4d|Dust2</t>
  </si>
  <si>
    <t xml:space="preserve">dobeml44vsvpy4d|Inferno</t>
  </si>
  <si>
    <t xml:space="preserve">dobeml44vsvpy4d|Ancient</t>
  </si>
  <si>
    <t xml:space="preserve">dobeml44vsvpy4d|Nuke</t>
  </si>
  <si>
    <t xml:space="preserve">dobeml44vsvpy4d|Mirage</t>
  </si>
  <si>
    <t xml:space="preserve">dobeml44vsvpy4d|Cache</t>
  </si>
  <si>
    <t xml:space="preserve">wmlzs7f7r7rjkdf|Inferno</t>
  </si>
  <si>
    <t xml:space="preserve">wmlzs7f7r7rjkdf|Ancient</t>
  </si>
  <si>
    <t xml:space="preserve">wmlzs7f7r7rjkdf|Anubis</t>
  </si>
  <si>
    <t xml:space="preserve">wmlzs7f7r7rjkdf|Nuke</t>
  </si>
  <si>
    <t xml:space="preserve">wmlzs7f7r7rjkdf|Cache</t>
  </si>
  <si>
    <t xml:space="preserve">wmlzs7f7r7rjkdf|Dust2</t>
  </si>
  <si>
    <t xml:space="preserve">vwa09ypl40r89pt|Nuke</t>
  </si>
  <si>
    <t xml:space="preserve">vwa09ypl40r89pt|Mirage</t>
  </si>
  <si>
    <t xml:space="preserve">vwa09ypl40r89pt|Inferno</t>
  </si>
  <si>
    <t xml:space="preserve">vwa09ypl40r89pt|Cache</t>
  </si>
  <si>
    <t xml:space="preserve">vwa09ypl40r89pt|Ancient</t>
  </si>
  <si>
    <t xml:space="preserve">vwa09ypl40r89pt|Anubis</t>
  </si>
  <si>
    <t xml:space="preserve">86isvekrtorp4vs|Cache</t>
  </si>
  <si>
    <t xml:space="preserve">86isvekrtorp4vs|Nuke</t>
  </si>
  <si>
    <t xml:space="preserve">86isvekrtorp4vs|Dust2</t>
  </si>
  <si>
    <t xml:space="preserve">86isvekrtorp4vs|Mirage</t>
  </si>
  <si>
    <t xml:space="preserve">86isvekrtorp4vs|Ancient</t>
  </si>
  <si>
    <t xml:space="preserve">86isvekrtorp4vs|Anubis</t>
  </si>
  <si>
    <t xml:space="preserve">86isvekrtorp4vs|Inferno</t>
  </si>
  <si>
    <t xml:space="preserve">a8s1ja8a0vwhgvp|Mirage</t>
  </si>
  <si>
    <t xml:space="preserve">a8s1ja8a0vwhgvp|Inferno</t>
  </si>
  <si>
    <t xml:space="preserve">a8s1ja8a0vwhgvp|Dust2</t>
  </si>
  <si>
    <t xml:space="preserve">a8s1ja8a0vwhgvp|Nuke</t>
  </si>
  <si>
    <t xml:space="preserve">a8s1ja8a0vwhgvp|Cache</t>
  </si>
  <si>
    <t xml:space="preserve">a8s1ja8a0vwhgvp|Ancient</t>
  </si>
  <si>
    <t xml:space="preserve">v15ff2btfwe796g|Dust2</t>
  </si>
  <si>
    <t xml:space="preserve">v15ff2btfwe796g|Anubis</t>
  </si>
  <si>
    <t xml:space="preserve">v15ff2btfwe796g|Cache</t>
  </si>
  <si>
    <t xml:space="preserve">v15ff2btfwe796g|Ancient</t>
  </si>
  <si>
    <t xml:space="preserve">v15ff2btfwe796g|Mirage</t>
  </si>
  <si>
    <t xml:space="preserve">v15ff2btfwe796g|Inferno</t>
  </si>
  <si>
    <t xml:space="preserve">vv1atvr3j4yt4h1|Dust2</t>
  </si>
  <si>
    <t xml:space="preserve">vv1atvr3j4yt4h1|Anubis</t>
  </si>
  <si>
    <t xml:space="preserve">vv1atvr3j4yt4h1|Ancient</t>
  </si>
  <si>
    <t xml:space="preserve">vv1atvr3j4yt4h1|Nuke</t>
  </si>
  <si>
    <t xml:space="preserve">vv1atvr3j4yt4h1|Mirage</t>
  </si>
  <si>
    <t xml:space="preserve">vv1atvr3j4yt4h1|Cache</t>
  </si>
  <si>
    <t xml:space="preserve">vv1atvr3j4yt4h1|Inferno</t>
  </si>
  <si>
    <t xml:space="preserve">wmdnx0gqjw734wn|Nuke</t>
  </si>
  <si>
    <t xml:space="preserve">wmdnx0gqjw734wn|Cache</t>
  </si>
  <si>
    <t xml:space="preserve">wmdnx0gqjw734wn|Dust2</t>
  </si>
  <si>
    <t xml:space="preserve">wmdnx0gqjw734wn|Inferno</t>
  </si>
  <si>
    <t xml:space="preserve">wmdnx0gqjw734wn|Ancient</t>
  </si>
  <si>
    <t xml:space="preserve">wmdnx0gqjw734wn|Mirage</t>
  </si>
  <si>
    <t xml:space="preserve">wmdnx0gqjw734wn|Anubis</t>
  </si>
  <si>
    <t xml:space="preserve">n7dezrlm3ggjepw|Cache</t>
  </si>
  <si>
    <t xml:space="preserve">n7dezrlm3ggjepw|Mirage</t>
  </si>
  <si>
    <t xml:space="preserve">n7dezrlm3ggjepw|Ancient</t>
  </si>
  <si>
    <t xml:space="preserve">n7dezrlm3ggjepw|Nuke</t>
  </si>
  <si>
    <t xml:space="preserve">n7dezrlm3ggjepw|Inferno</t>
  </si>
  <si>
    <t xml:space="preserve">n7dezrlm3ggjepw|Anubis</t>
  </si>
  <si>
    <t xml:space="preserve">ltwiotm7m8sg32v|Mirage</t>
  </si>
  <si>
    <t xml:space="preserve">ltwiotm7m8sg32v|Inferno</t>
  </si>
  <si>
    <t xml:space="preserve">ltwiotm7m8sg32v|Nuke</t>
  </si>
  <si>
    <t xml:space="preserve">ltwiotm7m8sg32v|Ancient</t>
  </si>
  <si>
    <t xml:space="preserve">ltwiotm7m8sg32v|Cache</t>
  </si>
  <si>
    <t xml:space="preserve">ltwiotm7m8sg32v|Anubis</t>
  </si>
  <si>
    <t xml:space="preserve">5mlzxv2cg2u3emi|Cache</t>
  </si>
  <si>
    <t xml:space="preserve">5mlzxv2cg2u3emi|Nuke</t>
  </si>
  <si>
    <t xml:space="preserve">5mlzxv2cg2u3emi|Dust2</t>
  </si>
  <si>
    <t xml:space="preserve">5mlzxv2cg2u3emi|Inferno</t>
  </si>
  <si>
    <t xml:space="preserve">5mlzxv2cg2u3emi|Mirage</t>
  </si>
  <si>
    <t xml:space="preserve">5mlzxv2cg2u3emi|Ancient</t>
  </si>
  <si>
    <t xml:space="preserve">5mlzxv2cg2u3emi|Anubis</t>
  </si>
  <si>
    <t xml:space="preserve">2mxcc4bdxuksk8r|Ancient</t>
  </si>
  <si>
    <t xml:space="preserve">2mxcc4bdxuksk8r|Dust2</t>
  </si>
  <si>
    <t xml:space="preserve">2mxcc4bdxuksk8r|Cache</t>
  </si>
  <si>
    <t xml:space="preserve">2mxcc4bdxuksk8r|Mirage</t>
  </si>
  <si>
    <t xml:space="preserve">2mxcc4bdxuksk8r|Inferno</t>
  </si>
  <si>
    <t xml:space="preserve">2mxcc4bdxuksk8r|Anubis</t>
  </si>
  <si>
    <t xml:space="preserve">7ktwlxlmswh9ifd|Mirage</t>
  </si>
  <si>
    <t xml:space="preserve">7ktwlxlmswh9ifd|Dust2</t>
  </si>
  <si>
    <t xml:space="preserve">7ktwlxlmswh9ifd|Ancient</t>
  </si>
  <si>
    <t xml:space="preserve">7ktwlxlmswh9ifd|Cache</t>
  </si>
  <si>
    <t xml:space="preserve">7ktwlxlmswh9ifd|Nuke</t>
  </si>
  <si>
    <t xml:space="preserve">7ktwlxlmswh9ifd|Anubis</t>
  </si>
  <si>
    <t xml:space="preserve">ve4e5j5hk63t18f|Mirage</t>
  </si>
  <si>
    <t xml:space="preserve">ve4e5j5hk63t18f|Nuke</t>
  </si>
  <si>
    <t xml:space="preserve">ve4e5j5hk63t18f|Dust2</t>
  </si>
  <si>
    <t xml:space="preserve">ve4e5j5hk63t18f|Cache</t>
  </si>
  <si>
    <t xml:space="preserve">ve4e5j5hk63t18f|Ancient</t>
  </si>
  <si>
    <t xml:space="preserve">ve4e5j5hk63t18f|Inferno</t>
  </si>
  <si>
    <t xml:space="preserve">r77hvt5nvgfdk4q|Mirage</t>
  </si>
  <si>
    <t xml:space="preserve">r77hvt5nvgfdk4q|Anubis</t>
  </si>
  <si>
    <t xml:space="preserve">r77hvt5nvgfdk4q|Cache</t>
  </si>
  <si>
    <t xml:space="preserve">r77hvt5nvgfdk4q|Dust2</t>
  </si>
  <si>
    <t xml:space="preserve">r77hvt5nvgfdk4q|Inferno</t>
  </si>
  <si>
    <t xml:space="preserve">r77hvt5nvgfdk4q|Ancient</t>
  </si>
  <si>
    <t xml:space="preserve">9ycphxjddne0u4w|Ancient</t>
  </si>
  <si>
    <t xml:space="preserve">9ycphxjddne0u4w|Dust2</t>
  </si>
  <si>
    <t xml:space="preserve">9ycphxjddne0u4w|Inferno</t>
  </si>
  <si>
    <t xml:space="preserve">9ycphxjddne0u4w|Mirage</t>
  </si>
  <si>
    <t xml:space="preserve">9ycphxjddne0u4w|Nuke</t>
  </si>
  <si>
    <t xml:space="preserve">9ycphxjddne0u4w|Cache</t>
  </si>
  <si>
    <t xml:space="preserve">agwfljw0nydsug9|Dust2</t>
  </si>
  <si>
    <t xml:space="preserve">agwfljw0nydsug9|Anubis</t>
  </si>
  <si>
    <t xml:space="preserve">agwfljw0nydsug9|Cache</t>
  </si>
  <si>
    <t xml:space="preserve">agwfljw0nydsug9|Ancient</t>
  </si>
  <si>
    <t xml:space="preserve">agwfljw0nydsug9|Mirage</t>
  </si>
  <si>
    <t xml:space="preserve">agwfljw0nydsug9|Inferno</t>
  </si>
  <si>
    <t xml:space="preserve">sqc0ysaaur7o8rm|Mirage</t>
  </si>
  <si>
    <t xml:space="preserve">sqc0ysaaur7o8rm|Dust2</t>
  </si>
  <si>
    <t xml:space="preserve">sqc0ysaaur7o8rm|Ancient</t>
  </si>
  <si>
    <t xml:space="preserve">sqc0ysaaur7o8rm|Cache</t>
  </si>
  <si>
    <t xml:space="preserve">sqc0ysaaur7o8rm|Nuke</t>
  </si>
  <si>
    <t xml:space="preserve">sqc0ysaaur7o8rm|Anubis</t>
  </si>
  <si>
    <t xml:space="preserve">vl85mzwiy0ds144|Nuke</t>
  </si>
  <si>
    <t xml:space="preserve">vl85mzwiy0ds144|Mirage</t>
  </si>
  <si>
    <t xml:space="preserve">vl85mzwiy0ds144|Inferno</t>
  </si>
  <si>
    <t xml:space="preserve">vl85mzwiy0ds144|Cache</t>
  </si>
  <si>
    <t xml:space="preserve">vl85mzwiy0ds144|Ancient</t>
  </si>
  <si>
    <t xml:space="preserve">vl85mzwiy0ds144|Anubis</t>
  </si>
  <si>
    <t xml:space="preserve">fdlb7vusl2zjbn9|Anubis</t>
  </si>
  <si>
    <t xml:space="preserve">fdlb7vusl2zjbn9|Inferno</t>
  </si>
  <si>
    <t xml:space="preserve">fdlb7vusl2zjbn9|Ancient</t>
  </si>
  <si>
    <t xml:space="preserve">fdlb7vusl2zjbn9|Cache</t>
  </si>
  <si>
    <t xml:space="preserve">fdlb7vusl2zjbn9|Nuke</t>
  </si>
  <si>
    <t xml:space="preserve">fdlb7vusl2zjbn9|Dust2</t>
  </si>
  <si>
    <t xml:space="preserve">y49315sm0j0j0bi|Mirage</t>
  </si>
  <si>
    <t xml:space="preserve">y49315sm0j0j0bi|Nuke</t>
  </si>
  <si>
    <t xml:space="preserve">y49315sm0j0j0bi|Dust2</t>
  </si>
  <si>
    <t xml:space="preserve">y49315sm0j0j0bi|Cache</t>
  </si>
  <si>
    <t xml:space="preserve">y49315sm0j0j0bi|Ancient</t>
  </si>
  <si>
    <t xml:space="preserve">y49315sm0j0j0bi|Inferno</t>
  </si>
  <si>
    <t xml:space="preserve">d0e1cvnzi7r6gn1|Dust2</t>
  </si>
  <si>
    <t xml:space="preserve">d0e1cvnzi7r6gn1|Inferno</t>
  </si>
  <si>
    <t xml:space="preserve">d0e1cvnzi7r6gn1|Cache</t>
  </si>
  <si>
    <t xml:space="preserve">d0e1cvnzi7r6gn1|Ancient</t>
  </si>
  <si>
    <t xml:space="preserve">d0e1cvnzi7r6gn1|Mirage</t>
  </si>
  <si>
    <t xml:space="preserve">d0e1cvnzi7r6gn1|Anubis</t>
  </si>
  <si>
    <t xml:space="preserve">u12f792swgv1x5z|Cache</t>
  </si>
  <si>
    <t xml:space="preserve">u12f792swgv1x5z|Dust2</t>
  </si>
  <si>
    <t xml:space="preserve">u12f792swgv1x5z|Inferno</t>
  </si>
  <si>
    <t xml:space="preserve">u12f792swgv1x5z|Ancient</t>
  </si>
  <si>
    <t xml:space="preserve">u12f792swgv1x5z|Mirage</t>
  </si>
  <si>
    <t xml:space="preserve">u12f792swgv1x5z|Nuke</t>
  </si>
  <si>
    <t xml:space="preserve">f34szm5kcyom32u|Mirage</t>
  </si>
  <si>
    <t xml:space="preserve">f34szm5kcyom32u|Inferno</t>
  </si>
  <si>
    <t xml:space="preserve">f34szm5kcyom32u|Dust2</t>
  </si>
  <si>
    <t xml:space="preserve">f34szm5kcyom32u|Nuke</t>
  </si>
  <si>
    <t xml:space="preserve">f34szm5kcyom32u|Ancient</t>
  </si>
  <si>
    <t xml:space="preserve">f34szm5kcyom32u|Overpass</t>
  </si>
  <si>
    <t xml:space="preserve">f34szm5kcyom32u|Cache</t>
  </si>
  <si>
    <t xml:space="preserve">97fbh7iare9uasg|Ancient</t>
  </si>
  <si>
    <t xml:space="preserve">97fbh7iare9uasg|Dust2</t>
  </si>
  <si>
    <t xml:space="preserve">97fbh7iare9uasg|Cache</t>
  </si>
  <si>
    <t xml:space="preserve">97fbh7iare9uasg|Mirage</t>
  </si>
  <si>
    <t xml:space="preserve">97fbh7iare9uasg|Inferno</t>
  </si>
  <si>
    <t xml:space="preserve">97fbh7iare9uasg|Anubis</t>
  </si>
  <si>
    <t xml:space="preserve">bl2bft1d69f03ls|Inferno</t>
  </si>
  <si>
    <t xml:space="preserve">bl2bft1d69f03ls|Ancient</t>
  </si>
  <si>
    <t xml:space="preserve">bl2bft1d69f03ls|Dust2</t>
  </si>
  <si>
    <t xml:space="preserve">bl2bft1d69f03ls|Nuke</t>
  </si>
  <si>
    <t xml:space="preserve">bl2bft1d69f03ls|Cache</t>
  </si>
  <si>
    <t xml:space="preserve">q3clylb2zmlguaj|Inferno</t>
  </si>
  <si>
    <t xml:space="preserve">q3clylb2zmlguaj|Ancient</t>
  </si>
  <si>
    <t xml:space="preserve">q3clylb2zmlguaj|Dust2</t>
  </si>
  <si>
    <t xml:space="preserve">q3clylb2zmlguaj|Nuke</t>
  </si>
  <si>
    <t xml:space="preserve">q3clylb2zmlguaj|Cache</t>
  </si>
  <si>
    <t xml:space="preserve">12s4j1y56sietsk|Ancient</t>
  </si>
  <si>
    <t xml:space="preserve">12s4j1y56sietsk|Dust2</t>
  </si>
  <si>
    <t xml:space="preserve">12s4j1y56sietsk|Inferno</t>
  </si>
  <si>
    <t xml:space="preserve">12s4j1y56sietsk|Mirage</t>
  </si>
  <si>
    <t xml:space="preserve">12s4j1y56sietsk|Nuke</t>
  </si>
  <si>
    <t xml:space="preserve">12s4j1y56sietsk|Cache</t>
  </si>
  <si>
    <t xml:space="preserve">bqc9xefllzsykyn|Ancient</t>
  </si>
  <si>
    <t xml:space="preserve">bqc9xefllzsykyn|Inferno</t>
  </si>
  <si>
    <t xml:space="preserve">bqc9xefllzsykyn|Dust2</t>
  </si>
  <si>
    <t xml:space="preserve">bqc9xefllzsykyn|Mirage</t>
  </si>
  <si>
    <t xml:space="preserve">bqc9xefllzsykyn|Anubis</t>
  </si>
  <si>
    <t xml:space="preserve">bqc9xefllzsykyn|Cache</t>
  </si>
  <si>
    <t xml:space="preserve">dvwiagwt3fsxpwe|Dust2</t>
  </si>
  <si>
    <t xml:space="preserve">dvwiagwt3fsxpwe|Ancient</t>
  </si>
  <si>
    <t xml:space="preserve">dvwiagwt3fsxpwe|Nuke</t>
  </si>
  <si>
    <t xml:space="preserve">dvwiagwt3fsxpwe|Anubis</t>
  </si>
  <si>
    <t xml:space="preserve">dvwiagwt3fsxpwe|Mirage</t>
  </si>
  <si>
    <t xml:space="preserve">dvwiagwt3fsxpwe|Cache</t>
  </si>
  <si>
    <t xml:space="preserve">dvwiagwt3fsxpwe|Inferno</t>
  </si>
  <si>
    <t xml:space="preserve">41ry45brll61gbm|Nuke</t>
  </si>
  <si>
    <t xml:space="preserve">41ry45brll61gbm|Anubis</t>
  </si>
  <si>
    <t xml:space="preserve">41ry45brll61gbm|Ancient</t>
  </si>
  <si>
    <t xml:space="preserve">41ry45brll61gbm|Dust2</t>
  </si>
  <si>
    <t xml:space="preserve">41ry45brll61gbm|Mirage</t>
  </si>
  <si>
    <t xml:space="preserve">41ry45brll61gbm|Inferno</t>
  </si>
  <si>
    <t xml:space="preserve">41ry45brll61gbm|Cache</t>
  </si>
  <si>
    <t xml:space="preserve">4g49imv2ok4y1rr|Inferno</t>
  </si>
  <si>
    <t xml:space="preserve">4g49imv2ok4y1rr|Mirage</t>
  </si>
  <si>
    <t xml:space="preserve">4g49imv2ok4y1rr|Dust2</t>
  </si>
  <si>
    <t xml:space="preserve">4g49imv2ok4y1rr|Nuke</t>
  </si>
  <si>
    <t xml:space="preserve">4g49imv2ok4y1rr|Cache</t>
  </si>
  <si>
    <t xml:space="preserve">4g49imv2ok4y1rr|Ancient</t>
  </si>
  <si>
    <t xml:space="preserve">m5gpzgv9dxw9wy5|Mirage</t>
  </si>
  <si>
    <t xml:space="preserve">m5gpzgv9dxw9wy5|Dust2</t>
  </si>
  <si>
    <t xml:space="preserve">m5gpzgv9dxw9wy5|Ancient</t>
  </si>
  <si>
    <t xml:space="preserve">m5gpzgv9dxw9wy5|Cache</t>
  </si>
  <si>
    <t xml:space="preserve">m5gpzgv9dxw9wy5|Anubis</t>
  </si>
  <si>
    <t xml:space="preserve">m5gpzgv9dxw9wy5|Nuke</t>
  </si>
  <si>
    <t xml:space="preserve">6pbbnemawwfgnr5|Cache</t>
  </si>
  <si>
    <t xml:space="preserve">6pbbnemawwfgnr5|Nuke</t>
  </si>
  <si>
    <t xml:space="preserve">6pbbnemawwfgnr5|Dust2</t>
  </si>
  <si>
    <t xml:space="preserve">6pbbnemawwfgnr5|Ancient</t>
  </si>
  <si>
    <t xml:space="preserve">6pbbnemawwfgnr5|Mirage</t>
  </si>
  <si>
    <t xml:space="preserve">6pbbnemawwfgnr5|Anubis</t>
  </si>
  <si>
    <t xml:space="preserve">6pbbnemawwfgnr5|Inferno</t>
  </si>
  <si>
    <t xml:space="preserve">yx4766zs82zoa4m|Inferno</t>
  </si>
  <si>
    <t xml:space="preserve">yx4766zs82zoa4m|Ancient</t>
  </si>
  <si>
    <t xml:space="preserve">yx4766zs82zoa4m|Dust2</t>
  </si>
  <si>
    <t xml:space="preserve">yx4766zs82zoa4m|Mirage</t>
  </si>
  <si>
    <t xml:space="preserve">yx4766zs82zoa4m|Anubis</t>
  </si>
  <si>
    <t xml:space="preserve">yx4766zs82zoa4m|Cache</t>
  </si>
  <si>
    <t xml:space="preserve">TP player name</t>
  </si>
  <si>
    <t xml:space="preserve">Map 1 median</t>
  </si>
  <si>
    <t xml:space="preserve">Map 1 rungs</t>
  </si>
  <si>
    <t xml:space="preserve">Map 2 median</t>
  </si>
  <si>
    <t xml:space="preserve">Map 2 rungs</t>
  </si>
  <si>
    <t xml:space="preserve">Maps 1-2 median</t>
  </si>
  <si>
    <t xml:space="preserve">Matched PID</t>
  </si>
  <si>
    <t xml:space="preserve">iceberg</t>
  </si>
  <si>
    <t xml:space="preserve">leakz</t>
  </si>
  <si>
    <t xml:space="preserve">magisk</t>
  </si>
  <si>
    <t xml:space="preserve">mistr</t>
  </si>
  <si>
    <t xml:space="preserve">nickyb</t>
  </si>
  <si>
    <t xml:space="preserve">blytz</t>
  </si>
  <si>
    <t xml:space="preserve">jottaaa</t>
  </si>
  <si>
    <t xml:space="preserve">kvem</t>
  </si>
  <si>
    <t xml:space="preserve">mistem</t>
  </si>
  <si>
    <t xml:space="preserve">scrunka</t>
  </si>
  <si>
    <t xml:space="preserve">soulfly</t>
  </si>
  <si>
    <t xml:space="preserve">brollan</t>
  </si>
  <si>
    <t xml:space="preserve">chr1zn</t>
  </si>
  <si>
    <t xml:space="preserve">ciocardau</t>
  </si>
  <si>
    <t xml:space="preserve">d1maje</t>
  </si>
  <si>
    <t xml:space="preserve">martinezsa</t>
  </si>
  <si>
    <t xml:space="preserve">q-q</t>
  </si>
  <si>
    <t xml:space="preserve">scr0b</t>
  </si>
  <si>
    <t xml:space="preserve">starplajerz</t>
  </si>
  <si>
    <t xml:space="preserve">0samas</t>
  </si>
  <si>
    <t xml:space="preserve">ag1l</t>
  </si>
  <si>
    <t xml:space="preserve">bibu</t>
  </si>
  <si>
    <t xml:space="preserve">cacanito</t>
  </si>
  <si>
    <t xml:space="preserve">m1n1</t>
  </si>
  <si>
    <t xml:space="preserve">modo</t>
  </si>
  <si>
    <t xml:space="preserve">mutiris</t>
  </si>
  <si>
    <t xml:space="preserve">nopeej</t>
  </si>
  <si>
    <t xml:space="preserve">shock</t>
  </si>
  <si>
    <t xml:space="preserve">stressarn</t>
  </si>
  <si>
    <t xml:space="preserve">Total</t>
  </si>
  <si>
    <t xml:space="preserve">Over odds</t>
  </si>
  <si>
    <t xml:space="preserve">Under odds</t>
  </si>
  <si>
    <t xml:space="preserve">P(over) devigged</t>
  </si>
  <si>
    <t xml:space="preserve">50% crossing</t>
  </si>
  <si>
    <t xml:space="preserve">HLTV team</t>
  </si>
  <si>
    <t xml:space="preserve">Sample (3 months)</t>
  </si>
  <si>
    <t xml:space="preserve">Rounds lost in wins</t>
  </si>
  <si>
    <t xml:space="preserve">Rounds won in losses</t>
  </si>
  <si>
    <t xml:space="preserve">P(2-0)</t>
  </si>
  <si>
    <t xml:space="preserve">P(2-1)</t>
  </si>
  <si>
    <t xml:space="preserve">P(0-2)</t>
  </si>
  <si>
    <t xml:space="preserve">P(1-2)</t>
  </si>
  <si>
    <t xml:space="preserve">OT %</t>
  </si>
  <si>
    <t xml:space="preserve">Map win rate</t>
  </si>
  <si>
    <t xml:space="preserve">Hist round share</t>
  </si>
  <si>
    <t xml:space="preserve">CS2 [NO MARKET] · AE vs RA|A</t>
  </si>
  <si>
    <t xml:space="preserve">A</t>
  </si>
  <si>
    <t xml:space="preserve">Alter Ego</t>
  </si>
  <si>
    <t xml:space="preserve">CS2 [NO MARKET] · AE vs RA|B</t>
  </si>
  <si>
    <t xml:space="preserve">B</t>
  </si>
  <si>
    <t xml:space="preserve">Rare Atom</t>
  </si>
  <si>
    <t xml:space="preserve">CS2 · PRIV vs ALL|A</t>
  </si>
  <si>
    <t xml:space="preserve">PRIVATE</t>
  </si>
  <si>
    <t xml:space="preserve">CS2 · PRIV vs ALL|B</t>
  </si>
  <si>
    <t xml:space="preserve">Alliance</t>
  </si>
  <si>
    <t xml:space="preserve">CS2 [NO MARKET] · MZP vs ex-RUSTEC|A</t>
  </si>
  <si>
    <t xml:space="preserve">Metizport</t>
  </si>
  <si>
    <t xml:space="preserve">CS2 [NO MARKET] · MZP vs ex-RUSTEC|B</t>
  </si>
  <si>
    <t xml:space="preserve">CS2 · BBL vs BCG|A</t>
  </si>
  <si>
    <t xml:space="preserve">CS2 · BBL vs BCG|B</t>
  </si>
  <si>
    <t xml:space="preserve">BC.Game</t>
  </si>
  <si>
    <t xml:space="preserve">CS2 · INF vs EF|A</t>
  </si>
  <si>
    <t xml:space="preserve">INFINITE</t>
  </si>
  <si>
    <t xml:space="preserve">CS2 · INF vs EF|B</t>
  </si>
  <si>
    <t xml:space="preserve">Eternal Fire</t>
  </si>
  <si>
    <t xml:space="preserve">CS2 · TL vs MGC|A</t>
  </si>
  <si>
    <t xml:space="preserve">Liquid</t>
  </si>
  <si>
    <t xml:space="preserve">CS2 · TL vs MGC|B</t>
  </si>
  <si>
    <t xml:space="preserve">magic</t>
  </si>
  <si>
    <t xml:space="preserve">CS2 · HERO vs HS|A</t>
  </si>
  <si>
    <t xml:space="preserve">HEROIC</t>
  </si>
  <si>
    <t xml:space="preserve">CS2 · HERO vs HS|B</t>
  </si>
  <si>
    <t xml:space="preserve">HYPERSPIRIT</t>
  </si>
  <si>
    <t xml:space="preserve">CS2 · JJH vs IS|A</t>
  </si>
  <si>
    <t xml:space="preserve">JiJieHao</t>
  </si>
  <si>
    <t xml:space="preserve">CS2 · JJH vs IS|B</t>
  </si>
  <si>
    <t xml:space="preserve">Iberian Soul</t>
  </si>
  <si>
    <t xml:space="preserve">CS2 · SAW vs SIN|A</t>
  </si>
  <si>
    <t xml:space="preserve">CS2 · SAW vs SIN|B</t>
  </si>
  <si>
    <t xml:space="preserve">SINNERS</t>
  </si>
  <si>
    <t xml:space="preserve">CS2 · BIG vs MGLZ|A</t>
  </si>
  <si>
    <t xml:space="preserve">CS2 · BIG vs MGLZ|B</t>
  </si>
  <si>
    <t xml:space="preserve">The MongolZ</t>
  </si>
  <si>
    <t xml:space="preserve">CS2 [NO MARKET] · FOKUS vs ex-ZT|A</t>
  </si>
  <si>
    <t xml:space="preserve">CS2 [NO MARKET] · FOKUS vs ex-ZT|B</t>
  </si>
  <si>
    <t xml:space="preserve">ex-Zero Tenacity</t>
  </si>
  <si>
    <t xml:space="preserve">CS2 · FNC vs PRV|A</t>
  </si>
  <si>
    <t xml:space="preserve">fnatic</t>
  </si>
  <si>
    <t xml:space="preserve">CS2 · FNC vs PRV|B</t>
  </si>
  <si>
    <t xml:space="preserve">PARIVISION</t>
  </si>
  <si>
    <t xml:space="preserve">Key (match|side|map|stat)</t>
  </si>
  <si>
    <t xml:space="preserve">CS2 [NO MARKET] · AE vs RA|A|ALL|lw</t>
  </si>
  <si>
    <t xml:space="preserve">CS2 [NO MARKET] · AE vs RA|A|ALL|wl</t>
  </si>
  <si>
    <t xml:space="preserve">CS2 [NO MARKET] · AE vs RA|A|Cache|lw</t>
  </si>
  <si>
    <t xml:space="preserve">CS2 [NO MARKET] · AE vs RA|A|Cache|wl</t>
  </si>
  <si>
    <t xml:space="preserve">CS2 [NO MARKET] · AE vs RA|A|Dust2|lw</t>
  </si>
  <si>
    <t xml:space="preserve">CS2 [NO MARKET] · AE vs RA|A|Dust2|wl</t>
  </si>
  <si>
    <t xml:space="preserve">CS2 [NO MARKET] · AE vs RA|A|Mirage|lw</t>
  </si>
  <si>
    <t xml:space="preserve">CS2 [NO MARKET] · AE vs RA|A|Mirage|wl</t>
  </si>
  <si>
    <t xml:space="preserve">CS2 [NO MARKET] · AE vs RA|A|Inferno|lw</t>
  </si>
  <si>
    <t xml:space="preserve">CS2 [NO MARKET] · AE vs RA|A|Inferno|wl</t>
  </si>
  <si>
    <t xml:space="preserve">CS2 [NO MARKET] · AE vs RA|A|Nuke|lw</t>
  </si>
  <si>
    <t xml:space="preserve">CS2 [NO MARKET] · AE vs RA|A|Nuke|wl</t>
  </si>
  <si>
    <t xml:space="preserve">CS2 [NO MARKET] · AE vs RA|A|Ancient|lw</t>
  </si>
  <si>
    <t xml:space="preserve">CS2 [NO MARKET] · AE vs RA|A|Ancient|wl</t>
  </si>
  <si>
    <t xml:space="preserve">CS2 [NO MARKET] · AE vs RA|A|Anubis|lw</t>
  </si>
  <si>
    <t xml:space="preserve">CS2 [NO MARKET] · AE vs RA|B|ALL|lw</t>
  </si>
  <si>
    <t xml:space="preserve">CS2 [NO MARKET] · AE vs RA|B|ALL|wl</t>
  </si>
  <si>
    <t xml:space="preserve">CS2 [NO MARKET] · AE vs RA|B|Cache|lw</t>
  </si>
  <si>
    <t xml:space="preserve">CS2 [NO MARKET] · AE vs RA|B|Cache|wl</t>
  </si>
  <si>
    <t xml:space="preserve">CS2 [NO MARKET] · AE vs RA|B|Dust2|lw</t>
  </si>
  <si>
    <t xml:space="preserve">CS2 [NO MARKET] · AE vs RA|B|Dust2|wl</t>
  </si>
  <si>
    <t xml:space="preserve">CS2 [NO MARKET] · AE vs RA|B|Mirage|lw</t>
  </si>
  <si>
    <t xml:space="preserve">CS2 [NO MARKET] · AE vs RA|B|Mirage|wl</t>
  </si>
  <si>
    <t xml:space="preserve">CS2 [NO MARKET] · AE vs RA|B|Inferno|lw</t>
  </si>
  <si>
    <t xml:space="preserve">CS2 [NO MARKET] · AE vs RA|B|Inferno|wl</t>
  </si>
  <si>
    <t xml:space="preserve">CS2 [NO MARKET] · AE vs RA|B|Ancient|lw</t>
  </si>
  <si>
    <t xml:space="preserve">CS2 [NO MARKET] · AE vs RA|B|Ancient|wl</t>
  </si>
  <si>
    <t xml:space="preserve">CS2 [NO MARKET] · AE vs RA|B|Anubis|lw</t>
  </si>
  <si>
    <t xml:space="preserve">CS2 [NO MARKET] · AE vs RA|B|Anubis|wl</t>
  </si>
  <si>
    <t xml:space="preserve">CS2 · PRIV vs ALL|A|ALL|lw</t>
  </si>
  <si>
    <t xml:space="preserve">CS2 · PRIV vs ALL|A|ALL|wl</t>
  </si>
  <si>
    <t xml:space="preserve">CS2 · PRIV vs ALL|A|Cache|lw</t>
  </si>
  <si>
    <t xml:space="preserve">CS2 · PRIV vs ALL|A|Cache|wl</t>
  </si>
  <si>
    <t xml:space="preserve">CS2 · PRIV vs ALL|A|Dust2|lw</t>
  </si>
  <si>
    <t xml:space="preserve">CS2 · PRIV vs ALL|A|Dust2|wl</t>
  </si>
  <si>
    <t xml:space="preserve">CS2 · PRIV vs ALL|A|Mirage|lw</t>
  </si>
  <si>
    <t xml:space="preserve">CS2 · PRIV vs ALL|A|Mirage|wl</t>
  </si>
  <si>
    <t xml:space="preserve">CS2 · PRIV vs ALL|A|Nuke|lw</t>
  </si>
  <si>
    <t xml:space="preserve">CS2 · PRIV vs ALL|A|Nuke|wl</t>
  </si>
  <si>
    <t xml:space="preserve">CS2 · PRIV vs ALL|A|Ancient|lw</t>
  </si>
  <si>
    <t xml:space="preserve">CS2 · PRIV vs ALL|A|Ancient|wl</t>
  </si>
  <si>
    <t xml:space="preserve">CS2 · PRIV vs ALL|A|Anubis|lw</t>
  </si>
  <si>
    <t xml:space="preserve">CS2 · PRIV vs ALL|A|Anubis|wl</t>
  </si>
  <si>
    <t xml:space="preserve">CS2 · PRIV vs ALL|B|ALL|lw</t>
  </si>
  <si>
    <t xml:space="preserve">CS2 · PRIV vs ALL|B|ALL|wl</t>
  </si>
  <si>
    <t xml:space="preserve">CS2 · PRIV vs ALL|B|Cache|wl</t>
  </si>
  <si>
    <t xml:space="preserve">CS2 · PRIV vs ALL|B|Dust2|wl</t>
  </si>
  <si>
    <t xml:space="preserve">CS2 · PRIV vs ALL|B|Inferno|lw</t>
  </si>
  <si>
    <t xml:space="preserve">CS2 · PRIV vs ALL|B|Inferno|wl</t>
  </si>
  <si>
    <t xml:space="preserve">CS2 · PRIV vs ALL|B|Nuke|lw</t>
  </si>
  <si>
    <t xml:space="preserve">CS2 · PRIV vs ALL|B|Ancient|lw</t>
  </si>
  <si>
    <t xml:space="preserve">CS2 · PRIV vs ALL|B|Ancient|wl</t>
  </si>
  <si>
    <t xml:space="preserve">CS2 [NO MARKET] · MZP vs ex-RUSTEC|A|ALL|lw</t>
  </si>
  <si>
    <t xml:space="preserve">CS2 [NO MARKET] · MZP vs ex-RUSTEC|A|ALL|wl</t>
  </si>
  <si>
    <t xml:space="preserve">CS2 [NO MARKET] · MZP vs ex-RUSTEC|A|Cache|lw</t>
  </si>
  <si>
    <t xml:space="preserve">CS2 [NO MARKET] · MZP vs ex-RUSTEC|A|Cache|wl</t>
  </si>
  <si>
    <t xml:space="preserve">CS2 [NO MARKET] · MZP vs ex-RUSTEC|A|Mirage|lw</t>
  </si>
  <si>
    <t xml:space="preserve">CS2 [NO MARKET] · MZP vs ex-RUSTEC|A|Mirage|wl</t>
  </si>
  <si>
    <t xml:space="preserve">CS2 [NO MARKET] · MZP vs ex-RUSTEC|A|Inferno|lw</t>
  </si>
  <si>
    <t xml:space="preserve">CS2 [NO MARKET] · MZP vs ex-RUSTEC|A|Inferno|wl</t>
  </si>
  <si>
    <t xml:space="preserve">CS2 [NO MARKET] · MZP vs ex-RUSTEC|A|Nuke|lw</t>
  </si>
  <si>
    <t xml:space="preserve">CS2 [NO MARKET] · MZP vs ex-RUSTEC|A|Nuke|wl</t>
  </si>
  <si>
    <t xml:space="preserve">CS2 [NO MARKET] · MZP vs ex-RUSTEC|A|Ancient|lw</t>
  </si>
  <si>
    <t xml:space="preserve">CS2 [NO MARKET] · MZP vs ex-RUSTEC|A|Ancient|wl</t>
  </si>
  <si>
    <t xml:space="preserve">CS2 [NO MARKET] · MZP vs ex-RUSTEC|A|Anubis|lw</t>
  </si>
  <si>
    <t xml:space="preserve">CS2 [NO MARKET] · MZP vs ex-RUSTEC|A|Anubis|wl</t>
  </si>
  <si>
    <t xml:space="preserve">CS2 [NO MARKET] · MZP vs ex-RUSTEC|B|ALL|lw</t>
  </si>
  <si>
    <t xml:space="preserve">CS2 [NO MARKET] · MZP vs ex-RUSTEC|B|ALL|wl</t>
  </si>
  <si>
    <t xml:space="preserve">CS2 [NO MARKET] · MZP vs ex-RUSTEC|B|Cache|lw</t>
  </si>
  <si>
    <t xml:space="preserve">CS2 [NO MARKET] · MZP vs ex-RUSTEC|B|Cache|wl</t>
  </si>
  <si>
    <t xml:space="preserve">CS2 [NO MARKET] · MZP vs ex-RUSTEC|B|Dust2|lw</t>
  </si>
  <si>
    <t xml:space="preserve">CS2 [NO MARKET] · MZP vs ex-RUSTEC|B|Dust2|wl</t>
  </si>
  <si>
    <t xml:space="preserve">CS2 [NO MARKET] · MZP vs ex-RUSTEC|B|Mirage|lw</t>
  </si>
  <si>
    <t xml:space="preserve">CS2 [NO MARKET] · MZP vs ex-RUSTEC|B|Mirage|wl</t>
  </si>
  <si>
    <t xml:space="preserve">CS2 [NO MARKET] · MZP vs ex-RUSTEC|B|Inferno|lw</t>
  </si>
  <si>
    <t xml:space="preserve">CS2 [NO MARKET] · MZP vs ex-RUSTEC|B|Inferno|wl</t>
  </si>
  <si>
    <t xml:space="preserve">CS2 [NO MARKET] · MZP vs ex-RUSTEC|B|Nuke|lw</t>
  </si>
  <si>
    <t xml:space="preserve">CS2 [NO MARKET] · MZP vs ex-RUSTEC|B|Nuke|wl</t>
  </si>
  <si>
    <t xml:space="preserve">CS2 [NO MARKET] · MZP vs ex-RUSTEC|B|Ancient|lw</t>
  </si>
  <si>
    <t xml:space="preserve">CS2 [NO MARKET] · MZP vs ex-RUSTEC|B|Ancient|wl</t>
  </si>
  <si>
    <t xml:space="preserve">CS2 [NO MARKET] · MZP vs ex-RUSTEC|B|Anubis|lw</t>
  </si>
  <si>
    <t xml:space="preserve">CS2 [NO MARKET] · MZP vs ex-RUSTEC|B|Anubis|wl</t>
  </si>
  <si>
    <t xml:space="preserve">CS2 · BBL vs BCG|A|ALL|lw</t>
  </si>
  <si>
    <t xml:space="preserve">CS2 · BBL vs BCG|A|ALL|wl</t>
  </si>
  <si>
    <t xml:space="preserve">CS2 · BBL vs BCG|A|Cache|lw</t>
  </si>
  <si>
    <t xml:space="preserve">CS2 · BBL vs BCG|A|Cache|wl</t>
  </si>
  <si>
    <t xml:space="preserve">CS2 · BBL vs BCG|A|Mirage|lw</t>
  </si>
  <si>
    <t xml:space="preserve">CS2 · BBL vs BCG|A|Mirage|wl</t>
  </si>
  <si>
    <t xml:space="preserve">CS2 · BBL vs BCG|A|Inferno|lw</t>
  </si>
  <si>
    <t xml:space="preserve">CS2 · BBL vs BCG|A|Inferno|wl</t>
  </si>
  <si>
    <t xml:space="preserve">CS2 · BBL vs BCG|A|Nuke|lw</t>
  </si>
  <si>
    <t xml:space="preserve">CS2 · BBL vs BCG|A|Nuke|wl</t>
  </si>
  <si>
    <t xml:space="preserve">CS2 · BBL vs BCG|A|Ancient|lw</t>
  </si>
  <si>
    <t xml:space="preserve">CS2 · BBL vs BCG|A|Ancient|wl</t>
  </si>
  <si>
    <t xml:space="preserve">CS2 · BBL vs BCG|A|Anubis|lw</t>
  </si>
  <si>
    <t xml:space="preserve">CS2 · BBL vs BCG|A|Anubis|wl</t>
  </si>
  <si>
    <t xml:space="preserve">CS2 · BBL vs BCG|B|ALL|lw</t>
  </si>
  <si>
    <t xml:space="preserve">CS2 · BBL vs BCG|B|ALL|wl</t>
  </si>
  <si>
    <t xml:space="preserve">CS2 · BBL vs BCG|B|Cache|lw</t>
  </si>
  <si>
    <t xml:space="preserve">CS2 · BBL vs BCG|B|Cache|wl</t>
  </si>
  <si>
    <t xml:space="preserve">CS2 · BBL vs BCG|B|Dust2|lw</t>
  </si>
  <si>
    <t xml:space="preserve">CS2 · BBL vs BCG|B|Mirage|lw</t>
  </si>
  <si>
    <t xml:space="preserve">CS2 · BBL vs BCG|B|Mirage|wl</t>
  </si>
  <si>
    <t xml:space="preserve">CS2 · BBL vs BCG|B|Inferno|lw</t>
  </si>
  <si>
    <t xml:space="preserve">CS2 · BBL vs BCG|B|Inferno|wl</t>
  </si>
  <si>
    <t xml:space="preserve">CS2 · BBL vs BCG|B|Nuke|lw</t>
  </si>
  <si>
    <t xml:space="preserve">CS2 · BBL vs BCG|B|Nuke|wl</t>
  </si>
  <si>
    <t xml:space="preserve">CS2 · BBL vs BCG|B|Ancient|lw</t>
  </si>
  <si>
    <t xml:space="preserve">CS2 · BBL vs BCG|B|Ancient|wl</t>
  </si>
  <si>
    <t xml:space="preserve">CS2 · BBL vs BCG|B|Anubis|wl</t>
  </si>
  <si>
    <t xml:space="preserve">CS2 · INF vs EF|A|ALL|lw</t>
  </si>
  <si>
    <t xml:space="preserve">CS2 · INF vs EF|A|ALL|wl</t>
  </si>
  <si>
    <t xml:space="preserve">CS2 · INF vs EF|A|Cache|lw</t>
  </si>
  <si>
    <t xml:space="preserve">CS2 · INF vs EF|A|Cache|wl</t>
  </si>
  <si>
    <t xml:space="preserve">CS2 · INF vs EF|A|Dust2|lw</t>
  </si>
  <si>
    <t xml:space="preserve">CS2 · INF vs EF|A|Dust2|wl</t>
  </si>
  <si>
    <t xml:space="preserve">CS2 · INF vs EF|A|Mirage|lw</t>
  </si>
  <si>
    <t xml:space="preserve">CS2 · INF vs EF|A|Mirage|wl</t>
  </si>
  <si>
    <t xml:space="preserve">CS2 · INF vs EF|A|Inferno|lw</t>
  </si>
  <si>
    <t xml:space="preserve">CS2 · INF vs EF|A|Inferno|wl</t>
  </si>
  <si>
    <t xml:space="preserve">CS2 · INF vs EF|A|Nuke|lw</t>
  </si>
  <si>
    <t xml:space="preserve">CS2 · INF vs EF|A|Nuke|wl</t>
  </si>
  <si>
    <t xml:space="preserve">CS2 · INF vs EF|A|Ancient|lw</t>
  </si>
  <si>
    <t xml:space="preserve">CS2 · INF vs EF|A|Ancient|wl</t>
  </si>
  <si>
    <t xml:space="preserve">CS2 · INF vs EF|A|Anubis|wl</t>
  </si>
  <si>
    <t xml:space="preserve">CS2 · INF vs EF|B|ALL|lw</t>
  </si>
  <si>
    <t xml:space="preserve">CS2 · INF vs EF|B|ALL|wl</t>
  </si>
  <si>
    <t xml:space="preserve">CS2 · INF vs EF|B|Cache|lw</t>
  </si>
  <si>
    <t xml:space="preserve">CS2 · INF vs EF|B|Cache|wl</t>
  </si>
  <si>
    <t xml:space="preserve">CS2 · INF vs EF|B|Dust2|lw</t>
  </si>
  <si>
    <t xml:space="preserve">CS2 · INF vs EF|B|Dust2|wl</t>
  </si>
  <si>
    <t xml:space="preserve">CS2 · INF vs EF|B|Mirage|lw</t>
  </si>
  <si>
    <t xml:space="preserve">CS2 · INF vs EF|B|Mirage|wl</t>
  </si>
  <si>
    <t xml:space="preserve">CS2 · INF vs EF|B|Inferno|lw</t>
  </si>
  <si>
    <t xml:space="preserve">CS2 · INF vs EF|B|Inferno|wl</t>
  </si>
  <si>
    <t xml:space="preserve">CS2 · INF vs EF|B|Ancient|lw</t>
  </si>
  <si>
    <t xml:space="preserve">CS2 · INF vs EF|B|Ancient|wl</t>
  </si>
  <si>
    <t xml:space="preserve">CS2 · INF vs EF|B|Anubis|lw</t>
  </si>
  <si>
    <t xml:space="preserve">CS2 · INF vs EF|B|Anubis|wl</t>
  </si>
  <si>
    <t xml:space="preserve">CS2 · TL vs MGC|A|ALL|lw</t>
  </si>
  <si>
    <t xml:space="preserve">CS2 · TL vs MGC|A|ALL|wl</t>
  </si>
  <si>
    <t xml:space="preserve">CS2 · TL vs MGC|A|Cache|lw</t>
  </si>
  <si>
    <t xml:space="preserve">CS2 · TL vs MGC|A|Cache|wl</t>
  </si>
  <si>
    <t xml:space="preserve">CS2 · TL vs MGC|A|Dust2|lw</t>
  </si>
  <si>
    <t xml:space="preserve">CS2 · TL vs MGC|A|Dust2|wl</t>
  </si>
  <si>
    <t xml:space="preserve">CS2 · TL vs MGC|A|Mirage|lw</t>
  </si>
  <si>
    <t xml:space="preserve">CS2 · TL vs MGC|A|Mirage|wl</t>
  </si>
  <si>
    <t xml:space="preserve">CS2 · TL vs MGC|A|Inferno|lw</t>
  </si>
  <si>
    <t xml:space="preserve">CS2 · TL vs MGC|A|Inferno|wl</t>
  </si>
  <si>
    <t xml:space="preserve">CS2 · TL vs MGC|A|Nuke|lw</t>
  </si>
  <si>
    <t xml:space="preserve">CS2 · TL vs MGC|A|Nuke|wl</t>
  </si>
  <si>
    <t xml:space="preserve">CS2 · TL vs MGC|A|Ancient|wl</t>
  </si>
  <si>
    <t xml:space="preserve">CS2 · TL vs MGC|A|Anubis|lw</t>
  </si>
  <si>
    <t xml:space="preserve">CS2 · TL vs MGC|A|Anubis|wl</t>
  </si>
  <si>
    <t xml:space="preserve">CS2 · TL vs MGC|B|ALL|lw</t>
  </si>
  <si>
    <t xml:space="preserve">CS2 · TL vs MGC|B|ALL|wl</t>
  </si>
  <si>
    <t xml:space="preserve">CS2 · TL vs MGC|B|Cache|lw</t>
  </si>
  <si>
    <t xml:space="preserve">CS2 · TL vs MGC|B|Cache|wl</t>
  </si>
  <si>
    <t xml:space="preserve">CS2 · TL vs MGC|B|Dust2|lw</t>
  </si>
  <si>
    <t xml:space="preserve">CS2 · TL vs MGC|B|Dust2|wl</t>
  </si>
  <si>
    <t xml:space="preserve">CS2 · TL vs MGC|B|Mirage|lw</t>
  </si>
  <si>
    <t xml:space="preserve">CS2 · TL vs MGC|B|Mirage|wl</t>
  </si>
  <si>
    <t xml:space="preserve">CS2 · TL vs MGC|B|Inferno|lw</t>
  </si>
  <si>
    <t xml:space="preserve">CS2 · TL vs MGC|B|Inferno|wl</t>
  </si>
  <si>
    <t xml:space="preserve">CS2 · TL vs MGC|B|Ancient|lw</t>
  </si>
  <si>
    <t xml:space="preserve">CS2 · TL vs MGC|B|Ancient|wl</t>
  </si>
  <si>
    <t xml:space="preserve">CS2 · TL vs MGC|B|Anubis|lw</t>
  </si>
  <si>
    <t xml:space="preserve">CS2 · TL vs MGC|B|Anubis|wl</t>
  </si>
  <si>
    <t xml:space="preserve">CS2 · HERO vs HS|A|ALL|lw</t>
  </si>
  <si>
    <t xml:space="preserve">CS2 · HERO vs HS|A|ALL|wl</t>
  </si>
  <si>
    <t xml:space="preserve">CS2 · HERO vs HS|A|Cache|lw</t>
  </si>
  <si>
    <t xml:space="preserve">CS2 · HERO vs HS|A|Cache|wl</t>
  </si>
  <si>
    <t xml:space="preserve">CS2 · HERO vs HS|A|Dust2|lw</t>
  </si>
  <si>
    <t xml:space="preserve">CS2 · HERO vs HS|A|Dust2|wl</t>
  </si>
  <si>
    <t xml:space="preserve">CS2 · HERO vs HS|A|Mirage|lw</t>
  </si>
  <si>
    <t xml:space="preserve">CS2 · HERO vs HS|A|Mirage|wl</t>
  </si>
  <si>
    <t xml:space="preserve">CS2 · HERO vs HS|A|Inferno|lw</t>
  </si>
  <si>
    <t xml:space="preserve">CS2 · HERO vs HS|A|Inferno|wl</t>
  </si>
  <si>
    <t xml:space="preserve">CS2 · HERO vs HS|A|Nuke|lw</t>
  </si>
  <si>
    <t xml:space="preserve">CS2 · HERO vs HS|A|Nuke|wl</t>
  </si>
  <si>
    <t xml:space="preserve">CS2 · HERO vs HS|A|Ancient|lw</t>
  </si>
  <si>
    <t xml:space="preserve">CS2 · HERO vs HS|A|Ancient|wl</t>
  </si>
  <si>
    <t xml:space="preserve">CS2 · HERO vs HS|B|ALL|lw</t>
  </si>
  <si>
    <t xml:space="preserve">CS2 · HERO vs HS|B|ALL|wl</t>
  </si>
  <si>
    <t xml:space="preserve">CS2 · HERO vs HS|B|Cache|lw</t>
  </si>
  <si>
    <t xml:space="preserve">CS2 · HERO vs HS|B|Cache|wl</t>
  </si>
  <si>
    <t xml:space="preserve">CS2 · HERO vs HS|B|Dust2|lw</t>
  </si>
  <si>
    <t xml:space="preserve">CS2 · HERO vs HS|B|Dust2|wl</t>
  </si>
  <si>
    <t xml:space="preserve">CS2 · HERO vs HS|B|Mirage|lw</t>
  </si>
  <si>
    <t xml:space="preserve">CS2 · HERO vs HS|B|Mirage|wl</t>
  </si>
  <si>
    <t xml:space="preserve">CS2 · HERO vs HS|B|Inferno|lw</t>
  </si>
  <si>
    <t xml:space="preserve">CS2 · HERO vs HS|B|Inferno|wl</t>
  </si>
  <si>
    <t xml:space="preserve">CS2 · HERO vs HS|B|Ancient|lw</t>
  </si>
  <si>
    <t xml:space="preserve">CS2 · HERO vs HS|B|Ancient|wl</t>
  </si>
  <si>
    <t xml:space="preserve">CS2 · HERO vs HS|B|Anubis|lw</t>
  </si>
  <si>
    <t xml:space="preserve">CS2 · HERO vs HS|B|Anubis|wl</t>
  </si>
  <si>
    <t xml:space="preserve">CS2 · JJH vs IS|A|ALL|lw</t>
  </si>
  <si>
    <t xml:space="preserve">CS2 · JJH vs IS|A|ALL|wl</t>
  </si>
  <si>
    <t xml:space="preserve">CS2 · JJH vs IS|A|Cache|lw</t>
  </si>
  <si>
    <t xml:space="preserve">CS2 · JJH vs IS|A|Cache|wl</t>
  </si>
  <si>
    <t xml:space="preserve">CS2 · JJH vs IS|A|Dust2|lw</t>
  </si>
  <si>
    <t xml:space="preserve">CS2 · JJH vs IS|A|Dust2|wl</t>
  </si>
  <si>
    <t xml:space="preserve">CS2 · JJH vs IS|A|Mirage|lw</t>
  </si>
  <si>
    <t xml:space="preserve">CS2 · JJH vs IS|A|Mirage|wl</t>
  </si>
  <si>
    <t xml:space="preserve">CS2 · JJH vs IS|A|Inferno|lw</t>
  </si>
  <si>
    <t xml:space="preserve">CS2 · JJH vs IS|A|Inferno|wl</t>
  </si>
  <si>
    <t xml:space="preserve">CS2 · JJH vs IS|A|Ancient|lw</t>
  </si>
  <si>
    <t xml:space="preserve">CS2 · JJH vs IS|A|Ancient|wl</t>
  </si>
  <si>
    <t xml:space="preserve">CS2 · JJH vs IS|A|Anubis|lw</t>
  </si>
  <si>
    <t xml:space="preserve">CS2 · JJH vs IS|A|Anubis|wl</t>
  </si>
  <si>
    <t xml:space="preserve">CS2 · JJH vs IS|B|ALL|lw</t>
  </si>
  <si>
    <t xml:space="preserve">CS2 · JJH vs IS|B|ALL|wl</t>
  </si>
  <si>
    <t xml:space="preserve">CS2 · JJH vs IS|B|Cache|lw</t>
  </si>
  <si>
    <t xml:space="preserve">CS2 · JJH vs IS|B|Cache|wl</t>
  </si>
  <si>
    <t xml:space="preserve">CS2 · JJH vs IS|B|Mirage|lw</t>
  </si>
  <si>
    <t xml:space="preserve">CS2 · JJH vs IS|B|Mirage|wl</t>
  </si>
  <si>
    <t xml:space="preserve">CS2 · JJH vs IS|B|Inferno|lw</t>
  </si>
  <si>
    <t xml:space="preserve">CS2 · JJH vs IS|B|Inferno|wl</t>
  </si>
  <si>
    <t xml:space="preserve">CS2 · JJH vs IS|B|Nuke|lw</t>
  </si>
  <si>
    <t xml:space="preserve">CS2 · JJH vs IS|B|Nuke|wl</t>
  </si>
  <si>
    <t xml:space="preserve">CS2 · JJH vs IS|B|Ancient|lw</t>
  </si>
  <si>
    <t xml:space="preserve">CS2 · JJH vs IS|B|Ancient|wl</t>
  </si>
  <si>
    <t xml:space="preserve">CS2 · JJH vs IS|B|Anubis|lw</t>
  </si>
  <si>
    <t xml:space="preserve">CS2 · JJH vs IS|B|Anubis|wl</t>
  </si>
  <si>
    <t xml:space="preserve">CS2 · SAW vs SIN|A|ALL|lw</t>
  </si>
  <si>
    <t xml:space="preserve">CS2 · SAW vs SIN|A|ALL|wl</t>
  </si>
  <si>
    <t xml:space="preserve">CS2 · SAW vs SIN|A|Cache|lw</t>
  </si>
  <si>
    <t xml:space="preserve">CS2 · SAW vs SIN|A|Cache|wl</t>
  </si>
  <si>
    <t xml:space="preserve">CS2 · SAW vs SIN|A|Dust2|lw</t>
  </si>
  <si>
    <t xml:space="preserve">CS2 · SAW vs SIN|A|Dust2|wl</t>
  </si>
  <si>
    <t xml:space="preserve">CS2 · SAW vs SIN|A|Inferno|lw</t>
  </si>
  <si>
    <t xml:space="preserve">CS2 · SAW vs SIN|A|Inferno|wl</t>
  </si>
  <si>
    <t xml:space="preserve">CS2 · SAW vs SIN|A|Nuke|lw</t>
  </si>
  <si>
    <t xml:space="preserve">CS2 · SAW vs SIN|A|Nuke|wl</t>
  </si>
  <si>
    <t xml:space="preserve">CS2 · SAW vs SIN|A|Ancient|lw</t>
  </si>
  <si>
    <t xml:space="preserve">CS2 · SAW vs SIN|A|Ancient|wl</t>
  </si>
  <si>
    <t xml:space="preserve">CS2 · SAW vs SIN|A|Anubis|lw</t>
  </si>
  <si>
    <t xml:space="preserve">CS2 · SAW vs SIN|A|Anubis|wl</t>
  </si>
  <si>
    <t xml:space="preserve">CS2 · SAW vs SIN|B|ALL|lw</t>
  </si>
  <si>
    <t xml:space="preserve">CS2 · SAW vs SIN|B|ALL|wl</t>
  </si>
  <si>
    <t xml:space="preserve">CS2 · SAW vs SIN|B|Cache|lw</t>
  </si>
  <si>
    <t xml:space="preserve">CS2 · SAW vs SIN|B|Cache|wl</t>
  </si>
  <si>
    <t xml:space="preserve">CS2 · SAW vs SIN|B|Dust2|lw</t>
  </si>
  <si>
    <t xml:space="preserve">CS2 · SAW vs SIN|B|Dust2|wl</t>
  </si>
  <si>
    <t xml:space="preserve">CS2 · SAW vs SIN|B|Mirage|lw</t>
  </si>
  <si>
    <t xml:space="preserve">CS2 · SAW vs SIN|B|Mirage|wl</t>
  </si>
  <si>
    <t xml:space="preserve">CS2 · SAW vs SIN|B|Inferno|lw</t>
  </si>
  <si>
    <t xml:space="preserve">CS2 · SAW vs SIN|B|Inferno|wl</t>
  </si>
  <si>
    <t xml:space="preserve">CS2 · SAW vs SIN|B|Nuke|lw</t>
  </si>
  <si>
    <t xml:space="preserve">CS2 · SAW vs SIN|B|Nuke|wl</t>
  </si>
  <si>
    <t xml:space="preserve">CS2 · SAW vs SIN|B|Ancient|lw</t>
  </si>
  <si>
    <t xml:space="preserve">CS2 · SAW vs SIN|B|Ancient|wl</t>
  </si>
  <si>
    <t xml:space="preserve">CS2 · BIG vs MGLZ|A|ALL|lw</t>
  </si>
  <si>
    <t xml:space="preserve">CS2 · BIG vs MGLZ|A|ALL|wl</t>
  </si>
  <si>
    <t xml:space="preserve">CS2 · BIG vs MGLZ|A|Cache|lw</t>
  </si>
  <si>
    <t xml:space="preserve">CS2 · BIG vs MGLZ|A|Cache|wl</t>
  </si>
  <si>
    <t xml:space="preserve">CS2 · BIG vs MGLZ|A|Dust2|lw</t>
  </si>
  <si>
    <t xml:space="preserve">CS2 · BIG vs MGLZ|A|Dust2|wl</t>
  </si>
  <si>
    <t xml:space="preserve">CS2 · BIG vs MGLZ|A|Mirage|lw</t>
  </si>
  <si>
    <t xml:space="preserve">CS2 · BIG vs MGLZ|A|Mirage|wl</t>
  </si>
  <si>
    <t xml:space="preserve">CS2 · BIG vs MGLZ|A|Inferno|lw</t>
  </si>
  <si>
    <t xml:space="preserve">CS2 · BIG vs MGLZ|A|Inferno|wl</t>
  </si>
  <si>
    <t xml:space="preserve">CS2 · BIG vs MGLZ|A|Nuke|lw</t>
  </si>
  <si>
    <t xml:space="preserve">CS2 · BIG vs MGLZ|A|Nuke|wl</t>
  </si>
  <si>
    <t xml:space="preserve">CS2 · BIG vs MGLZ|A|Ancient|lw</t>
  </si>
  <si>
    <t xml:space="preserve">CS2 · BIG vs MGLZ|A|Ancient|wl</t>
  </si>
  <si>
    <t xml:space="preserve">CS2 · BIG vs MGLZ|B|ALL|lw</t>
  </si>
  <si>
    <t xml:space="preserve">CS2 · BIG vs MGLZ|B|ALL|wl</t>
  </si>
  <si>
    <t xml:space="preserve">CS2 · BIG vs MGLZ|B|Cache|lw</t>
  </si>
  <si>
    <t xml:space="preserve">CS2 · BIG vs MGLZ|B|Dust2|lw</t>
  </si>
  <si>
    <t xml:space="preserve">CS2 · BIG vs MGLZ|B|Dust2|wl</t>
  </si>
  <si>
    <t xml:space="preserve">CS2 · BIG vs MGLZ|B|Mirage|lw</t>
  </si>
  <si>
    <t xml:space="preserve">CS2 · BIG vs MGLZ|B|Mirage|wl</t>
  </si>
  <si>
    <t xml:space="preserve">CS2 · BIG vs MGLZ|B|Inferno|lw</t>
  </si>
  <si>
    <t xml:space="preserve">CS2 · BIG vs MGLZ|B|Inferno|wl</t>
  </si>
  <si>
    <t xml:space="preserve">CS2 · BIG vs MGLZ|B|Nuke|lw</t>
  </si>
  <si>
    <t xml:space="preserve">CS2 · BIG vs MGLZ|B|Nuke|wl</t>
  </si>
  <si>
    <t xml:space="preserve">CS2 · BIG vs MGLZ|B|Ancient|lw</t>
  </si>
  <si>
    <t xml:space="preserve">CS2 · BIG vs MGLZ|B|Ancient|wl</t>
  </si>
  <si>
    <t xml:space="preserve">CS2 [NO MARKET] · FOKUS vs ex-ZT|A|ALL|lw</t>
  </si>
  <si>
    <t xml:space="preserve">CS2 [NO MARKET] · FOKUS vs ex-ZT|A|ALL|wl</t>
  </si>
  <si>
    <t xml:space="preserve">CS2 [NO MARKET] · FOKUS vs ex-ZT|A|Cache|lw</t>
  </si>
  <si>
    <t xml:space="preserve">CS2 [NO MARKET] · FOKUS vs ex-ZT|A|Cache|wl</t>
  </si>
  <si>
    <t xml:space="preserve">CS2 [NO MARKET] · FOKUS vs ex-ZT|A|Dust2|lw</t>
  </si>
  <si>
    <t xml:space="preserve">CS2 [NO MARKET] · FOKUS vs ex-ZT|A|Dust2|wl</t>
  </si>
  <si>
    <t xml:space="preserve">CS2 [NO MARKET] · FOKUS vs ex-ZT|A|Mirage|lw</t>
  </si>
  <si>
    <t xml:space="preserve">CS2 [NO MARKET] · FOKUS vs ex-ZT|A|Mirage|wl</t>
  </si>
  <si>
    <t xml:space="preserve">CS2 [NO MARKET] · FOKUS vs ex-ZT|A|Inferno|lw</t>
  </si>
  <si>
    <t xml:space="preserve">CS2 [NO MARKET] · FOKUS vs ex-ZT|A|Inferno|wl</t>
  </si>
  <si>
    <t xml:space="preserve">CS2 [NO MARKET] · FOKUS vs ex-ZT|A|Nuke|lw</t>
  </si>
  <si>
    <t xml:space="preserve">CS2 [NO MARKET] · FOKUS vs ex-ZT|A|Nuke|wl</t>
  </si>
  <si>
    <t xml:space="preserve">CS2 [NO MARKET] · FOKUS vs ex-ZT|A|Ancient|lw</t>
  </si>
  <si>
    <t xml:space="preserve">CS2 [NO MARKET] · FOKUS vs ex-ZT|A|Ancient|wl</t>
  </si>
  <si>
    <t xml:space="preserve">CS2 [NO MARKET] · FOKUS vs ex-ZT|A|Anubis|lw</t>
  </si>
  <si>
    <t xml:space="preserve">CS2 [NO MARKET] · FOKUS vs ex-ZT|A|Anubis|wl</t>
  </si>
  <si>
    <t xml:space="preserve">CS2 [NO MARKET] · FOKUS vs ex-ZT|B|ALL|lw</t>
  </si>
  <si>
    <t xml:space="preserve">CS2 [NO MARKET] · FOKUS vs ex-ZT|B|ALL|wl</t>
  </si>
  <si>
    <t xml:space="preserve">CS2 [NO MARKET] · FOKUS vs ex-ZT|B|Cache|lw</t>
  </si>
  <si>
    <t xml:space="preserve">CS2 [NO MARKET] · FOKUS vs ex-ZT|B|Cache|wl</t>
  </si>
  <si>
    <t xml:space="preserve">CS2 [NO MARKET] · FOKUS vs ex-ZT|B|Dust2|lw</t>
  </si>
  <si>
    <t xml:space="preserve">CS2 [NO MARKET] · FOKUS vs ex-ZT|B|Dust2|wl</t>
  </si>
  <si>
    <t xml:space="preserve">CS2 [NO MARKET] · FOKUS vs ex-ZT|B|Mirage|lw</t>
  </si>
  <si>
    <t xml:space="preserve">CS2 [NO MARKET] · FOKUS vs ex-ZT|B|Mirage|wl</t>
  </si>
  <si>
    <t xml:space="preserve">CS2 [NO MARKET] · FOKUS vs ex-ZT|B|Inferno|lw</t>
  </si>
  <si>
    <t xml:space="preserve">CS2 [NO MARKET] · FOKUS vs ex-ZT|B|Inferno|wl</t>
  </si>
  <si>
    <t xml:space="preserve">CS2 [NO MARKET] · FOKUS vs ex-ZT|B|Nuke|lw</t>
  </si>
  <si>
    <t xml:space="preserve">CS2 [NO MARKET] · FOKUS vs ex-ZT|B|Nuke|wl</t>
  </si>
  <si>
    <t xml:space="preserve">CS2 [NO MARKET] · FOKUS vs ex-ZT|B|Anubis|lw</t>
  </si>
  <si>
    <t xml:space="preserve">CS2 [NO MARKET] · FOKUS vs ex-ZT|B|Anubis|wl</t>
  </si>
  <si>
    <t xml:space="preserve">CS2 · FNC vs PRV|A|ALL|lw</t>
  </si>
  <si>
    <t xml:space="preserve">CS2 · FNC vs PRV|A|ALL|wl</t>
  </si>
  <si>
    <t xml:space="preserve">CS2 · FNC vs PRV|A|Cache|lw</t>
  </si>
  <si>
    <t xml:space="preserve">CS2 · FNC vs PRV|A|Cache|wl</t>
  </si>
  <si>
    <t xml:space="preserve">CS2 · FNC vs PRV|A|Dust2|lw</t>
  </si>
  <si>
    <t xml:space="preserve">CS2 · FNC vs PRV|A|Dust2|wl</t>
  </si>
  <si>
    <t xml:space="preserve">CS2 · FNC vs PRV|A|Mirage|lw</t>
  </si>
  <si>
    <t xml:space="preserve">CS2 · FNC vs PRV|A|Mirage|wl</t>
  </si>
  <si>
    <t xml:space="preserve">CS2 · FNC vs PRV|A|Inferno|lw</t>
  </si>
  <si>
    <t xml:space="preserve">CS2 · FNC vs PRV|A|Inferno|wl</t>
  </si>
  <si>
    <t xml:space="preserve">CS2 · FNC vs PRV|A|Ancient|lw</t>
  </si>
  <si>
    <t xml:space="preserve">CS2 · FNC vs PRV|A|Ancient|wl</t>
  </si>
  <si>
    <t xml:space="preserve">CS2 · FNC vs PRV|A|Anubis|lw</t>
  </si>
  <si>
    <t xml:space="preserve">CS2 · FNC vs PRV|A|Anubis|wl</t>
  </si>
  <si>
    <t xml:space="preserve">CS2 · FNC vs PRV|B|ALL|lw</t>
  </si>
  <si>
    <t xml:space="preserve">CS2 · FNC vs PRV|B|ALL|wl</t>
  </si>
  <si>
    <t xml:space="preserve">CS2 · FNC vs PRV|B|Cache|lw</t>
  </si>
  <si>
    <t xml:space="preserve">CS2 · FNC vs PRV|B|Dust2|lw</t>
  </si>
  <si>
    <t xml:space="preserve">CS2 · FNC vs PRV|B|Dust2|wl</t>
  </si>
  <si>
    <t xml:space="preserve">CS2 · FNC vs PRV|B|Mirage|lw</t>
  </si>
  <si>
    <t xml:space="preserve">CS2 · FNC vs PRV|B|Mirage|wl</t>
  </si>
  <si>
    <t xml:space="preserve">CS2 · FNC vs PRV|B|Inferno|lw</t>
  </si>
  <si>
    <t xml:space="preserve">CS2 · FNC vs PRV|B|Inferno|wl</t>
  </si>
  <si>
    <t xml:space="preserve">CS2 · FNC vs PRV|B|Ancient|lw</t>
  </si>
  <si>
    <t xml:space="preserve">CS2 · FNC vs PRV|B|Ancient|wl</t>
  </si>
  <si>
    <t xml:space="preserve">CS2 · FNC vs PRV|B|Anubis|lw</t>
  </si>
  <si>
    <t xml:space="preserve">CS2 · FNC vs PRV|B|Anubis|wl</t>
  </si>
  <si>
    <t xml:space="preserve">First pick %</t>
  </si>
  <si>
    <t xml:space="preserve">First ban %</t>
  </si>
  <si>
    <t xml:space="preserve">Win %</t>
  </si>
  <si>
    <t xml:space="preserve">Played (3 months)</t>
  </si>
  <si>
    <t xml:space="preserve">Logged (UTC)</t>
  </si>
  <si>
    <t xml:space="preserve">Actual</t>
  </si>
  <si>
    <t xml:space="preserve">Result</t>
  </si>
  <si>
    <t xml:space="preserve">Proj map-free</t>
  </si>
  <si>
    <t xml:space="preserve">Proj map-free adj</t>
  </si>
  <si>
    <t xml:space="preserve">Dust2 / Cache</t>
  </si>
  <si>
    <t xml:space="preserve">21.5 / 21.5</t>
  </si>
  <si>
    <t xml:space="preserve">Inferno / Dust2</t>
  </si>
  <si>
    <t xml:space="preserve">Cache / Dust2</t>
  </si>
  <si>
    <t xml:space="preserve">Nuke / Inferno</t>
  </si>
  <si>
    <t xml:space="preserve">Cache / Nuke</t>
  </si>
  <si>
    <t xml:space="preserve">21.1 / 21.1</t>
  </si>
  <si>
    <t xml:space="preserve">Ancient / Inferno</t>
  </si>
  <si>
    <t xml:space="preserve">21.5 / 21.3</t>
  </si>
  <si>
    <t xml:space="preserve">Cache / Inferno</t>
  </si>
  <si>
    <t xml:space="preserve">20.2 / 20.2</t>
  </si>
  <si>
    <t xml:space="preserve">Ancient / Dust2</t>
  </si>
  <si>
    <t xml:space="preserve">21.0 / 21.0</t>
  </si>
  <si>
    <t xml:space="preserve">Mirage / Inferno</t>
  </si>
  <si>
    <t xml:space="preserve">21.2 / 21.2</t>
  </si>
  <si>
    <t xml:space="preserve">21.5 / 21.4</t>
  </si>
  <si>
    <t xml:space="preserve">21.2 / 21.1</t>
  </si>
  <si>
    <t xml:space="preserve">Mirage / Dust2</t>
  </si>
  <si>
    <t xml:space="preserve">Check</t>
  </si>
  <si>
    <t xml:space="preserve">PickFinder board rows (CS2 + VAL)</t>
  </si>
  <si>
    <t xml:space="preserve">Players with map stats</t>
  </si>
  <si>
    <t xml:space="preserve">Identity: Σ per-map maps == overall Maps AND weighted kills == Kills/Map</t>
  </si>
  <si>
    <t xml:space="preserve">104 / 104 pass</t>
  </si>
  <si>
    <t xml:space="preserve">Board players with NO stats page read</t>
  </si>
  <si>
    <t xml:space="preserve">Matches resolved to Thunderpick</t>
  </si>
  <si>
    <t xml:space="preserve">9 / 9</t>
  </si>
  <si>
    <t xml:space="preserve">NO MARKET games on this board (marked [NO MARKET], placeholders hold no prices, never registered)</t>
  </si>
  <si>
    <t xml:space="preserve">Matches with a Total Rounds ladder on map 1</t>
  </si>
  <si>
    <t xml:space="preserve">Matches with correct-score odds</t>
  </si>
  <si>
    <t xml:space="preserve">Matches with PickFinder Map Picks (rest use most-played fallback)</t>
  </si>
  <si>
    <t xml:space="preserve">Thunderpick player kill ladders matched to board players</t>
  </si>
  <si>
    <t xml:space="preserve">LIVE: formula errors on Projections (should be 0)</t>
  </si>
  <si>
    <t xml:space="preserve">LIVE: legs with no projection (should be 0)</t>
  </si>
  <si>
    <t xml:space="preserve">LIVE: formula errors on Calc (should be 0)</t>
  </si>
  <si>
    <t xml:space="preserve">LIVE: largest |Projections − Log| (≈0 at default settings; grows as you edit Matches/Config)</t>
  </si>
  <si>
    <t xml:space="preserve">LIVE: largest |Projections adj − Log adj| (≈0 at default settings)</t>
  </si>
  <si>
    <t xml:space="preserve">LIVE: formula errors on Matches HLTV columns (should be 0)</t>
  </si>
  <si>
    <t xml:space="preserve">CS2 matches with HLTV analytics</t>
  </si>
  <si>
    <t xml:space="preserve">Issue</t>
  </si>
  <si>
    <t xml:space="preserve">CS2 [NO MARKET] · AE vs RA: no Thunderpick market - no P(win), no HLTV adjustment, Config default rounds</t>
  </si>
  <si>
    <t xml:space="preserve">CS2 [NO MARKET] · ASTR vs LG: no Thunderpick market - no P(win), no HLTV adjustment, Config default rounds</t>
  </si>
  <si>
    <t xml:space="preserve">NO HLTV ANALYTICS CS2 [NO MARKET] · ASTR vs LG</t>
  </si>
  <si>
    <t xml:space="preserve">CS2 [NO MARKET] · FOKUS vs ex-ZT: no Thunderpick market - no P(win), no HLTV adjustment, Config default rounds</t>
  </si>
  <si>
    <t xml:space="preserve">CS2 [NO MARKET] · MZP vs ex-RUSTEC: no Thunderpick market - no P(win), no HLTV adjustment, Config default rounds</t>
  </si>
  <si>
    <t xml:space="preserve">NO TP ROUNDS LADDER CS2 [NO MARKET] · AE vs RA (Config default used)</t>
  </si>
  <si>
    <t xml:space="preserve">NO TP ROUNDS LADDER CS2 [NO MARKET] · ASTR vs LG (Config default used)</t>
  </si>
  <si>
    <t xml:space="preserve">NO TP ROUNDS LADDER CS2 [NO MARKET] · FOKUS vs ex-ZT (Config default used)</t>
  </si>
  <si>
    <t xml:space="preserve">NO TP ROUNDS LADDER CS2 [NO MARKET] · MZP vs ex-RUSTEC (Config default used)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</si>
</sst>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0.000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E4EE"/>
        <bgColor rgb="FFF3F5F8"/>
      </patternFill>
    </fill>
    <fill>
      <patternFill patternType="solid">
        <fgColor rgb="FFF3F5F8"/>
        <bgColor rgb="FFFFFFFF"/>
      </patternFill>
    </fill>
    <fill>
      <patternFill patternType="solid">
        <fgColor rgb="FFFFF2CC"/>
        <bgColor rgb="FFF3F5F8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7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D2E8DE"/>
          <bgColor rgb="FF000000"/>
        </patternFill>
      </fill>
    </dxf>
    <dxf>
      <fill>
        <patternFill patternType="solid">
          <fgColor rgb="FFD4E9DF"/>
          <bgColor rgb="FF000000"/>
        </patternFill>
      </fill>
    </dxf>
    <dxf>
      <fill>
        <patternFill patternType="solid">
          <fgColor rgb="FFD7EAE2"/>
          <bgColor rgb="FF000000"/>
        </patternFill>
      </fill>
    </dxf>
    <dxf>
      <fill>
        <patternFill patternType="solid">
          <fgColor rgb="FFD9EBE3"/>
          <bgColor rgb="FF000000"/>
        </patternFill>
      </fill>
    </dxf>
    <dxf>
      <fill>
        <patternFill patternType="solid">
          <fgColor rgb="FFDAECE4"/>
          <bgColor rgb="FF000000"/>
        </patternFill>
      </fill>
    </dxf>
    <dxf>
      <fill>
        <patternFill patternType="solid">
          <fgColor rgb="FFDEEEE7"/>
          <bgColor rgb="FF000000"/>
        </patternFill>
      </fill>
    </dxf>
    <dxf>
      <fill>
        <patternFill patternType="solid">
          <fgColor rgb="FFDFEEE7"/>
          <bgColor rgb="FF000000"/>
        </patternFill>
      </fill>
    </dxf>
    <dxf>
      <fill>
        <patternFill patternType="solid">
          <fgColor rgb="FFDFEFE8"/>
          <bgColor rgb="FF000000"/>
        </patternFill>
      </fill>
    </dxf>
    <dxf>
      <fill>
        <patternFill patternType="solid">
          <fgColor rgb="FFE0EFE8"/>
          <bgColor rgb="FF000000"/>
        </patternFill>
      </fill>
    </dxf>
    <dxf>
      <fill>
        <patternFill patternType="solid">
          <fgColor rgb="FFE1F0E9"/>
          <bgColor rgb="FF000000"/>
        </patternFill>
      </fill>
    </dxf>
    <dxf>
      <fill>
        <patternFill patternType="solid">
          <fgColor rgb="FFE4F1EB"/>
          <bgColor rgb="FF000000"/>
        </patternFill>
      </fill>
    </dxf>
    <dxf>
      <fill>
        <patternFill patternType="solid">
          <fgColor rgb="FFE5F1EC"/>
          <bgColor rgb="FF000000"/>
        </patternFill>
      </fill>
    </dxf>
    <dxf>
      <fill>
        <patternFill patternType="solid">
          <fgColor rgb="FFE7F3ED"/>
          <bgColor rgb="FF000000"/>
        </patternFill>
      </fill>
    </dxf>
    <dxf>
      <fill>
        <patternFill patternType="solid">
          <fgColor rgb="FFE8F3EE"/>
          <bgColor rgb="FF000000"/>
        </patternFill>
      </fill>
    </dxf>
    <dxf>
      <fill>
        <patternFill patternType="solid">
          <fgColor rgb="FFE9F4EF"/>
          <bgColor rgb="FF000000"/>
        </patternFill>
      </fill>
    </dxf>
    <dxf>
      <fill>
        <patternFill patternType="solid">
          <fgColor rgb="FFEAF4EF"/>
          <bgColor rgb="FF000000"/>
        </patternFill>
      </fill>
    </dxf>
    <dxf>
      <fill>
        <patternFill patternType="solid">
          <fgColor rgb="FFEAF4F0"/>
          <bgColor rgb="FF000000"/>
        </patternFill>
      </fill>
    </dxf>
    <dxf>
      <fill>
        <patternFill patternType="solid">
          <fgColor rgb="FFEBF5F0"/>
          <bgColor rgb="FF000000"/>
        </patternFill>
      </fill>
    </dxf>
    <dxf>
      <fill>
        <patternFill patternType="solid">
          <fgColor rgb="FFECF5F1"/>
          <bgColor rgb="FF000000"/>
        </patternFill>
      </fill>
    </dxf>
    <dxf>
      <fill>
        <patternFill patternType="solid">
          <fgColor rgb="FFEEF6F2"/>
          <bgColor rgb="FF000000"/>
        </patternFill>
      </fill>
    </dxf>
    <dxf>
      <fill>
        <patternFill patternType="solid">
          <fgColor rgb="FFEEF6F3"/>
          <bgColor rgb="FF000000"/>
        </patternFill>
      </fill>
    </dxf>
    <dxf>
      <fill>
        <patternFill patternType="solid">
          <fgColor rgb="FFEEF7F3"/>
          <bgColor rgb="FF000000"/>
        </patternFill>
      </fill>
    </dxf>
    <dxf>
      <fill>
        <patternFill patternType="solid">
          <fgColor rgb="FFEFF7F3"/>
          <bgColor rgb="FF000000"/>
        </patternFill>
      </fill>
    </dxf>
    <dxf>
      <fill>
        <patternFill patternType="solid">
          <fgColor rgb="FFEFF7F4"/>
          <bgColor rgb="FF000000"/>
        </patternFill>
      </fill>
    </dxf>
    <dxf>
      <fill>
        <patternFill patternType="solid">
          <fgColor rgb="FFF0F8F4"/>
          <bgColor rgb="FF000000"/>
        </patternFill>
      </fill>
    </dxf>
    <dxf>
      <fill>
        <patternFill patternType="solid">
          <fgColor rgb="FFF1F8F5"/>
          <bgColor rgb="FF000000"/>
        </patternFill>
      </fill>
    </dxf>
    <dxf>
      <fill>
        <patternFill patternType="solid">
          <fgColor rgb="FFF2F8F5"/>
          <bgColor rgb="FF000000"/>
        </patternFill>
      </fill>
    </dxf>
    <dxf>
      <fill>
        <patternFill patternType="solid">
          <fgColor rgb="FFF2F8F6"/>
          <bgColor rgb="FF000000"/>
        </patternFill>
      </fill>
    </dxf>
    <dxf>
      <fill>
        <patternFill patternType="solid">
          <fgColor rgb="FFF2F9F6"/>
          <bgColor rgb="FF000000"/>
        </patternFill>
      </fill>
    </dxf>
    <dxf>
      <fill>
        <patternFill patternType="solid">
          <fgColor rgb="FFF3F9F6"/>
          <bgColor rgb="FF000000"/>
        </patternFill>
      </fill>
    </dxf>
    <dxf>
      <fill>
        <patternFill patternType="solid">
          <fgColor rgb="FFF4F9F7"/>
          <bgColor rgb="FF000000"/>
        </patternFill>
      </fill>
    </dxf>
    <dxf>
      <fill>
        <patternFill patternType="solid">
          <fgColor rgb="FFF5FAF8"/>
          <bgColor rgb="FF000000"/>
        </patternFill>
      </fill>
    </dxf>
    <dxf>
      <fill>
        <patternFill patternType="solid">
          <fgColor rgb="FFF6FAF8"/>
          <bgColor rgb="FF000000"/>
        </patternFill>
      </fill>
    </dxf>
    <dxf>
      <fill>
        <patternFill patternType="solid">
          <fgColor rgb="FFF7FBF9"/>
          <bgColor rgb="FF000000"/>
        </patternFill>
      </fill>
    </dxf>
    <dxf>
      <fill>
        <patternFill patternType="solid">
          <fgColor rgb="FFF7FBFA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8D8DB"/>
          <bgColor rgb="FF000000"/>
        </patternFill>
      </fill>
    </dxf>
    <dxf>
      <fill>
        <patternFill patternType="solid">
          <fgColor rgb="FFF8DADD"/>
          <bgColor rgb="FF000000"/>
        </patternFill>
      </fill>
    </dxf>
    <dxf>
      <fill>
        <patternFill patternType="solid">
          <fgColor rgb="FFF8DBDD"/>
          <bgColor rgb="FF000000"/>
        </patternFill>
      </fill>
    </dxf>
    <dxf>
      <fill>
        <patternFill patternType="solid">
          <fgColor rgb="FFF8DBDE"/>
          <bgColor rgb="FF000000"/>
        </patternFill>
      </fill>
    </dxf>
    <dxf>
      <fill>
        <patternFill patternType="solid">
          <fgColor rgb="FFF8DCDE"/>
          <bgColor rgb="FF000000"/>
        </patternFill>
      </fill>
    </dxf>
    <dxf>
      <fill>
        <patternFill patternType="solid">
          <fgColor rgb="FFF8FCFA"/>
          <bgColor rgb="FF000000"/>
        </patternFill>
      </fill>
    </dxf>
    <dxf>
      <fill>
        <patternFill patternType="solid">
          <fgColor rgb="FFF9DEE1"/>
          <bgColor rgb="FF000000"/>
        </patternFill>
      </fill>
    </dxf>
    <dxf>
      <fill>
        <patternFill patternType="solid">
          <fgColor rgb="FFF9DFE1"/>
          <bgColor rgb="FF000000"/>
        </patternFill>
      </fill>
    </dxf>
    <dxf>
      <fill>
        <patternFill patternType="solid">
          <fgColor rgb="FFF9E0E2"/>
          <bgColor rgb="FF000000"/>
        </patternFill>
      </fill>
    </dxf>
    <dxf>
      <fill>
        <patternFill patternType="solid">
          <fgColor rgb="FFF9E0E3"/>
          <bgColor rgb="FF000000"/>
        </patternFill>
      </fill>
    </dxf>
    <dxf>
      <fill>
        <patternFill patternType="solid">
          <fgColor rgb="FFF9E2E4"/>
          <bgColor rgb="FF000000"/>
        </patternFill>
      </fill>
    </dxf>
    <dxf>
      <fill>
        <patternFill patternType="solid">
          <fgColor rgb="FFF9FCFB"/>
          <bgColor rgb="FF000000"/>
        </patternFill>
      </fill>
    </dxf>
    <dxf>
      <fill>
        <patternFill patternType="solid">
          <fgColor rgb="FFFAE2E5"/>
          <bgColor rgb="FF000000"/>
        </patternFill>
      </fill>
    </dxf>
    <dxf>
      <fill>
        <patternFill patternType="solid">
          <fgColor rgb="FFFAE3E5"/>
          <bgColor rgb="FF000000"/>
        </patternFill>
      </fill>
    </dxf>
    <dxf>
      <fill>
        <patternFill patternType="solid">
          <fgColor rgb="FFFAE5E7"/>
          <bgColor rgb="FF000000"/>
        </patternFill>
      </fill>
    </dxf>
    <dxf>
      <fill>
        <patternFill patternType="solid">
          <fgColor rgb="FFFAE6E8"/>
          <bgColor rgb="FF000000"/>
        </patternFill>
      </fill>
    </dxf>
    <dxf>
      <fill>
        <patternFill patternType="solid">
          <fgColor rgb="FFFAE7E9"/>
          <bgColor rgb="FF000000"/>
        </patternFill>
      </fill>
    </dxf>
    <dxf>
      <fill>
        <patternFill patternType="solid">
          <fgColor rgb="FFFBE8E9"/>
          <bgColor rgb="FF000000"/>
        </patternFill>
      </fill>
    </dxf>
    <dxf>
      <fill>
        <patternFill patternType="solid">
          <fgColor rgb="FFFBE8EA"/>
          <bgColor rgb="FF000000"/>
        </patternFill>
      </fill>
    </dxf>
    <dxf>
      <fill>
        <patternFill patternType="solid">
          <fgColor rgb="FFFBE9EA"/>
          <bgColor rgb="FF000000"/>
        </patternFill>
      </fill>
    </dxf>
    <dxf>
      <fill>
        <patternFill patternType="solid">
          <fgColor rgb="FFFBEAEC"/>
          <bgColor rgb="FF000000"/>
        </patternFill>
      </fill>
    </dxf>
    <dxf>
      <fill>
        <patternFill patternType="solid">
          <fgColor rgb="FFFBEBEC"/>
          <bgColor rgb="FF000000"/>
        </patternFill>
      </fill>
    </dxf>
    <dxf>
      <fill>
        <patternFill patternType="solid">
          <fgColor rgb="FFFBECED"/>
          <bgColor rgb="FF000000"/>
        </patternFill>
      </fill>
    </dxf>
    <dxf>
      <fill>
        <patternFill patternType="solid">
          <fgColor rgb="FFFBECEE"/>
          <bgColor rgb="FF000000"/>
        </patternFill>
      </fill>
    </dxf>
    <dxf>
      <fill>
        <patternFill patternType="solid">
          <fgColor rgb="FFFBEDEE"/>
          <bgColor rgb="FF000000"/>
        </patternFill>
      </fill>
    </dxf>
    <dxf>
      <fill>
        <patternFill patternType="solid">
          <fgColor rgb="FFFBEDEF"/>
          <bgColor rgb="FF000000"/>
        </patternFill>
      </fill>
    </dxf>
    <dxf>
      <fill>
        <patternFill patternType="solid">
          <fgColor rgb="FFFBFDFC"/>
          <bgColor rgb="FF000000"/>
        </patternFill>
      </fill>
    </dxf>
    <dxf>
      <fill>
        <patternFill patternType="solid">
          <fgColor rgb="FFFCEDEF"/>
          <bgColor rgb="FF000000"/>
        </patternFill>
      </fill>
    </dxf>
    <dxf>
      <fill>
        <patternFill patternType="solid">
          <fgColor rgb="FFFCEEEF"/>
          <bgColor rgb="FF000000"/>
        </patternFill>
      </fill>
    </dxf>
    <dxf>
      <fill>
        <patternFill patternType="solid">
          <fgColor rgb="FFFCEEF0"/>
          <bgColor rgb="FF000000"/>
        </patternFill>
      </fill>
    </dxf>
    <dxf>
      <fill>
        <patternFill patternType="solid">
          <fgColor rgb="FFFCEFF0"/>
          <bgColor rgb="FF000000"/>
        </patternFill>
      </fill>
    </dxf>
    <dxf>
      <fill>
        <patternFill patternType="solid">
          <fgColor rgb="FFFCEFF1"/>
          <bgColor rgb="FF000000"/>
        </patternFill>
      </fill>
    </dxf>
    <dxf>
      <fill>
        <patternFill patternType="solid">
          <fgColor rgb="FFFCF0F1"/>
          <bgColor rgb="FF000000"/>
        </patternFill>
      </fill>
    </dxf>
    <dxf>
      <fill>
        <patternFill patternType="solid">
          <fgColor rgb="FFFCF2F3"/>
          <bgColor rgb="FF000000"/>
        </patternFill>
      </fill>
    </dxf>
    <dxf>
      <fill>
        <patternFill patternType="solid">
          <fgColor rgb="FFFCF3F3"/>
          <bgColor rgb="FF000000"/>
        </patternFill>
      </fill>
    </dxf>
    <dxf>
      <fill>
        <patternFill patternType="solid">
          <fgColor rgb="FFFDF4F4"/>
          <bgColor rgb="FF000000"/>
        </patternFill>
      </fill>
    </dxf>
    <dxf>
      <fill>
        <patternFill patternType="solid">
          <fgColor rgb="FFFDF4F5"/>
          <bgColor rgb="FF000000"/>
        </patternFill>
      </fill>
    </dxf>
    <dxf>
      <fill>
        <patternFill patternType="solid">
          <fgColor rgb="FFFDF5F6"/>
          <bgColor rgb="FF000000"/>
        </patternFill>
      </fill>
    </dxf>
    <dxf>
      <fill>
        <patternFill patternType="solid">
          <fgColor rgb="FFFDF6F6"/>
          <bgColor rgb="FF000000"/>
        </patternFill>
      </fill>
    </dxf>
    <dxf>
      <fill>
        <patternFill patternType="solid">
          <fgColor rgb="FFFDF6F7"/>
          <bgColor rgb="FF000000"/>
        </patternFill>
      </fill>
    </dxf>
    <dxf>
      <fill>
        <patternFill patternType="solid">
          <fgColor rgb="FFFDF7F7"/>
          <bgColor rgb="FF000000"/>
        </patternFill>
      </fill>
    </dxf>
    <dxf>
      <fill>
        <patternFill patternType="solid">
          <fgColor rgb="FFFDF7F8"/>
          <bgColor rgb="FF000000"/>
        </patternFill>
      </fill>
    </dxf>
    <dxf>
      <fill>
        <patternFill patternType="solid">
          <fgColor rgb="FFFDF8F8"/>
          <bgColor rgb="FF000000"/>
        </patternFill>
      </fill>
    </dxf>
    <dxf>
      <fill>
        <patternFill patternType="solid">
          <fgColor rgb="FFFDFEFD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F9F9"/>
          <bgColor rgb="FF000000"/>
        </patternFill>
      </fill>
    </dxf>
    <dxf>
      <fill>
        <patternFill patternType="solid">
          <fgColor rgb="FFFEF9FA"/>
          <bgColor rgb="FF000000"/>
        </patternFill>
      </fill>
    </dxf>
    <dxf>
      <fill>
        <patternFill patternType="solid">
          <fgColor rgb="FFFEFAFA"/>
          <bgColor rgb="FF000000"/>
        </patternFill>
      </fill>
    </dxf>
    <dxf>
      <fill>
        <patternFill patternType="solid">
          <fgColor rgb="FFFEFCFC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EFFFE"/>
          <bgColor rgb="FF000000"/>
        </patternFill>
      </fill>
    </dxf>
    <dxf>
      <fill>
        <patternFill patternType="solid">
          <fgColor rgb="FFFEFFFF"/>
          <bgColor rgb="FF000000"/>
        </patternFill>
      </fill>
    </dxf>
    <dxf>
      <fill>
        <patternFill patternType="solid">
          <fgColor rgb="FFD3E8DE"/>
          <bgColor rgb="FF000000"/>
        </patternFill>
      </fill>
    </dxf>
    <dxf>
      <fill>
        <patternFill patternType="solid">
          <fgColor rgb="FFDCEDE5"/>
          <bgColor rgb="FF000000"/>
        </patternFill>
      </fill>
    </dxf>
    <dxf>
      <fill>
        <patternFill patternType="solid">
          <fgColor rgb="FFDEEEE6"/>
          <bgColor rgb="FF000000"/>
        </patternFill>
      </fill>
    </dxf>
    <dxf>
      <fill>
        <patternFill patternType="solid">
          <fgColor rgb="FFE3F0EA"/>
          <bgColor rgb="FF000000"/>
        </patternFill>
      </fill>
    </dxf>
    <dxf>
      <fill>
        <patternFill patternType="solid">
          <fgColor rgb="FFE3F1EA"/>
          <bgColor rgb="FF000000"/>
        </patternFill>
      </fill>
    </dxf>
    <dxf>
      <fill>
        <patternFill patternType="solid">
          <fgColor rgb="FFE3F1EB"/>
          <bgColor rgb="FF000000"/>
        </patternFill>
      </fill>
    </dxf>
    <dxf>
      <fill>
        <patternFill patternType="solid">
          <fgColor rgb="FFE5F2EC"/>
          <bgColor rgb="FF000000"/>
        </patternFill>
      </fill>
    </dxf>
    <dxf>
      <fill>
        <patternFill patternType="solid">
          <fgColor rgb="FFE6F2ED"/>
          <bgColor rgb="FF000000"/>
        </patternFill>
      </fill>
    </dxf>
    <dxf>
      <fill>
        <patternFill patternType="solid">
          <fgColor rgb="FFE7F3EE"/>
          <bgColor rgb="FF000000"/>
        </patternFill>
      </fill>
    </dxf>
    <dxf>
      <fill>
        <patternFill patternType="solid">
          <fgColor rgb="FFEBF5F1"/>
          <bgColor rgb="FF000000"/>
        </patternFill>
      </fill>
    </dxf>
    <dxf>
      <fill>
        <patternFill patternType="solid">
          <fgColor rgb="FFECF6F1"/>
          <bgColor rgb="FF000000"/>
        </patternFill>
      </fill>
    </dxf>
    <dxf>
      <fill>
        <patternFill patternType="solid">
          <fgColor rgb="FFEDF6F2"/>
          <bgColor rgb="FF000000"/>
        </patternFill>
      </fill>
    </dxf>
    <dxf>
      <fill>
        <patternFill patternType="solid">
          <fgColor rgb="FFF0F7F4"/>
          <bgColor rgb="FF000000"/>
        </patternFill>
      </fill>
    </dxf>
    <dxf>
      <fill>
        <patternFill patternType="solid">
          <fgColor rgb="FFF3F9F7"/>
          <bgColor rgb="FF000000"/>
        </patternFill>
      </fill>
    </dxf>
    <dxf>
      <fill>
        <patternFill patternType="solid">
          <fgColor rgb="FFF5FAF7"/>
          <bgColor rgb="FF000000"/>
        </patternFill>
      </fill>
    </dxf>
    <dxf>
      <fill>
        <patternFill patternType="solid">
          <fgColor rgb="FFF6FBF9"/>
          <bgColor rgb="FF000000"/>
        </patternFill>
      </fill>
    </dxf>
    <dxf>
      <fill>
        <patternFill patternType="solid">
          <fgColor rgb="FFF8D9DC"/>
          <bgColor rgb="FF000000"/>
        </patternFill>
      </fill>
    </dxf>
    <dxf>
      <fill>
        <patternFill patternType="solid">
          <fgColor rgb="FFF8DADC"/>
          <bgColor rgb="FF000000"/>
        </patternFill>
      </fill>
    </dxf>
    <dxf>
      <fill>
        <patternFill patternType="solid">
          <fgColor rgb="FFF8FBFA"/>
          <bgColor rgb="FF000000"/>
        </patternFill>
      </fill>
    </dxf>
    <dxf>
      <fill>
        <patternFill patternType="solid">
          <fgColor rgb="FFF9DCDF"/>
          <bgColor rgb="FF000000"/>
        </patternFill>
      </fill>
    </dxf>
    <dxf>
      <fill>
        <patternFill patternType="solid">
          <fgColor rgb="FFF9DDDF"/>
          <bgColor rgb="FF000000"/>
        </patternFill>
      </fill>
    </dxf>
    <dxf>
      <fill>
        <patternFill patternType="solid">
          <fgColor rgb="FFF9DDE0"/>
          <bgColor rgb="FF000000"/>
        </patternFill>
      </fill>
    </dxf>
    <dxf>
      <fill>
        <patternFill patternType="solid">
          <fgColor rgb="FFF9DEE0"/>
          <bgColor rgb="FF000000"/>
        </patternFill>
      </fill>
    </dxf>
    <dxf>
      <fill>
        <patternFill patternType="solid">
          <fgColor rgb="FFF9FCFA"/>
          <bgColor rgb="FF000000"/>
        </patternFill>
      </fill>
    </dxf>
    <dxf>
      <fill>
        <patternFill patternType="solid">
          <fgColor rgb="FFFAFDFC"/>
          <bgColor rgb="FF000000"/>
        </patternFill>
      </fill>
    </dxf>
    <dxf>
      <fill>
        <patternFill patternType="solid">
          <fgColor rgb="FFFBE9EB"/>
          <bgColor rgb="FF000000"/>
        </patternFill>
      </fill>
    </dxf>
    <dxf>
      <fill>
        <patternFill patternType="solid">
          <fgColor rgb="FFFCF1F2"/>
          <bgColor rgb="FF000000"/>
        </patternFill>
      </fill>
    </dxf>
    <dxf>
      <fill>
        <patternFill patternType="solid">
          <fgColor rgb="FFFCF3F4"/>
          <bgColor rgb="FF000000"/>
        </patternFill>
      </fill>
    </dxf>
    <dxf>
      <fill>
        <patternFill patternType="solid">
          <fgColor rgb="FFFCFEFD"/>
          <bgColor rgb="FF000000"/>
        </patternFill>
      </fill>
    </dxf>
    <dxf>
      <fill>
        <patternFill patternType="solid">
          <fgColor rgb="FFFDF3F4"/>
          <bgColor rgb="FF000000"/>
        </patternFill>
      </fill>
    </dxf>
    <dxf>
      <fill>
        <patternFill patternType="solid">
          <fgColor rgb="FFFDF5F5"/>
          <bgColor rgb="FF000000"/>
        </patternFill>
      </fill>
    </dxf>
    <dxf>
      <fill>
        <patternFill patternType="solid">
          <fgColor rgb="FFFDF8F9"/>
          <bgColor rgb="FF000000"/>
        </patternFill>
      </fill>
    </dxf>
    <dxf>
      <fill>
        <patternFill patternType="solid">
          <fgColor rgb="FFFEFBF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5F8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41.75" hidden="false" customHeight="false" outlineLevel="0" collapsed="false">
      <c r="A6" s="4" t="s">
        <v>4</v>
      </c>
    </row>
    <row r="7" customFormat="false" ht="28.3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28.3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28.3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28.35" hidden="false" customHeight="false" outlineLevel="0" collapsed="false">
      <c r="A15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28.35" hidden="false" customHeight="false" outlineLevel="0" collapsed="false">
      <c r="A18" s="4" t="s">
        <v>14</v>
      </c>
    </row>
    <row r="19" customFormat="false" ht="41.75" hidden="false" customHeight="false" outlineLevel="0" collapsed="false">
      <c r="A19" s="4" t="s">
        <v>15</v>
      </c>
    </row>
    <row r="20" customFormat="false" ht="28.35" hidden="false" customHeight="false" outlineLevel="0" collapsed="false">
      <c r="A20" s="4" t="s">
        <v>16</v>
      </c>
    </row>
    <row r="21" customFormat="false" ht="28.35" hidden="false" customHeight="false" outlineLevel="0" collapsed="false">
      <c r="A21" s="4" t="s">
        <v>17</v>
      </c>
    </row>
    <row r="23" customFormat="false" ht="15" hidden="false" customHeight="false" outlineLevel="0" collapsed="false">
      <c r="A23" s="3" t="s">
        <v>18</v>
      </c>
    </row>
    <row r="24" customFormat="false" ht="28.35" hidden="false" customHeight="false" outlineLevel="0" collapsed="false">
      <c r="A24" s="4" t="s">
        <v>19</v>
      </c>
    </row>
    <row r="25" customFormat="false" ht="55.2" hidden="false" customHeight="false" outlineLevel="0" collapsed="false">
      <c r="A25" s="4" t="s">
        <v>20</v>
      </c>
    </row>
    <row r="26" customFormat="false" ht="41.75" hidden="false" customHeight="false" outlineLevel="0" collapsed="false">
      <c r="A26" s="4" t="s">
        <v>21</v>
      </c>
    </row>
    <row r="28" customFormat="false" ht="15" hidden="false" customHeight="false" outlineLevel="0" collapsed="false">
      <c r="A28" s="3" t="s">
        <v>22</v>
      </c>
    </row>
    <row r="29" customFormat="false" ht="41.75" hidden="false" customHeight="false" outlineLevel="0" collapsed="false">
      <c r="A29" s="4" t="s">
        <v>23</v>
      </c>
    </row>
    <row r="30" customFormat="false" ht="28.35" hidden="false" customHeight="false" outlineLevel="0" collapsed="false">
      <c r="A30" s="4" t="s">
        <v>24</v>
      </c>
    </row>
    <row r="31" customFormat="false" ht="28.35" hidden="false" customHeight="false" outlineLevel="0" collapsed="false">
      <c r="A31" s="4" t="s">
        <v>25</v>
      </c>
    </row>
    <row r="32" customFormat="false" ht="28.35" hidden="false" customHeight="false" outlineLevel="0" collapsed="false">
      <c r="A32" s="4" t="s">
        <v>26</v>
      </c>
    </row>
    <row r="33" customFormat="false" ht="15" hidden="false" customHeight="false" outlineLevel="0" collapsed="false">
      <c r="A33" s="4" t="s">
        <v>27</v>
      </c>
    </row>
    <row r="35" customFormat="false" ht="15" hidden="false" customHeight="false" outlineLevel="0" collapsed="false">
      <c r="A35" s="3" t="s">
        <v>28</v>
      </c>
    </row>
    <row r="36" customFormat="false" ht="28.35" hidden="false" customHeight="false" outlineLevel="0" collapsed="false">
      <c r="A36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6"/>
    <col collapsed="false" customWidth="true" hidden="false" outlineLevel="0" max="17" min="4" style="0" width="11"/>
  </cols>
  <sheetData>
    <row r="1" customFormat="false" ht="17.35" hidden="false" customHeight="false" outlineLevel="0" collapsed="false">
      <c r="A1" s="1" t="s">
        <v>30</v>
      </c>
    </row>
    <row r="2" customFormat="false" ht="30" hidden="false" customHeight="true" outlineLevel="0" collapsed="false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customFormat="false" ht="15" hidden="false" customHeight="false" outlineLevel="0" collapsed="false">
      <c r="A4" s="6" t="s">
        <v>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5" hidden="false" customHeight="false" outlineLevel="0" collapsed="false">
      <c r="A5" s="0" t="s">
        <v>33</v>
      </c>
    </row>
    <row r="7" customFormat="false" ht="15" hidden="false" customHeight="false" outlineLevel="0" collapsed="false">
      <c r="A7" s="6" t="s">
        <v>34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customFormat="false" ht="15" hidden="false" customHeight="false" outlineLevel="0" collapsed="false">
      <c r="A8" s="3"/>
      <c r="B8" s="3" t="s">
        <v>35</v>
      </c>
      <c r="C8" s="3" t="s">
        <v>36</v>
      </c>
    </row>
    <row r="9" customFormat="false" ht="15" hidden="false" customHeight="false" outlineLevel="0" collapsed="false">
      <c r="A9" s="3" t="s">
        <v>37</v>
      </c>
      <c r="B9" s="4" t="s">
        <v>38</v>
      </c>
      <c r="C9" s="4" t="s">
        <v>39</v>
      </c>
    </row>
    <row r="10" customFormat="false" ht="15" hidden="false" customHeight="false" outlineLevel="0" collapsed="false">
      <c r="A10" s="3" t="s">
        <v>40</v>
      </c>
      <c r="B10" s="4" t="s">
        <v>41</v>
      </c>
      <c r="C10" s="4" t="s">
        <v>42</v>
      </c>
    </row>
    <row r="11" customFormat="false" ht="15" hidden="false" customHeight="false" outlineLevel="0" collapsed="false">
      <c r="A11" s="3" t="s">
        <v>43</v>
      </c>
      <c r="B11" s="4" t="s">
        <v>44</v>
      </c>
      <c r="C11" s="4" t="s">
        <v>45</v>
      </c>
    </row>
    <row r="12" customFormat="false" ht="15" hidden="false" customHeight="false" outlineLevel="0" collapsed="false">
      <c r="A12" s="3" t="s">
        <v>46</v>
      </c>
      <c r="B12" s="4" t="s">
        <v>47</v>
      </c>
      <c r="C12" s="4" t="s">
        <v>48</v>
      </c>
    </row>
    <row r="13" customFormat="false" ht="15" hidden="false" customHeight="false" outlineLevel="0" collapsed="false">
      <c r="A13" s="3" t="s">
        <v>49</v>
      </c>
      <c r="B13" s="4" t="s">
        <v>50</v>
      </c>
      <c r="C13" s="4" t="s">
        <v>51</v>
      </c>
    </row>
    <row r="14" customFormat="false" ht="15" hidden="false" customHeight="false" outlineLevel="0" collapsed="false">
      <c r="A14" s="3" t="s">
        <v>52</v>
      </c>
      <c r="B14" s="4" t="s">
        <v>53</v>
      </c>
      <c r="C14" s="4" t="s">
        <v>54</v>
      </c>
    </row>
    <row r="15" customFormat="false" ht="15" hidden="false" customHeight="false" outlineLevel="0" collapsed="false">
      <c r="A15" s="3" t="s">
        <v>55</v>
      </c>
      <c r="B15" s="4" t="s">
        <v>56</v>
      </c>
      <c r="C15" s="4" t="s">
        <v>56</v>
      </c>
    </row>
    <row r="16" customFormat="false" ht="105" hidden="false" customHeight="true" outlineLevel="0" collapsed="false">
      <c r="A16" s="3" t="s">
        <v>57</v>
      </c>
      <c r="B16" s="4" t="s">
        <v>58</v>
      </c>
      <c r="C16" s="4" t="s">
        <v>59</v>
      </c>
    </row>
    <row r="17" customFormat="false" ht="68.65" hidden="false" customHeight="false" outlineLevel="0" collapsed="false">
      <c r="A17" s="3" t="s">
        <v>60</v>
      </c>
      <c r="B17" s="4" t="s">
        <v>61</v>
      </c>
      <c r="C17" s="4" t="s">
        <v>62</v>
      </c>
    </row>
    <row r="18" customFormat="false" ht="150" hidden="false" customHeight="true" outlineLevel="0" collapsed="false">
      <c r="A18" s="3" t="s">
        <v>63</v>
      </c>
      <c r="B18" s="4" t="s">
        <v>64</v>
      </c>
      <c r="C18" s="4" t="s">
        <v>65</v>
      </c>
    </row>
    <row r="19" customFormat="false" ht="15" hidden="false" customHeight="false" outlineLevel="0" collapsed="false">
      <c r="A19" s="7" t="s">
        <v>66</v>
      </c>
      <c r="B19" s="7" t="s">
        <v>67</v>
      </c>
      <c r="C19" s="7" t="s">
        <v>68</v>
      </c>
      <c r="D19" s="7" t="s">
        <v>69</v>
      </c>
      <c r="E19" s="7" t="s">
        <v>70</v>
      </c>
      <c r="F19" s="7" t="s">
        <v>71</v>
      </c>
      <c r="G19" s="7" t="s">
        <v>72</v>
      </c>
      <c r="H19" s="7" t="s">
        <v>73</v>
      </c>
      <c r="I19" s="7" t="s">
        <v>74</v>
      </c>
      <c r="J19" s="7" t="s">
        <v>75</v>
      </c>
      <c r="K19" s="7" t="s">
        <v>76</v>
      </c>
      <c r="L19" s="7" t="s">
        <v>77</v>
      </c>
      <c r="M19" s="7" t="s">
        <v>78</v>
      </c>
      <c r="N19" s="7" t="s">
        <v>79</v>
      </c>
      <c r="O19" s="7" t="s">
        <v>80</v>
      </c>
      <c r="P19" s="7" t="s">
        <v>81</v>
      </c>
    </row>
    <row r="20" customFormat="false" ht="15" hidden="false" customHeight="false" outlineLevel="0" collapsed="false">
      <c r="A20" s="0" t="s">
        <v>82</v>
      </c>
      <c r="B20" s="0" t="s">
        <v>83</v>
      </c>
      <c r="C20" s="0" t="n">
        <v>5</v>
      </c>
      <c r="D20" s="0" t="s">
        <v>84</v>
      </c>
      <c r="E20" s="0" t="s">
        <v>85</v>
      </c>
      <c r="F20" s="0" t="s">
        <v>86</v>
      </c>
      <c r="G20" s="0" t="s">
        <v>87</v>
      </c>
      <c r="H20" s="0" t="s">
        <v>88</v>
      </c>
      <c r="I20" s="0" t="n">
        <v>5</v>
      </c>
      <c r="J20" s="0" t="s">
        <v>89</v>
      </c>
      <c r="K20" s="0" t="s">
        <v>90</v>
      </c>
      <c r="L20" s="0" t="s">
        <v>91</v>
      </c>
      <c r="M20" s="0" t="s">
        <v>92</v>
      </c>
      <c r="N20" s="0" t="s">
        <v>93</v>
      </c>
      <c r="O20" s="0" t="s">
        <v>94</v>
      </c>
      <c r="P20" s="0" t="s">
        <v>95</v>
      </c>
    </row>
    <row r="21" customFormat="false" ht="15" hidden="false" customHeight="false" outlineLevel="0" collapsed="false">
      <c r="A21" s="0" t="s">
        <v>96</v>
      </c>
      <c r="B21" s="0" t="s">
        <v>97</v>
      </c>
      <c r="C21" s="0" t="n">
        <v>5</v>
      </c>
      <c r="D21" s="0" t="s">
        <v>98</v>
      </c>
      <c r="E21" s="0" t="s">
        <v>99</v>
      </c>
      <c r="F21" s="0" t="s">
        <v>100</v>
      </c>
      <c r="G21" s="0" t="s">
        <v>101</v>
      </c>
      <c r="H21" s="0" t="s">
        <v>102</v>
      </c>
      <c r="I21" s="0" t="n">
        <v>5</v>
      </c>
      <c r="J21" s="0" t="s">
        <v>103</v>
      </c>
      <c r="K21" s="0" t="s">
        <v>104</v>
      </c>
      <c r="L21" s="0" t="s">
        <v>105</v>
      </c>
      <c r="M21" s="0" t="s">
        <v>106</v>
      </c>
      <c r="N21" s="0" t="s">
        <v>93</v>
      </c>
      <c r="O21" s="0" t="s">
        <v>107</v>
      </c>
      <c r="P21" s="0" t="s">
        <v>108</v>
      </c>
    </row>
    <row r="22" customFormat="false" ht="15" hidden="false" customHeight="false" outlineLevel="0" collapsed="false">
      <c r="A22" s="0" t="s">
        <v>109</v>
      </c>
      <c r="B22" s="0" t="s">
        <v>110</v>
      </c>
      <c r="C22" s="0" t="n">
        <v>0</v>
      </c>
      <c r="I22" s="0" t="n">
        <v>10</v>
      </c>
      <c r="J22" s="0" t="s">
        <v>111</v>
      </c>
      <c r="K22" s="0" t="s">
        <v>112</v>
      </c>
      <c r="L22" s="0" t="s">
        <v>113</v>
      </c>
      <c r="M22" s="0" t="s">
        <v>114</v>
      </c>
      <c r="N22" s="0" t="s">
        <v>115</v>
      </c>
      <c r="O22" s="0" t="s">
        <v>116</v>
      </c>
      <c r="P22" s="0" t="s">
        <v>117</v>
      </c>
    </row>
    <row r="23" customFormat="false" ht="15" hidden="false" customHeight="false" outlineLevel="0" collapsed="false">
      <c r="A23" s="0" t="s">
        <v>118</v>
      </c>
      <c r="B23" s="0" t="s">
        <v>119</v>
      </c>
      <c r="C23" s="0" t="n">
        <v>3</v>
      </c>
      <c r="D23" s="0" t="s">
        <v>120</v>
      </c>
      <c r="E23" s="0" t="s">
        <v>121</v>
      </c>
      <c r="F23" s="0" t="s">
        <v>122</v>
      </c>
      <c r="G23" s="0" t="s">
        <v>123</v>
      </c>
      <c r="H23" s="0" t="s">
        <v>124</v>
      </c>
      <c r="I23" s="0" t="n">
        <v>2</v>
      </c>
      <c r="J23" s="0" t="s">
        <v>125</v>
      </c>
      <c r="K23" s="0" t="s">
        <v>126</v>
      </c>
      <c r="L23" s="0" t="s">
        <v>127</v>
      </c>
      <c r="M23" s="0" t="s">
        <v>128</v>
      </c>
      <c r="N23" s="0" t="s">
        <v>129</v>
      </c>
      <c r="O23" s="0" t="s">
        <v>130</v>
      </c>
      <c r="P23" s="0" t="s">
        <v>117</v>
      </c>
    </row>
    <row r="24" customFormat="false" ht="15" hidden="false" customHeight="false" outlineLevel="0" collapsed="false">
      <c r="A24" s="0" t="s">
        <v>131</v>
      </c>
      <c r="B24" s="0" t="s">
        <v>119</v>
      </c>
      <c r="C24" s="0" t="n">
        <v>5</v>
      </c>
      <c r="D24" s="0" t="s">
        <v>103</v>
      </c>
      <c r="E24" s="0" t="s">
        <v>132</v>
      </c>
      <c r="F24" s="0" t="s">
        <v>133</v>
      </c>
      <c r="G24" s="0" t="s">
        <v>134</v>
      </c>
      <c r="H24" s="0" t="s">
        <v>135</v>
      </c>
      <c r="I24" s="0" t="n">
        <v>4</v>
      </c>
      <c r="J24" s="0" t="s">
        <v>136</v>
      </c>
      <c r="K24" s="0" t="s">
        <v>137</v>
      </c>
      <c r="L24" s="0" t="s">
        <v>138</v>
      </c>
      <c r="M24" s="0" t="s">
        <v>139</v>
      </c>
      <c r="N24" s="0" t="s">
        <v>140</v>
      </c>
      <c r="O24" s="0" t="s">
        <v>141</v>
      </c>
      <c r="P24" s="0" t="s">
        <v>117</v>
      </c>
    </row>
    <row r="25" customFormat="false" ht="15" hidden="false" customHeight="false" outlineLevel="0" collapsed="false">
      <c r="A25" s="0" t="s">
        <v>142</v>
      </c>
      <c r="B25" s="0" t="s">
        <v>119</v>
      </c>
      <c r="C25" s="0" t="n">
        <v>6</v>
      </c>
      <c r="D25" s="0" t="s">
        <v>143</v>
      </c>
      <c r="E25" s="0" t="s">
        <v>144</v>
      </c>
      <c r="F25" s="0" t="s">
        <v>145</v>
      </c>
      <c r="G25" s="0" t="s">
        <v>146</v>
      </c>
      <c r="H25" s="0" t="s">
        <v>147</v>
      </c>
      <c r="I25" s="0" t="n">
        <v>0</v>
      </c>
      <c r="O25" s="0" t="s">
        <v>148</v>
      </c>
      <c r="P25" s="0" t="s">
        <v>95</v>
      </c>
    </row>
    <row r="26" customFormat="false" ht="15" hidden="false" customHeight="false" outlineLevel="0" collapsed="false">
      <c r="A26" s="0" t="s">
        <v>149</v>
      </c>
      <c r="C26" s="0" t="n">
        <v>3</v>
      </c>
      <c r="D26" s="0" t="s">
        <v>150</v>
      </c>
      <c r="E26" s="0" t="s">
        <v>151</v>
      </c>
      <c r="F26" s="0" t="s">
        <v>152</v>
      </c>
      <c r="G26" s="0" t="s">
        <v>153</v>
      </c>
      <c r="H26" s="0" t="s">
        <v>154</v>
      </c>
      <c r="I26" s="0" t="n">
        <v>0</v>
      </c>
      <c r="O26" s="0" t="s">
        <v>155</v>
      </c>
      <c r="P26" s="0" t="s">
        <v>117</v>
      </c>
    </row>
    <row r="28" customFormat="false" ht="15" hidden="false" customHeight="false" outlineLevel="0" collapsed="false">
      <c r="A28" s="6" t="s">
        <v>156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customFormat="false" ht="15" hidden="false" customHeight="false" outlineLevel="0" collapsed="false">
      <c r="A29" s="0" t="s">
        <v>33</v>
      </c>
    </row>
    <row r="31" customFormat="false" ht="15" hidden="false" customHeight="false" outlineLevel="0" collapsed="false">
      <c r="A31" s="6" t="s">
        <v>157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customFormat="false" ht="15" hidden="false" customHeight="false" outlineLevel="0" collapsed="false">
      <c r="A32" s="3"/>
      <c r="B32" s="3" t="s">
        <v>158</v>
      </c>
      <c r="C32" s="3" t="s">
        <v>159</v>
      </c>
    </row>
    <row r="33" customFormat="false" ht="15" hidden="false" customHeight="false" outlineLevel="0" collapsed="false">
      <c r="A33" s="3" t="s">
        <v>37</v>
      </c>
      <c r="B33" s="4" t="s">
        <v>160</v>
      </c>
      <c r="C33" s="4" t="s">
        <v>161</v>
      </c>
    </row>
    <row r="34" customFormat="false" ht="15" hidden="false" customHeight="false" outlineLevel="0" collapsed="false">
      <c r="A34" s="3" t="s">
        <v>40</v>
      </c>
      <c r="B34" s="4" t="s">
        <v>162</v>
      </c>
      <c r="C34" s="4" t="s">
        <v>163</v>
      </c>
    </row>
    <row r="35" customFormat="false" ht="15" hidden="false" customHeight="false" outlineLevel="0" collapsed="false">
      <c r="A35" s="3" t="s">
        <v>43</v>
      </c>
      <c r="B35" s="4" t="s">
        <v>164</v>
      </c>
      <c r="C35" s="4" t="s">
        <v>165</v>
      </c>
    </row>
    <row r="36" customFormat="false" ht="15" hidden="false" customHeight="false" outlineLevel="0" collapsed="false">
      <c r="A36" s="3" t="s">
        <v>46</v>
      </c>
      <c r="B36" s="4" t="s">
        <v>166</v>
      </c>
      <c r="C36" s="4" t="s">
        <v>167</v>
      </c>
    </row>
    <row r="37" customFormat="false" ht="15" hidden="false" customHeight="false" outlineLevel="0" collapsed="false">
      <c r="A37" s="3" t="s">
        <v>49</v>
      </c>
      <c r="B37" s="4" t="s">
        <v>168</v>
      </c>
      <c r="C37" s="4" t="s">
        <v>169</v>
      </c>
    </row>
    <row r="38" customFormat="false" ht="15" hidden="false" customHeight="false" outlineLevel="0" collapsed="false">
      <c r="A38" s="3" t="s">
        <v>52</v>
      </c>
      <c r="B38" s="4" t="s">
        <v>170</v>
      </c>
      <c r="C38" s="4" t="s">
        <v>171</v>
      </c>
    </row>
    <row r="39" customFormat="false" ht="15" hidden="false" customHeight="false" outlineLevel="0" collapsed="false">
      <c r="A39" s="3" t="s">
        <v>55</v>
      </c>
      <c r="B39" s="4" t="s">
        <v>56</v>
      </c>
      <c r="C39" s="4" t="s">
        <v>56</v>
      </c>
    </row>
    <row r="40" customFormat="false" ht="105" hidden="false" customHeight="true" outlineLevel="0" collapsed="false">
      <c r="A40" s="3" t="s">
        <v>57</v>
      </c>
      <c r="B40" s="4" t="s">
        <v>172</v>
      </c>
      <c r="C40" s="4" t="s">
        <v>173</v>
      </c>
    </row>
    <row r="41" customFormat="false" ht="68.65" hidden="false" customHeight="false" outlineLevel="0" collapsed="false">
      <c r="A41" s="3" t="s">
        <v>60</v>
      </c>
      <c r="B41" s="4" t="s">
        <v>174</v>
      </c>
      <c r="C41" s="4" t="s">
        <v>175</v>
      </c>
    </row>
    <row r="42" customFormat="false" ht="150" hidden="false" customHeight="true" outlineLevel="0" collapsed="false">
      <c r="A42" s="3" t="s">
        <v>63</v>
      </c>
      <c r="B42" s="4" t="s">
        <v>176</v>
      </c>
      <c r="C42" s="4" t="s">
        <v>177</v>
      </c>
    </row>
    <row r="43" customFormat="false" ht="15" hidden="false" customHeight="false" outlineLevel="0" collapsed="false">
      <c r="A43" s="7" t="s">
        <v>66</v>
      </c>
      <c r="B43" s="7" t="s">
        <v>67</v>
      </c>
      <c r="C43" s="7" t="s">
        <v>68</v>
      </c>
      <c r="D43" s="7" t="s">
        <v>69</v>
      </c>
      <c r="E43" s="7" t="s">
        <v>70</v>
      </c>
      <c r="F43" s="7" t="s">
        <v>71</v>
      </c>
      <c r="G43" s="7" t="s">
        <v>72</v>
      </c>
      <c r="H43" s="7" t="s">
        <v>73</v>
      </c>
      <c r="I43" s="7" t="s">
        <v>74</v>
      </c>
      <c r="J43" s="7" t="s">
        <v>75</v>
      </c>
      <c r="K43" s="7" t="s">
        <v>76</v>
      </c>
      <c r="L43" s="7" t="s">
        <v>77</v>
      </c>
      <c r="M43" s="7" t="s">
        <v>78</v>
      </c>
      <c r="N43" s="7" t="s">
        <v>79</v>
      </c>
      <c r="O43" s="7" t="s">
        <v>80</v>
      </c>
      <c r="P43" s="7" t="s">
        <v>81</v>
      </c>
    </row>
    <row r="44" customFormat="false" ht="15" hidden="false" customHeight="false" outlineLevel="0" collapsed="false">
      <c r="A44" s="0" t="s">
        <v>131</v>
      </c>
      <c r="B44" s="0" t="s">
        <v>178</v>
      </c>
      <c r="C44" s="0" t="n">
        <v>12</v>
      </c>
      <c r="D44" s="0" t="s">
        <v>179</v>
      </c>
      <c r="E44" s="0" t="s">
        <v>180</v>
      </c>
      <c r="F44" s="0" t="s">
        <v>181</v>
      </c>
      <c r="G44" s="0" t="s">
        <v>182</v>
      </c>
      <c r="H44" s="0" t="s">
        <v>183</v>
      </c>
      <c r="I44" s="0" t="n">
        <v>9</v>
      </c>
      <c r="J44" s="0" t="s">
        <v>184</v>
      </c>
      <c r="K44" s="0" t="s">
        <v>185</v>
      </c>
      <c r="L44" s="0" t="s">
        <v>186</v>
      </c>
      <c r="M44" s="0" t="s">
        <v>187</v>
      </c>
      <c r="N44" s="0" t="s">
        <v>188</v>
      </c>
      <c r="O44" s="0" t="s">
        <v>189</v>
      </c>
      <c r="P44" s="0" t="s">
        <v>190</v>
      </c>
    </row>
    <row r="45" customFormat="false" ht="15" hidden="false" customHeight="false" outlineLevel="0" collapsed="false">
      <c r="A45" s="0" t="s">
        <v>118</v>
      </c>
      <c r="B45" s="0" t="s">
        <v>191</v>
      </c>
      <c r="C45" s="0" t="n">
        <v>17</v>
      </c>
      <c r="D45" s="0" t="s">
        <v>192</v>
      </c>
      <c r="E45" s="0" t="s">
        <v>193</v>
      </c>
      <c r="F45" s="0" t="s">
        <v>194</v>
      </c>
      <c r="G45" s="0" t="s">
        <v>195</v>
      </c>
      <c r="H45" s="0" t="s">
        <v>196</v>
      </c>
      <c r="I45" s="0" t="n">
        <v>9</v>
      </c>
      <c r="J45" s="0" t="s">
        <v>197</v>
      </c>
      <c r="K45" s="0" t="s">
        <v>198</v>
      </c>
      <c r="L45" s="0" t="s">
        <v>199</v>
      </c>
      <c r="M45" s="0" t="s">
        <v>200</v>
      </c>
      <c r="N45" s="0" t="s">
        <v>201</v>
      </c>
      <c r="O45" s="0" t="s">
        <v>202</v>
      </c>
      <c r="P45" s="0" t="s">
        <v>117</v>
      </c>
    </row>
    <row r="46" customFormat="false" ht="15" hidden="false" customHeight="false" outlineLevel="0" collapsed="false">
      <c r="A46" s="0" t="s">
        <v>82</v>
      </c>
      <c r="B46" s="0" t="s">
        <v>203</v>
      </c>
      <c r="C46" s="0" t="n">
        <v>9</v>
      </c>
      <c r="D46" s="0" t="s">
        <v>204</v>
      </c>
      <c r="E46" s="0" t="s">
        <v>205</v>
      </c>
      <c r="F46" s="0" t="s">
        <v>206</v>
      </c>
      <c r="G46" s="0" t="s">
        <v>207</v>
      </c>
      <c r="H46" s="0" t="s">
        <v>208</v>
      </c>
      <c r="I46" s="0" t="n">
        <v>3</v>
      </c>
      <c r="J46" s="0" t="s">
        <v>120</v>
      </c>
      <c r="K46" s="0" t="s">
        <v>209</v>
      </c>
      <c r="L46" s="0" t="s">
        <v>210</v>
      </c>
      <c r="M46" s="0" t="s">
        <v>211</v>
      </c>
      <c r="N46" s="0" t="s">
        <v>154</v>
      </c>
      <c r="O46" s="0" t="s">
        <v>212</v>
      </c>
      <c r="P46" s="0" t="s">
        <v>190</v>
      </c>
    </row>
    <row r="47" customFormat="false" ht="15" hidden="false" customHeight="false" outlineLevel="0" collapsed="false">
      <c r="A47" s="0" t="s">
        <v>109</v>
      </c>
      <c r="B47" s="0" t="s">
        <v>119</v>
      </c>
      <c r="C47" s="0" t="n">
        <v>10</v>
      </c>
      <c r="D47" s="0" t="s">
        <v>213</v>
      </c>
      <c r="E47" s="0" t="s">
        <v>214</v>
      </c>
      <c r="F47" s="0" t="s">
        <v>215</v>
      </c>
      <c r="G47" s="0" t="s">
        <v>216</v>
      </c>
      <c r="H47" s="0" t="s">
        <v>115</v>
      </c>
      <c r="I47" s="0" t="n">
        <v>5</v>
      </c>
      <c r="J47" s="0" t="s">
        <v>89</v>
      </c>
      <c r="K47" s="0" t="s">
        <v>217</v>
      </c>
      <c r="L47" s="0" t="s">
        <v>153</v>
      </c>
      <c r="M47" s="0" t="s">
        <v>218</v>
      </c>
      <c r="N47" s="0" t="s">
        <v>219</v>
      </c>
      <c r="O47" s="0" t="s">
        <v>220</v>
      </c>
      <c r="P47" s="0" t="s">
        <v>117</v>
      </c>
    </row>
    <row r="48" customFormat="false" ht="15" hidden="false" customHeight="false" outlineLevel="0" collapsed="false">
      <c r="A48" s="0" t="s">
        <v>142</v>
      </c>
      <c r="B48" s="0" t="s">
        <v>119</v>
      </c>
      <c r="C48" s="0" t="n">
        <v>12</v>
      </c>
      <c r="D48" s="0" t="s">
        <v>221</v>
      </c>
      <c r="E48" s="0" t="s">
        <v>222</v>
      </c>
      <c r="F48" s="0" t="s">
        <v>223</v>
      </c>
      <c r="G48" s="0" t="s">
        <v>224</v>
      </c>
      <c r="H48" s="0" t="s">
        <v>225</v>
      </c>
      <c r="I48" s="0" t="n">
        <v>7</v>
      </c>
      <c r="J48" s="0" t="s">
        <v>226</v>
      </c>
      <c r="K48" s="0" t="s">
        <v>227</v>
      </c>
      <c r="L48" s="0" t="s">
        <v>228</v>
      </c>
      <c r="M48" s="0" t="s">
        <v>229</v>
      </c>
      <c r="N48" s="0" t="s">
        <v>230</v>
      </c>
      <c r="O48" s="0" t="s">
        <v>231</v>
      </c>
      <c r="P48" s="0" t="s">
        <v>95</v>
      </c>
    </row>
    <row r="49" customFormat="false" ht="15" hidden="false" customHeight="false" outlineLevel="0" collapsed="false">
      <c r="A49" s="0" t="s">
        <v>149</v>
      </c>
      <c r="B49" s="0" t="s">
        <v>232</v>
      </c>
      <c r="C49" s="0" t="n">
        <v>3</v>
      </c>
      <c r="D49" s="0" t="s">
        <v>120</v>
      </c>
      <c r="E49" s="0" t="s">
        <v>121</v>
      </c>
      <c r="F49" s="0" t="s">
        <v>233</v>
      </c>
      <c r="G49" s="0" t="s">
        <v>234</v>
      </c>
      <c r="H49" s="0" t="s">
        <v>235</v>
      </c>
      <c r="I49" s="0" t="n">
        <v>1</v>
      </c>
      <c r="J49" s="0" t="s">
        <v>236</v>
      </c>
      <c r="K49" s="0" t="s">
        <v>237</v>
      </c>
      <c r="L49" s="0" t="s">
        <v>238</v>
      </c>
      <c r="M49" s="0" t="s">
        <v>239</v>
      </c>
      <c r="N49" s="0" t="s">
        <v>240</v>
      </c>
      <c r="O49" s="0" t="s">
        <v>241</v>
      </c>
      <c r="P49" s="0" t="s">
        <v>117</v>
      </c>
    </row>
    <row r="50" customFormat="false" ht="15" hidden="false" customHeight="false" outlineLevel="0" collapsed="false">
      <c r="A50" s="0" t="s">
        <v>96</v>
      </c>
      <c r="C50" s="0" t="n">
        <v>0</v>
      </c>
      <c r="I50" s="0" t="n">
        <v>5</v>
      </c>
      <c r="J50" s="0" t="s">
        <v>84</v>
      </c>
      <c r="K50" s="0" t="s">
        <v>242</v>
      </c>
      <c r="L50" s="0" t="s">
        <v>243</v>
      </c>
      <c r="M50" s="0" t="s">
        <v>244</v>
      </c>
      <c r="N50" s="0" t="s">
        <v>102</v>
      </c>
      <c r="O50" s="0" t="s">
        <v>245</v>
      </c>
      <c r="P50" s="0" t="s">
        <v>190</v>
      </c>
    </row>
    <row r="52" customFormat="false" ht="15" hidden="false" customHeight="false" outlineLevel="0" collapsed="false">
      <c r="A52" s="6" t="s">
        <v>246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customFormat="false" ht="15" hidden="false" customHeight="false" outlineLevel="0" collapsed="false">
      <c r="A53" s="3"/>
      <c r="B53" s="3" t="s">
        <v>247</v>
      </c>
      <c r="C53" s="3" t="s">
        <v>248</v>
      </c>
    </row>
    <row r="54" customFormat="false" ht="15" hidden="false" customHeight="false" outlineLevel="0" collapsed="false">
      <c r="A54" s="3" t="s">
        <v>37</v>
      </c>
      <c r="B54" s="4" t="s">
        <v>249</v>
      </c>
      <c r="C54" s="4" t="s">
        <v>250</v>
      </c>
    </row>
    <row r="55" customFormat="false" ht="15" hidden="false" customHeight="false" outlineLevel="0" collapsed="false">
      <c r="A55" s="3" t="s">
        <v>40</v>
      </c>
      <c r="B55" s="4" t="s">
        <v>251</v>
      </c>
      <c r="C55" s="4" t="s">
        <v>252</v>
      </c>
    </row>
    <row r="56" customFormat="false" ht="15" hidden="false" customHeight="false" outlineLevel="0" collapsed="false">
      <c r="A56" s="3" t="s">
        <v>43</v>
      </c>
      <c r="B56" s="4" t="s">
        <v>253</v>
      </c>
      <c r="C56" s="4" t="s">
        <v>254</v>
      </c>
    </row>
    <row r="57" customFormat="false" ht="15" hidden="false" customHeight="false" outlineLevel="0" collapsed="false">
      <c r="A57" s="3" t="s">
        <v>46</v>
      </c>
      <c r="B57" s="4" t="s">
        <v>255</v>
      </c>
      <c r="C57" s="4" t="s">
        <v>256</v>
      </c>
    </row>
    <row r="58" customFormat="false" ht="15" hidden="false" customHeight="false" outlineLevel="0" collapsed="false">
      <c r="A58" s="3" t="s">
        <v>49</v>
      </c>
      <c r="B58" s="4" t="s">
        <v>257</v>
      </c>
      <c r="C58" s="4" t="s">
        <v>258</v>
      </c>
    </row>
    <row r="59" customFormat="false" ht="15" hidden="false" customHeight="false" outlineLevel="0" collapsed="false">
      <c r="A59" s="3" t="s">
        <v>52</v>
      </c>
      <c r="B59" s="4" t="s">
        <v>259</v>
      </c>
      <c r="C59" s="4" t="s">
        <v>260</v>
      </c>
    </row>
    <row r="60" customFormat="false" ht="15" hidden="false" customHeight="false" outlineLevel="0" collapsed="false">
      <c r="A60" s="3" t="s">
        <v>55</v>
      </c>
      <c r="B60" s="4" t="s">
        <v>261</v>
      </c>
      <c r="C60" s="4" t="s">
        <v>262</v>
      </c>
    </row>
    <row r="61" customFormat="false" ht="105" hidden="false" customHeight="true" outlineLevel="0" collapsed="false">
      <c r="A61" s="3" t="s">
        <v>57</v>
      </c>
      <c r="B61" s="4" t="s">
        <v>263</v>
      </c>
      <c r="C61" s="4" t="s">
        <v>264</v>
      </c>
    </row>
    <row r="62" customFormat="false" ht="68.65" hidden="false" customHeight="false" outlineLevel="0" collapsed="false">
      <c r="A62" s="3" t="s">
        <v>60</v>
      </c>
      <c r="B62" s="4" t="s">
        <v>265</v>
      </c>
      <c r="C62" s="4" t="s">
        <v>266</v>
      </c>
    </row>
    <row r="63" customFormat="false" ht="150" hidden="false" customHeight="true" outlineLevel="0" collapsed="false">
      <c r="A63" s="3" t="s">
        <v>63</v>
      </c>
      <c r="B63" s="4" t="s">
        <v>267</v>
      </c>
      <c r="C63" s="4" t="s">
        <v>268</v>
      </c>
    </row>
    <row r="64" customFormat="false" ht="15" hidden="false" customHeight="false" outlineLevel="0" collapsed="false">
      <c r="A64" s="7" t="s">
        <v>66</v>
      </c>
      <c r="B64" s="7" t="s">
        <v>67</v>
      </c>
      <c r="C64" s="7" t="s">
        <v>68</v>
      </c>
      <c r="D64" s="7" t="s">
        <v>69</v>
      </c>
      <c r="E64" s="7" t="s">
        <v>70</v>
      </c>
      <c r="F64" s="7" t="s">
        <v>71</v>
      </c>
      <c r="G64" s="7" t="s">
        <v>72</v>
      </c>
      <c r="H64" s="7" t="s">
        <v>73</v>
      </c>
      <c r="I64" s="7" t="s">
        <v>74</v>
      </c>
      <c r="J64" s="7" t="s">
        <v>75</v>
      </c>
      <c r="K64" s="7" t="s">
        <v>76</v>
      </c>
      <c r="L64" s="7" t="s">
        <v>77</v>
      </c>
      <c r="M64" s="7" t="s">
        <v>78</v>
      </c>
      <c r="N64" s="7" t="s">
        <v>79</v>
      </c>
      <c r="O64" s="7" t="s">
        <v>80</v>
      </c>
      <c r="P64" s="7" t="s">
        <v>81</v>
      </c>
    </row>
    <row r="65" customFormat="false" ht="15" hidden="false" customHeight="false" outlineLevel="0" collapsed="false">
      <c r="A65" s="0" t="s">
        <v>82</v>
      </c>
      <c r="B65" s="0" t="s">
        <v>269</v>
      </c>
      <c r="C65" s="0" t="n">
        <v>14</v>
      </c>
      <c r="D65" s="0" t="s">
        <v>270</v>
      </c>
      <c r="E65" s="0" t="s">
        <v>253</v>
      </c>
      <c r="F65" s="0" t="s">
        <v>271</v>
      </c>
      <c r="G65" s="0" t="s">
        <v>272</v>
      </c>
      <c r="H65" s="0" t="s">
        <v>273</v>
      </c>
      <c r="I65" s="0" t="n">
        <v>17</v>
      </c>
      <c r="J65" s="0" t="s">
        <v>274</v>
      </c>
      <c r="K65" s="0" t="s">
        <v>275</v>
      </c>
      <c r="L65" s="0" t="s">
        <v>276</v>
      </c>
      <c r="M65" s="0" t="s">
        <v>277</v>
      </c>
      <c r="N65" s="0" t="s">
        <v>278</v>
      </c>
      <c r="O65" s="0" t="s">
        <v>231</v>
      </c>
      <c r="P65" s="0" t="s">
        <v>95</v>
      </c>
    </row>
    <row r="66" customFormat="false" ht="15" hidden="false" customHeight="false" outlineLevel="0" collapsed="false">
      <c r="A66" s="0" t="s">
        <v>96</v>
      </c>
      <c r="B66" s="0" t="s">
        <v>279</v>
      </c>
      <c r="C66" s="0" t="n">
        <v>14</v>
      </c>
      <c r="D66" s="0" t="s">
        <v>280</v>
      </c>
      <c r="E66" s="0" t="s">
        <v>281</v>
      </c>
      <c r="F66" s="0" t="s">
        <v>114</v>
      </c>
      <c r="G66" s="0" t="s">
        <v>272</v>
      </c>
      <c r="H66" s="0" t="s">
        <v>282</v>
      </c>
      <c r="I66" s="0" t="n">
        <v>18</v>
      </c>
      <c r="J66" s="0" t="s">
        <v>283</v>
      </c>
      <c r="K66" s="0" t="s">
        <v>284</v>
      </c>
      <c r="L66" s="0" t="s">
        <v>285</v>
      </c>
      <c r="M66" s="0" t="s">
        <v>286</v>
      </c>
      <c r="N66" s="0" t="s">
        <v>287</v>
      </c>
      <c r="O66" s="0" t="s">
        <v>288</v>
      </c>
      <c r="P66" s="0" t="s">
        <v>289</v>
      </c>
    </row>
    <row r="67" customFormat="false" ht="15" hidden="false" customHeight="false" outlineLevel="0" collapsed="false">
      <c r="A67" s="0" t="s">
        <v>142</v>
      </c>
      <c r="B67" s="0" t="s">
        <v>290</v>
      </c>
      <c r="C67" s="0" t="n">
        <v>18</v>
      </c>
      <c r="D67" s="0" t="s">
        <v>291</v>
      </c>
      <c r="E67" s="0" t="s">
        <v>193</v>
      </c>
      <c r="F67" s="0" t="s">
        <v>292</v>
      </c>
      <c r="G67" s="0" t="s">
        <v>293</v>
      </c>
      <c r="H67" s="0" t="s">
        <v>294</v>
      </c>
      <c r="I67" s="0" t="n">
        <v>16</v>
      </c>
      <c r="J67" s="0" t="s">
        <v>295</v>
      </c>
      <c r="K67" s="0" t="s">
        <v>296</v>
      </c>
      <c r="L67" s="0" t="s">
        <v>239</v>
      </c>
      <c r="M67" s="0" t="s">
        <v>297</v>
      </c>
      <c r="N67" s="0" t="s">
        <v>298</v>
      </c>
      <c r="O67" s="0" t="s">
        <v>299</v>
      </c>
      <c r="P67" s="0" t="s">
        <v>117</v>
      </c>
    </row>
    <row r="68" customFormat="false" ht="15" hidden="false" customHeight="false" outlineLevel="0" collapsed="false">
      <c r="A68" s="0" t="s">
        <v>131</v>
      </c>
      <c r="B68" s="0" t="s">
        <v>300</v>
      </c>
      <c r="C68" s="0" t="n">
        <v>5</v>
      </c>
      <c r="D68" s="0" t="s">
        <v>89</v>
      </c>
      <c r="E68" s="0" t="s">
        <v>301</v>
      </c>
      <c r="F68" s="0" t="s">
        <v>100</v>
      </c>
      <c r="G68" s="0" t="s">
        <v>302</v>
      </c>
      <c r="H68" s="0" t="s">
        <v>135</v>
      </c>
      <c r="I68" s="0" t="n">
        <v>17</v>
      </c>
      <c r="J68" s="0" t="s">
        <v>303</v>
      </c>
      <c r="K68" s="0" t="s">
        <v>304</v>
      </c>
      <c r="L68" s="0" t="s">
        <v>305</v>
      </c>
      <c r="M68" s="0" t="s">
        <v>306</v>
      </c>
      <c r="N68" s="0" t="s">
        <v>307</v>
      </c>
      <c r="O68" s="0" t="s">
        <v>308</v>
      </c>
      <c r="P68" s="0" t="s">
        <v>117</v>
      </c>
    </row>
    <row r="69" customFormat="false" ht="15" hidden="false" customHeight="false" outlineLevel="0" collapsed="false">
      <c r="A69" s="0" t="s">
        <v>149</v>
      </c>
      <c r="B69" s="0" t="s">
        <v>309</v>
      </c>
      <c r="C69" s="0" t="n">
        <v>1</v>
      </c>
      <c r="D69" s="0" t="s">
        <v>236</v>
      </c>
      <c r="E69" s="0" t="s">
        <v>310</v>
      </c>
      <c r="F69" s="0" t="s">
        <v>145</v>
      </c>
      <c r="G69" s="0" t="s">
        <v>311</v>
      </c>
      <c r="H69" s="0" t="s">
        <v>312</v>
      </c>
      <c r="I69" s="0" t="n">
        <v>12</v>
      </c>
      <c r="J69" s="0" t="s">
        <v>313</v>
      </c>
      <c r="K69" s="0" t="s">
        <v>193</v>
      </c>
      <c r="L69" s="0" t="s">
        <v>314</v>
      </c>
      <c r="M69" s="0" t="s">
        <v>315</v>
      </c>
      <c r="N69" s="0" t="s">
        <v>316</v>
      </c>
      <c r="O69" s="0" t="s">
        <v>317</v>
      </c>
      <c r="P69" s="0" t="s">
        <v>117</v>
      </c>
    </row>
    <row r="70" customFormat="false" ht="15" hidden="false" customHeight="false" outlineLevel="0" collapsed="false">
      <c r="A70" s="0" t="s">
        <v>109</v>
      </c>
      <c r="B70" s="0" t="s">
        <v>309</v>
      </c>
      <c r="C70" s="0" t="n">
        <v>9</v>
      </c>
      <c r="D70" s="0" t="s">
        <v>318</v>
      </c>
      <c r="E70" s="0" t="s">
        <v>319</v>
      </c>
      <c r="F70" s="0" t="s">
        <v>320</v>
      </c>
      <c r="G70" s="0" t="s">
        <v>321</v>
      </c>
      <c r="H70" s="0" t="s">
        <v>322</v>
      </c>
      <c r="I70" s="0" t="n">
        <v>11</v>
      </c>
      <c r="J70" s="0" t="s">
        <v>323</v>
      </c>
      <c r="K70" s="0" t="s">
        <v>284</v>
      </c>
      <c r="L70" s="0" t="s">
        <v>292</v>
      </c>
      <c r="M70" s="0" t="s">
        <v>324</v>
      </c>
      <c r="N70" s="0" t="s">
        <v>325</v>
      </c>
      <c r="O70" s="0" t="s">
        <v>326</v>
      </c>
      <c r="P70" s="0" t="s">
        <v>327</v>
      </c>
    </row>
    <row r="71" customFormat="false" ht="15" hidden="false" customHeight="false" outlineLevel="0" collapsed="false">
      <c r="A71" s="0" t="s">
        <v>118</v>
      </c>
      <c r="C71" s="0" t="n">
        <v>8</v>
      </c>
      <c r="D71" s="0" t="s">
        <v>328</v>
      </c>
      <c r="E71" s="0" t="s">
        <v>329</v>
      </c>
      <c r="F71" s="0" t="s">
        <v>330</v>
      </c>
      <c r="G71" s="0" t="s">
        <v>331</v>
      </c>
      <c r="H71" s="0" t="s">
        <v>332</v>
      </c>
      <c r="I71" s="0" t="n">
        <v>0</v>
      </c>
      <c r="O71" s="0" t="s">
        <v>333</v>
      </c>
      <c r="P71" s="0" t="s">
        <v>117</v>
      </c>
    </row>
    <row r="73" customFormat="false" ht="15" hidden="false" customHeight="false" outlineLevel="0" collapsed="false">
      <c r="A73" s="6" t="s">
        <v>334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customFormat="false" ht="15" hidden="false" customHeight="false" outlineLevel="0" collapsed="false">
      <c r="A74" s="3"/>
      <c r="B74" s="3" t="s">
        <v>335</v>
      </c>
      <c r="C74" s="3" t="s">
        <v>336</v>
      </c>
    </row>
    <row r="75" customFormat="false" ht="15" hidden="false" customHeight="false" outlineLevel="0" collapsed="false">
      <c r="A75" s="3" t="s">
        <v>37</v>
      </c>
      <c r="B75" s="4" t="s">
        <v>337</v>
      </c>
      <c r="C75" s="4" t="s">
        <v>338</v>
      </c>
    </row>
    <row r="76" customFormat="false" ht="15" hidden="false" customHeight="false" outlineLevel="0" collapsed="false">
      <c r="A76" s="3" t="s">
        <v>40</v>
      </c>
      <c r="B76" s="4" t="s">
        <v>339</v>
      </c>
      <c r="C76" s="4" t="s">
        <v>340</v>
      </c>
    </row>
    <row r="77" customFormat="false" ht="15" hidden="false" customHeight="false" outlineLevel="0" collapsed="false">
      <c r="A77" s="3" t="s">
        <v>43</v>
      </c>
      <c r="B77" s="4" t="s">
        <v>341</v>
      </c>
      <c r="C77" s="4" t="s">
        <v>342</v>
      </c>
    </row>
    <row r="78" customFormat="false" ht="15" hidden="false" customHeight="false" outlineLevel="0" collapsed="false">
      <c r="A78" s="3" t="s">
        <v>46</v>
      </c>
      <c r="B78" s="4" t="s">
        <v>343</v>
      </c>
      <c r="C78" s="4" t="s">
        <v>344</v>
      </c>
    </row>
    <row r="79" customFormat="false" ht="15" hidden="false" customHeight="false" outlineLevel="0" collapsed="false">
      <c r="A79" s="3" t="s">
        <v>49</v>
      </c>
      <c r="B79" s="4" t="s">
        <v>345</v>
      </c>
      <c r="C79" s="4" t="s">
        <v>346</v>
      </c>
    </row>
    <row r="80" customFormat="false" ht="15" hidden="false" customHeight="false" outlineLevel="0" collapsed="false">
      <c r="A80" s="3" t="s">
        <v>52</v>
      </c>
      <c r="B80" s="4" t="s">
        <v>347</v>
      </c>
      <c r="C80" s="4" t="s">
        <v>348</v>
      </c>
    </row>
    <row r="81" customFormat="false" ht="15" hidden="false" customHeight="false" outlineLevel="0" collapsed="false">
      <c r="A81" s="3" t="s">
        <v>55</v>
      </c>
      <c r="B81" s="4" t="s">
        <v>56</v>
      </c>
      <c r="C81" s="4" t="s">
        <v>56</v>
      </c>
    </row>
    <row r="82" customFormat="false" ht="105" hidden="false" customHeight="true" outlineLevel="0" collapsed="false">
      <c r="A82" s="3" t="s">
        <v>57</v>
      </c>
      <c r="B82" s="4" t="s">
        <v>349</v>
      </c>
      <c r="C82" s="4" t="s">
        <v>350</v>
      </c>
    </row>
    <row r="83" customFormat="false" ht="68.65" hidden="false" customHeight="false" outlineLevel="0" collapsed="false">
      <c r="A83" s="3" t="s">
        <v>60</v>
      </c>
      <c r="B83" s="4" t="s">
        <v>351</v>
      </c>
      <c r="C83" s="4" t="s">
        <v>352</v>
      </c>
    </row>
    <row r="84" customFormat="false" ht="150" hidden="false" customHeight="true" outlineLevel="0" collapsed="false">
      <c r="A84" s="3" t="s">
        <v>63</v>
      </c>
      <c r="B84" s="4" t="s">
        <v>353</v>
      </c>
      <c r="C84" s="4" t="s">
        <v>354</v>
      </c>
    </row>
    <row r="85" customFormat="false" ht="15" hidden="false" customHeight="false" outlineLevel="0" collapsed="false">
      <c r="A85" s="7" t="s">
        <v>66</v>
      </c>
      <c r="B85" s="7" t="s">
        <v>67</v>
      </c>
      <c r="C85" s="7" t="s">
        <v>68</v>
      </c>
      <c r="D85" s="7" t="s">
        <v>69</v>
      </c>
      <c r="E85" s="7" t="s">
        <v>70</v>
      </c>
      <c r="F85" s="7" t="s">
        <v>71</v>
      </c>
      <c r="G85" s="7" t="s">
        <v>72</v>
      </c>
      <c r="H85" s="7" t="s">
        <v>73</v>
      </c>
      <c r="I85" s="7" t="s">
        <v>74</v>
      </c>
      <c r="J85" s="7" t="s">
        <v>75</v>
      </c>
      <c r="K85" s="7" t="s">
        <v>76</v>
      </c>
      <c r="L85" s="7" t="s">
        <v>77</v>
      </c>
      <c r="M85" s="7" t="s">
        <v>78</v>
      </c>
      <c r="N85" s="7" t="s">
        <v>79</v>
      </c>
      <c r="O85" s="7" t="s">
        <v>80</v>
      </c>
      <c r="P85" s="7" t="s">
        <v>81</v>
      </c>
    </row>
    <row r="86" customFormat="false" ht="15" hidden="false" customHeight="false" outlineLevel="0" collapsed="false">
      <c r="A86" s="0" t="s">
        <v>142</v>
      </c>
      <c r="B86" s="0" t="s">
        <v>355</v>
      </c>
      <c r="C86" s="0" t="n">
        <v>10</v>
      </c>
      <c r="D86" s="0" t="s">
        <v>356</v>
      </c>
      <c r="E86" s="0" t="s">
        <v>301</v>
      </c>
      <c r="F86" s="0" t="s">
        <v>357</v>
      </c>
      <c r="G86" s="0" t="s">
        <v>358</v>
      </c>
      <c r="H86" s="0" t="s">
        <v>359</v>
      </c>
      <c r="I86" s="0" t="n">
        <v>9</v>
      </c>
      <c r="J86" s="0" t="s">
        <v>318</v>
      </c>
      <c r="K86" s="0" t="s">
        <v>209</v>
      </c>
      <c r="L86" s="0" t="s">
        <v>315</v>
      </c>
      <c r="M86" s="0" t="s">
        <v>138</v>
      </c>
      <c r="N86" s="0" t="s">
        <v>360</v>
      </c>
      <c r="O86" s="0" t="s">
        <v>94</v>
      </c>
      <c r="P86" s="0" t="s">
        <v>95</v>
      </c>
    </row>
    <row r="87" customFormat="false" ht="15" hidden="false" customHeight="false" outlineLevel="0" collapsed="false">
      <c r="A87" s="0" t="s">
        <v>96</v>
      </c>
      <c r="B87" s="0" t="s">
        <v>97</v>
      </c>
      <c r="C87" s="0" t="n">
        <v>8</v>
      </c>
      <c r="D87" s="0" t="s">
        <v>328</v>
      </c>
      <c r="E87" s="0" t="s">
        <v>361</v>
      </c>
      <c r="F87" s="0" t="s">
        <v>362</v>
      </c>
      <c r="G87" s="0" t="s">
        <v>105</v>
      </c>
      <c r="H87" s="0" t="s">
        <v>363</v>
      </c>
      <c r="I87" s="0" t="n">
        <v>9</v>
      </c>
      <c r="J87" s="0" t="s">
        <v>197</v>
      </c>
      <c r="K87" s="0" t="s">
        <v>193</v>
      </c>
      <c r="L87" s="0" t="s">
        <v>286</v>
      </c>
      <c r="M87" s="0" t="s">
        <v>200</v>
      </c>
      <c r="N87" s="0" t="s">
        <v>201</v>
      </c>
      <c r="O87" s="0" t="s">
        <v>364</v>
      </c>
      <c r="P87" s="0" t="s">
        <v>365</v>
      </c>
    </row>
    <row r="88" customFormat="false" ht="15" hidden="false" customHeight="false" outlineLevel="0" collapsed="false">
      <c r="A88" s="0" t="s">
        <v>149</v>
      </c>
      <c r="B88" s="0" t="s">
        <v>110</v>
      </c>
      <c r="C88" s="0" t="n">
        <v>12</v>
      </c>
      <c r="D88" s="0" t="s">
        <v>366</v>
      </c>
      <c r="E88" s="0" t="s">
        <v>367</v>
      </c>
      <c r="F88" s="0" t="s">
        <v>368</v>
      </c>
      <c r="G88" s="0" t="s">
        <v>146</v>
      </c>
      <c r="H88" s="0" t="s">
        <v>369</v>
      </c>
      <c r="I88" s="0" t="n">
        <v>5</v>
      </c>
      <c r="J88" s="0" t="s">
        <v>370</v>
      </c>
      <c r="K88" s="0" t="s">
        <v>222</v>
      </c>
      <c r="L88" s="0" t="s">
        <v>371</v>
      </c>
      <c r="M88" s="0" t="s">
        <v>239</v>
      </c>
      <c r="N88" s="0" t="s">
        <v>219</v>
      </c>
      <c r="O88" s="0" t="s">
        <v>372</v>
      </c>
      <c r="P88" s="0" t="s">
        <v>190</v>
      </c>
    </row>
    <row r="89" customFormat="false" ht="15" hidden="false" customHeight="false" outlineLevel="0" collapsed="false">
      <c r="A89" s="0" t="s">
        <v>131</v>
      </c>
      <c r="B89" s="0" t="s">
        <v>373</v>
      </c>
      <c r="C89" s="0" t="n">
        <v>13</v>
      </c>
      <c r="D89" s="0" t="s">
        <v>374</v>
      </c>
      <c r="E89" s="0" t="s">
        <v>375</v>
      </c>
      <c r="F89" s="0" t="s">
        <v>376</v>
      </c>
      <c r="G89" s="0" t="s">
        <v>292</v>
      </c>
      <c r="H89" s="0" t="s">
        <v>377</v>
      </c>
      <c r="I89" s="0" t="n">
        <v>8</v>
      </c>
      <c r="J89" s="0" t="s">
        <v>378</v>
      </c>
      <c r="K89" s="0" t="s">
        <v>375</v>
      </c>
      <c r="L89" s="0" t="s">
        <v>215</v>
      </c>
      <c r="M89" s="0" t="s">
        <v>379</v>
      </c>
      <c r="N89" s="0" t="s">
        <v>380</v>
      </c>
      <c r="O89" s="0" t="s">
        <v>381</v>
      </c>
      <c r="P89" s="0" t="s">
        <v>117</v>
      </c>
    </row>
    <row r="90" customFormat="false" ht="15" hidden="false" customHeight="false" outlineLevel="0" collapsed="false">
      <c r="A90" s="0" t="s">
        <v>109</v>
      </c>
      <c r="B90" s="0" t="s">
        <v>300</v>
      </c>
      <c r="C90" s="0" t="n">
        <v>7</v>
      </c>
      <c r="D90" s="0" t="s">
        <v>382</v>
      </c>
      <c r="E90" s="0" t="s">
        <v>383</v>
      </c>
      <c r="F90" s="0" t="s">
        <v>384</v>
      </c>
      <c r="G90" s="0" t="s">
        <v>385</v>
      </c>
      <c r="H90" s="0" t="s">
        <v>386</v>
      </c>
      <c r="I90" s="0" t="n">
        <v>5</v>
      </c>
      <c r="J90" s="0" t="s">
        <v>89</v>
      </c>
      <c r="K90" s="0" t="s">
        <v>165</v>
      </c>
      <c r="L90" s="0" t="s">
        <v>387</v>
      </c>
      <c r="M90" s="0" t="s">
        <v>388</v>
      </c>
      <c r="N90" s="0" t="s">
        <v>88</v>
      </c>
      <c r="O90" s="0" t="s">
        <v>389</v>
      </c>
      <c r="P90" s="0" t="s">
        <v>95</v>
      </c>
    </row>
    <row r="91" customFormat="false" ht="15" hidden="false" customHeight="false" outlineLevel="0" collapsed="false">
      <c r="A91" s="0" t="s">
        <v>82</v>
      </c>
      <c r="B91" s="0" t="s">
        <v>119</v>
      </c>
      <c r="C91" s="0" t="n">
        <v>1</v>
      </c>
      <c r="D91" s="0" t="s">
        <v>236</v>
      </c>
      <c r="E91" s="0" t="s">
        <v>390</v>
      </c>
      <c r="F91" s="0" t="s">
        <v>391</v>
      </c>
      <c r="G91" s="0" t="s">
        <v>234</v>
      </c>
      <c r="H91" s="0" t="s">
        <v>312</v>
      </c>
      <c r="I91" s="0" t="n">
        <v>20</v>
      </c>
      <c r="J91" s="0" t="s">
        <v>392</v>
      </c>
      <c r="K91" s="0" t="s">
        <v>180</v>
      </c>
      <c r="L91" s="0" t="s">
        <v>194</v>
      </c>
      <c r="M91" s="0" t="s">
        <v>393</v>
      </c>
      <c r="N91" s="0" t="s">
        <v>394</v>
      </c>
      <c r="O91" s="0" t="s">
        <v>395</v>
      </c>
      <c r="P91" s="0" t="s">
        <v>117</v>
      </c>
    </row>
    <row r="92" customFormat="false" ht="15" hidden="false" customHeight="false" outlineLevel="0" collapsed="false">
      <c r="A92" s="0" t="s">
        <v>118</v>
      </c>
      <c r="C92" s="0" t="n">
        <v>13</v>
      </c>
      <c r="D92" s="0" t="s">
        <v>396</v>
      </c>
      <c r="E92" s="0" t="s">
        <v>397</v>
      </c>
      <c r="F92" s="0" t="s">
        <v>187</v>
      </c>
      <c r="G92" s="0" t="s">
        <v>297</v>
      </c>
      <c r="H92" s="0" t="s">
        <v>398</v>
      </c>
      <c r="I92" s="0" t="n">
        <v>0</v>
      </c>
      <c r="O92" s="0" t="s">
        <v>399</v>
      </c>
      <c r="P92" s="0" t="s">
        <v>117</v>
      </c>
    </row>
    <row r="94" customFormat="false" ht="15" hidden="false" customHeight="false" outlineLevel="0" collapsed="false">
      <c r="A94" s="6" t="s">
        <v>400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customFormat="false" ht="15" hidden="false" customHeight="false" outlineLevel="0" collapsed="false">
      <c r="A95" s="3"/>
      <c r="B95" s="3" t="s">
        <v>401</v>
      </c>
      <c r="C95" s="3" t="s">
        <v>402</v>
      </c>
    </row>
    <row r="96" customFormat="false" ht="15" hidden="false" customHeight="false" outlineLevel="0" collapsed="false">
      <c r="A96" s="3" t="s">
        <v>37</v>
      </c>
      <c r="B96" s="4" t="s">
        <v>403</v>
      </c>
      <c r="C96" s="4" t="s">
        <v>404</v>
      </c>
    </row>
    <row r="97" customFormat="false" ht="15" hidden="false" customHeight="false" outlineLevel="0" collapsed="false">
      <c r="A97" s="3" t="s">
        <v>40</v>
      </c>
      <c r="B97" s="4" t="s">
        <v>405</v>
      </c>
      <c r="C97" s="4" t="s">
        <v>406</v>
      </c>
    </row>
    <row r="98" customFormat="false" ht="15" hidden="false" customHeight="false" outlineLevel="0" collapsed="false">
      <c r="A98" s="3" t="s">
        <v>43</v>
      </c>
      <c r="B98" s="4" t="s">
        <v>227</v>
      </c>
      <c r="C98" s="4" t="s">
        <v>367</v>
      </c>
    </row>
    <row r="99" customFormat="false" ht="15" hidden="false" customHeight="false" outlineLevel="0" collapsed="false">
      <c r="A99" s="3" t="s">
        <v>46</v>
      </c>
      <c r="B99" s="4" t="s">
        <v>407</v>
      </c>
      <c r="C99" s="4" t="s">
        <v>166</v>
      </c>
    </row>
    <row r="100" customFormat="false" ht="15" hidden="false" customHeight="false" outlineLevel="0" collapsed="false">
      <c r="A100" s="3" t="s">
        <v>49</v>
      </c>
      <c r="B100" s="4" t="s">
        <v>408</v>
      </c>
      <c r="C100" s="4" t="s">
        <v>409</v>
      </c>
    </row>
    <row r="101" customFormat="false" ht="15" hidden="false" customHeight="false" outlineLevel="0" collapsed="false">
      <c r="A101" s="3" t="s">
        <v>52</v>
      </c>
      <c r="B101" s="4" t="s">
        <v>410</v>
      </c>
      <c r="C101" s="4" t="s">
        <v>411</v>
      </c>
    </row>
    <row r="102" customFormat="false" ht="15" hidden="false" customHeight="false" outlineLevel="0" collapsed="false">
      <c r="A102" s="3" t="s">
        <v>55</v>
      </c>
      <c r="B102" s="4" t="s">
        <v>412</v>
      </c>
      <c r="C102" s="4" t="s">
        <v>56</v>
      </c>
    </row>
    <row r="103" customFormat="false" ht="105" hidden="false" customHeight="true" outlineLevel="0" collapsed="false">
      <c r="A103" s="3" t="s">
        <v>57</v>
      </c>
      <c r="B103" s="4" t="s">
        <v>413</v>
      </c>
      <c r="C103" s="4" t="s">
        <v>414</v>
      </c>
    </row>
    <row r="104" customFormat="false" ht="68.65" hidden="false" customHeight="false" outlineLevel="0" collapsed="false">
      <c r="A104" s="3" t="s">
        <v>60</v>
      </c>
      <c r="B104" s="4" t="s">
        <v>415</v>
      </c>
      <c r="C104" s="4" t="s">
        <v>416</v>
      </c>
    </row>
    <row r="105" customFormat="false" ht="150" hidden="false" customHeight="true" outlineLevel="0" collapsed="false">
      <c r="A105" s="3" t="s">
        <v>63</v>
      </c>
      <c r="B105" s="4" t="s">
        <v>417</v>
      </c>
      <c r="C105" s="4" t="s">
        <v>418</v>
      </c>
    </row>
    <row r="106" customFormat="false" ht="15" hidden="false" customHeight="false" outlineLevel="0" collapsed="false">
      <c r="A106" s="7" t="s">
        <v>66</v>
      </c>
      <c r="B106" s="7" t="s">
        <v>67</v>
      </c>
      <c r="C106" s="7" t="s">
        <v>68</v>
      </c>
      <c r="D106" s="7" t="s">
        <v>69</v>
      </c>
      <c r="E106" s="7" t="s">
        <v>70</v>
      </c>
      <c r="F106" s="7" t="s">
        <v>71</v>
      </c>
      <c r="G106" s="7" t="s">
        <v>72</v>
      </c>
      <c r="H106" s="7" t="s">
        <v>73</v>
      </c>
      <c r="I106" s="7" t="s">
        <v>74</v>
      </c>
      <c r="J106" s="7" t="s">
        <v>75</v>
      </c>
      <c r="K106" s="7" t="s">
        <v>76</v>
      </c>
      <c r="L106" s="7" t="s">
        <v>77</v>
      </c>
      <c r="M106" s="7" t="s">
        <v>78</v>
      </c>
      <c r="N106" s="7" t="s">
        <v>79</v>
      </c>
      <c r="O106" s="7" t="s">
        <v>80</v>
      </c>
      <c r="P106" s="7" t="s">
        <v>81</v>
      </c>
    </row>
    <row r="107" customFormat="false" ht="15" hidden="false" customHeight="false" outlineLevel="0" collapsed="false">
      <c r="A107" s="0" t="s">
        <v>131</v>
      </c>
      <c r="B107" s="0" t="s">
        <v>419</v>
      </c>
      <c r="C107" s="0" t="n">
        <v>14</v>
      </c>
      <c r="D107" s="0" t="s">
        <v>420</v>
      </c>
      <c r="E107" s="0" t="s">
        <v>217</v>
      </c>
      <c r="F107" s="0" t="s">
        <v>379</v>
      </c>
      <c r="G107" s="0" t="s">
        <v>421</v>
      </c>
      <c r="H107" s="0" t="s">
        <v>422</v>
      </c>
      <c r="I107" s="0" t="n">
        <v>15</v>
      </c>
      <c r="J107" s="0" t="s">
        <v>423</v>
      </c>
      <c r="K107" s="0" t="s">
        <v>424</v>
      </c>
      <c r="L107" s="0" t="s">
        <v>425</v>
      </c>
      <c r="M107" s="0" t="s">
        <v>379</v>
      </c>
      <c r="N107" s="0" t="s">
        <v>426</v>
      </c>
      <c r="O107" s="0" t="s">
        <v>427</v>
      </c>
      <c r="P107" s="0" t="s">
        <v>117</v>
      </c>
    </row>
    <row r="108" customFormat="false" ht="15" hidden="false" customHeight="false" outlineLevel="0" collapsed="false">
      <c r="A108" s="0" t="s">
        <v>109</v>
      </c>
      <c r="B108" s="0" t="s">
        <v>97</v>
      </c>
      <c r="C108" s="0" t="n">
        <v>15</v>
      </c>
      <c r="D108" s="0" t="s">
        <v>428</v>
      </c>
      <c r="E108" s="0" t="s">
        <v>429</v>
      </c>
      <c r="F108" s="0" t="s">
        <v>430</v>
      </c>
      <c r="G108" s="0" t="s">
        <v>276</v>
      </c>
      <c r="H108" s="0" t="s">
        <v>431</v>
      </c>
      <c r="I108" s="0" t="n">
        <v>10</v>
      </c>
      <c r="J108" s="0" t="s">
        <v>432</v>
      </c>
      <c r="K108" s="0" t="s">
        <v>433</v>
      </c>
      <c r="L108" s="0" t="s">
        <v>239</v>
      </c>
      <c r="M108" s="0" t="s">
        <v>434</v>
      </c>
      <c r="N108" s="0" t="s">
        <v>435</v>
      </c>
      <c r="O108" s="0" t="s">
        <v>436</v>
      </c>
      <c r="P108" s="0" t="s">
        <v>327</v>
      </c>
    </row>
    <row r="109" customFormat="false" ht="15" hidden="false" customHeight="false" outlineLevel="0" collapsed="false">
      <c r="A109" s="0" t="s">
        <v>82</v>
      </c>
      <c r="B109" s="0" t="s">
        <v>119</v>
      </c>
      <c r="C109" s="0" t="n">
        <v>16</v>
      </c>
      <c r="D109" s="0" t="s">
        <v>437</v>
      </c>
      <c r="E109" s="0" t="s">
        <v>438</v>
      </c>
      <c r="F109" s="0" t="s">
        <v>87</v>
      </c>
      <c r="G109" s="0" t="s">
        <v>306</v>
      </c>
      <c r="H109" s="0" t="s">
        <v>439</v>
      </c>
      <c r="I109" s="0" t="n">
        <v>12</v>
      </c>
      <c r="J109" s="0" t="s">
        <v>179</v>
      </c>
      <c r="K109" s="0" t="s">
        <v>329</v>
      </c>
      <c r="L109" s="0" t="s">
        <v>181</v>
      </c>
      <c r="M109" s="0" t="s">
        <v>440</v>
      </c>
      <c r="N109" s="0" t="s">
        <v>441</v>
      </c>
      <c r="O109" s="0" t="s">
        <v>442</v>
      </c>
      <c r="P109" s="0" t="s">
        <v>108</v>
      </c>
    </row>
    <row r="110" customFormat="false" ht="15" hidden="false" customHeight="false" outlineLevel="0" collapsed="false">
      <c r="A110" s="0" t="s">
        <v>96</v>
      </c>
      <c r="B110" s="0" t="s">
        <v>232</v>
      </c>
      <c r="C110" s="0" t="n">
        <v>17</v>
      </c>
      <c r="D110" s="0" t="s">
        <v>303</v>
      </c>
      <c r="E110" s="0" t="s">
        <v>164</v>
      </c>
      <c r="F110" s="0" t="s">
        <v>443</v>
      </c>
      <c r="G110" s="0" t="s">
        <v>305</v>
      </c>
      <c r="H110" s="0" t="s">
        <v>444</v>
      </c>
      <c r="I110" s="0" t="n">
        <v>9</v>
      </c>
      <c r="J110" s="0" t="s">
        <v>197</v>
      </c>
      <c r="K110" s="0" t="s">
        <v>329</v>
      </c>
      <c r="L110" s="0" t="s">
        <v>445</v>
      </c>
      <c r="M110" s="0" t="s">
        <v>153</v>
      </c>
      <c r="N110" s="0" t="s">
        <v>188</v>
      </c>
      <c r="O110" s="0" t="s">
        <v>446</v>
      </c>
      <c r="P110" s="0" t="s">
        <v>190</v>
      </c>
    </row>
    <row r="111" customFormat="false" ht="15" hidden="false" customHeight="false" outlineLevel="0" collapsed="false">
      <c r="A111" s="0" t="s">
        <v>142</v>
      </c>
      <c r="B111" s="0" t="s">
        <v>447</v>
      </c>
      <c r="C111" s="0" t="n">
        <v>11</v>
      </c>
      <c r="D111" s="0" t="s">
        <v>448</v>
      </c>
      <c r="E111" s="0" t="s">
        <v>449</v>
      </c>
      <c r="F111" s="0" t="s">
        <v>450</v>
      </c>
      <c r="G111" s="0" t="s">
        <v>153</v>
      </c>
      <c r="H111" s="0" t="s">
        <v>451</v>
      </c>
      <c r="I111" s="0" t="n">
        <v>11</v>
      </c>
      <c r="J111" s="0" t="s">
        <v>452</v>
      </c>
      <c r="K111" s="0" t="s">
        <v>453</v>
      </c>
      <c r="L111" s="0" t="s">
        <v>454</v>
      </c>
      <c r="M111" s="0" t="s">
        <v>211</v>
      </c>
      <c r="N111" s="0" t="s">
        <v>455</v>
      </c>
      <c r="O111" s="0" t="s">
        <v>456</v>
      </c>
      <c r="P111" s="0" t="s">
        <v>365</v>
      </c>
    </row>
    <row r="112" customFormat="false" ht="15" hidden="false" customHeight="false" outlineLevel="0" collapsed="false">
      <c r="A112" s="0" t="s">
        <v>118</v>
      </c>
      <c r="B112" s="0" t="s">
        <v>457</v>
      </c>
      <c r="C112" s="0" t="n">
        <v>7</v>
      </c>
      <c r="D112" s="0" t="s">
        <v>382</v>
      </c>
      <c r="E112" s="0" t="s">
        <v>383</v>
      </c>
      <c r="F112" s="0" t="s">
        <v>458</v>
      </c>
      <c r="G112" s="0" t="s">
        <v>376</v>
      </c>
      <c r="H112" s="0" t="s">
        <v>459</v>
      </c>
      <c r="I112" s="0" t="n">
        <v>0</v>
      </c>
      <c r="O112" s="0" t="s">
        <v>148</v>
      </c>
      <c r="P112" s="0" t="s">
        <v>95</v>
      </c>
    </row>
    <row r="113" customFormat="false" ht="15" hidden="false" customHeight="false" outlineLevel="0" collapsed="false">
      <c r="A113" s="0" t="s">
        <v>149</v>
      </c>
      <c r="C113" s="0" t="n">
        <v>0</v>
      </c>
      <c r="I113" s="0" t="n">
        <v>6</v>
      </c>
      <c r="J113" s="0" t="s">
        <v>460</v>
      </c>
      <c r="K113" s="0" t="s">
        <v>193</v>
      </c>
      <c r="L113" s="0" t="s">
        <v>461</v>
      </c>
      <c r="M113" s="0" t="s">
        <v>421</v>
      </c>
      <c r="N113" s="0" t="s">
        <v>462</v>
      </c>
      <c r="O113" s="0" t="s">
        <v>463</v>
      </c>
      <c r="P113" s="0" t="s">
        <v>117</v>
      </c>
    </row>
    <row r="115" customFormat="false" ht="15" hidden="false" customHeight="false" outlineLevel="0" collapsed="false">
      <c r="A115" s="6" t="s">
        <v>464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customFormat="false" ht="15" hidden="false" customHeight="false" outlineLevel="0" collapsed="false">
      <c r="A116" s="3"/>
      <c r="B116" s="3" t="s">
        <v>465</v>
      </c>
      <c r="C116" s="3" t="s">
        <v>466</v>
      </c>
    </row>
    <row r="117" customFormat="false" ht="15" hidden="false" customHeight="false" outlineLevel="0" collapsed="false">
      <c r="A117" s="3" t="s">
        <v>37</v>
      </c>
      <c r="B117" s="4" t="s">
        <v>467</v>
      </c>
      <c r="C117" s="4" t="s">
        <v>468</v>
      </c>
    </row>
    <row r="118" customFormat="false" ht="15" hidden="false" customHeight="false" outlineLevel="0" collapsed="false">
      <c r="A118" s="3" t="s">
        <v>40</v>
      </c>
      <c r="B118" s="4" t="s">
        <v>469</v>
      </c>
      <c r="C118" s="4" t="s">
        <v>405</v>
      </c>
    </row>
    <row r="119" customFormat="false" ht="15" hidden="false" customHeight="false" outlineLevel="0" collapsed="false">
      <c r="A119" s="3" t="s">
        <v>43</v>
      </c>
      <c r="B119" s="4" t="s">
        <v>470</v>
      </c>
      <c r="C119" s="4" t="s">
        <v>471</v>
      </c>
    </row>
    <row r="120" customFormat="false" ht="15" hidden="false" customHeight="false" outlineLevel="0" collapsed="false">
      <c r="A120" s="3" t="s">
        <v>46</v>
      </c>
      <c r="B120" s="4" t="s">
        <v>472</v>
      </c>
      <c r="C120" s="4" t="s">
        <v>473</v>
      </c>
    </row>
    <row r="121" customFormat="false" ht="15" hidden="false" customHeight="false" outlineLevel="0" collapsed="false">
      <c r="A121" s="3" t="s">
        <v>49</v>
      </c>
      <c r="B121" s="4" t="s">
        <v>474</v>
      </c>
      <c r="C121" s="4" t="s">
        <v>475</v>
      </c>
    </row>
    <row r="122" customFormat="false" ht="15" hidden="false" customHeight="false" outlineLevel="0" collapsed="false">
      <c r="A122" s="3" t="s">
        <v>52</v>
      </c>
      <c r="B122" s="4" t="s">
        <v>476</v>
      </c>
      <c r="C122" s="4" t="s">
        <v>477</v>
      </c>
    </row>
    <row r="123" customFormat="false" ht="15" hidden="false" customHeight="false" outlineLevel="0" collapsed="false">
      <c r="A123" s="3" t="s">
        <v>55</v>
      </c>
      <c r="B123" s="4" t="s">
        <v>56</v>
      </c>
      <c r="C123" s="4" t="s">
        <v>56</v>
      </c>
    </row>
    <row r="124" customFormat="false" ht="105" hidden="false" customHeight="true" outlineLevel="0" collapsed="false">
      <c r="A124" s="3" t="s">
        <v>57</v>
      </c>
      <c r="B124" s="4" t="s">
        <v>478</v>
      </c>
      <c r="C124" s="4" t="s">
        <v>479</v>
      </c>
    </row>
    <row r="125" customFormat="false" ht="68.65" hidden="false" customHeight="false" outlineLevel="0" collapsed="false">
      <c r="A125" s="3" t="s">
        <v>60</v>
      </c>
      <c r="B125" s="4" t="s">
        <v>480</v>
      </c>
      <c r="C125" s="4" t="s">
        <v>481</v>
      </c>
    </row>
    <row r="126" customFormat="false" ht="150" hidden="false" customHeight="true" outlineLevel="0" collapsed="false">
      <c r="A126" s="3" t="s">
        <v>63</v>
      </c>
      <c r="B126" s="4" t="s">
        <v>482</v>
      </c>
      <c r="C126" s="4" t="s">
        <v>483</v>
      </c>
    </row>
    <row r="127" customFormat="false" ht="15" hidden="false" customHeight="false" outlineLevel="0" collapsed="false">
      <c r="A127" s="7" t="s">
        <v>66</v>
      </c>
      <c r="B127" s="7" t="s">
        <v>67</v>
      </c>
      <c r="C127" s="7" t="s">
        <v>68</v>
      </c>
      <c r="D127" s="7" t="s">
        <v>69</v>
      </c>
      <c r="E127" s="7" t="s">
        <v>70</v>
      </c>
      <c r="F127" s="7" t="s">
        <v>71</v>
      </c>
      <c r="G127" s="7" t="s">
        <v>72</v>
      </c>
      <c r="H127" s="7" t="s">
        <v>73</v>
      </c>
      <c r="I127" s="7" t="s">
        <v>74</v>
      </c>
      <c r="J127" s="7" t="s">
        <v>75</v>
      </c>
      <c r="K127" s="7" t="s">
        <v>76</v>
      </c>
      <c r="L127" s="7" t="s">
        <v>77</v>
      </c>
      <c r="M127" s="7" t="s">
        <v>78</v>
      </c>
      <c r="N127" s="7" t="s">
        <v>79</v>
      </c>
      <c r="O127" s="7" t="s">
        <v>80</v>
      </c>
      <c r="P127" s="7" t="s">
        <v>81</v>
      </c>
    </row>
    <row r="128" customFormat="false" ht="15" hidden="false" customHeight="false" outlineLevel="0" collapsed="false">
      <c r="A128" s="0" t="s">
        <v>142</v>
      </c>
      <c r="B128" s="0" t="s">
        <v>484</v>
      </c>
      <c r="C128" s="0" t="n">
        <v>13</v>
      </c>
      <c r="D128" s="0" t="s">
        <v>485</v>
      </c>
      <c r="E128" s="0" t="s">
        <v>486</v>
      </c>
      <c r="F128" s="0" t="s">
        <v>146</v>
      </c>
      <c r="G128" s="0" t="s">
        <v>487</v>
      </c>
      <c r="H128" s="0" t="s">
        <v>377</v>
      </c>
      <c r="I128" s="0" t="n">
        <v>11</v>
      </c>
      <c r="J128" s="0" t="s">
        <v>323</v>
      </c>
      <c r="K128" s="0" t="s">
        <v>488</v>
      </c>
      <c r="L128" s="0" t="s">
        <v>489</v>
      </c>
      <c r="M128" s="0" t="s">
        <v>490</v>
      </c>
      <c r="N128" s="0" t="s">
        <v>491</v>
      </c>
      <c r="O128" s="0" t="s">
        <v>446</v>
      </c>
      <c r="P128" s="0" t="s">
        <v>190</v>
      </c>
    </row>
    <row r="129" customFormat="false" ht="15" hidden="false" customHeight="false" outlineLevel="0" collapsed="false">
      <c r="A129" s="0" t="s">
        <v>109</v>
      </c>
      <c r="B129" s="0" t="s">
        <v>97</v>
      </c>
      <c r="C129" s="0" t="n">
        <v>6</v>
      </c>
      <c r="D129" s="0" t="s">
        <v>460</v>
      </c>
      <c r="E129" s="0" t="s">
        <v>397</v>
      </c>
      <c r="F129" s="0" t="s">
        <v>234</v>
      </c>
      <c r="G129" s="0" t="s">
        <v>492</v>
      </c>
      <c r="H129" s="0" t="s">
        <v>493</v>
      </c>
      <c r="I129" s="0" t="n">
        <v>11</v>
      </c>
      <c r="J129" s="0" t="s">
        <v>448</v>
      </c>
      <c r="K129" s="0" t="s">
        <v>494</v>
      </c>
      <c r="L129" s="0" t="s">
        <v>495</v>
      </c>
      <c r="M129" s="0" t="s">
        <v>496</v>
      </c>
      <c r="N129" s="0" t="s">
        <v>497</v>
      </c>
      <c r="O129" s="0" t="s">
        <v>498</v>
      </c>
      <c r="P129" s="0" t="s">
        <v>117</v>
      </c>
    </row>
    <row r="130" customFormat="false" ht="15" hidden="false" customHeight="false" outlineLevel="0" collapsed="false">
      <c r="A130" s="0" t="s">
        <v>82</v>
      </c>
      <c r="B130" s="0" t="s">
        <v>203</v>
      </c>
      <c r="C130" s="0" t="n">
        <v>7</v>
      </c>
      <c r="D130" s="0" t="s">
        <v>499</v>
      </c>
      <c r="E130" s="0" t="s">
        <v>500</v>
      </c>
      <c r="F130" s="0" t="s">
        <v>501</v>
      </c>
      <c r="G130" s="0" t="s">
        <v>239</v>
      </c>
      <c r="H130" s="0" t="s">
        <v>502</v>
      </c>
      <c r="I130" s="0" t="n">
        <v>13</v>
      </c>
      <c r="J130" s="0" t="s">
        <v>396</v>
      </c>
      <c r="K130" s="0" t="s">
        <v>503</v>
      </c>
      <c r="L130" s="0" t="s">
        <v>504</v>
      </c>
      <c r="M130" s="0" t="s">
        <v>505</v>
      </c>
      <c r="N130" s="0" t="s">
        <v>398</v>
      </c>
      <c r="O130" s="0" t="s">
        <v>506</v>
      </c>
      <c r="P130" s="0" t="s">
        <v>117</v>
      </c>
    </row>
    <row r="131" customFormat="false" ht="15" hidden="false" customHeight="false" outlineLevel="0" collapsed="false">
      <c r="A131" s="0" t="s">
        <v>149</v>
      </c>
      <c r="B131" s="0" t="s">
        <v>119</v>
      </c>
      <c r="C131" s="0" t="n">
        <v>10</v>
      </c>
      <c r="D131" s="0" t="s">
        <v>213</v>
      </c>
      <c r="E131" s="0" t="s">
        <v>507</v>
      </c>
      <c r="F131" s="0" t="s">
        <v>508</v>
      </c>
      <c r="G131" s="0" t="s">
        <v>509</v>
      </c>
      <c r="H131" s="0" t="s">
        <v>510</v>
      </c>
      <c r="I131" s="0" t="n">
        <v>3</v>
      </c>
      <c r="J131" s="0" t="s">
        <v>150</v>
      </c>
      <c r="K131" s="0" t="s">
        <v>429</v>
      </c>
      <c r="L131" s="0" t="s">
        <v>511</v>
      </c>
      <c r="M131" s="0" t="s">
        <v>512</v>
      </c>
      <c r="N131" s="0" t="s">
        <v>235</v>
      </c>
      <c r="O131" s="0" t="s">
        <v>513</v>
      </c>
      <c r="P131" s="0" t="s">
        <v>117</v>
      </c>
    </row>
    <row r="132" customFormat="false" ht="15" hidden="false" customHeight="false" outlineLevel="0" collapsed="false">
      <c r="A132" s="0" t="s">
        <v>131</v>
      </c>
      <c r="B132" s="0" t="s">
        <v>232</v>
      </c>
      <c r="C132" s="0" t="n">
        <v>10</v>
      </c>
      <c r="D132" s="0" t="s">
        <v>111</v>
      </c>
      <c r="E132" s="0" t="s">
        <v>222</v>
      </c>
      <c r="F132" s="0" t="s">
        <v>514</v>
      </c>
      <c r="G132" s="0" t="s">
        <v>515</v>
      </c>
      <c r="H132" s="0" t="s">
        <v>516</v>
      </c>
      <c r="I132" s="0" t="n">
        <v>8</v>
      </c>
      <c r="J132" s="0" t="s">
        <v>517</v>
      </c>
      <c r="K132" s="0" t="s">
        <v>518</v>
      </c>
      <c r="L132" s="0" t="s">
        <v>519</v>
      </c>
      <c r="M132" s="0" t="s">
        <v>520</v>
      </c>
      <c r="N132" s="0" t="s">
        <v>521</v>
      </c>
      <c r="O132" s="0" t="s">
        <v>522</v>
      </c>
      <c r="P132" s="0" t="s">
        <v>365</v>
      </c>
    </row>
    <row r="133" customFormat="false" ht="15" hidden="false" customHeight="false" outlineLevel="0" collapsed="false">
      <c r="A133" s="0" t="s">
        <v>118</v>
      </c>
      <c r="B133" s="0" t="s">
        <v>232</v>
      </c>
      <c r="C133" s="0" t="n">
        <v>0</v>
      </c>
      <c r="I133" s="0" t="n">
        <v>8</v>
      </c>
      <c r="J133" s="0" t="s">
        <v>378</v>
      </c>
      <c r="K133" s="0" t="s">
        <v>471</v>
      </c>
      <c r="L133" s="0" t="s">
        <v>523</v>
      </c>
      <c r="M133" s="0" t="s">
        <v>524</v>
      </c>
      <c r="N133" s="0" t="s">
        <v>332</v>
      </c>
      <c r="O133" s="0" t="s">
        <v>525</v>
      </c>
      <c r="P133" s="0" t="s">
        <v>117</v>
      </c>
    </row>
    <row r="134" customFormat="false" ht="15" hidden="false" customHeight="false" outlineLevel="0" collapsed="false">
      <c r="A134" s="0" t="s">
        <v>96</v>
      </c>
      <c r="C134" s="0" t="n">
        <v>9</v>
      </c>
      <c r="D134" s="0" t="s">
        <v>526</v>
      </c>
      <c r="E134" s="0" t="s">
        <v>527</v>
      </c>
      <c r="F134" s="0" t="s">
        <v>528</v>
      </c>
      <c r="G134" s="0" t="s">
        <v>529</v>
      </c>
      <c r="H134" s="0" t="s">
        <v>360</v>
      </c>
      <c r="I134" s="0" t="n">
        <v>0</v>
      </c>
      <c r="O134" s="0" t="s">
        <v>530</v>
      </c>
      <c r="P134" s="0" t="s">
        <v>365</v>
      </c>
    </row>
    <row r="136" customFormat="false" ht="15" hidden="false" customHeight="false" outlineLevel="0" collapsed="false">
      <c r="A136" s="6" t="s">
        <v>531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customFormat="false" ht="15" hidden="false" customHeight="false" outlineLevel="0" collapsed="false">
      <c r="A137" s="3"/>
      <c r="B137" s="3" t="s">
        <v>532</v>
      </c>
      <c r="C137" s="3" t="s">
        <v>533</v>
      </c>
    </row>
    <row r="138" customFormat="false" ht="15" hidden="false" customHeight="false" outlineLevel="0" collapsed="false">
      <c r="A138" s="3" t="s">
        <v>37</v>
      </c>
      <c r="B138" s="4" t="s">
        <v>534</v>
      </c>
      <c r="C138" s="4" t="s">
        <v>535</v>
      </c>
    </row>
    <row r="139" customFormat="false" ht="15" hidden="false" customHeight="false" outlineLevel="0" collapsed="false">
      <c r="A139" s="3" t="s">
        <v>40</v>
      </c>
      <c r="B139" s="4" t="s">
        <v>536</v>
      </c>
      <c r="C139" s="4" t="s">
        <v>537</v>
      </c>
    </row>
    <row r="140" customFormat="false" ht="15" hidden="false" customHeight="false" outlineLevel="0" collapsed="false">
      <c r="A140" s="3" t="s">
        <v>43</v>
      </c>
      <c r="B140" s="4" t="s">
        <v>503</v>
      </c>
      <c r="C140" s="4" t="s">
        <v>538</v>
      </c>
    </row>
    <row r="141" customFormat="false" ht="15" hidden="false" customHeight="false" outlineLevel="0" collapsed="false">
      <c r="A141" s="3" t="s">
        <v>46</v>
      </c>
      <c r="B141" s="4" t="s">
        <v>539</v>
      </c>
      <c r="C141" s="4" t="s">
        <v>540</v>
      </c>
    </row>
    <row r="142" customFormat="false" ht="15" hidden="false" customHeight="false" outlineLevel="0" collapsed="false">
      <c r="A142" s="3" t="s">
        <v>49</v>
      </c>
      <c r="B142" s="4" t="s">
        <v>541</v>
      </c>
      <c r="C142" s="4" t="s">
        <v>542</v>
      </c>
    </row>
    <row r="143" customFormat="false" ht="15" hidden="false" customHeight="false" outlineLevel="0" collapsed="false">
      <c r="A143" s="3" t="s">
        <v>52</v>
      </c>
      <c r="B143" s="4" t="s">
        <v>543</v>
      </c>
      <c r="C143" s="4" t="s">
        <v>544</v>
      </c>
    </row>
    <row r="144" customFormat="false" ht="15" hidden="false" customHeight="false" outlineLevel="0" collapsed="false">
      <c r="A144" s="3" t="s">
        <v>55</v>
      </c>
      <c r="B144" s="4" t="s">
        <v>56</v>
      </c>
      <c r="C144" s="4" t="s">
        <v>545</v>
      </c>
    </row>
    <row r="145" customFormat="false" ht="105" hidden="false" customHeight="true" outlineLevel="0" collapsed="false">
      <c r="A145" s="3" t="s">
        <v>57</v>
      </c>
      <c r="B145" s="4" t="s">
        <v>546</v>
      </c>
      <c r="C145" s="4" t="s">
        <v>547</v>
      </c>
    </row>
    <row r="146" customFormat="false" ht="68.65" hidden="false" customHeight="false" outlineLevel="0" collapsed="false">
      <c r="A146" s="3" t="s">
        <v>60</v>
      </c>
      <c r="B146" s="4" t="s">
        <v>548</v>
      </c>
      <c r="C146" s="4" t="s">
        <v>549</v>
      </c>
    </row>
    <row r="147" customFormat="false" ht="150" hidden="false" customHeight="true" outlineLevel="0" collapsed="false">
      <c r="A147" s="3" t="s">
        <v>63</v>
      </c>
      <c r="B147" s="4" t="s">
        <v>550</v>
      </c>
      <c r="C147" s="4" t="s">
        <v>551</v>
      </c>
    </row>
    <row r="148" customFormat="false" ht="15" hidden="false" customHeight="false" outlineLevel="0" collapsed="false">
      <c r="A148" s="7" t="s">
        <v>66</v>
      </c>
      <c r="B148" s="7" t="s">
        <v>67</v>
      </c>
      <c r="C148" s="7" t="s">
        <v>68</v>
      </c>
      <c r="D148" s="7" t="s">
        <v>69</v>
      </c>
      <c r="E148" s="7" t="s">
        <v>70</v>
      </c>
      <c r="F148" s="7" t="s">
        <v>71</v>
      </c>
      <c r="G148" s="7" t="s">
        <v>72</v>
      </c>
      <c r="H148" s="7" t="s">
        <v>73</v>
      </c>
      <c r="I148" s="7" t="s">
        <v>74</v>
      </c>
      <c r="J148" s="7" t="s">
        <v>75</v>
      </c>
      <c r="K148" s="7" t="s">
        <v>76</v>
      </c>
      <c r="L148" s="7" t="s">
        <v>77</v>
      </c>
      <c r="M148" s="7" t="s">
        <v>78</v>
      </c>
      <c r="N148" s="7" t="s">
        <v>79</v>
      </c>
      <c r="O148" s="7" t="s">
        <v>80</v>
      </c>
      <c r="P148" s="7" t="s">
        <v>81</v>
      </c>
    </row>
    <row r="149" customFormat="false" ht="15" hidden="false" customHeight="false" outlineLevel="0" collapsed="false">
      <c r="A149" s="0" t="s">
        <v>131</v>
      </c>
      <c r="B149" s="0" t="s">
        <v>552</v>
      </c>
      <c r="C149" s="0" t="n">
        <v>10</v>
      </c>
      <c r="D149" s="0" t="s">
        <v>356</v>
      </c>
      <c r="E149" s="0" t="s">
        <v>227</v>
      </c>
      <c r="F149" s="0" t="s">
        <v>285</v>
      </c>
      <c r="G149" s="0" t="s">
        <v>553</v>
      </c>
      <c r="H149" s="0" t="s">
        <v>516</v>
      </c>
      <c r="I149" s="0" t="n">
        <v>17</v>
      </c>
      <c r="J149" s="0" t="s">
        <v>554</v>
      </c>
      <c r="K149" s="0" t="s">
        <v>253</v>
      </c>
      <c r="L149" s="0" t="s">
        <v>194</v>
      </c>
      <c r="M149" s="0" t="s">
        <v>555</v>
      </c>
      <c r="N149" s="0" t="s">
        <v>278</v>
      </c>
      <c r="O149" s="0" t="s">
        <v>389</v>
      </c>
      <c r="P149" s="0" t="s">
        <v>95</v>
      </c>
    </row>
    <row r="150" customFormat="false" ht="15" hidden="false" customHeight="false" outlineLevel="0" collapsed="false">
      <c r="A150" s="0" t="s">
        <v>118</v>
      </c>
      <c r="B150" s="0" t="s">
        <v>191</v>
      </c>
      <c r="C150" s="0" t="n">
        <v>9</v>
      </c>
      <c r="D150" s="0" t="s">
        <v>556</v>
      </c>
      <c r="E150" s="0" t="s">
        <v>198</v>
      </c>
      <c r="F150" s="0" t="s">
        <v>557</v>
      </c>
      <c r="G150" s="0" t="s">
        <v>519</v>
      </c>
      <c r="H150" s="0" t="s">
        <v>360</v>
      </c>
      <c r="I150" s="0" t="n">
        <v>10</v>
      </c>
      <c r="J150" s="0" t="s">
        <v>558</v>
      </c>
      <c r="K150" s="0" t="s">
        <v>296</v>
      </c>
      <c r="L150" s="0" t="s">
        <v>559</v>
      </c>
      <c r="M150" s="0" t="s">
        <v>181</v>
      </c>
      <c r="N150" s="0" t="s">
        <v>359</v>
      </c>
      <c r="O150" s="0" t="s">
        <v>560</v>
      </c>
      <c r="P150" s="0" t="s">
        <v>117</v>
      </c>
    </row>
    <row r="151" customFormat="false" ht="15" hidden="false" customHeight="false" outlineLevel="0" collapsed="false">
      <c r="A151" s="0" t="s">
        <v>82</v>
      </c>
      <c r="B151" s="0" t="s">
        <v>561</v>
      </c>
      <c r="C151" s="0" t="n">
        <v>8</v>
      </c>
      <c r="D151" s="0" t="s">
        <v>562</v>
      </c>
      <c r="E151" s="0" t="s">
        <v>449</v>
      </c>
      <c r="F151" s="0" t="s">
        <v>563</v>
      </c>
      <c r="G151" s="0" t="s">
        <v>215</v>
      </c>
      <c r="H151" s="0" t="s">
        <v>363</v>
      </c>
      <c r="I151" s="0" t="n">
        <v>15</v>
      </c>
      <c r="J151" s="0" t="s">
        <v>423</v>
      </c>
      <c r="K151" s="0" t="s">
        <v>564</v>
      </c>
      <c r="L151" s="0" t="s">
        <v>565</v>
      </c>
      <c r="M151" s="0" t="s">
        <v>194</v>
      </c>
      <c r="N151" s="0" t="s">
        <v>431</v>
      </c>
      <c r="O151" s="0" t="s">
        <v>506</v>
      </c>
      <c r="P151" s="0" t="s">
        <v>117</v>
      </c>
    </row>
    <row r="152" customFormat="false" ht="15" hidden="false" customHeight="false" outlineLevel="0" collapsed="false">
      <c r="A152" s="0" t="s">
        <v>96</v>
      </c>
      <c r="B152" s="0" t="s">
        <v>566</v>
      </c>
      <c r="C152" s="0" t="n">
        <v>5</v>
      </c>
      <c r="D152" s="0" t="s">
        <v>567</v>
      </c>
      <c r="E152" s="0" t="s">
        <v>568</v>
      </c>
      <c r="F152" s="0" t="s">
        <v>509</v>
      </c>
      <c r="G152" s="0" t="s">
        <v>569</v>
      </c>
      <c r="H152" s="0" t="s">
        <v>570</v>
      </c>
      <c r="I152" s="0" t="n">
        <v>22</v>
      </c>
      <c r="J152" s="0" t="s">
        <v>571</v>
      </c>
      <c r="K152" s="0" t="s">
        <v>494</v>
      </c>
      <c r="L152" s="0" t="s">
        <v>315</v>
      </c>
      <c r="M152" s="0" t="s">
        <v>572</v>
      </c>
      <c r="N152" s="0" t="s">
        <v>573</v>
      </c>
      <c r="O152" s="0" t="s">
        <v>574</v>
      </c>
      <c r="P152" s="0" t="s">
        <v>575</v>
      </c>
    </row>
    <row r="153" customFormat="false" ht="15" hidden="false" customHeight="false" outlineLevel="0" collapsed="false">
      <c r="A153" s="0" t="s">
        <v>109</v>
      </c>
      <c r="B153" s="0" t="s">
        <v>119</v>
      </c>
      <c r="C153" s="0" t="n">
        <v>11</v>
      </c>
      <c r="D153" s="0" t="s">
        <v>576</v>
      </c>
      <c r="E153" s="0" t="s">
        <v>205</v>
      </c>
      <c r="F153" s="0" t="s">
        <v>577</v>
      </c>
      <c r="G153" s="0" t="s">
        <v>187</v>
      </c>
      <c r="H153" s="0" t="s">
        <v>451</v>
      </c>
      <c r="I153" s="0" t="n">
        <v>11</v>
      </c>
      <c r="J153" s="0" t="s">
        <v>578</v>
      </c>
      <c r="K153" s="0" t="s">
        <v>538</v>
      </c>
      <c r="L153" s="0" t="s">
        <v>579</v>
      </c>
      <c r="M153" s="0" t="s">
        <v>113</v>
      </c>
      <c r="N153" s="0" t="s">
        <v>580</v>
      </c>
      <c r="O153" s="0" t="s">
        <v>581</v>
      </c>
      <c r="P153" s="0" t="s">
        <v>289</v>
      </c>
    </row>
    <row r="154" customFormat="false" ht="15" hidden="false" customHeight="false" outlineLevel="0" collapsed="false">
      <c r="A154" s="0" t="s">
        <v>142</v>
      </c>
      <c r="B154" s="0" t="s">
        <v>119</v>
      </c>
      <c r="C154" s="0" t="n">
        <v>0</v>
      </c>
      <c r="I154" s="0" t="n">
        <v>21</v>
      </c>
      <c r="J154" s="0" t="s">
        <v>582</v>
      </c>
      <c r="K154" s="0" t="s">
        <v>449</v>
      </c>
      <c r="L154" s="0" t="s">
        <v>583</v>
      </c>
      <c r="M154" s="0" t="s">
        <v>489</v>
      </c>
      <c r="N154" s="0" t="s">
        <v>584</v>
      </c>
      <c r="O154" s="0" t="s">
        <v>530</v>
      </c>
      <c r="P154" s="0" t="s">
        <v>365</v>
      </c>
    </row>
    <row r="155" customFormat="false" ht="15" hidden="false" customHeight="false" outlineLevel="0" collapsed="false">
      <c r="A155" s="0" t="s">
        <v>149</v>
      </c>
      <c r="C155" s="0" t="n">
        <v>9</v>
      </c>
      <c r="D155" s="0" t="s">
        <v>556</v>
      </c>
      <c r="E155" s="0" t="s">
        <v>375</v>
      </c>
      <c r="F155" s="0" t="s">
        <v>239</v>
      </c>
      <c r="G155" s="0" t="s">
        <v>292</v>
      </c>
      <c r="H155" s="0" t="s">
        <v>188</v>
      </c>
      <c r="I155" s="0" t="n">
        <v>0</v>
      </c>
      <c r="O155" s="0" t="s">
        <v>585</v>
      </c>
      <c r="P155" s="0" t="s">
        <v>117</v>
      </c>
    </row>
    <row r="157" customFormat="false" ht="15" hidden="false" customHeight="false" outlineLevel="0" collapsed="false">
      <c r="A157" s="6" t="s">
        <v>586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customFormat="false" ht="15" hidden="false" customHeight="false" outlineLevel="0" collapsed="false">
      <c r="A158" s="0" t="s">
        <v>33</v>
      </c>
    </row>
    <row r="160" customFormat="false" ht="15" hidden="false" customHeight="false" outlineLevel="0" collapsed="false">
      <c r="A160" s="6" t="s">
        <v>587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customFormat="false" ht="15" hidden="false" customHeight="false" outlineLevel="0" collapsed="false">
      <c r="A161" s="3"/>
      <c r="B161" s="3" t="s">
        <v>588</v>
      </c>
      <c r="C161" s="3" t="s">
        <v>589</v>
      </c>
    </row>
    <row r="162" customFormat="false" ht="15" hidden="false" customHeight="false" outlineLevel="0" collapsed="false">
      <c r="A162" s="3" t="s">
        <v>37</v>
      </c>
      <c r="B162" s="4" t="s">
        <v>590</v>
      </c>
      <c r="C162" s="4" t="s">
        <v>591</v>
      </c>
    </row>
    <row r="163" customFormat="false" ht="15" hidden="false" customHeight="false" outlineLevel="0" collapsed="false">
      <c r="A163" s="3" t="s">
        <v>40</v>
      </c>
      <c r="B163" s="4" t="s">
        <v>592</v>
      </c>
      <c r="C163" s="4" t="s">
        <v>593</v>
      </c>
    </row>
    <row r="164" customFormat="false" ht="15" hidden="false" customHeight="false" outlineLevel="0" collapsed="false">
      <c r="A164" s="3" t="s">
        <v>43</v>
      </c>
      <c r="B164" s="4" t="s">
        <v>90</v>
      </c>
      <c r="C164" s="4" t="s">
        <v>296</v>
      </c>
    </row>
    <row r="165" customFormat="false" ht="15" hidden="false" customHeight="false" outlineLevel="0" collapsed="false">
      <c r="A165" s="3" t="s">
        <v>46</v>
      </c>
      <c r="B165" s="4" t="s">
        <v>594</v>
      </c>
      <c r="C165" s="4" t="s">
        <v>595</v>
      </c>
    </row>
    <row r="166" customFormat="false" ht="15" hidden="false" customHeight="false" outlineLevel="0" collapsed="false">
      <c r="A166" s="3" t="s">
        <v>49</v>
      </c>
      <c r="B166" s="4" t="s">
        <v>596</v>
      </c>
      <c r="C166" s="4" t="s">
        <v>597</v>
      </c>
    </row>
    <row r="167" customFormat="false" ht="15" hidden="false" customHeight="false" outlineLevel="0" collapsed="false">
      <c r="A167" s="3" t="s">
        <v>52</v>
      </c>
      <c r="B167" s="4" t="s">
        <v>598</v>
      </c>
      <c r="C167" s="4" t="s">
        <v>599</v>
      </c>
    </row>
    <row r="168" customFormat="false" ht="15" hidden="false" customHeight="false" outlineLevel="0" collapsed="false">
      <c r="A168" s="3" t="s">
        <v>55</v>
      </c>
      <c r="B168" s="4" t="s">
        <v>56</v>
      </c>
      <c r="C168" s="4" t="s">
        <v>56</v>
      </c>
    </row>
    <row r="169" customFormat="false" ht="105" hidden="false" customHeight="true" outlineLevel="0" collapsed="false">
      <c r="A169" s="3" t="s">
        <v>57</v>
      </c>
      <c r="B169" s="4" t="s">
        <v>600</v>
      </c>
      <c r="C169" s="4" t="s">
        <v>601</v>
      </c>
    </row>
    <row r="170" customFormat="false" ht="68.65" hidden="false" customHeight="false" outlineLevel="0" collapsed="false">
      <c r="A170" s="3" t="s">
        <v>60</v>
      </c>
      <c r="B170" s="4" t="s">
        <v>602</v>
      </c>
      <c r="C170" s="4" t="s">
        <v>603</v>
      </c>
    </row>
    <row r="171" customFormat="false" ht="150" hidden="false" customHeight="true" outlineLevel="0" collapsed="false">
      <c r="A171" s="3" t="s">
        <v>63</v>
      </c>
      <c r="B171" s="4" t="s">
        <v>604</v>
      </c>
      <c r="C171" s="4" t="s">
        <v>605</v>
      </c>
    </row>
    <row r="172" customFormat="false" ht="15" hidden="false" customHeight="false" outlineLevel="0" collapsed="false">
      <c r="A172" s="7" t="s">
        <v>66</v>
      </c>
      <c r="B172" s="7" t="s">
        <v>67</v>
      </c>
      <c r="C172" s="7" t="s">
        <v>68</v>
      </c>
      <c r="D172" s="7" t="s">
        <v>69</v>
      </c>
      <c r="E172" s="7" t="s">
        <v>70</v>
      </c>
      <c r="F172" s="7" t="s">
        <v>71</v>
      </c>
      <c r="G172" s="7" t="s">
        <v>72</v>
      </c>
      <c r="H172" s="7" t="s">
        <v>73</v>
      </c>
      <c r="I172" s="7" t="s">
        <v>74</v>
      </c>
      <c r="J172" s="7" t="s">
        <v>75</v>
      </c>
      <c r="K172" s="7" t="s">
        <v>76</v>
      </c>
      <c r="L172" s="7" t="s">
        <v>77</v>
      </c>
      <c r="M172" s="7" t="s">
        <v>78</v>
      </c>
      <c r="N172" s="7" t="s">
        <v>79</v>
      </c>
      <c r="O172" s="7" t="s">
        <v>80</v>
      </c>
      <c r="P172" s="7" t="s">
        <v>81</v>
      </c>
    </row>
    <row r="173" customFormat="false" ht="15" hidden="false" customHeight="false" outlineLevel="0" collapsed="false">
      <c r="A173" s="0" t="s">
        <v>109</v>
      </c>
      <c r="B173" s="0" t="s">
        <v>606</v>
      </c>
      <c r="C173" s="0" t="n">
        <v>8</v>
      </c>
      <c r="D173" s="0" t="s">
        <v>378</v>
      </c>
      <c r="E173" s="0" t="s">
        <v>217</v>
      </c>
      <c r="F173" s="0" t="s">
        <v>607</v>
      </c>
      <c r="G173" s="0" t="s">
        <v>86</v>
      </c>
      <c r="H173" s="0" t="s">
        <v>608</v>
      </c>
      <c r="I173" s="0" t="n">
        <v>7</v>
      </c>
      <c r="J173" s="0" t="s">
        <v>609</v>
      </c>
      <c r="K173" s="0" t="s">
        <v>610</v>
      </c>
      <c r="L173" s="0" t="s">
        <v>611</v>
      </c>
      <c r="M173" s="0" t="s">
        <v>371</v>
      </c>
      <c r="N173" s="0" t="s">
        <v>612</v>
      </c>
      <c r="O173" s="0" t="s">
        <v>116</v>
      </c>
      <c r="P173" s="0" t="s">
        <v>117</v>
      </c>
    </row>
    <row r="174" customFormat="false" ht="15" hidden="false" customHeight="false" outlineLevel="0" collapsed="false">
      <c r="A174" s="0" t="s">
        <v>96</v>
      </c>
      <c r="B174" s="0" t="s">
        <v>613</v>
      </c>
      <c r="C174" s="0" t="n">
        <v>3</v>
      </c>
      <c r="D174" s="0" t="s">
        <v>150</v>
      </c>
      <c r="E174" s="0" t="s">
        <v>449</v>
      </c>
      <c r="F174" s="0" t="s">
        <v>145</v>
      </c>
      <c r="G174" s="0" t="s">
        <v>614</v>
      </c>
      <c r="H174" s="0" t="s">
        <v>235</v>
      </c>
      <c r="I174" s="0" t="n">
        <v>4</v>
      </c>
      <c r="J174" s="0" t="s">
        <v>615</v>
      </c>
      <c r="K174" s="0" t="s">
        <v>616</v>
      </c>
      <c r="L174" s="0" t="s">
        <v>617</v>
      </c>
      <c r="M174" s="0" t="s">
        <v>618</v>
      </c>
      <c r="N174" s="0" t="s">
        <v>619</v>
      </c>
      <c r="O174" s="0" t="s">
        <v>241</v>
      </c>
      <c r="P174" s="0" t="s">
        <v>117</v>
      </c>
    </row>
    <row r="175" customFormat="false" ht="15" hidden="false" customHeight="false" outlineLevel="0" collapsed="false">
      <c r="A175" s="0" t="s">
        <v>149</v>
      </c>
      <c r="B175" s="0" t="s">
        <v>203</v>
      </c>
      <c r="C175" s="0" t="n">
        <v>0</v>
      </c>
      <c r="I175" s="0" t="n">
        <v>0</v>
      </c>
    </row>
    <row r="176" customFormat="false" ht="15" hidden="false" customHeight="false" outlineLevel="0" collapsed="false">
      <c r="A176" s="0" t="s">
        <v>118</v>
      </c>
      <c r="B176" s="0" t="s">
        <v>203</v>
      </c>
      <c r="C176" s="0" t="n">
        <v>3</v>
      </c>
      <c r="D176" s="0" t="s">
        <v>150</v>
      </c>
      <c r="E176" s="0" t="s">
        <v>620</v>
      </c>
      <c r="F176" s="0" t="s">
        <v>621</v>
      </c>
      <c r="G176" s="0" t="s">
        <v>238</v>
      </c>
      <c r="H176" s="0" t="s">
        <v>124</v>
      </c>
      <c r="I176" s="0" t="n">
        <v>4</v>
      </c>
      <c r="J176" s="0" t="s">
        <v>622</v>
      </c>
      <c r="K176" s="0" t="s">
        <v>527</v>
      </c>
      <c r="L176" s="0" t="s">
        <v>623</v>
      </c>
      <c r="M176" s="0" t="s">
        <v>624</v>
      </c>
      <c r="N176" s="0" t="s">
        <v>619</v>
      </c>
      <c r="O176" s="0" t="s">
        <v>522</v>
      </c>
      <c r="P176" s="0" t="s">
        <v>365</v>
      </c>
    </row>
    <row r="177" customFormat="false" ht="15" hidden="false" customHeight="false" outlineLevel="0" collapsed="false">
      <c r="A177" s="0" t="s">
        <v>82</v>
      </c>
      <c r="C177" s="0" t="n">
        <v>7</v>
      </c>
      <c r="D177" s="0" t="s">
        <v>609</v>
      </c>
      <c r="E177" s="0" t="s">
        <v>625</v>
      </c>
      <c r="F177" s="0" t="s">
        <v>626</v>
      </c>
      <c r="G177" s="0" t="s">
        <v>627</v>
      </c>
      <c r="H177" s="0" t="s">
        <v>459</v>
      </c>
      <c r="I177" s="0" t="n">
        <v>3</v>
      </c>
      <c r="J177" s="0" t="s">
        <v>150</v>
      </c>
      <c r="K177" s="0" t="s">
        <v>164</v>
      </c>
      <c r="L177" s="0" t="s">
        <v>239</v>
      </c>
      <c r="M177" s="0" t="s">
        <v>628</v>
      </c>
      <c r="N177" s="0" t="s">
        <v>154</v>
      </c>
      <c r="O177" s="0" t="s">
        <v>317</v>
      </c>
      <c r="P177" s="0" t="s">
        <v>117</v>
      </c>
    </row>
    <row r="178" customFormat="false" ht="15" hidden="false" customHeight="false" outlineLevel="0" collapsed="false">
      <c r="A178" s="0" t="s">
        <v>131</v>
      </c>
      <c r="C178" s="0" t="n">
        <v>11</v>
      </c>
      <c r="D178" s="0" t="s">
        <v>323</v>
      </c>
      <c r="E178" s="0" t="s">
        <v>44</v>
      </c>
      <c r="F178" s="0" t="s">
        <v>629</v>
      </c>
      <c r="G178" s="0" t="s">
        <v>630</v>
      </c>
      <c r="H178" s="0" t="s">
        <v>491</v>
      </c>
      <c r="I178" s="0" t="n">
        <v>1</v>
      </c>
      <c r="J178" s="0" t="s">
        <v>631</v>
      </c>
      <c r="K178" s="0" t="s">
        <v>632</v>
      </c>
      <c r="L178" s="0" t="s">
        <v>633</v>
      </c>
      <c r="M178" s="0" t="s">
        <v>238</v>
      </c>
      <c r="N178" s="0" t="s">
        <v>312</v>
      </c>
      <c r="O178" s="0" t="s">
        <v>317</v>
      </c>
      <c r="P178" s="0" t="s">
        <v>117</v>
      </c>
    </row>
    <row r="179" customFormat="false" ht="15" hidden="false" customHeight="false" outlineLevel="0" collapsed="false">
      <c r="A179" s="0" t="s">
        <v>142</v>
      </c>
      <c r="C179" s="0" t="n">
        <v>9</v>
      </c>
      <c r="D179" s="0" t="s">
        <v>197</v>
      </c>
      <c r="E179" s="0" t="s">
        <v>341</v>
      </c>
      <c r="F179" s="0" t="s">
        <v>514</v>
      </c>
      <c r="G179" s="0" t="s">
        <v>293</v>
      </c>
      <c r="H179" s="0" t="s">
        <v>634</v>
      </c>
      <c r="I179" s="0" t="n">
        <v>4</v>
      </c>
      <c r="J179" s="0" t="s">
        <v>635</v>
      </c>
      <c r="K179" s="0" t="s">
        <v>503</v>
      </c>
      <c r="L179" s="0" t="s">
        <v>239</v>
      </c>
      <c r="M179" s="0" t="s">
        <v>636</v>
      </c>
      <c r="N179" s="0" t="s">
        <v>637</v>
      </c>
      <c r="O179" s="0" t="s">
        <v>638</v>
      </c>
      <c r="P179" s="0" t="s">
        <v>117</v>
      </c>
    </row>
    <row r="181" customFormat="false" ht="15" hidden="false" customHeight="false" outlineLevel="0" collapsed="false">
      <c r="A181" s="6" t="s">
        <v>639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customFormat="false" ht="15" hidden="false" customHeight="false" outlineLevel="0" collapsed="false">
      <c r="A182" s="0" t="s">
        <v>33</v>
      </c>
    </row>
    <row r="184" customFormat="false" ht="15" hidden="false" customHeight="false" outlineLevel="0" collapsed="false">
      <c r="A184" s="6" t="s">
        <v>640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customFormat="false" ht="15" hidden="false" customHeight="false" outlineLevel="0" collapsed="false">
      <c r="A185" s="3"/>
      <c r="B185" s="3" t="s">
        <v>641</v>
      </c>
      <c r="C185" s="3" t="s">
        <v>642</v>
      </c>
    </row>
    <row r="186" customFormat="false" ht="15" hidden="false" customHeight="false" outlineLevel="0" collapsed="false">
      <c r="A186" s="3" t="s">
        <v>37</v>
      </c>
      <c r="B186" s="4" t="s">
        <v>643</v>
      </c>
      <c r="C186" s="4" t="s">
        <v>644</v>
      </c>
    </row>
    <row r="187" customFormat="false" ht="15" hidden="false" customHeight="false" outlineLevel="0" collapsed="false">
      <c r="A187" s="3" t="s">
        <v>40</v>
      </c>
      <c r="B187" s="4" t="s">
        <v>645</v>
      </c>
      <c r="C187" s="4" t="s">
        <v>646</v>
      </c>
    </row>
    <row r="188" customFormat="false" ht="15" hidden="false" customHeight="false" outlineLevel="0" collapsed="false">
      <c r="A188" s="3" t="s">
        <v>43</v>
      </c>
      <c r="B188" s="4" t="s">
        <v>647</v>
      </c>
      <c r="C188" s="4" t="s">
        <v>90</v>
      </c>
    </row>
    <row r="189" customFormat="false" ht="15" hidden="false" customHeight="false" outlineLevel="0" collapsed="false">
      <c r="A189" s="3" t="s">
        <v>46</v>
      </c>
      <c r="B189" s="4" t="s">
        <v>648</v>
      </c>
      <c r="C189" s="4" t="s">
        <v>649</v>
      </c>
    </row>
    <row r="190" customFormat="false" ht="15" hidden="false" customHeight="false" outlineLevel="0" collapsed="false">
      <c r="A190" s="3" t="s">
        <v>49</v>
      </c>
      <c r="B190" s="4" t="s">
        <v>650</v>
      </c>
      <c r="C190" s="4" t="s">
        <v>651</v>
      </c>
    </row>
    <row r="191" customFormat="false" ht="15" hidden="false" customHeight="false" outlineLevel="0" collapsed="false">
      <c r="A191" s="3" t="s">
        <v>52</v>
      </c>
      <c r="B191" s="4" t="s">
        <v>652</v>
      </c>
      <c r="C191" s="4" t="s">
        <v>653</v>
      </c>
    </row>
    <row r="192" customFormat="false" ht="15" hidden="false" customHeight="false" outlineLevel="0" collapsed="false">
      <c r="A192" s="3" t="s">
        <v>55</v>
      </c>
      <c r="B192" s="4" t="s">
        <v>654</v>
      </c>
      <c r="C192" s="4" t="s">
        <v>56</v>
      </c>
    </row>
    <row r="193" customFormat="false" ht="105" hidden="false" customHeight="true" outlineLevel="0" collapsed="false">
      <c r="A193" s="3" t="s">
        <v>57</v>
      </c>
      <c r="B193" s="4" t="s">
        <v>655</v>
      </c>
      <c r="C193" s="4" t="s">
        <v>656</v>
      </c>
    </row>
    <row r="194" customFormat="false" ht="68.65" hidden="false" customHeight="false" outlineLevel="0" collapsed="false">
      <c r="A194" s="3" t="s">
        <v>60</v>
      </c>
      <c r="B194" s="4" t="s">
        <v>657</v>
      </c>
      <c r="C194" s="4" t="s">
        <v>658</v>
      </c>
    </row>
    <row r="195" customFormat="false" ht="150" hidden="false" customHeight="true" outlineLevel="0" collapsed="false">
      <c r="A195" s="3" t="s">
        <v>63</v>
      </c>
      <c r="B195" s="4" t="s">
        <v>659</v>
      </c>
      <c r="C195" s="4" t="s">
        <v>660</v>
      </c>
    </row>
    <row r="196" customFormat="false" ht="15" hidden="false" customHeight="false" outlineLevel="0" collapsed="false">
      <c r="A196" s="7" t="s">
        <v>66</v>
      </c>
      <c r="B196" s="7" t="s">
        <v>67</v>
      </c>
      <c r="C196" s="7" t="s">
        <v>68</v>
      </c>
      <c r="D196" s="7" t="s">
        <v>69</v>
      </c>
      <c r="E196" s="7" t="s">
        <v>70</v>
      </c>
      <c r="F196" s="7" t="s">
        <v>71</v>
      </c>
      <c r="G196" s="7" t="s">
        <v>72</v>
      </c>
      <c r="H196" s="7" t="s">
        <v>73</v>
      </c>
      <c r="I196" s="7" t="s">
        <v>74</v>
      </c>
      <c r="J196" s="7" t="s">
        <v>75</v>
      </c>
      <c r="K196" s="7" t="s">
        <v>76</v>
      </c>
      <c r="L196" s="7" t="s">
        <v>77</v>
      </c>
      <c r="M196" s="7" t="s">
        <v>78</v>
      </c>
      <c r="N196" s="7" t="s">
        <v>79</v>
      </c>
      <c r="O196" s="7" t="s">
        <v>80</v>
      </c>
      <c r="P196" s="7" t="s">
        <v>81</v>
      </c>
    </row>
    <row r="197" customFormat="false" ht="15" hidden="false" customHeight="false" outlineLevel="0" collapsed="false">
      <c r="A197" s="0" t="s">
        <v>82</v>
      </c>
      <c r="B197" s="0" t="s">
        <v>661</v>
      </c>
      <c r="C197" s="0" t="n">
        <v>18</v>
      </c>
      <c r="D197" s="0" t="s">
        <v>283</v>
      </c>
      <c r="E197" s="0" t="s">
        <v>647</v>
      </c>
      <c r="F197" s="0" t="s">
        <v>286</v>
      </c>
      <c r="G197" s="0" t="s">
        <v>501</v>
      </c>
      <c r="H197" s="0" t="s">
        <v>662</v>
      </c>
      <c r="I197" s="0" t="n">
        <v>9</v>
      </c>
      <c r="J197" s="0" t="s">
        <v>663</v>
      </c>
      <c r="K197" s="0" t="s">
        <v>664</v>
      </c>
      <c r="L197" s="0" t="s">
        <v>665</v>
      </c>
      <c r="M197" s="0" t="s">
        <v>666</v>
      </c>
      <c r="N197" s="0" t="s">
        <v>201</v>
      </c>
      <c r="O197" s="0" t="s">
        <v>427</v>
      </c>
      <c r="P197" s="0" t="s">
        <v>117</v>
      </c>
    </row>
    <row r="198" customFormat="false" ht="15" hidden="false" customHeight="false" outlineLevel="0" collapsed="false">
      <c r="A198" s="0" t="s">
        <v>109</v>
      </c>
      <c r="B198" s="0" t="s">
        <v>566</v>
      </c>
      <c r="C198" s="0" t="n">
        <v>13</v>
      </c>
      <c r="D198" s="0" t="s">
        <v>667</v>
      </c>
      <c r="E198" s="0" t="s">
        <v>424</v>
      </c>
      <c r="F198" s="0" t="s">
        <v>668</v>
      </c>
      <c r="G198" s="0" t="s">
        <v>181</v>
      </c>
      <c r="H198" s="0" t="s">
        <v>669</v>
      </c>
      <c r="I198" s="0" t="n">
        <v>9</v>
      </c>
      <c r="J198" s="0" t="s">
        <v>318</v>
      </c>
      <c r="K198" s="0" t="s">
        <v>222</v>
      </c>
      <c r="L198" s="0" t="s">
        <v>670</v>
      </c>
      <c r="M198" s="0" t="s">
        <v>195</v>
      </c>
      <c r="N198" s="0" t="s">
        <v>188</v>
      </c>
      <c r="O198" s="0" t="s">
        <v>671</v>
      </c>
      <c r="P198" s="0" t="s">
        <v>365</v>
      </c>
    </row>
    <row r="199" customFormat="false" ht="15" hidden="false" customHeight="false" outlineLevel="0" collapsed="false">
      <c r="A199" s="0" t="s">
        <v>96</v>
      </c>
      <c r="B199" s="0" t="s">
        <v>566</v>
      </c>
      <c r="C199" s="0" t="n">
        <v>10</v>
      </c>
      <c r="D199" s="0" t="s">
        <v>558</v>
      </c>
      <c r="E199" s="0" t="s">
        <v>672</v>
      </c>
      <c r="F199" s="0" t="s">
        <v>555</v>
      </c>
      <c r="G199" s="0" t="s">
        <v>524</v>
      </c>
      <c r="H199" s="0" t="s">
        <v>673</v>
      </c>
      <c r="I199" s="0" t="n">
        <v>6</v>
      </c>
      <c r="J199" s="0" t="s">
        <v>674</v>
      </c>
      <c r="K199" s="0" t="s">
        <v>281</v>
      </c>
      <c r="L199" s="0" t="s">
        <v>362</v>
      </c>
      <c r="M199" s="0" t="s">
        <v>675</v>
      </c>
      <c r="N199" s="0" t="s">
        <v>676</v>
      </c>
      <c r="O199" s="0" t="s">
        <v>308</v>
      </c>
      <c r="P199" s="0" t="s">
        <v>117</v>
      </c>
    </row>
    <row r="200" customFormat="false" ht="15" hidden="false" customHeight="false" outlineLevel="0" collapsed="false">
      <c r="A200" s="0" t="s">
        <v>149</v>
      </c>
      <c r="B200" s="0" t="s">
        <v>119</v>
      </c>
      <c r="C200" s="0" t="n">
        <v>10</v>
      </c>
      <c r="D200" s="0" t="s">
        <v>356</v>
      </c>
      <c r="E200" s="0" t="s">
        <v>438</v>
      </c>
      <c r="F200" s="0" t="s">
        <v>611</v>
      </c>
      <c r="G200" s="0" t="s">
        <v>668</v>
      </c>
      <c r="H200" s="0" t="s">
        <v>677</v>
      </c>
      <c r="I200" s="0" t="n">
        <v>4</v>
      </c>
      <c r="J200" s="0" t="s">
        <v>622</v>
      </c>
      <c r="K200" s="0" t="s">
        <v>361</v>
      </c>
      <c r="L200" s="0" t="s">
        <v>678</v>
      </c>
      <c r="M200" s="0" t="s">
        <v>321</v>
      </c>
      <c r="N200" s="0" t="s">
        <v>140</v>
      </c>
      <c r="O200" s="0" t="s">
        <v>679</v>
      </c>
      <c r="P200" s="0" t="s">
        <v>190</v>
      </c>
    </row>
    <row r="201" customFormat="false" ht="15" hidden="false" customHeight="false" outlineLevel="0" collapsed="false">
      <c r="A201" s="0" t="s">
        <v>131</v>
      </c>
      <c r="B201" s="0" t="s">
        <v>447</v>
      </c>
      <c r="C201" s="0" t="n">
        <v>18</v>
      </c>
      <c r="D201" s="0" t="s">
        <v>680</v>
      </c>
      <c r="E201" s="0" t="s">
        <v>681</v>
      </c>
      <c r="F201" s="0" t="s">
        <v>682</v>
      </c>
      <c r="G201" s="0" t="s">
        <v>425</v>
      </c>
      <c r="H201" s="0" t="s">
        <v>683</v>
      </c>
      <c r="I201" s="0" t="n">
        <v>2</v>
      </c>
      <c r="J201" s="0" t="s">
        <v>684</v>
      </c>
      <c r="K201" s="0" t="s">
        <v>214</v>
      </c>
      <c r="L201" s="0" t="s">
        <v>512</v>
      </c>
      <c r="M201" s="0" t="s">
        <v>519</v>
      </c>
      <c r="N201" s="0" t="s">
        <v>685</v>
      </c>
      <c r="O201" s="0" t="s">
        <v>686</v>
      </c>
      <c r="P201" s="0" t="s">
        <v>190</v>
      </c>
    </row>
    <row r="202" customFormat="false" ht="15" hidden="false" customHeight="false" outlineLevel="0" collapsed="false">
      <c r="A202" s="0" t="s">
        <v>142</v>
      </c>
      <c r="B202" s="0" t="s">
        <v>457</v>
      </c>
      <c r="C202" s="0" t="n">
        <v>11</v>
      </c>
      <c r="D202" s="0" t="s">
        <v>578</v>
      </c>
      <c r="E202" s="0" t="s">
        <v>687</v>
      </c>
      <c r="F202" s="0" t="s">
        <v>376</v>
      </c>
      <c r="G202" s="0" t="s">
        <v>454</v>
      </c>
      <c r="H202" s="0" t="s">
        <v>688</v>
      </c>
      <c r="I202" s="0" t="n">
        <v>5</v>
      </c>
      <c r="J202" s="0" t="s">
        <v>370</v>
      </c>
      <c r="K202" s="0" t="s">
        <v>121</v>
      </c>
      <c r="L202" s="0" t="s">
        <v>689</v>
      </c>
      <c r="M202" s="0" t="s">
        <v>614</v>
      </c>
      <c r="N202" s="0" t="s">
        <v>93</v>
      </c>
      <c r="O202" s="0" t="s">
        <v>585</v>
      </c>
      <c r="P202" s="0" t="s">
        <v>117</v>
      </c>
    </row>
  </sheetData>
  <mergeCells count="14">
    <mergeCell ref="A2:L2"/>
    <mergeCell ref="A4:P4"/>
    <mergeCell ref="A7:P7"/>
    <mergeCell ref="A28:P28"/>
    <mergeCell ref="A31:P31"/>
    <mergeCell ref="A52:P52"/>
    <mergeCell ref="A73:P73"/>
    <mergeCell ref="A94:P94"/>
    <mergeCell ref="A115:P115"/>
    <mergeCell ref="A136:P136"/>
    <mergeCell ref="A157:P157"/>
    <mergeCell ref="A160:P160"/>
    <mergeCell ref="A181:P181"/>
    <mergeCell ref="A184:P1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1" min="10" style="0" width="8"/>
    <col collapsed="false" customWidth="true" hidden="false" outlineLevel="0" max="12" min="12" style="0" width="9"/>
    <col collapsed="false" customWidth="true" hidden="false" outlineLevel="0" max="16" min="13" style="0" width="8"/>
    <col collapsed="false" customWidth="true" hidden="false" outlineLevel="0" max="18" min="17" style="0" width="10"/>
    <col collapsed="false" customWidth="true" hidden="false" outlineLevel="0" max="19" min="19" style="0" width="7"/>
    <col collapsed="false" customWidth="true" hidden="false" outlineLevel="0" max="20" min="20" style="0" width="38"/>
    <col collapsed="false" customWidth="true" hidden="false" outlineLevel="0" max="21" min="21" style="0" width="2"/>
    <col collapsed="false" customWidth="true" hidden="true" outlineLevel="0" max="22" min="22" style="0" width="5"/>
  </cols>
  <sheetData>
    <row r="1" customFormat="false" ht="17.35" hidden="false" customHeight="false" outlineLevel="0" collapsed="false">
      <c r="A1" s="1" t="s">
        <v>690</v>
      </c>
    </row>
    <row r="2" customFormat="false" ht="15" hidden="false" customHeight="false" outlineLevel="0" collapsed="false">
      <c r="A2" s="3" t="s">
        <v>691</v>
      </c>
      <c r="B2" s="8" t="s">
        <v>692</v>
      </c>
    </row>
    <row r="4" customFormat="false" ht="15" hidden="false" customHeight="false" outlineLevel="0" collapsed="false">
      <c r="A4" s="3" t="s">
        <v>693</v>
      </c>
      <c r="B4" s="0" t="str">
        <f aca="false">IFERROR(IF(INDEX(Matches!$E$5:$E$17,MATCH($B$2,Matches!$A$5:$A$17,0))="","",INDEX(Matches!$E$5:$E$17,MATCH($B$2,Matches!$A$5:$A$17,0))),"")&amp;"  vs  "&amp;IFERROR(IF(INDEX(Matches!$F$5:$F$17,MATCH($B$2,Matches!$A$5:$A$17,0))="","",INDEX(Matches!$F$5:$F$17,MATCH($B$2,Matches!$A$5:$A$17,0))),"")</f>
        <v>AE (AE)  vs  RA (RA)</v>
      </c>
      <c r="D4" s="3" t="s">
        <v>694</v>
      </c>
      <c r="E4" s="0" t="str">
        <f aca="false">IFERROR(IF(INDEX(Matches!$C$5:$C$17,MATCH($B$2,Matches!$A$5:$A$17,0))="","",INDEX(Matches!$C$5:$C$17,MATCH($B$2,Matches!$A$5:$A$17,0))),"")</f>
        <v>Tue 00:00</v>
      </c>
      <c r="G4" s="3" t="s">
        <v>695</v>
      </c>
      <c r="H4" s="9" t="n">
        <f aca="false">IFERROR(IF(INDEX(Matches!$D$5:$D$17,MATCH($B$2,Matches!$A$5:$A$17,0))="","",INDEX(Matches!$D$5:$D$17,MATCH($B$2,Matches!$A$5:$A$17,0))),"")</f>
        <v>3</v>
      </c>
    </row>
    <row r="5" customFormat="false" ht="15" hidden="false" customHeight="false" outlineLevel="0" collapsed="false">
      <c r="A5" s="3" t="s">
        <v>696</v>
      </c>
      <c r="B5" s="10" t="str">
        <f aca="false">IFERROR(IF(INDEX(Matches!$G$5:$G$17,MATCH($B$2,Matches!$A$5:$A$17,0))="","",INDEX(Matches!$G$5:$G$17,MATCH($B$2,Matches!$A$5:$A$17,0))),"")</f>
        <v/>
      </c>
      <c r="D5" s="3" t="s">
        <v>697</v>
      </c>
      <c r="E5" s="10" t="str">
        <f aca="false">IFERROR(IF(INDEX(Matches!$H$5:$H$17,MATCH($B$2,Matches!$A$5:$A$17,0))="","",INDEX(Matches!$H$5:$H$17,MATCH($B$2,Matches!$A$5:$A$17,0))),"")</f>
        <v/>
      </c>
      <c r="G5" s="3" t="s">
        <v>698</v>
      </c>
      <c r="H5" s="10" t="str">
        <f aca="false">IFERROR(IF(INDEX(Matches!$I$5:$I$17,MATCH($B$2,Matches!$A$5:$A$17,0))="","",INDEX(Matches!$I$5:$I$17,MATCH($B$2,Matches!$A$5:$A$17,0))),"")</f>
        <v/>
      </c>
    </row>
    <row r="6" customFormat="false" ht="15" hidden="false" customHeight="false" outlineLevel="0" collapsed="false">
      <c r="A6" s="3" t="s">
        <v>699</v>
      </c>
      <c r="B6" s="10" t="str">
        <f aca="false">IFERROR(IF(INDEX(Matches!$J$5:$J$17,MATCH($B$2,Matches!$A$5:$A$17,0))="","",INDEX(Matches!$J$5:$J$17,MATCH($B$2,Matches!$A$5:$A$17,0))),"")</f>
        <v/>
      </c>
      <c r="D6" s="3" t="s">
        <v>700</v>
      </c>
      <c r="E6" s="0" t="str">
        <f aca="false">IFERROR(IF(INDEX(Matches!$K$5:$K$17,MATCH($B$2,Matches!$A$5:$A$17,0))="","",INDEX(Matches!$K$5:$K$17,MATCH($B$2,Matches!$A$5:$A$17,0))),"")</f>
        <v>Dust2 53%</v>
      </c>
      <c r="G6" s="3" t="s">
        <v>701</v>
      </c>
      <c r="H6" s="0" t="str">
        <f aca="false">IFERROR(IF(INDEX(Matches!$L$5:$L$17,MATCH($B$2,Matches!$A$5:$A$17,0))="","",INDEX(Matches!$L$5:$L$17,MATCH($B$2,Matches!$A$5:$A$17,0))),"")</f>
        <v>Cache 26%</v>
      </c>
    </row>
    <row r="7" customFormat="false" ht="15" hidden="false" customHeight="false" outlineLevel="0" collapsed="false">
      <c r="A7" s="3" t="s">
        <v>702</v>
      </c>
      <c r="B7" s="11" t="str">
        <f aca="false">IFERROR(IF(INDEX(Matches!$O$5:$O$17,MATCH($B$2,Matches!$A$5:$A$17,0))="","",INDEX(Matches!$O$5:$O$17,MATCH($B$2,Matches!$A$5:$A$17,0))),"")</f>
        <v/>
      </c>
      <c r="D7" s="3" t="s">
        <v>703</v>
      </c>
      <c r="E7" s="11" t="str">
        <f aca="false">IFERROR(IF(INDEX(Matches!$P$5:$P$17,MATCH($B$2,Matches!$A$5:$A$17,0))="","",INDEX(Matches!$P$5:$P$17,MATCH($B$2,Matches!$A$5:$A$17,0))),"")</f>
        <v/>
      </c>
      <c r="G7" s="3" t="s">
        <v>704</v>
      </c>
      <c r="H7" s="10" t="str">
        <f aca="false">IFERROR(IF(INDEX(Matches!$R$5:$R$17,MATCH($B$2,Matches!$A$5:$A$17,0))="","",INDEX(Matches!$R$5:$R$17,MATCH($B$2,Matches!$A$5:$A$17,0))),"")</f>
        <v/>
      </c>
    </row>
    <row r="8" customFormat="false" ht="15" hidden="false" customHeight="false" outlineLevel="0" collapsed="false">
      <c r="A8" s="3" t="s">
        <v>705</v>
      </c>
      <c r="B8" s="11" t="str">
        <f aca="false">IFERROR(IF(INDEX(Matches!$S$5:$S$17,MATCH($B$2,Matches!$A$5:$A$17,0))="","",INDEX(Matches!$S$5:$S$17,MATCH($B$2,Matches!$A$5:$A$17,0))),"")</f>
        <v/>
      </c>
      <c r="D8" s="3" t="s">
        <v>706</v>
      </c>
      <c r="E8" s="11" t="str">
        <f aca="false">IFERROR(IF(INDEX(Matches!$T$5:$T$17,MATCH($B$2,Matches!$A$5:$A$17,0))="","",INDEX(Matches!$T$5:$T$17,MATCH($B$2,Matches!$A$5:$A$17,0))),"")</f>
        <v/>
      </c>
      <c r="G8" s="3" t="s">
        <v>707</v>
      </c>
      <c r="H8" s="11" t="str">
        <f aca="false">IFERROR(IF(INDEX(Matches!$U$5:$U$17,MATCH($B$2,Matches!$A$5:$A$17,0))="","",INDEX(Matches!$U$5:$U$17,MATCH($B$2,Matches!$A$5:$A$17,0))),"")</f>
        <v/>
      </c>
    </row>
    <row r="9" customFormat="false" ht="15" hidden="false" customHeight="false" outlineLevel="0" collapsed="false">
      <c r="A9" s="3" t="s">
        <v>708</v>
      </c>
      <c r="B9" s="11" t="str">
        <f aca="false">IFERROR(IF(INDEX(Matches!$AN$5:$AN$17,MATCH($B$2,Matches!$A$5:$A$17,0))="","",INDEX(Matches!$AN$5:$AN$17,MATCH($B$2,Matches!$A$5:$A$17,0))),"")</f>
        <v/>
      </c>
      <c r="D9" s="3" t="s">
        <v>709</v>
      </c>
      <c r="E9" s="11" t="str">
        <f aca="false">IFERROR(IF(INDEX(Matches!$AO$5:$AO$17,MATCH($B$2,Matches!$A$5:$A$17,0))="","",INDEX(Matches!$AO$5:$AO$17,MATCH($B$2,Matches!$A$5:$A$17,0))),"")</f>
        <v/>
      </c>
      <c r="G9" s="3" t="s">
        <v>710</v>
      </c>
      <c r="H9" s="0" t="str">
        <f aca="false">IF(IFERROR(IF(INDEX(Matches!$AI$5:$AI$17,MATCH($B$2,Matches!$A$5:$A$17,0))="","",INDEX(Matches!$AI$5:$AI$17,MATCH($B$2,Matches!$A$5:$A$17,0))),"")="","",TEXT(IFERROR(IF(INDEX(Matches!$AI$5:$AI$17,MATCH($B$2,Matches!$A$5:$A$17,0))="","",INDEX(Matches!$AI$5:$AI$17,MATCH($B$2,Matches!$A$5:$A$17,0))),""),"0%")&amp;" / "&amp;TEXT(IFERROR(IF(INDEX(Matches!$AJ$5:$AJ$17,MATCH($B$2,Matches!$A$5:$A$17,0))="","",INDEX(Matches!$AJ$5:$AJ$17,MATCH($B$2,Matches!$A$5:$A$17,0))),""),"0%"))</f>
        <v>56% / 54%</v>
      </c>
    </row>
    <row r="10" customFormat="false" ht="15" hidden="false" customHeight="false" outlineLevel="0" collapsed="false">
      <c r="A10" s="3" t="s">
        <v>711</v>
      </c>
      <c r="B10" s="0" t="str">
        <f aca="false">"Map 1: "&amp;IFERROR(IF(INDEX(Matches!$W$5:$W$17,MATCH($B$2,Matches!$A$5:$A$17,0))="","",INDEX(Matches!$W$5:$W$17,MATCH($B$2,Matches!$A$5:$A$17,0))),"")&amp;"   ·   Map 2: "&amp;IFERROR(IF(INDEX(Matches!$X$5:$X$17,MATCH($B$2,Matches!$A$5:$A$17,0))="","",INDEX(Matches!$X$5:$X$17,MATCH($B$2,Matches!$A$5:$A$17,0))),"")&amp;IF(IFERROR(IF(INDEX(Matches!$Y$5:$Y$17,MATCH($B$2,Matches!$A$5:$A$17,0))="","",INDEX(Matches!$Y$5:$Y$17,MATCH($B$2,Matches!$A$5:$A$17,0))),"")="","","   ·   Map 3: "&amp;IFERROR(IF(INDEX(Matches!$Y$5:$Y$17,MATCH($B$2,Matches!$A$5:$A$17,0))="","",INDEX(Matches!$Y$5:$Y$17,MATCH($B$2,Matches!$A$5:$A$17,0))),""))</f>
        <v>Map 1: Dust2   ·   Map 2: Cache   ·   Map 3: Ancient</v>
      </c>
    </row>
    <row r="11" customFormat="false" ht="15" hidden="false" customHeight="false" outlineLevel="0" collapsed="false">
      <c r="B11" s="0" t="str">
        <f aca="false">"Rounds: "&amp;TEXT(IFERROR(IF(INDEX(Matches!$Z$5:$Z$17,MATCH($B$2,Matches!$A$5:$A$17,0))="","",INDEX(Matches!$Z$5:$Z$17,MATCH($B$2,Matches!$A$5:$A$17,0))),""),"0.0")&amp;" / "&amp;TEXT(IFERROR(IF(INDEX(Matches!$AA$5:$AA$17,MATCH($B$2,Matches!$A$5:$A$17,0))="","",INDEX(Matches!$AA$5:$AA$17,MATCH($B$2,Matches!$A$5:$A$17,0))),""),"0.0")&amp;IF(IFERROR(IF(INDEX(Matches!$AB$5:$AB$17,MATCH($B$2,Matches!$A$5:$A$17,0))="","",INDEX(Matches!$AB$5:$AB$17,MATCH($B$2,Matches!$A$5:$A$17,0))),"")="",""," / "&amp;TEXT(IFERROR(IF(INDEX(Matches!$AB$5:$AB$17,MATCH($B$2,Matches!$A$5:$A$17,0))="","",INDEX(Matches!$AB$5:$AB$17,MATCH($B$2,Matches!$A$5:$A$17,0))),""),"0.0"))&amp;"   ·   P(map 3) "&amp;TEXT(IFERROR(IF(INDEX(Matches!$AC$5:$AC$17,MATCH($B$2,Matches!$A$5:$A$17,0))="","",INDEX(Matches!$AC$5:$AC$17,MATCH($B$2,Matches!$A$5:$A$17,0))),""),"0%")</f>
        <v>Rounds: 21.5 / 21.5 / 21.5   ·   P(map 3) 0%</v>
      </c>
    </row>
    <row r="12" customFormat="false" ht="15" hidden="false" customHeight="false" outlineLevel="0" collapsed="false">
      <c r="B12" s="2" t="str">
        <f aca="false">"Change maps or rounds on the Matches tab, row "&amp;(MATCH($B$2,Matches!$A$5:$A$17,0)+4)&amp;" (shaded cells)."</f>
        <v>Change maps or rounds on the Matches tab, row 5 (shaded cells).</v>
      </c>
    </row>
    <row r="14" customFormat="false" ht="28.35" hidden="false" customHeight="false" outlineLevel="0" collapsed="false">
      <c r="A14" s="12" t="s">
        <v>712</v>
      </c>
      <c r="B14" s="12" t="s">
        <v>713</v>
      </c>
      <c r="C14" s="12" t="s">
        <v>714</v>
      </c>
      <c r="D14" s="12" t="s">
        <v>715</v>
      </c>
      <c r="E14" s="12" t="s">
        <v>716</v>
      </c>
      <c r="F14" s="12" t="s">
        <v>717</v>
      </c>
      <c r="G14" s="12" t="s">
        <v>718</v>
      </c>
      <c r="H14" s="12" t="s">
        <v>719</v>
      </c>
      <c r="I14" s="12" t="s">
        <v>720</v>
      </c>
      <c r="J14" s="12" t="s">
        <v>721</v>
      </c>
      <c r="K14" s="12" t="s">
        <v>722</v>
      </c>
      <c r="L14" s="12" t="s">
        <v>723</v>
      </c>
      <c r="M14" s="12" t="s">
        <v>724</v>
      </c>
      <c r="N14" s="12" t="s">
        <v>725</v>
      </c>
      <c r="O14" s="12" t="s">
        <v>726</v>
      </c>
      <c r="P14" s="12" t="s">
        <v>727</v>
      </c>
      <c r="Q14" s="12" t="s">
        <v>728</v>
      </c>
      <c r="R14" s="12" t="s">
        <v>729</v>
      </c>
      <c r="S14" s="12" t="s">
        <v>730</v>
      </c>
      <c r="T14" s="12" t="s">
        <v>731</v>
      </c>
      <c r="U14" s="12"/>
      <c r="V14" s="12" t="s">
        <v>732</v>
      </c>
    </row>
    <row r="15" customFormat="false" ht="15" hidden="false" customHeight="false" outlineLevel="0" collapsed="false">
      <c r="A15" s="0" t="str">
        <f aca="false">IF($V15="","",INDEX(Calc!$D$2:$D$105,$V15))</f>
        <v>RA</v>
      </c>
      <c r="B15" s="0" t="str">
        <f aca="false">IF($V15="","",INDEX(Calc!$E$2:$E$105,$V15))</f>
        <v>ChildKing</v>
      </c>
      <c r="C15" s="13" t="n">
        <f aca="false">IF($V15="","",INDEX(Calc!$T$2:$T$105,$V15))</f>
        <v>0.814444444444444</v>
      </c>
      <c r="D15" s="13" t="n">
        <f aca="false">IF($V15="","",INDEX(Calc!$AA$2:$AA$105,$V15))</f>
        <v>0.8175</v>
      </c>
      <c r="E15" s="11" t="n">
        <f aca="false">IF($V15="","",INDEX(Calc!$V$2:$V$105,$V15))</f>
        <v>17.5105555555556</v>
      </c>
      <c r="F15" s="11" t="n">
        <f aca="false">IF($V15="","",INDEX(Calc!$AC$2:$AC$105,$V15))</f>
        <v>17.57625</v>
      </c>
      <c r="G15" s="11" t="n">
        <f aca="false">IF($V15="","",INDEX(Calc!$AL$2:$AL$105,$V15))</f>
        <v>35.0868055555556</v>
      </c>
      <c r="H15" s="13" t="n">
        <f aca="false">IF($V15="","",INDEX(Calc!$BK$2:$BK$105,$V15))</f>
        <v>1</v>
      </c>
      <c r="I15" s="11" t="n">
        <f aca="false">IF($V15="","",INDEX(Calc!$BD$2:$BD$105,$V15))</f>
        <v>35.0868055555556</v>
      </c>
      <c r="J15" s="9" t="n">
        <f aca="false">IF($V15="","",IFERROR(INDEX(Projections!$F$2:$F$195,MATCH(INDEX(Calc!$A$2:$A$105,$V15)&amp;"|K12",Projections!$Y$2:$Y$195,0)),""))</f>
        <v>32.5</v>
      </c>
      <c r="K15" s="10" t="n">
        <f aca="false">IF($V15="","",IFERROR(INDEX(Projections!$I$2:$I$195,MATCH(INDEX(Calc!$A$2:$A$105,$V15)&amp;"|K12",Projections!$Y$2:$Y$195,0)),""))</f>
        <v>0.643968276798993</v>
      </c>
      <c r="L15" s="10" t="n">
        <f aca="false">IF($V15="","",IFERROR(INDEX(Projections!$AB$2:$AB$195,MATCH(INDEX(Calc!$A$2:$A$105,$V15)&amp;"|K12",Projections!$Y$2:$Y$195,0)),""))</f>
        <v>0.643968276798993</v>
      </c>
      <c r="M15" s="9" t="n">
        <f aca="false">IF($V15="","",IFERROR(INDEX(Projections!$M$2:$M$195,MATCH(INDEX(Calc!$A$2:$A$105,$V15)&amp;"|K12",Projections!$Y$2:$Y$195,0)),""))</f>
        <v>0</v>
      </c>
      <c r="N15" s="10" t="n">
        <f aca="false">IF($V15="","",IFERROR(INDEX(Projections!$P$2:$P$195,MATCH(INDEX(Calc!$A$2:$A$105,$V15)&amp;"|K12",Projections!$Y$2:$Y$195,0)),""))</f>
        <v>0.5</v>
      </c>
      <c r="O15" s="10" t="n">
        <f aca="false">IF($V15="","",INDEX(Calc!$AP$2:$AP$105,$V15))</f>
        <v>0.634664553191489</v>
      </c>
      <c r="P15" s="11" t="n">
        <f aca="false">IF($V15="","",INDEX(Calc!$AN$2:$AN$105,$V15))</f>
        <v>22.2683517708333</v>
      </c>
      <c r="Q15" s="9" t="n">
        <f aca="false">IF($V15="","",IFERROR(INDEX(Projections!$F$2:$F$195,MATCH(INDEX(Calc!$A$2:$A$105,$V15)&amp;"|H12",Projections!$Y$2:$Y$195,0)),""))</f>
        <v>20.5</v>
      </c>
      <c r="R15" s="10" t="n">
        <f aca="false">IF($V15="","",IFERROR(INDEX(Projections!$I$2:$I$195,MATCH(INDEX(Calc!$A$2:$A$105,$V15)&amp;"|H12",Projections!$Y$2:$Y$195,0)),""))</f>
        <v>0.631057840556706</v>
      </c>
      <c r="S15" s="9" t="n">
        <f aca="false">IF($V15="","",INDEX(Calc!$N$2:$N$105,$V15))</f>
        <v>39</v>
      </c>
      <c r="T15" s="0" t="str">
        <f aca="false">IF($V15="","",INDEX(Calc!$AQ$2:$AQ$105,$V15))</f>
        <v/>
      </c>
      <c r="V15" s="9" t="n">
        <f aca="false">IFERROR(MATCH(1,Calc!$AR$2:$AR$105,0),"")</f>
        <v>2</v>
      </c>
    </row>
    <row r="16" customFormat="false" ht="15" hidden="false" customHeight="false" outlineLevel="0" collapsed="false">
      <c r="A16" s="0" t="str">
        <f aca="false">IF($V16="","",INDEX(Calc!$D$2:$D$105,$V16))</f>
        <v>RA</v>
      </c>
      <c r="B16" s="0" t="str">
        <f aca="false">IF($V16="","",INDEX(Calc!$E$2:$E$105,$V16))</f>
        <v>Kaze</v>
      </c>
      <c r="C16" s="13" t="n">
        <f aca="false">IF($V16="","",INDEX(Calc!$T$2:$T$105,$V16))</f>
        <v>0.76421052631579</v>
      </c>
      <c r="D16" s="13" t="n">
        <f aca="false">IF($V16="","",INDEX(Calc!$AA$2:$AA$105,$V16))</f>
        <v>0.7</v>
      </c>
      <c r="E16" s="11" t="n">
        <f aca="false">IF($V16="","",INDEX(Calc!$V$2:$V$105,$V16))</f>
        <v>16.4305263157895</v>
      </c>
      <c r="F16" s="11" t="n">
        <f aca="false">IF($V16="","",INDEX(Calc!$AC$2:$AC$105,$V16))</f>
        <v>15.05</v>
      </c>
      <c r="G16" s="11" t="n">
        <f aca="false">IF($V16="","",INDEX(Calc!$AL$2:$AL$105,$V16))</f>
        <v>31.4805263157895</v>
      </c>
      <c r="H16" s="13" t="n">
        <f aca="false">IF($V16="","",INDEX(Calc!$BK$2:$BK$105,$V16))</f>
        <v>1</v>
      </c>
      <c r="I16" s="11" t="n">
        <f aca="false">IF($V16="","",INDEX(Calc!$BD$2:$BD$105,$V16))</f>
        <v>31.4805263157895</v>
      </c>
      <c r="J16" s="9" t="n">
        <f aca="false">IF($V16="","",IFERROR(INDEX(Projections!$F$2:$F$195,MATCH(INDEX(Calc!$A$2:$A$105,$V16)&amp;"|K12",Projections!$Y$2:$Y$195,0)),""))</f>
        <v>30.5</v>
      </c>
      <c r="K16" s="10" t="n">
        <f aca="false">IF($V16="","",IFERROR(INDEX(Projections!$I$2:$I$195,MATCH(INDEX(Calc!$A$2:$A$105,$V16)&amp;"|K12",Projections!$Y$2:$Y$195,0)),""))</f>
        <v>0.558709395201866</v>
      </c>
      <c r="L16" s="10" t="n">
        <f aca="false">IF($V16="","",IFERROR(INDEX(Projections!$AB$2:$AB$195,MATCH(INDEX(Calc!$A$2:$A$105,$V16)&amp;"|K12",Projections!$Y$2:$Y$195,0)),""))</f>
        <v>0.558709395201866</v>
      </c>
      <c r="M16" s="9" t="n">
        <f aca="false">IF($V16="","",IFERROR(INDEX(Projections!$M$2:$M$195,MATCH(INDEX(Calc!$A$2:$A$105,$V16)&amp;"|K12",Projections!$Y$2:$Y$195,0)),""))</f>
        <v>0</v>
      </c>
      <c r="N16" s="10" t="n">
        <f aca="false">IF($V16="","",IFERROR(INDEX(Projections!$P$2:$P$195,MATCH(INDEX(Calc!$A$2:$A$105,$V16)&amp;"|K12",Projections!$Y$2:$Y$195,0)),""))</f>
        <v>0.5</v>
      </c>
      <c r="O16" s="10" t="n">
        <f aca="false">IF($V16="","",INDEX(Calc!$AP$2:$AP$105,$V16))</f>
        <v>0.426173880964093</v>
      </c>
      <c r="P16" s="11" t="n">
        <f aca="false">IF($V16="","",INDEX(Calc!$AN$2:$AN$105,$V16))</f>
        <v>13.4161780747922</v>
      </c>
      <c r="Q16" s="9" t="n">
        <f aca="false">IF($V16="","",IFERROR(INDEX(Projections!$F$2:$F$195,MATCH(INDEX(Calc!$A$2:$A$105,$V16)&amp;"|H12",Projections!$Y$2:$Y$195,0)),""))</f>
        <v>10.5</v>
      </c>
      <c r="R16" s="10" t="n">
        <f aca="false">IF($V16="","",IFERROR(INDEX(Projections!$I$2:$I$195,MATCH(INDEX(Calc!$A$2:$A$105,$V16)&amp;"|H12",Projections!$Y$2:$Y$195,0)),""))</f>
        <v>0.769104618426832</v>
      </c>
      <c r="S16" s="9" t="n">
        <f aca="false">IF($V16="","",INDEX(Calc!$N$2:$N$105,$V16))</f>
        <v>37</v>
      </c>
      <c r="T16" s="0" t="str">
        <f aca="false">IF($V16="","",INDEX(Calc!$AQ$2:$AQ$105,$V16))</f>
        <v/>
      </c>
      <c r="V16" s="9" t="n">
        <f aca="false">IFERROR(MATCH(2,Calc!$AR$2:$AR$105,0),"")</f>
        <v>3</v>
      </c>
    </row>
    <row r="17" customFormat="false" ht="15" hidden="false" customHeight="false" outlineLevel="0" collapsed="false">
      <c r="A17" s="0" t="str">
        <f aca="false">IF($V17="","",INDEX(Calc!$D$2:$D$105,$V17))</f>
        <v>RA</v>
      </c>
      <c r="B17" s="0" t="str">
        <f aca="false">IF($V17="","",INDEX(Calc!$E$2:$E$105,$V17))</f>
        <v>L1haNg</v>
      </c>
      <c r="C17" s="13" t="n">
        <f aca="false">IF($V17="","",INDEX(Calc!$T$2:$T$105,$V17))</f>
        <v>0.71</v>
      </c>
      <c r="D17" s="13" t="n">
        <f aca="false">IF($V17="","",INDEX(Calc!$AA$2:$AA$105,$V17))</f>
        <v>0.733333333333333</v>
      </c>
      <c r="E17" s="11" t="n">
        <f aca="false">IF($V17="","",INDEX(Calc!$V$2:$V$105,$V17))</f>
        <v>15.265</v>
      </c>
      <c r="F17" s="11" t="n">
        <f aca="false">IF($V17="","",INDEX(Calc!$AC$2:$AC$105,$V17))</f>
        <v>15.7666666666667</v>
      </c>
      <c r="G17" s="11" t="n">
        <f aca="false">IF($V17="","",INDEX(Calc!$AL$2:$AL$105,$V17))</f>
        <v>31.0316666666667</v>
      </c>
      <c r="H17" s="13" t="n">
        <f aca="false">IF($V17="","",INDEX(Calc!$BK$2:$BK$105,$V17))</f>
        <v>1</v>
      </c>
      <c r="I17" s="11" t="n">
        <f aca="false">IF($V17="","",INDEX(Calc!$BD$2:$BD$105,$V17))</f>
        <v>31.0316666666667</v>
      </c>
      <c r="J17" s="9" t="n">
        <f aca="false">IF($V17="","",IFERROR(INDEX(Projections!$F$2:$F$195,MATCH(INDEX(Calc!$A$2:$A$105,$V17)&amp;"|K12",Projections!$Y$2:$Y$195,0)),""))</f>
        <v>31.5</v>
      </c>
      <c r="K17" s="10" t="n">
        <f aca="false">IF($V17="","",IFERROR(INDEX(Projections!$I$2:$I$195,MATCH(INDEX(Calc!$A$2:$A$105,$V17)&amp;"|K12",Projections!$Y$2:$Y$195,0)),""))</f>
        <v>0.471677391136259</v>
      </c>
      <c r="L17" s="10" t="n">
        <f aca="false">IF($V17="","",IFERROR(INDEX(Projections!$AB$2:$AB$195,MATCH(INDEX(Calc!$A$2:$A$105,$V17)&amp;"|K12",Projections!$Y$2:$Y$195,0)),""))</f>
        <v>0.471677391136259</v>
      </c>
      <c r="M17" s="9" t="n">
        <f aca="false">IF($V17="","",IFERROR(INDEX(Projections!$M$2:$M$195,MATCH(INDEX(Calc!$A$2:$A$105,$V17)&amp;"|K12",Projections!$Y$2:$Y$195,0)),""))</f>
        <v>0</v>
      </c>
      <c r="N17" s="10" t="n">
        <f aca="false">IF($V17="","",IFERROR(INDEX(Projections!$P$2:$P$195,MATCH(INDEX(Calc!$A$2:$A$105,$V17)&amp;"|K12",Projections!$Y$2:$Y$195,0)),""))</f>
        <v>0.4</v>
      </c>
      <c r="O17" s="10" t="n">
        <f aca="false">IF($V17="","",INDEX(Calc!$AP$2:$AP$105,$V17))</f>
        <v>0.591257120862202</v>
      </c>
      <c r="P17" s="11" t="n">
        <f aca="false">IF($V17="","",INDEX(Calc!$AN$2:$AN$105,$V17))</f>
        <v>18.3476938888889</v>
      </c>
      <c r="Q17" s="9" t="n">
        <f aca="false">IF($V17="","",IFERROR(INDEX(Projections!$F$2:$F$195,MATCH(INDEX(Calc!$A$2:$A$105,$V17)&amp;"|H12",Projections!$Y$2:$Y$195,0)),""))</f>
        <v>17.5</v>
      </c>
      <c r="R17" s="10" t="n">
        <f aca="false">IF($V17="","",IFERROR(INDEX(Projections!$I$2:$I$195,MATCH(INDEX(Calc!$A$2:$A$105,$V17)&amp;"|H12",Projections!$Y$2:$Y$195,0)),""))</f>
        <v>0.570627367294295</v>
      </c>
      <c r="S17" s="9" t="n">
        <f aca="false">IF($V17="","",INDEX(Calc!$N$2:$N$105,$V17))</f>
        <v>39</v>
      </c>
      <c r="T17" s="0" t="str">
        <f aca="false">IF($V17="","",INDEX(Calc!$AQ$2:$AQ$105,$V17))</f>
        <v/>
      </c>
      <c r="V17" s="9" t="n">
        <f aca="false">IFERROR(MATCH(3,Calc!$AR$2:$AR$105,0),"")</f>
        <v>4</v>
      </c>
    </row>
    <row r="18" customFormat="false" ht="15" hidden="false" customHeight="false" outlineLevel="0" collapsed="false">
      <c r="A18" s="0" t="str">
        <f aca="false">IF($V18="","",INDEX(Calc!$D$2:$D$105,$V18))</f>
        <v>RA</v>
      </c>
      <c r="B18" s="0" t="str">
        <f aca="false">IF($V18="","",INDEX(Calc!$E$2:$E$105,$V18))</f>
        <v>3gl</v>
      </c>
      <c r="C18" s="13" t="n">
        <f aca="false">IF($V18="","",INDEX(Calc!$T$2:$T$105,$V18))</f>
        <v>0.592222222222222</v>
      </c>
      <c r="D18" s="13" t="n">
        <f aca="false">IF($V18="","",INDEX(Calc!$AA$2:$AA$105,$V18))</f>
        <v>0.685</v>
      </c>
      <c r="E18" s="11" t="n">
        <f aca="false">IF($V18="","",INDEX(Calc!$V$2:$V$105,$V18))</f>
        <v>12.7327777777778</v>
      </c>
      <c r="F18" s="11" t="n">
        <f aca="false">IF($V18="","",INDEX(Calc!$AC$2:$AC$105,$V18))</f>
        <v>14.7275</v>
      </c>
      <c r="G18" s="11" t="n">
        <f aca="false">IF($V18="","",INDEX(Calc!$AL$2:$AL$105,$V18))</f>
        <v>27.4602777777778</v>
      </c>
      <c r="H18" s="13" t="n">
        <f aca="false">IF($V18="","",INDEX(Calc!$BK$2:$BK$105,$V18))</f>
        <v>1</v>
      </c>
      <c r="I18" s="11" t="n">
        <f aca="false">IF($V18="","",INDEX(Calc!$BD$2:$BD$105,$V18))</f>
        <v>27.4602777777778</v>
      </c>
      <c r="J18" s="9" t="n">
        <f aca="false">IF($V18="","",IFERROR(INDEX(Projections!$F$2:$F$195,MATCH(INDEX(Calc!$A$2:$A$105,$V18)&amp;"|K12",Projections!$Y$2:$Y$195,0)),""))</f>
        <v>27</v>
      </c>
      <c r="K18" s="10" t="n">
        <f aca="false">IF($V18="","",IFERROR(INDEX(Projections!$I$2:$I$195,MATCH(INDEX(Calc!$A$2:$A$105,$V18)&amp;"|K12",Projections!$Y$2:$Y$195,0)),""))</f>
        <v>0.497444215977071</v>
      </c>
      <c r="L18" s="10" t="n">
        <f aca="false">IF($V18="","",IFERROR(INDEX(Projections!$AB$2:$AB$195,MATCH(INDEX(Calc!$A$2:$A$105,$V18)&amp;"|K12",Projections!$Y$2:$Y$195,0)),""))</f>
        <v>0.497444215977071</v>
      </c>
      <c r="M18" s="9" t="n">
        <f aca="false">IF($V18="","",IFERROR(INDEX(Projections!$M$2:$M$195,MATCH(INDEX(Calc!$A$2:$A$105,$V18)&amp;"|K12",Projections!$Y$2:$Y$195,0)),""))</f>
        <v>0</v>
      </c>
      <c r="N18" s="10" t="n">
        <f aca="false">IF($V18="","",IFERROR(INDEX(Projections!$P$2:$P$195,MATCH(INDEX(Calc!$A$2:$A$105,$V18)&amp;"|K12",Projections!$Y$2:$Y$195,0)),""))</f>
        <v>0.5</v>
      </c>
      <c r="O18" s="10" t="n">
        <f aca="false">IF($V18="","",INDEX(Calc!$AP$2:$AP$105,$V18))</f>
        <v>0.446390507950317</v>
      </c>
      <c r="P18" s="11" t="n">
        <f aca="false">IF($V18="","",INDEX(Calc!$AN$2:$AN$105,$V18))</f>
        <v>12.258007345679</v>
      </c>
      <c r="Q18" s="0" t="str">
        <f aca="false">IF($V18="","",IFERROR(INDEX(Projections!$F$2:$F$195,MATCH(INDEX(Calc!$A$2:$A$105,$V18)&amp;"|H12",Projections!$Y$2:$Y$195,0)),""))</f>
        <v/>
      </c>
      <c r="R18" s="10" t="str">
        <f aca="false">IF($V18="","",IFERROR(INDEX(Projections!$I$2:$I$195,MATCH(INDEX(Calc!$A$2:$A$105,$V18)&amp;"|H12",Projections!$Y$2:$Y$195,0)),""))</f>
        <v/>
      </c>
      <c r="S18" s="9" t="n">
        <f aca="false">IF($V18="","",INDEX(Calc!$N$2:$N$105,$V18))</f>
        <v>39</v>
      </c>
      <c r="T18" s="0" t="str">
        <f aca="false">IF($V18="","",INDEX(Calc!$AQ$2:$AQ$105,$V18))</f>
        <v/>
      </c>
      <c r="V18" s="9" t="n">
        <f aca="false">IFERROR(MATCH(4,Calc!$AR$2:$AR$105,0),"")</f>
        <v>1</v>
      </c>
    </row>
    <row r="19" customFormat="false" ht="15" hidden="false" customHeight="false" outlineLevel="0" collapsed="false">
      <c r="A19" s="0" t="str">
        <f aca="false">IF($V19="","",INDEX(Calc!$D$2:$D$105,$V19))</f>
        <v>RA</v>
      </c>
      <c r="B19" s="0" t="str">
        <f aca="false">IF($V19="","",INDEX(Calc!$E$2:$E$105,$V19))</f>
        <v>Summer</v>
      </c>
      <c r="C19" s="13" t="n">
        <f aca="false">IF($V19="","",INDEX(Calc!$T$2:$T$105,$V19))</f>
        <v>0.611666666666667</v>
      </c>
      <c r="D19" s="13" t="n">
        <f aca="false">IF($V19="","",INDEX(Calc!$AA$2:$AA$105,$V19))</f>
        <v>0.630833333333333</v>
      </c>
      <c r="E19" s="11" t="n">
        <f aca="false">IF($V19="","",INDEX(Calc!$V$2:$V$105,$V19))</f>
        <v>13.1508333333333</v>
      </c>
      <c r="F19" s="11" t="n">
        <f aca="false">IF($V19="","",INDEX(Calc!$AC$2:$AC$105,$V19))</f>
        <v>13.5629166666667</v>
      </c>
      <c r="G19" s="11" t="n">
        <f aca="false">IF($V19="","",INDEX(Calc!$AL$2:$AL$105,$V19))</f>
        <v>26.71375</v>
      </c>
      <c r="H19" s="13" t="n">
        <f aca="false">IF($V19="","",INDEX(Calc!$BK$2:$BK$105,$V19))</f>
        <v>1</v>
      </c>
      <c r="I19" s="11" t="n">
        <f aca="false">IF($V19="","",INDEX(Calc!$BD$2:$BD$105,$V19))</f>
        <v>26.71375</v>
      </c>
      <c r="J19" s="9" t="n">
        <f aca="false">IF($V19="","",IFERROR(INDEX(Projections!$F$2:$F$195,MATCH(INDEX(Calc!$A$2:$A$105,$V19)&amp;"|K12",Projections!$Y$2:$Y$195,0)),""))</f>
        <v>27</v>
      </c>
      <c r="K19" s="10" t="n">
        <f aca="false">IF($V19="","",IFERROR(INDEX(Projections!$I$2:$I$195,MATCH(INDEX(Calc!$A$2:$A$105,$V19)&amp;"|K12",Projections!$Y$2:$Y$195,0)),""))</f>
        <v>0.448850174790027</v>
      </c>
      <c r="L19" s="10" t="n">
        <f aca="false">IF($V19="","",IFERROR(INDEX(Projections!$AB$2:$AB$195,MATCH(INDEX(Calc!$A$2:$A$105,$V19)&amp;"|K12",Projections!$Y$2:$Y$195,0)),""))</f>
        <v>0.448850174790027</v>
      </c>
      <c r="M19" s="9" t="n">
        <f aca="false">IF($V19="","",IFERROR(INDEX(Projections!$M$2:$M$195,MATCH(INDEX(Calc!$A$2:$A$105,$V19)&amp;"|K12",Projections!$Y$2:$Y$195,0)),""))</f>
        <v>0</v>
      </c>
      <c r="N19" s="10" t="n">
        <f aca="false">IF($V19="","",IFERROR(INDEX(Projections!$P$2:$P$195,MATCH(INDEX(Calc!$A$2:$A$105,$V19)&amp;"|K12",Projections!$Y$2:$Y$195,0)),""))</f>
        <v>0.4</v>
      </c>
      <c r="O19" s="10" t="n">
        <f aca="false">IF($V19="","",INDEX(Calc!$AP$2:$AP$105,$V19))</f>
        <v>0.626530181086519</v>
      </c>
      <c r="P19" s="11" t="n">
        <f aca="false">IF($V19="","",INDEX(Calc!$AN$2:$AN$105,$V19))</f>
        <v>16.736970625</v>
      </c>
      <c r="Q19" s="9" t="n">
        <f aca="false">IF($V19="","",IFERROR(INDEX(Projections!$F$2:$F$195,MATCH(INDEX(Calc!$A$2:$A$105,$V19)&amp;"|H12",Projections!$Y$2:$Y$195,0)),""))</f>
        <v>15.5</v>
      </c>
      <c r="R19" s="10" t="n">
        <f aca="false">IF($V19="","",IFERROR(INDEX(Projections!$I$2:$I$195,MATCH(INDEX(Calc!$A$2:$A$105,$V19)&amp;"|H12",Projections!$Y$2:$Y$195,0)),""))</f>
        <v>0.606562466633088</v>
      </c>
      <c r="S19" s="9" t="n">
        <f aca="false">IF($V19="","",INDEX(Calc!$N$2:$N$105,$V19))</f>
        <v>39</v>
      </c>
      <c r="T19" s="0" t="str">
        <f aca="false">IF($V19="","",INDEX(Calc!$AQ$2:$AQ$105,$V19))</f>
        <v/>
      </c>
      <c r="V19" s="9" t="n">
        <f aca="false">IFERROR(MATCH(5,Calc!$AR$2:$AR$105,0),"")</f>
        <v>5</v>
      </c>
    </row>
    <row r="20" customFormat="false" ht="15" hidden="false" customHeight="false" outlineLevel="0" collapsed="false">
      <c r="A20" s="0" t="str">
        <f aca="false">IF($V20="","",INDEX(Calc!$D$2:$D$105,$V20))</f>
        <v/>
      </c>
      <c r="B20" s="0" t="str">
        <f aca="false">IF($V20="","",INDEX(Calc!$E$2:$E$105,$V20))</f>
        <v/>
      </c>
      <c r="C20" s="13" t="str">
        <f aca="false">IF($V20="","",INDEX(Calc!$T$2:$T$105,$V20))</f>
        <v/>
      </c>
      <c r="D20" s="13" t="str">
        <f aca="false">IF($V20="","",INDEX(Calc!$AA$2:$AA$105,$V20))</f>
        <v/>
      </c>
      <c r="E20" s="11" t="str">
        <f aca="false">IF($V20="","",INDEX(Calc!$V$2:$V$105,$V20))</f>
        <v/>
      </c>
      <c r="F20" s="11" t="str">
        <f aca="false">IF($V20="","",INDEX(Calc!$AC$2:$AC$105,$V20))</f>
        <v/>
      </c>
      <c r="G20" s="11" t="str">
        <f aca="false">IF($V20="","",INDEX(Calc!$AL$2:$AL$105,$V20))</f>
        <v/>
      </c>
      <c r="H20" s="13" t="str">
        <f aca="false">IF($V20="","",INDEX(Calc!$BK$2:$BK$105,$V20))</f>
        <v/>
      </c>
      <c r="I20" s="11" t="str">
        <f aca="false">IF($V20="","",INDEX(Calc!$BD$2:$BD$105,$V20))</f>
        <v/>
      </c>
      <c r="J20" s="0" t="str">
        <f aca="false">IF($V20="","",IFERROR(INDEX(Projections!$F$2:$F$195,MATCH(INDEX(Calc!$A$2:$A$105,$V20)&amp;"|K12",Projections!$Y$2:$Y$195,0)),""))</f>
        <v/>
      </c>
      <c r="K20" s="10" t="str">
        <f aca="false">IF($V20="","",IFERROR(INDEX(Projections!$I$2:$I$195,MATCH(INDEX(Calc!$A$2:$A$105,$V20)&amp;"|K12",Projections!$Y$2:$Y$195,0)),""))</f>
        <v/>
      </c>
      <c r="L20" s="10" t="str">
        <f aca="false">IF($V20="","",IFERROR(INDEX(Projections!$AB$2:$AB$195,MATCH(INDEX(Calc!$A$2:$A$105,$V20)&amp;"|K12",Projections!$Y$2:$Y$195,0)),""))</f>
        <v/>
      </c>
      <c r="M20" s="0" t="str">
        <f aca="false">IF($V20="","",IFERROR(INDEX(Projections!$M$2:$M$195,MATCH(INDEX(Calc!$A$2:$A$105,$V20)&amp;"|K12",Projections!$Y$2:$Y$195,0)),""))</f>
        <v/>
      </c>
      <c r="N20" s="10" t="str">
        <f aca="false">IF($V20="","",IFERROR(INDEX(Projections!$P$2:$P$195,MATCH(INDEX(Calc!$A$2:$A$105,$V20)&amp;"|K12",Projections!$Y$2:$Y$195,0)),""))</f>
        <v/>
      </c>
      <c r="O20" s="10" t="str">
        <f aca="false">IF($V20="","",INDEX(Calc!$AP$2:$AP$105,$V20))</f>
        <v/>
      </c>
      <c r="P20" s="11" t="str">
        <f aca="false">IF($V20="","",INDEX(Calc!$AN$2:$AN$105,$V20))</f>
        <v/>
      </c>
      <c r="Q20" s="0" t="str">
        <f aca="false">IF($V20="","",IFERROR(INDEX(Projections!$F$2:$F$195,MATCH(INDEX(Calc!$A$2:$A$105,$V20)&amp;"|H12",Projections!$Y$2:$Y$195,0)),""))</f>
        <v/>
      </c>
      <c r="R20" s="10" t="str">
        <f aca="false">IF($V20="","",IFERROR(INDEX(Projections!$I$2:$I$195,MATCH(INDEX(Calc!$A$2:$A$105,$V20)&amp;"|H12",Projections!$Y$2:$Y$195,0)),""))</f>
        <v/>
      </c>
      <c r="S20" s="0" t="str">
        <f aca="false">IF($V20="","",INDEX(Calc!$N$2:$N$105,$V20))</f>
        <v/>
      </c>
      <c r="T20" s="0" t="str">
        <f aca="false">IF($V20="","",INDEX(Calc!$AQ$2:$AQ$105,$V20))</f>
        <v/>
      </c>
      <c r="V20" s="0" t="str">
        <f aca="false">IFERROR(MATCH(6,Calc!$AR$2:$AR$105,0),"")</f>
        <v/>
      </c>
    </row>
    <row r="21" customFormat="false" ht="15" hidden="false" customHeight="false" outlineLevel="0" collapsed="false">
      <c r="A21" s="0" t="str">
        <f aca="false">IF($V21="","",INDEX(Calc!$D$2:$D$105,$V21))</f>
        <v/>
      </c>
      <c r="B21" s="0" t="str">
        <f aca="false">IF($V21="","",INDEX(Calc!$E$2:$E$105,$V21))</f>
        <v/>
      </c>
      <c r="C21" s="13" t="str">
        <f aca="false">IF($V21="","",INDEX(Calc!$T$2:$T$105,$V21))</f>
        <v/>
      </c>
      <c r="D21" s="13" t="str">
        <f aca="false">IF($V21="","",INDEX(Calc!$AA$2:$AA$105,$V21))</f>
        <v/>
      </c>
      <c r="E21" s="11" t="str">
        <f aca="false">IF($V21="","",INDEX(Calc!$V$2:$V$105,$V21))</f>
        <v/>
      </c>
      <c r="F21" s="11" t="str">
        <f aca="false">IF($V21="","",INDEX(Calc!$AC$2:$AC$105,$V21))</f>
        <v/>
      </c>
      <c r="G21" s="11" t="str">
        <f aca="false">IF($V21="","",INDEX(Calc!$AL$2:$AL$105,$V21))</f>
        <v/>
      </c>
      <c r="H21" s="13" t="str">
        <f aca="false">IF($V21="","",INDEX(Calc!$BK$2:$BK$105,$V21))</f>
        <v/>
      </c>
      <c r="I21" s="11" t="str">
        <f aca="false">IF($V21="","",INDEX(Calc!$BD$2:$BD$105,$V21))</f>
        <v/>
      </c>
      <c r="J21" s="0" t="str">
        <f aca="false">IF($V21="","",IFERROR(INDEX(Projections!$F$2:$F$195,MATCH(INDEX(Calc!$A$2:$A$105,$V21)&amp;"|K12",Projections!$Y$2:$Y$195,0)),""))</f>
        <v/>
      </c>
      <c r="K21" s="10" t="str">
        <f aca="false">IF($V21="","",IFERROR(INDEX(Projections!$I$2:$I$195,MATCH(INDEX(Calc!$A$2:$A$105,$V21)&amp;"|K12",Projections!$Y$2:$Y$195,0)),""))</f>
        <v/>
      </c>
      <c r="L21" s="10" t="str">
        <f aca="false">IF($V21="","",IFERROR(INDEX(Projections!$AB$2:$AB$195,MATCH(INDEX(Calc!$A$2:$A$105,$V21)&amp;"|K12",Projections!$Y$2:$Y$195,0)),""))</f>
        <v/>
      </c>
      <c r="M21" s="0" t="str">
        <f aca="false">IF($V21="","",IFERROR(INDEX(Projections!$M$2:$M$195,MATCH(INDEX(Calc!$A$2:$A$105,$V21)&amp;"|K12",Projections!$Y$2:$Y$195,0)),""))</f>
        <v/>
      </c>
      <c r="N21" s="10" t="str">
        <f aca="false">IF($V21="","",IFERROR(INDEX(Projections!$P$2:$P$195,MATCH(INDEX(Calc!$A$2:$A$105,$V21)&amp;"|K12",Projections!$Y$2:$Y$195,0)),""))</f>
        <v/>
      </c>
      <c r="O21" s="10" t="str">
        <f aca="false">IF($V21="","",INDEX(Calc!$AP$2:$AP$105,$V21))</f>
        <v/>
      </c>
      <c r="P21" s="11" t="str">
        <f aca="false">IF($V21="","",INDEX(Calc!$AN$2:$AN$105,$V21))</f>
        <v/>
      </c>
      <c r="Q21" s="0" t="str">
        <f aca="false">IF($V21="","",IFERROR(INDEX(Projections!$F$2:$F$195,MATCH(INDEX(Calc!$A$2:$A$105,$V21)&amp;"|H12",Projections!$Y$2:$Y$195,0)),""))</f>
        <v/>
      </c>
      <c r="R21" s="10" t="str">
        <f aca="false">IF($V21="","",IFERROR(INDEX(Projections!$I$2:$I$195,MATCH(INDEX(Calc!$A$2:$A$105,$V21)&amp;"|H12",Projections!$Y$2:$Y$195,0)),""))</f>
        <v/>
      </c>
      <c r="S21" s="0" t="str">
        <f aca="false">IF($V21="","",INDEX(Calc!$N$2:$N$105,$V21))</f>
        <v/>
      </c>
      <c r="T21" s="0" t="str">
        <f aca="false">IF($V21="","",INDEX(Calc!$AQ$2:$AQ$105,$V21))</f>
        <v/>
      </c>
      <c r="V21" s="0" t="str">
        <f aca="false">IFERROR(MATCH(7,Calc!$AR$2:$AR$105,0),"")</f>
        <v/>
      </c>
    </row>
    <row r="22" customFormat="false" ht="15" hidden="false" customHeight="false" outlineLevel="0" collapsed="false">
      <c r="A22" s="0" t="str">
        <f aca="false">IF($V22="","",INDEX(Calc!$D$2:$D$105,$V22))</f>
        <v/>
      </c>
      <c r="B22" s="0" t="str">
        <f aca="false">IF($V22="","",INDEX(Calc!$E$2:$E$105,$V22))</f>
        <v/>
      </c>
      <c r="C22" s="13" t="str">
        <f aca="false">IF($V22="","",INDEX(Calc!$T$2:$T$105,$V22))</f>
        <v/>
      </c>
      <c r="D22" s="13" t="str">
        <f aca="false">IF($V22="","",INDEX(Calc!$AA$2:$AA$105,$V22))</f>
        <v/>
      </c>
      <c r="E22" s="11" t="str">
        <f aca="false">IF($V22="","",INDEX(Calc!$V$2:$V$105,$V22))</f>
        <v/>
      </c>
      <c r="F22" s="11" t="str">
        <f aca="false">IF($V22="","",INDEX(Calc!$AC$2:$AC$105,$V22))</f>
        <v/>
      </c>
      <c r="G22" s="11" t="str">
        <f aca="false">IF($V22="","",INDEX(Calc!$AL$2:$AL$105,$V22))</f>
        <v/>
      </c>
      <c r="H22" s="13" t="str">
        <f aca="false">IF($V22="","",INDEX(Calc!$BK$2:$BK$105,$V22))</f>
        <v/>
      </c>
      <c r="I22" s="11" t="str">
        <f aca="false">IF($V22="","",INDEX(Calc!$BD$2:$BD$105,$V22))</f>
        <v/>
      </c>
      <c r="J22" s="0" t="str">
        <f aca="false">IF($V22="","",IFERROR(INDEX(Projections!$F$2:$F$195,MATCH(INDEX(Calc!$A$2:$A$105,$V22)&amp;"|K12",Projections!$Y$2:$Y$195,0)),""))</f>
        <v/>
      </c>
      <c r="K22" s="10" t="str">
        <f aca="false">IF($V22="","",IFERROR(INDEX(Projections!$I$2:$I$195,MATCH(INDEX(Calc!$A$2:$A$105,$V22)&amp;"|K12",Projections!$Y$2:$Y$195,0)),""))</f>
        <v/>
      </c>
      <c r="L22" s="10" t="str">
        <f aca="false">IF($V22="","",IFERROR(INDEX(Projections!$AB$2:$AB$195,MATCH(INDEX(Calc!$A$2:$A$105,$V22)&amp;"|K12",Projections!$Y$2:$Y$195,0)),""))</f>
        <v/>
      </c>
      <c r="M22" s="0" t="str">
        <f aca="false">IF($V22="","",IFERROR(INDEX(Projections!$M$2:$M$195,MATCH(INDEX(Calc!$A$2:$A$105,$V22)&amp;"|K12",Projections!$Y$2:$Y$195,0)),""))</f>
        <v/>
      </c>
      <c r="N22" s="10" t="str">
        <f aca="false">IF($V22="","",IFERROR(INDEX(Projections!$P$2:$P$195,MATCH(INDEX(Calc!$A$2:$A$105,$V22)&amp;"|K12",Projections!$Y$2:$Y$195,0)),""))</f>
        <v/>
      </c>
      <c r="O22" s="10" t="str">
        <f aca="false">IF($V22="","",INDEX(Calc!$AP$2:$AP$105,$V22))</f>
        <v/>
      </c>
      <c r="P22" s="11" t="str">
        <f aca="false">IF($V22="","",INDEX(Calc!$AN$2:$AN$105,$V22))</f>
        <v/>
      </c>
      <c r="Q22" s="0" t="str">
        <f aca="false">IF($V22="","",IFERROR(INDEX(Projections!$F$2:$F$195,MATCH(INDEX(Calc!$A$2:$A$105,$V22)&amp;"|H12",Projections!$Y$2:$Y$195,0)),""))</f>
        <v/>
      </c>
      <c r="R22" s="10" t="str">
        <f aca="false">IF($V22="","",IFERROR(INDEX(Projections!$I$2:$I$195,MATCH(INDEX(Calc!$A$2:$A$105,$V22)&amp;"|H12",Projections!$Y$2:$Y$195,0)),""))</f>
        <v/>
      </c>
      <c r="S22" s="0" t="str">
        <f aca="false">IF($V22="","",INDEX(Calc!$N$2:$N$105,$V22))</f>
        <v/>
      </c>
      <c r="T22" s="0" t="str">
        <f aca="false">IF($V22="","",INDEX(Calc!$AQ$2:$AQ$105,$V22))</f>
        <v/>
      </c>
      <c r="V22" s="0" t="str">
        <f aca="false">IFERROR(MATCH(8,Calc!$AR$2:$AR$105,0),"")</f>
        <v/>
      </c>
    </row>
    <row r="23" customFormat="false" ht="15" hidden="false" customHeight="false" outlineLevel="0" collapsed="false">
      <c r="A23" s="0" t="str">
        <f aca="false">IF($V23="","",INDEX(Calc!$D$2:$D$105,$V23))</f>
        <v/>
      </c>
      <c r="B23" s="0" t="str">
        <f aca="false">IF($V23="","",INDEX(Calc!$E$2:$E$105,$V23))</f>
        <v/>
      </c>
      <c r="C23" s="13" t="str">
        <f aca="false">IF($V23="","",INDEX(Calc!$T$2:$T$105,$V23))</f>
        <v/>
      </c>
      <c r="D23" s="13" t="str">
        <f aca="false">IF($V23="","",INDEX(Calc!$AA$2:$AA$105,$V23))</f>
        <v/>
      </c>
      <c r="E23" s="11" t="str">
        <f aca="false">IF($V23="","",INDEX(Calc!$V$2:$V$105,$V23))</f>
        <v/>
      </c>
      <c r="F23" s="11" t="str">
        <f aca="false">IF($V23="","",INDEX(Calc!$AC$2:$AC$105,$V23))</f>
        <v/>
      </c>
      <c r="G23" s="11" t="str">
        <f aca="false">IF($V23="","",INDEX(Calc!$AL$2:$AL$105,$V23))</f>
        <v/>
      </c>
      <c r="H23" s="13" t="str">
        <f aca="false">IF($V23="","",INDEX(Calc!$BK$2:$BK$105,$V23))</f>
        <v/>
      </c>
      <c r="I23" s="11" t="str">
        <f aca="false">IF($V23="","",INDEX(Calc!$BD$2:$BD$105,$V23))</f>
        <v/>
      </c>
      <c r="J23" s="0" t="str">
        <f aca="false">IF($V23="","",IFERROR(INDEX(Projections!$F$2:$F$195,MATCH(INDEX(Calc!$A$2:$A$105,$V23)&amp;"|K12",Projections!$Y$2:$Y$195,0)),""))</f>
        <v/>
      </c>
      <c r="K23" s="10" t="str">
        <f aca="false">IF($V23="","",IFERROR(INDEX(Projections!$I$2:$I$195,MATCH(INDEX(Calc!$A$2:$A$105,$V23)&amp;"|K12",Projections!$Y$2:$Y$195,0)),""))</f>
        <v/>
      </c>
      <c r="L23" s="10" t="str">
        <f aca="false">IF($V23="","",IFERROR(INDEX(Projections!$AB$2:$AB$195,MATCH(INDEX(Calc!$A$2:$A$105,$V23)&amp;"|K12",Projections!$Y$2:$Y$195,0)),""))</f>
        <v/>
      </c>
      <c r="M23" s="0" t="str">
        <f aca="false">IF($V23="","",IFERROR(INDEX(Projections!$M$2:$M$195,MATCH(INDEX(Calc!$A$2:$A$105,$V23)&amp;"|K12",Projections!$Y$2:$Y$195,0)),""))</f>
        <v/>
      </c>
      <c r="N23" s="10" t="str">
        <f aca="false">IF($V23="","",IFERROR(INDEX(Projections!$P$2:$P$195,MATCH(INDEX(Calc!$A$2:$A$105,$V23)&amp;"|K12",Projections!$Y$2:$Y$195,0)),""))</f>
        <v/>
      </c>
      <c r="O23" s="10" t="str">
        <f aca="false">IF($V23="","",INDEX(Calc!$AP$2:$AP$105,$V23))</f>
        <v/>
      </c>
      <c r="P23" s="11" t="str">
        <f aca="false">IF($V23="","",INDEX(Calc!$AN$2:$AN$105,$V23))</f>
        <v/>
      </c>
      <c r="Q23" s="0" t="str">
        <f aca="false">IF($V23="","",IFERROR(INDEX(Projections!$F$2:$F$195,MATCH(INDEX(Calc!$A$2:$A$105,$V23)&amp;"|H12",Projections!$Y$2:$Y$195,0)),""))</f>
        <v/>
      </c>
      <c r="R23" s="10" t="str">
        <f aca="false">IF($V23="","",IFERROR(INDEX(Projections!$I$2:$I$195,MATCH(INDEX(Calc!$A$2:$A$105,$V23)&amp;"|H12",Projections!$Y$2:$Y$195,0)),""))</f>
        <v/>
      </c>
      <c r="S23" s="0" t="str">
        <f aca="false">IF($V23="","",INDEX(Calc!$N$2:$N$105,$V23))</f>
        <v/>
      </c>
      <c r="T23" s="0" t="str">
        <f aca="false">IF($V23="","",INDEX(Calc!$AQ$2:$AQ$105,$V23))</f>
        <v/>
      </c>
      <c r="V23" s="0" t="str">
        <f aca="false">IFERROR(MATCH(9,Calc!$AR$2:$AR$105,0),"")</f>
        <v/>
      </c>
    </row>
    <row r="24" customFormat="false" ht="15" hidden="false" customHeight="false" outlineLevel="0" collapsed="false">
      <c r="A24" s="0" t="str">
        <f aca="false">IF($V24="","",INDEX(Calc!$D$2:$D$105,$V24))</f>
        <v/>
      </c>
      <c r="B24" s="0" t="str">
        <f aca="false">IF($V24="","",INDEX(Calc!$E$2:$E$105,$V24))</f>
        <v/>
      </c>
      <c r="C24" s="13" t="str">
        <f aca="false">IF($V24="","",INDEX(Calc!$T$2:$T$105,$V24))</f>
        <v/>
      </c>
      <c r="D24" s="13" t="str">
        <f aca="false">IF($V24="","",INDEX(Calc!$AA$2:$AA$105,$V24))</f>
        <v/>
      </c>
      <c r="E24" s="11" t="str">
        <f aca="false">IF($V24="","",INDEX(Calc!$V$2:$V$105,$V24))</f>
        <v/>
      </c>
      <c r="F24" s="11" t="str">
        <f aca="false">IF($V24="","",INDEX(Calc!$AC$2:$AC$105,$V24))</f>
        <v/>
      </c>
      <c r="G24" s="11" t="str">
        <f aca="false">IF($V24="","",INDEX(Calc!$AL$2:$AL$105,$V24))</f>
        <v/>
      </c>
      <c r="H24" s="13" t="str">
        <f aca="false">IF($V24="","",INDEX(Calc!$BK$2:$BK$105,$V24))</f>
        <v/>
      </c>
      <c r="I24" s="11" t="str">
        <f aca="false">IF($V24="","",INDEX(Calc!$BD$2:$BD$105,$V24))</f>
        <v/>
      </c>
      <c r="J24" s="0" t="str">
        <f aca="false">IF($V24="","",IFERROR(INDEX(Projections!$F$2:$F$195,MATCH(INDEX(Calc!$A$2:$A$105,$V24)&amp;"|K12",Projections!$Y$2:$Y$195,0)),""))</f>
        <v/>
      </c>
      <c r="K24" s="10" t="str">
        <f aca="false">IF($V24="","",IFERROR(INDEX(Projections!$I$2:$I$195,MATCH(INDEX(Calc!$A$2:$A$105,$V24)&amp;"|K12",Projections!$Y$2:$Y$195,0)),""))</f>
        <v/>
      </c>
      <c r="L24" s="10" t="str">
        <f aca="false">IF($V24="","",IFERROR(INDEX(Projections!$AB$2:$AB$195,MATCH(INDEX(Calc!$A$2:$A$105,$V24)&amp;"|K12",Projections!$Y$2:$Y$195,0)),""))</f>
        <v/>
      </c>
      <c r="M24" s="0" t="str">
        <f aca="false">IF($V24="","",IFERROR(INDEX(Projections!$M$2:$M$195,MATCH(INDEX(Calc!$A$2:$A$105,$V24)&amp;"|K12",Projections!$Y$2:$Y$195,0)),""))</f>
        <v/>
      </c>
      <c r="N24" s="10" t="str">
        <f aca="false">IF($V24="","",IFERROR(INDEX(Projections!$P$2:$P$195,MATCH(INDEX(Calc!$A$2:$A$105,$V24)&amp;"|K12",Projections!$Y$2:$Y$195,0)),""))</f>
        <v/>
      </c>
      <c r="O24" s="10" t="str">
        <f aca="false">IF($V24="","",INDEX(Calc!$AP$2:$AP$105,$V24))</f>
        <v/>
      </c>
      <c r="P24" s="11" t="str">
        <f aca="false">IF($V24="","",INDEX(Calc!$AN$2:$AN$105,$V24))</f>
        <v/>
      </c>
      <c r="Q24" s="0" t="str">
        <f aca="false">IF($V24="","",IFERROR(INDEX(Projections!$F$2:$F$195,MATCH(INDEX(Calc!$A$2:$A$105,$V24)&amp;"|H12",Projections!$Y$2:$Y$195,0)),""))</f>
        <v/>
      </c>
      <c r="R24" s="10" t="str">
        <f aca="false">IF($V24="","",IFERROR(INDEX(Projections!$I$2:$I$195,MATCH(INDEX(Calc!$A$2:$A$105,$V24)&amp;"|H12",Projections!$Y$2:$Y$195,0)),""))</f>
        <v/>
      </c>
      <c r="S24" s="0" t="str">
        <f aca="false">IF($V24="","",INDEX(Calc!$N$2:$N$105,$V24))</f>
        <v/>
      </c>
      <c r="T24" s="0" t="str">
        <f aca="false">IF($V24="","",INDEX(Calc!$AQ$2:$AQ$105,$V24))</f>
        <v/>
      </c>
      <c r="V24" s="0" t="str">
        <f aca="false">IFERROR(MATCH(10,Calc!$AR$2:$AR$105,0),"")</f>
        <v/>
      </c>
    </row>
    <row r="25" customFormat="false" ht="15" hidden="false" customHeight="false" outlineLevel="0" collapsed="false">
      <c r="A25" s="0" t="str">
        <f aca="false">IF($V25="","",INDEX(Calc!$D$2:$D$105,$V25))</f>
        <v/>
      </c>
      <c r="B25" s="0" t="str">
        <f aca="false">IF($V25="","",INDEX(Calc!$E$2:$E$105,$V25))</f>
        <v/>
      </c>
      <c r="C25" s="13" t="str">
        <f aca="false">IF($V25="","",INDEX(Calc!$T$2:$T$105,$V25))</f>
        <v/>
      </c>
      <c r="D25" s="13" t="str">
        <f aca="false">IF($V25="","",INDEX(Calc!$AA$2:$AA$105,$V25))</f>
        <v/>
      </c>
      <c r="E25" s="11" t="str">
        <f aca="false">IF($V25="","",INDEX(Calc!$V$2:$V$105,$V25))</f>
        <v/>
      </c>
      <c r="F25" s="11" t="str">
        <f aca="false">IF($V25="","",INDEX(Calc!$AC$2:$AC$105,$V25))</f>
        <v/>
      </c>
      <c r="G25" s="11" t="str">
        <f aca="false">IF($V25="","",INDEX(Calc!$AL$2:$AL$105,$V25))</f>
        <v/>
      </c>
      <c r="H25" s="13" t="str">
        <f aca="false">IF($V25="","",INDEX(Calc!$BK$2:$BK$105,$V25))</f>
        <v/>
      </c>
      <c r="I25" s="11" t="str">
        <f aca="false">IF($V25="","",INDEX(Calc!$BD$2:$BD$105,$V25))</f>
        <v/>
      </c>
      <c r="J25" s="0" t="str">
        <f aca="false">IF($V25="","",IFERROR(INDEX(Projections!$F$2:$F$195,MATCH(INDEX(Calc!$A$2:$A$105,$V25)&amp;"|K12",Projections!$Y$2:$Y$195,0)),""))</f>
        <v/>
      </c>
      <c r="K25" s="10" t="str">
        <f aca="false">IF($V25="","",IFERROR(INDEX(Projections!$I$2:$I$195,MATCH(INDEX(Calc!$A$2:$A$105,$V25)&amp;"|K12",Projections!$Y$2:$Y$195,0)),""))</f>
        <v/>
      </c>
      <c r="L25" s="10" t="str">
        <f aca="false">IF($V25="","",IFERROR(INDEX(Projections!$AB$2:$AB$195,MATCH(INDEX(Calc!$A$2:$A$105,$V25)&amp;"|K12",Projections!$Y$2:$Y$195,0)),""))</f>
        <v/>
      </c>
      <c r="M25" s="0" t="str">
        <f aca="false">IF($V25="","",IFERROR(INDEX(Projections!$M$2:$M$195,MATCH(INDEX(Calc!$A$2:$A$105,$V25)&amp;"|K12",Projections!$Y$2:$Y$195,0)),""))</f>
        <v/>
      </c>
      <c r="N25" s="10" t="str">
        <f aca="false">IF($V25="","",IFERROR(INDEX(Projections!$P$2:$P$195,MATCH(INDEX(Calc!$A$2:$A$105,$V25)&amp;"|K12",Projections!$Y$2:$Y$195,0)),""))</f>
        <v/>
      </c>
      <c r="O25" s="10" t="str">
        <f aca="false">IF($V25="","",INDEX(Calc!$AP$2:$AP$105,$V25))</f>
        <v/>
      </c>
      <c r="P25" s="11" t="str">
        <f aca="false">IF($V25="","",INDEX(Calc!$AN$2:$AN$105,$V25))</f>
        <v/>
      </c>
      <c r="Q25" s="0" t="str">
        <f aca="false">IF($V25="","",IFERROR(INDEX(Projections!$F$2:$F$195,MATCH(INDEX(Calc!$A$2:$A$105,$V25)&amp;"|H12",Projections!$Y$2:$Y$195,0)),""))</f>
        <v/>
      </c>
      <c r="R25" s="10" t="str">
        <f aca="false">IF($V25="","",IFERROR(INDEX(Projections!$I$2:$I$195,MATCH(INDEX(Calc!$A$2:$A$105,$V25)&amp;"|H12",Projections!$Y$2:$Y$195,0)),""))</f>
        <v/>
      </c>
      <c r="S25" s="0" t="str">
        <f aca="false">IF($V25="","",INDEX(Calc!$N$2:$N$105,$V25))</f>
        <v/>
      </c>
      <c r="T25" s="0" t="str">
        <f aca="false">IF($V25="","",INDEX(Calc!$AQ$2:$AQ$105,$V25))</f>
        <v/>
      </c>
      <c r="V25" s="0" t="str">
        <f aca="false">IFERROR(MATCH(11,Calc!$AR$2:$AR$105,0),"")</f>
        <v/>
      </c>
    </row>
    <row r="26" customFormat="false" ht="15" hidden="false" customHeight="false" outlineLevel="0" collapsed="false">
      <c r="A26" s="0" t="str">
        <f aca="false">IF($V26="","",INDEX(Calc!$D$2:$D$105,$V26))</f>
        <v/>
      </c>
      <c r="B26" s="0" t="str">
        <f aca="false">IF($V26="","",INDEX(Calc!$E$2:$E$105,$V26))</f>
        <v/>
      </c>
      <c r="C26" s="13" t="str">
        <f aca="false">IF($V26="","",INDEX(Calc!$T$2:$T$105,$V26))</f>
        <v/>
      </c>
      <c r="D26" s="13" t="str">
        <f aca="false">IF($V26="","",INDEX(Calc!$AA$2:$AA$105,$V26))</f>
        <v/>
      </c>
      <c r="E26" s="11" t="str">
        <f aca="false">IF($V26="","",INDEX(Calc!$V$2:$V$105,$V26))</f>
        <v/>
      </c>
      <c r="F26" s="11" t="str">
        <f aca="false">IF($V26="","",INDEX(Calc!$AC$2:$AC$105,$V26))</f>
        <v/>
      </c>
      <c r="G26" s="11" t="str">
        <f aca="false">IF($V26="","",INDEX(Calc!$AL$2:$AL$105,$V26))</f>
        <v/>
      </c>
      <c r="H26" s="13" t="str">
        <f aca="false">IF($V26="","",INDEX(Calc!$BK$2:$BK$105,$V26))</f>
        <v/>
      </c>
      <c r="I26" s="11" t="str">
        <f aca="false">IF($V26="","",INDEX(Calc!$BD$2:$BD$105,$V26))</f>
        <v/>
      </c>
      <c r="J26" s="0" t="str">
        <f aca="false">IF($V26="","",IFERROR(INDEX(Projections!$F$2:$F$195,MATCH(INDEX(Calc!$A$2:$A$105,$V26)&amp;"|K12",Projections!$Y$2:$Y$195,0)),""))</f>
        <v/>
      </c>
      <c r="K26" s="10" t="str">
        <f aca="false">IF($V26="","",IFERROR(INDEX(Projections!$I$2:$I$195,MATCH(INDEX(Calc!$A$2:$A$105,$V26)&amp;"|K12",Projections!$Y$2:$Y$195,0)),""))</f>
        <v/>
      </c>
      <c r="L26" s="10" t="str">
        <f aca="false">IF($V26="","",IFERROR(INDEX(Projections!$AB$2:$AB$195,MATCH(INDEX(Calc!$A$2:$A$105,$V26)&amp;"|K12",Projections!$Y$2:$Y$195,0)),""))</f>
        <v/>
      </c>
      <c r="M26" s="0" t="str">
        <f aca="false">IF($V26="","",IFERROR(INDEX(Projections!$M$2:$M$195,MATCH(INDEX(Calc!$A$2:$A$105,$V26)&amp;"|K12",Projections!$Y$2:$Y$195,0)),""))</f>
        <v/>
      </c>
      <c r="N26" s="10" t="str">
        <f aca="false">IF($V26="","",IFERROR(INDEX(Projections!$P$2:$P$195,MATCH(INDEX(Calc!$A$2:$A$105,$V26)&amp;"|K12",Projections!$Y$2:$Y$195,0)),""))</f>
        <v/>
      </c>
      <c r="O26" s="10" t="str">
        <f aca="false">IF($V26="","",INDEX(Calc!$AP$2:$AP$105,$V26))</f>
        <v/>
      </c>
      <c r="P26" s="11" t="str">
        <f aca="false">IF($V26="","",INDEX(Calc!$AN$2:$AN$105,$V26))</f>
        <v/>
      </c>
      <c r="Q26" s="0" t="str">
        <f aca="false">IF($V26="","",IFERROR(INDEX(Projections!$F$2:$F$195,MATCH(INDEX(Calc!$A$2:$A$105,$V26)&amp;"|H12",Projections!$Y$2:$Y$195,0)),""))</f>
        <v/>
      </c>
      <c r="R26" s="10" t="str">
        <f aca="false">IF($V26="","",IFERROR(INDEX(Projections!$I$2:$I$195,MATCH(INDEX(Calc!$A$2:$A$105,$V26)&amp;"|H12",Projections!$Y$2:$Y$195,0)),""))</f>
        <v/>
      </c>
      <c r="S26" s="0" t="str">
        <f aca="false">IF($V26="","",INDEX(Calc!$N$2:$N$105,$V26))</f>
        <v/>
      </c>
      <c r="T26" s="0" t="str">
        <f aca="false">IF($V26="","",INDEX(Calc!$AQ$2:$AQ$105,$V26))</f>
        <v/>
      </c>
      <c r="V26" s="0" t="str">
        <f aca="false">IFERROR(MATCH(12,Calc!$AR$2:$AR$105,0),"")</f>
        <v/>
      </c>
    </row>
    <row r="28" customFormat="false" ht="15" hidden="false" customHeight="false" outlineLevel="0" collapsed="false">
      <c r="A28" s="2" t="s">
        <v>733</v>
      </c>
    </row>
    <row r="29" customFormat="false" ht="15" hidden="false" customHeight="false" outlineLevel="0" collapsed="false">
      <c r="A29" s="2" t="s">
        <v>734</v>
      </c>
    </row>
  </sheetData>
  <conditionalFormatting sqref="K15:K26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L15:L26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R15:R26">
    <cfRule type="colorScale" priority="4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Matches!$A$5:$A$17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6" min="5" style="0" width="16"/>
    <col collapsed="false" customWidth="true" hidden="false" outlineLevel="0" max="10" min="7" style="0" width="8"/>
    <col collapsed="false" customWidth="true" hidden="false" outlineLevel="0" max="13" min="11" style="0" width="15"/>
    <col collapsed="false" customWidth="true" hidden="false" outlineLevel="0" max="14" min="14" style="0" width="18"/>
    <col collapsed="false" customWidth="true" hidden="false" outlineLevel="0" max="17" min="15" style="0" width="8"/>
    <col collapsed="false" customWidth="true" hidden="false" outlineLevel="0" max="18" min="18" style="0" width="7"/>
    <col collapsed="false" customWidth="true" hidden="false" outlineLevel="0" max="21" min="19" style="0" width="8"/>
    <col collapsed="false" customWidth="true" hidden="false" outlineLevel="0" max="22" min="22" style="0" width="7"/>
    <col collapsed="false" customWidth="true" hidden="false" outlineLevel="0" max="25" min="23" style="0" width="11"/>
    <col collapsed="false" customWidth="true" hidden="false" outlineLevel="0" max="29" min="26" style="0" width="9"/>
    <col collapsed="false" customWidth="true" hidden="false" outlineLevel="0" max="34" min="30" style="0" width="8"/>
    <col collapsed="false" customWidth="true" hidden="false" outlineLevel="0" max="36" min="35" style="0" width="9"/>
    <col collapsed="false" customWidth="true" hidden="false" outlineLevel="0" max="54" min="37" style="0" width="8"/>
  </cols>
  <sheetData>
    <row r="1" customFormat="false" ht="17.35" hidden="false" customHeight="false" outlineLevel="0" collapsed="false">
      <c r="A1" s="1" t="s">
        <v>735</v>
      </c>
    </row>
    <row r="2" customFormat="false" ht="15" hidden="false" customHeight="false" outlineLevel="0" collapsed="false">
      <c r="A2" s="2" t="s">
        <v>736</v>
      </c>
    </row>
    <row r="4" customFormat="false" ht="41.75" hidden="false" customHeight="false" outlineLevel="0" collapsed="false">
      <c r="A4" s="12" t="s">
        <v>737</v>
      </c>
      <c r="B4" s="12" t="s">
        <v>738</v>
      </c>
      <c r="C4" s="12" t="s">
        <v>694</v>
      </c>
      <c r="D4" s="12" t="s">
        <v>695</v>
      </c>
      <c r="E4" s="12" t="s">
        <v>739</v>
      </c>
      <c r="F4" s="12" t="s">
        <v>740</v>
      </c>
      <c r="G4" s="12" t="s">
        <v>696</v>
      </c>
      <c r="H4" s="12" t="s">
        <v>697</v>
      </c>
      <c r="I4" s="12" t="s">
        <v>698</v>
      </c>
      <c r="J4" s="12" t="s">
        <v>699</v>
      </c>
      <c r="K4" s="12" t="s">
        <v>700</v>
      </c>
      <c r="L4" s="12" t="s">
        <v>701</v>
      </c>
      <c r="M4" s="12" t="s">
        <v>741</v>
      </c>
      <c r="N4" s="12" t="s">
        <v>742</v>
      </c>
      <c r="O4" s="12" t="s">
        <v>702</v>
      </c>
      <c r="P4" s="12" t="s">
        <v>703</v>
      </c>
      <c r="Q4" s="12" t="s">
        <v>743</v>
      </c>
      <c r="R4" s="12" t="s">
        <v>704</v>
      </c>
      <c r="S4" s="12" t="s">
        <v>705</v>
      </c>
      <c r="T4" s="12" t="s">
        <v>706</v>
      </c>
      <c r="U4" s="12" t="s">
        <v>707</v>
      </c>
      <c r="V4" s="12" t="s">
        <v>744</v>
      </c>
      <c r="W4" s="12" t="s">
        <v>745</v>
      </c>
      <c r="X4" s="12" t="s">
        <v>746</v>
      </c>
      <c r="Y4" s="12" t="s">
        <v>747</v>
      </c>
      <c r="Z4" s="12" t="s">
        <v>748</v>
      </c>
      <c r="AA4" s="12" t="s">
        <v>749</v>
      </c>
      <c r="AB4" s="12" t="s">
        <v>750</v>
      </c>
      <c r="AC4" s="12" t="s">
        <v>751</v>
      </c>
      <c r="AD4" s="12" t="s">
        <v>752</v>
      </c>
      <c r="AE4" s="12" t="s">
        <v>753</v>
      </c>
      <c r="AF4" s="12" t="s">
        <v>754</v>
      </c>
      <c r="AG4" s="12" t="s">
        <v>755</v>
      </c>
      <c r="AH4" s="12" t="s">
        <v>756</v>
      </c>
      <c r="AI4" s="12" t="s">
        <v>757</v>
      </c>
      <c r="AJ4" s="12" t="s">
        <v>758</v>
      </c>
      <c r="AK4" s="12" t="s">
        <v>759</v>
      </c>
      <c r="AL4" s="12" t="s">
        <v>760</v>
      </c>
      <c r="AM4" s="12" t="s">
        <v>761</v>
      </c>
      <c r="AN4" s="12" t="s">
        <v>708</v>
      </c>
      <c r="AO4" s="12" t="s">
        <v>709</v>
      </c>
      <c r="AP4" s="12" t="s">
        <v>762</v>
      </c>
      <c r="AQ4" s="12" t="s">
        <v>763</v>
      </c>
      <c r="AR4" s="12" t="s">
        <v>764</v>
      </c>
      <c r="AS4" s="12" t="s">
        <v>765</v>
      </c>
      <c r="AT4" s="12" t="s">
        <v>766</v>
      </c>
      <c r="AU4" s="12" t="s">
        <v>767</v>
      </c>
      <c r="AV4" s="12" t="s">
        <v>768</v>
      </c>
      <c r="AW4" s="12" t="s">
        <v>769</v>
      </c>
      <c r="AX4" s="12" t="s">
        <v>770</v>
      </c>
      <c r="AY4" s="12" t="s">
        <v>771</v>
      </c>
      <c r="AZ4" s="12" t="s">
        <v>772</v>
      </c>
      <c r="BA4" s="12" t="s">
        <v>773</v>
      </c>
      <c r="BB4" s="12" t="s">
        <v>774</v>
      </c>
    </row>
    <row r="5" customFormat="false" ht="15" hidden="false" customHeight="false" outlineLevel="0" collapsed="false">
      <c r="A5" s="0" t="s">
        <v>692</v>
      </c>
      <c r="B5" s="0" t="s">
        <v>775</v>
      </c>
      <c r="C5" s="0" t="s">
        <v>776</v>
      </c>
      <c r="D5" s="0" t="n">
        <v>3</v>
      </c>
      <c r="E5" s="0" t="s">
        <v>777</v>
      </c>
      <c r="F5" s="0" t="s">
        <v>778</v>
      </c>
      <c r="G5" s="10"/>
      <c r="H5" s="10"/>
      <c r="I5" s="10"/>
      <c r="J5" s="10"/>
      <c r="K5" s="9" t="s">
        <v>779</v>
      </c>
      <c r="L5" s="9" t="s">
        <v>780</v>
      </c>
      <c r="M5" s="9" t="s">
        <v>781</v>
      </c>
      <c r="N5" s="9" t="s">
        <v>782</v>
      </c>
      <c r="O5" s="11"/>
      <c r="P5" s="11"/>
      <c r="Q5" s="11"/>
      <c r="R5" s="10"/>
      <c r="S5" s="11"/>
      <c r="T5" s="11"/>
      <c r="U5" s="11"/>
      <c r="V5" s="0" t="n">
        <v>0</v>
      </c>
      <c r="W5" s="14" t="s">
        <v>96</v>
      </c>
      <c r="X5" s="14" t="s">
        <v>131</v>
      </c>
      <c r="Y5" s="14" t="s">
        <v>82</v>
      </c>
      <c r="Z5" s="15" t="n">
        <f aca="false">Config!$B$7</f>
        <v>21.5</v>
      </c>
      <c r="AA5" s="15" t="n">
        <f aca="false">Config!$B$7</f>
        <v>21.5</v>
      </c>
      <c r="AB5" s="15" t="n">
        <f aca="false">Config!$B$7</f>
        <v>21.5</v>
      </c>
      <c r="AC5" s="16" t="n">
        <v>0</v>
      </c>
      <c r="AD5" s="9" t="s">
        <v>783</v>
      </c>
      <c r="AE5" s="9" t="s">
        <v>784</v>
      </c>
      <c r="AF5" s="10"/>
      <c r="AG5" s="10"/>
      <c r="AH5" s="10"/>
      <c r="AI5" s="10" t="n">
        <f aca="false">IFERROR(INDEX(HLTV_Teams!$N$2:$N$25,MATCH($A5&amp;"|A",HLTV_Teams!$A$2:$A$25,0)),"")</f>
        <v>0.562898282353255</v>
      </c>
      <c r="AJ5" s="10" t="n">
        <f aca="false">IFERROR(INDEX(HLTV_Teams!$N$2:$N$25,MATCH($A5&amp;"|B",HLTV_Teams!$A$2:$A$25,0)),"")</f>
        <v>0.54083383865982</v>
      </c>
      <c r="AK5" s="17" t="n">
        <f aca="false">IF($W5="","",IFERROR((SUMIFS(HLTV_Long!$B$2:$B$337,HLTV_Long!$A$2:$A$337,$A5&amp;"|A|"&amp;$W5&amp;"|lw")+SUMIFS(HLTV_Long!$B$2:$B$337,HLTV_Long!$A$2:$A$337,$A5&amp;"|B|"&amp;$W5&amp;"|wl"))/(COUNTIFS(HLTV_Long!$A$2:$A$337,$A5&amp;"|A|"&amp;$W5&amp;"|lw")+COUNTIFS(HLTV_Long!$A$2:$A$337,$A5&amp;"|B|"&amp;$W5&amp;"|wl")),IFERROR((SUMIFS(HLTV_Long!$B$2:$B$337,HLTV_Long!$A$2:$A$337,$A5&amp;"|A|"&amp;"ALL"&amp;"|lw")+SUMIFS(HLTV_Long!$B$2:$B$337,HLTV_Long!$A$2:$A$337,$A5&amp;"|B|"&amp;"ALL"&amp;"|wl"))/(COUNTIFS(HLTV_Long!$A$2:$A$337,$A5&amp;"|A|"&amp;"ALL"&amp;"|lw")+COUNTIFS(HLTV_Long!$A$2:$A$337,$A5&amp;"|B|"&amp;"ALL"&amp;"|wl")),"")))</f>
        <v>7.89</v>
      </c>
      <c r="AL5" s="17" t="n">
        <f aca="false">IF($W5="","",IFERROR((SUMIFS(HLTV_Long!$B$2:$B$337,HLTV_Long!$A$2:$A$337,$A5&amp;"|B|"&amp;$W5&amp;"|lw")+SUMIFS(HLTV_Long!$B$2:$B$337,HLTV_Long!$A$2:$A$337,$A5&amp;"|A|"&amp;$W5&amp;"|wl"))/(COUNTIFS(HLTV_Long!$A$2:$A$337,$A5&amp;"|B|"&amp;$W5&amp;"|lw")+COUNTIFS(HLTV_Long!$A$2:$A$337,$A5&amp;"|A|"&amp;$W5&amp;"|wl")),IFERROR((SUMIFS(HLTV_Long!$B$2:$B$337,HLTV_Long!$A$2:$A$337,$A5&amp;"|B|"&amp;"ALL"&amp;"|lw")+SUMIFS(HLTV_Long!$B$2:$B$337,HLTV_Long!$A$2:$A$337,$A5&amp;"|A|"&amp;"ALL"&amp;"|wl"))/(COUNTIFS(HLTV_Long!$A$2:$A$337,$A5&amp;"|B|"&amp;"ALL"&amp;"|lw")+COUNTIFS(HLTV_Long!$A$2:$A$337,$A5&amp;"|A|"&amp;"ALL"&amp;"|wl")),"")))</f>
        <v>8.23</v>
      </c>
      <c r="AM5" s="9" t="n">
        <f aca="false">IF($W5="","",COUNTIFS(HLTV_Long!$A$2:$A$337,$A5&amp;"|A|"&amp;$W5&amp;"|lw")+COUNTIFS(HLTV_Long!$A$2:$A$337,$A5&amp;"|B|"&amp;$W5&amp;"|wl")+COUNTIFS(HLTV_Long!$A$2:$A$337,$A5&amp;"|B|"&amp;$W5&amp;"|lw")+COUNTIFS(HLTV_Long!$A$2:$A$337,$A5&amp;"|A|"&amp;$W5&amp;"|wl"))</f>
        <v>4</v>
      </c>
      <c r="AN5" s="17" t="str">
        <f aca="false">IF(OR($AK5="",$AL5="",$AF5=""),"",13+$AF5*$AK5+(1-$AF5)*$AL5)</f>
        <v/>
      </c>
      <c r="AO5" s="17" t="str">
        <f aca="false">IF($AN5="","",$AF5*(13-$AK5)-(1-$AF5)*(13-$AL5))</f>
        <v/>
      </c>
      <c r="AP5" s="10" t="str">
        <f aca="false">IF($AN5="","",($AF5*13+(1-$AF5)*$AL5)/$AN5)</f>
        <v/>
      </c>
      <c r="AQ5" s="17" t="n">
        <f aca="false">IF($X5="","",IFERROR((SUMIFS(HLTV_Long!$B$2:$B$337,HLTV_Long!$A$2:$A$337,$A5&amp;"|A|"&amp;$X5&amp;"|lw")+SUMIFS(HLTV_Long!$B$2:$B$337,HLTV_Long!$A$2:$A$337,$A5&amp;"|B|"&amp;$X5&amp;"|wl"))/(COUNTIFS(HLTV_Long!$A$2:$A$337,$A5&amp;"|A|"&amp;$X5&amp;"|lw")+COUNTIFS(HLTV_Long!$A$2:$A$337,$A5&amp;"|B|"&amp;$X5&amp;"|wl")),IFERROR((SUMIFS(HLTV_Long!$B$2:$B$337,HLTV_Long!$A$2:$A$337,$A5&amp;"|A|"&amp;"ALL"&amp;"|lw")+SUMIFS(HLTV_Long!$B$2:$B$337,HLTV_Long!$A$2:$A$337,$A5&amp;"|B|"&amp;"ALL"&amp;"|wl"))/(COUNTIFS(HLTV_Long!$A$2:$A$337,$A5&amp;"|A|"&amp;"ALL"&amp;"|lw")+COUNTIFS(HLTV_Long!$A$2:$A$337,$A5&amp;"|B|"&amp;"ALL"&amp;"|wl")),"")))</f>
        <v>8.915</v>
      </c>
      <c r="AR5" s="17" t="n">
        <f aca="false">IF($X5="","",IFERROR((SUMIFS(HLTV_Long!$B$2:$B$337,HLTV_Long!$A$2:$A$337,$A5&amp;"|B|"&amp;$X5&amp;"|lw")+SUMIFS(HLTV_Long!$B$2:$B$337,HLTV_Long!$A$2:$A$337,$A5&amp;"|A|"&amp;$X5&amp;"|wl"))/(COUNTIFS(HLTV_Long!$A$2:$A$337,$A5&amp;"|B|"&amp;$X5&amp;"|lw")+COUNTIFS(HLTV_Long!$A$2:$A$337,$A5&amp;"|A|"&amp;$X5&amp;"|wl")),IFERROR((SUMIFS(HLTV_Long!$B$2:$B$337,HLTV_Long!$A$2:$A$337,$A5&amp;"|B|"&amp;"ALL"&amp;"|lw")+SUMIFS(HLTV_Long!$B$2:$B$337,HLTV_Long!$A$2:$A$337,$A5&amp;"|A|"&amp;"ALL"&amp;"|wl"))/(COUNTIFS(HLTV_Long!$A$2:$A$337,$A5&amp;"|B|"&amp;"ALL"&amp;"|lw")+COUNTIFS(HLTV_Long!$A$2:$A$337,$A5&amp;"|A|"&amp;"ALL"&amp;"|wl")),"")))</f>
        <v>8.4</v>
      </c>
      <c r="AS5" s="9" t="n">
        <f aca="false">IF($X5="","",COUNTIFS(HLTV_Long!$A$2:$A$337,$A5&amp;"|A|"&amp;$X5&amp;"|lw")+COUNTIFS(HLTV_Long!$A$2:$A$337,$A5&amp;"|B|"&amp;$X5&amp;"|wl")+COUNTIFS(HLTV_Long!$A$2:$A$337,$A5&amp;"|B|"&amp;$X5&amp;"|lw")+COUNTIFS(HLTV_Long!$A$2:$A$337,$A5&amp;"|A|"&amp;$X5&amp;"|wl"))</f>
        <v>4</v>
      </c>
      <c r="AT5" s="17" t="str">
        <f aca="false">IF(OR($AQ5="",$AR5="",$AG5=""),"",13+$AG5*$AQ5+(1-$AG5)*$AR5)</f>
        <v/>
      </c>
      <c r="AU5" s="17" t="str">
        <f aca="false">IF($AT5="","",$AG5*(13-$AQ5)-(1-$AG5)*(13-$AR5))</f>
        <v/>
      </c>
      <c r="AV5" s="10" t="str">
        <f aca="false">IF($AT5="","",($AG5*13+(1-$AG5)*$AR5)/$AT5)</f>
        <v/>
      </c>
      <c r="AW5" s="17" t="n">
        <f aca="false">IF($Y5="","",IFERROR((SUMIFS(HLTV_Long!$B$2:$B$337,HLTV_Long!$A$2:$A$337,$A5&amp;"|A|"&amp;$Y5&amp;"|lw")+SUMIFS(HLTV_Long!$B$2:$B$337,HLTV_Long!$A$2:$A$337,$A5&amp;"|B|"&amp;$Y5&amp;"|wl"))/(COUNTIFS(HLTV_Long!$A$2:$A$337,$A5&amp;"|A|"&amp;$Y5&amp;"|lw")+COUNTIFS(HLTV_Long!$A$2:$A$337,$A5&amp;"|B|"&amp;$Y5&amp;"|wl")),IFERROR((SUMIFS(HLTV_Long!$B$2:$B$337,HLTV_Long!$A$2:$A$337,$A5&amp;"|A|"&amp;"ALL"&amp;"|lw")+SUMIFS(HLTV_Long!$B$2:$B$337,HLTV_Long!$A$2:$A$337,$A5&amp;"|B|"&amp;"ALL"&amp;"|wl"))/(COUNTIFS(HLTV_Long!$A$2:$A$337,$A5&amp;"|A|"&amp;"ALL"&amp;"|lw")+COUNTIFS(HLTV_Long!$A$2:$A$337,$A5&amp;"|B|"&amp;"ALL"&amp;"|wl")),"")))</f>
        <v>6.95</v>
      </c>
      <c r="AX5" s="17" t="n">
        <f aca="false">IF($Y5="","",IFERROR((SUMIFS(HLTV_Long!$B$2:$B$337,HLTV_Long!$A$2:$A$337,$A5&amp;"|B|"&amp;$Y5&amp;"|lw")+SUMIFS(HLTV_Long!$B$2:$B$337,HLTV_Long!$A$2:$A$337,$A5&amp;"|A|"&amp;$Y5&amp;"|wl"))/(COUNTIFS(HLTV_Long!$A$2:$A$337,$A5&amp;"|B|"&amp;$Y5&amp;"|lw")+COUNTIFS(HLTV_Long!$A$2:$A$337,$A5&amp;"|A|"&amp;$Y5&amp;"|wl")),IFERROR((SUMIFS(HLTV_Long!$B$2:$B$337,HLTV_Long!$A$2:$A$337,$A5&amp;"|B|"&amp;"ALL"&amp;"|lw")+SUMIFS(HLTV_Long!$B$2:$B$337,HLTV_Long!$A$2:$A$337,$A5&amp;"|A|"&amp;"ALL"&amp;"|wl"))/(COUNTIFS(HLTV_Long!$A$2:$A$337,$A5&amp;"|B|"&amp;"ALL"&amp;"|lw")+COUNTIFS(HLTV_Long!$A$2:$A$337,$A5&amp;"|A|"&amp;"ALL"&amp;"|wl")),"")))</f>
        <v>7.665</v>
      </c>
      <c r="AY5" s="9" t="n">
        <f aca="false">IF($Y5="","",COUNTIFS(HLTV_Long!$A$2:$A$337,$A5&amp;"|A|"&amp;$Y5&amp;"|lw")+COUNTIFS(HLTV_Long!$A$2:$A$337,$A5&amp;"|B|"&amp;$Y5&amp;"|wl")+COUNTIFS(HLTV_Long!$A$2:$A$337,$A5&amp;"|B|"&amp;$Y5&amp;"|lw")+COUNTIFS(HLTV_Long!$A$2:$A$337,$A5&amp;"|A|"&amp;$Y5&amp;"|wl"))</f>
        <v>4</v>
      </c>
      <c r="AZ5" s="17" t="str">
        <f aca="false">IF(OR($AW5="",$AX5="",$AH5=""),"",13+$AH5*$AW5+(1-$AH5)*$AX5)</f>
        <v/>
      </c>
      <c r="BA5" s="17" t="str">
        <f aca="false">IF($AZ5="","",$AH5*(13-$AW5)-(1-$AH5)*(13-$AX5))</f>
        <v/>
      </c>
      <c r="BB5" s="10" t="str">
        <f aca="false">IF($AZ5="","",($AH5*13+(1-$AH5)*$AX5)/$AZ5)</f>
        <v/>
      </c>
    </row>
    <row r="6" customFormat="false" ht="15" hidden="false" customHeight="false" outlineLevel="0" collapsed="false">
      <c r="A6" s="0" t="s">
        <v>785</v>
      </c>
      <c r="B6" s="0" t="s">
        <v>775</v>
      </c>
      <c r="C6" s="0" t="s">
        <v>786</v>
      </c>
      <c r="D6" s="0" t="n">
        <v>3</v>
      </c>
      <c r="E6" s="0" t="s">
        <v>35</v>
      </c>
      <c r="F6" s="0" t="s">
        <v>36</v>
      </c>
      <c r="G6" s="10" t="n">
        <v>0.384615384615385</v>
      </c>
      <c r="H6" s="10" t="n">
        <v>0.180957322609937</v>
      </c>
      <c r="I6" s="10" t="n">
        <v>0.321701906862109</v>
      </c>
      <c r="J6" s="10" t="n">
        <v>0.497340770527954</v>
      </c>
      <c r="K6" s="9" t="s">
        <v>787</v>
      </c>
      <c r="L6" s="9" t="s">
        <v>788</v>
      </c>
      <c r="M6" s="9" t="s">
        <v>789</v>
      </c>
      <c r="N6" s="9" t="s">
        <v>782</v>
      </c>
      <c r="O6" s="11" t="n">
        <v>21.5</v>
      </c>
      <c r="P6" s="11" t="n">
        <v>21.3585329341317</v>
      </c>
      <c r="Q6" s="11" t="n">
        <v>21.4231536926148</v>
      </c>
      <c r="R6" s="10" t="n">
        <v>0.159420289855073</v>
      </c>
      <c r="S6" s="11" t="n">
        <v>-0.996875000000002</v>
      </c>
      <c r="T6" s="11" t="n">
        <v>12.5</v>
      </c>
      <c r="U6" s="11"/>
      <c r="V6" s="0" t="n">
        <v>229</v>
      </c>
      <c r="W6" s="14" t="s">
        <v>82</v>
      </c>
      <c r="X6" s="14" t="s">
        <v>96</v>
      </c>
      <c r="Y6" s="14" t="s">
        <v>109</v>
      </c>
      <c r="Z6" s="15" t="n">
        <v>21.5</v>
      </c>
      <c r="AA6" s="15" t="n">
        <v>21.36</v>
      </c>
      <c r="AB6" s="15" t="n">
        <v>21.42</v>
      </c>
      <c r="AC6" s="16" t="n">
        <v>0.4973</v>
      </c>
      <c r="AD6" s="9" t="s">
        <v>790</v>
      </c>
      <c r="AE6" s="9" t="s">
        <v>791</v>
      </c>
      <c r="AF6" s="10" t="n">
        <v>0.4624</v>
      </c>
      <c r="AG6" s="10" t="n">
        <v>0.3846</v>
      </c>
      <c r="AH6" s="10" t="n">
        <v>0.418</v>
      </c>
      <c r="AI6" s="10" t="n">
        <f aca="false">IFERROR(INDEX(HLTV_Teams!$N$2:$N$25,MATCH($A6&amp;"|A",HLTV_Teams!$A$2:$A$25,0)),"")</f>
        <v>0.515944432361897</v>
      </c>
      <c r="AJ6" s="10" t="n">
        <f aca="false">IFERROR(INDEX(HLTV_Teams!$N$2:$N$25,MATCH($A6&amp;"|B",HLTV_Teams!$A$2:$A$25,0)),"")</f>
        <v>0.428553676690707</v>
      </c>
      <c r="AK6" s="17" t="n">
        <f aca="false">IF($W6="","",IFERROR((SUMIFS(HLTV_Long!$B$2:$B$337,HLTV_Long!$A$2:$A$337,$A6&amp;"|A|"&amp;$W6&amp;"|lw")+SUMIFS(HLTV_Long!$B$2:$B$337,HLTV_Long!$A$2:$A$337,$A6&amp;"|B|"&amp;$W6&amp;"|wl"))/(COUNTIFS(HLTV_Long!$A$2:$A$337,$A6&amp;"|A|"&amp;$W6&amp;"|lw")+COUNTIFS(HLTV_Long!$A$2:$A$337,$A6&amp;"|B|"&amp;$W6&amp;"|wl")),IFERROR((SUMIFS(HLTV_Long!$B$2:$B$337,HLTV_Long!$A$2:$A$337,$A6&amp;"|A|"&amp;"ALL"&amp;"|lw")+SUMIFS(HLTV_Long!$B$2:$B$337,HLTV_Long!$A$2:$A$337,$A6&amp;"|B|"&amp;"ALL"&amp;"|wl"))/(COUNTIFS(HLTV_Long!$A$2:$A$337,$A6&amp;"|A|"&amp;"ALL"&amp;"|lw")+COUNTIFS(HLTV_Long!$A$2:$A$337,$A6&amp;"|B|"&amp;"ALL"&amp;"|wl")),"")))</f>
        <v>7.36</v>
      </c>
      <c r="AL6" s="17" t="n">
        <f aca="false">IF($W6="","",IFERROR((SUMIFS(HLTV_Long!$B$2:$B$337,HLTV_Long!$A$2:$A$337,$A6&amp;"|B|"&amp;$W6&amp;"|lw")+SUMIFS(HLTV_Long!$B$2:$B$337,HLTV_Long!$A$2:$A$337,$A6&amp;"|A|"&amp;$W6&amp;"|wl"))/(COUNTIFS(HLTV_Long!$A$2:$A$337,$A6&amp;"|B|"&amp;$W6&amp;"|lw")+COUNTIFS(HLTV_Long!$A$2:$A$337,$A6&amp;"|A|"&amp;$W6&amp;"|wl")),IFERROR((SUMIFS(HLTV_Long!$B$2:$B$337,HLTV_Long!$A$2:$A$337,$A6&amp;"|B|"&amp;"ALL"&amp;"|lw")+SUMIFS(HLTV_Long!$B$2:$B$337,HLTV_Long!$A$2:$A$337,$A6&amp;"|A|"&amp;"ALL"&amp;"|wl"))/(COUNTIFS(HLTV_Long!$A$2:$A$337,$A6&amp;"|B|"&amp;"ALL"&amp;"|lw")+COUNTIFS(HLTV_Long!$A$2:$A$337,$A6&amp;"|A|"&amp;"ALL"&amp;"|wl")),"")))</f>
        <v>9.125</v>
      </c>
      <c r="AM6" s="9" t="n">
        <f aca="false">IF($W6="","",COUNTIFS(HLTV_Long!$A$2:$A$337,$A6&amp;"|A|"&amp;$W6&amp;"|lw")+COUNTIFS(HLTV_Long!$A$2:$A$337,$A6&amp;"|B|"&amp;$W6&amp;"|wl")+COUNTIFS(HLTV_Long!$A$2:$A$337,$A6&amp;"|B|"&amp;$W6&amp;"|lw")+COUNTIFS(HLTV_Long!$A$2:$A$337,$A6&amp;"|A|"&amp;$W6&amp;"|wl"))</f>
        <v>4</v>
      </c>
      <c r="AN6" s="17" t="n">
        <f aca="false">IF(OR($AK6="",$AL6="",$AF6=""),"",13+$AF6*$AK6+(1-$AF6)*$AL6)</f>
        <v>21.308864</v>
      </c>
      <c r="AO6" s="17" t="n">
        <f aca="false">IF($AN6="","",$AF6*(13-$AK6)-(1-$AF6)*(13-$AL6))</f>
        <v>0.524735999999999</v>
      </c>
      <c r="AP6" s="10" t="n">
        <f aca="false">IF($AN6="","",($AF6*13+(1-$AF6)*$AL6)/$AN6)</f>
        <v>0.512312622578097</v>
      </c>
      <c r="AQ6" s="17" t="n">
        <f aca="false">IF($X6="","",IFERROR((SUMIFS(HLTV_Long!$B$2:$B$337,HLTV_Long!$A$2:$A$337,$A6&amp;"|A|"&amp;$X6&amp;"|lw")+SUMIFS(HLTV_Long!$B$2:$B$337,HLTV_Long!$A$2:$A$337,$A6&amp;"|B|"&amp;$X6&amp;"|wl"))/(COUNTIFS(HLTV_Long!$A$2:$A$337,$A6&amp;"|A|"&amp;$X6&amp;"|lw")+COUNTIFS(HLTV_Long!$A$2:$A$337,$A6&amp;"|B|"&amp;$X6&amp;"|wl")),IFERROR((SUMIFS(HLTV_Long!$B$2:$B$337,HLTV_Long!$A$2:$A$337,$A6&amp;"|A|"&amp;"ALL"&amp;"|lw")+SUMIFS(HLTV_Long!$B$2:$B$337,HLTV_Long!$A$2:$A$337,$A6&amp;"|B|"&amp;"ALL"&amp;"|wl"))/(COUNTIFS(HLTV_Long!$A$2:$A$337,$A6&amp;"|A|"&amp;"ALL"&amp;"|lw")+COUNTIFS(HLTV_Long!$A$2:$A$337,$A6&amp;"|B|"&amp;"ALL"&amp;"|wl")),"")))</f>
        <v>8.655</v>
      </c>
      <c r="AR6" s="17" t="n">
        <f aca="false">IF($X6="","",IFERROR((SUMIFS(HLTV_Long!$B$2:$B$337,HLTV_Long!$A$2:$A$337,$A6&amp;"|B|"&amp;$X6&amp;"|lw")+SUMIFS(HLTV_Long!$B$2:$B$337,HLTV_Long!$A$2:$A$337,$A6&amp;"|A|"&amp;$X6&amp;"|wl"))/(COUNTIFS(HLTV_Long!$A$2:$A$337,$A6&amp;"|B|"&amp;$X6&amp;"|lw")+COUNTIFS(HLTV_Long!$A$2:$A$337,$A6&amp;"|A|"&amp;$X6&amp;"|wl")),IFERROR((SUMIFS(HLTV_Long!$B$2:$B$337,HLTV_Long!$A$2:$A$337,$A6&amp;"|B|"&amp;"ALL"&amp;"|lw")+SUMIFS(HLTV_Long!$B$2:$B$337,HLTV_Long!$A$2:$A$337,$A6&amp;"|A|"&amp;"ALL"&amp;"|wl"))/(COUNTIFS(HLTV_Long!$A$2:$A$337,$A6&amp;"|B|"&amp;"ALL"&amp;"|lw")+COUNTIFS(HLTV_Long!$A$2:$A$337,$A6&amp;"|A|"&amp;"ALL"&amp;"|wl")),"")))</f>
        <v>9.75</v>
      </c>
      <c r="AS6" s="9" t="n">
        <f aca="false">IF($X6="","",COUNTIFS(HLTV_Long!$A$2:$A$337,$A6&amp;"|A|"&amp;$X6&amp;"|lw")+COUNTIFS(HLTV_Long!$A$2:$A$337,$A6&amp;"|B|"&amp;$X6&amp;"|wl")+COUNTIFS(HLTV_Long!$A$2:$A$337,$A6&amp;"|B|"&amp;$X6&amp;"|lw")+COUNTIFS(HLTV_Long!$A$2:$A$337,$A6&amp;"|A|"&amp;$X6&amp;"|wl"))</f>
        <v>3</v>
      </c>
      <c r="AT6" s="17" t="n">
        <f aca="false">IF(OR($AQ6="",$AR6="",$AG6=""),"",13+$AG6*$AQ6+(1-$AG6)*$AR6)</f>
        <v>22.328863</v>
      </c>
      <c r="AU6" s="17" t="n">
        <f aca="false">IF($AT6="","",$AG6*(13-$AQ6)-(1-$AG6)*(13-$AR6))</f>
        <v>-0.328963</v>
      </c>
      <c r="AV6" s="10" t="n">
        <f aca="false">IF($AT6="","",($AG6*13+(1-$AG6)*$AR6)/$AT6)</f>
        <v>0.492633682243471</v>
      </c>
      <c r="AW6" s="17" t="n">
        <f aca="false">IF($Y6="","",IFERROR((SUMIFS(HLTV_Long!$B$2:$B$337,HLTV_Long!$A$2:$A$337,$A6&amp;"|A|"&amp;$Y6&amp;"|lw")+SUMIFS(HLTV_Long!$B$2:$B$337,HLTV_Long!$A$2:$A$337,$A6&amp;"|B|"&amp;$Y6&amp;"|wl"))/(COUNTIFS(HLTV_Long!$A$2:$A$337,$A6&amp;"|A|"&amp;$Y6&amp;"|lw")+COUNTIFS(HLTV_Long!$A$2:$A$337,$A6&amp;"|B|"&amp;$Y6&amp;"|wl")),IFERROR((SUMIFS(HLTV_Long!$B$2:$B$337,HLTV_Long!$A$2:$A$337,$A6&amp;"|A|"&amp;"ALL"&amp;"|lw")+SUMIFS(HLTV_Long!$B$2:$B$337,HLTV_Long!$A$2:$A$337,$A6&amp;"|B|"&amp;"ALL"&amp;"|wl"))/(COUNTIFS(HLTV_Long!$A$2:$A$337,$A6&amp;"|A|"&amp;"ALL"&amp;"|lw")+COUNTIFS(HLTV_Long!$A$2:$A$337,$A6&amp;"|B|"&amp;"ALL"&amp;"|wl")),"")))</f>
        <v>6.83</v>
      </c>
      <c r="AX6" s="17" t="n">
        <f aca="false">IF($Y6="","",IFERROR((SUMIFS(HLTV_Long!$B$2:$B$337,HLTV_Long!$A$2:$A$337,$A6&amp;"|B|"&amp;$Y6&amp;"|lw")+SUMIFS(HLTV_Long!$B$2:$B$337,HLTV_Long!$A$2:$A$337,$A6&amp;"|A|"&amp;$Y6&amp;"|wl"))/(COUNTIFS(HLTV_Long!$A$2:$A$337,$A6&amp;"|B|"&amp;$Y6&amp;"|lw")+COUNTIFS(HLTV_Long!$A$2:$A$337,$A6&amp;"|A|"&amp;$Y6&amp;"|wl")),IFERROR((SUMIFS(HLTV_Long!$B$2:$B$337,HLTV_Long!$A$2:$A$337,$A6&amp;"|B|"&amp;"ALL"&amp;"|lw")+SUMIFS(HLTV_Long!$B$2:$B$337,HLTV_Long!$A$2:$A$337,$A6&amp;"|A|"&amp;"ALL"&amp;"|wl"))/(COUNTIFS(HLTV_Long!$A$2:$A$337,$A6&amp;"|B|"&amp;"ALL"&amp;"|lw")+COUNTIFS(HLTV_Long!$A$2:$A$337,$A6&amp;"|A|"&amp;"ALL"&amp;"|wl")),"")))</f>
        <v>10.25</v>
      </c>
      <c r="AY6" s="9" t="n">
        <f aca="false">IF($Y6="","",COUNTIFS(HLTV_Long!$A$2:$A$337,$A6&amp;"|A|"&amp;$Y6&amp;"|lw")+COUNTIFS(HLTV_Long!$A$2:$A$337,$A6&amp;"|B|"&amp;$Y6&amp;"|wl")+COUNTIFS(HLTV_Long!$A$2:$A$337,$A6&amp;"|B|"&amp;$Y6&amp;"|lw")+COUNTIFS(HLTV_Long!$A$2:$A$337,$A6&amp;"|A|"&amp;$Y6&amp;"|wl"))</f>
        <v>2</v>
      </c>
      <c r="AZ6" s="17" t="n">
        <f aca="false">IF(OR($AW6="",$AX6="",$AH6=""),"",13+$AH6*$AW6+(1-$AH6)*$AX6)</f>
        <v>21.82044</v>
      </c>
      <c r="BA6" s="17" t="n">
        <f aca="false">IF($AZ6="","",$AH6*(13-$AW6)-(1-$AH6)*(13-$AX6))</f>
        <v>0.978559999999999</v>
      </c>
      <c r="BB6" s="10" t="n">
        <f aca="false">IF($AZ6="","",($AH6*13+(1-$AH6)*$AX6)/$AZ6)</f>
        <v>0.522423012551534</v>
      </c>
    </row>
    <row r="7" customFormat="false" ht="15" hidden="false" customHeight="false" outlineLevel="0" collapsed="false">
      <c r="A7" s="0" t="s">
        <v>792</v>
      </c>
      <c r="B7" s="0" t="s">
        <v>775</v>
      </c>
      <c r="C7" s="0" t="s">
        <v>786</v>
      </c>
      <c r="D7" s="0" t="n">
        <v>3</v>
      </c>
      <c r="E7" s="0" t="s">
        <v>793</v>
      </c>
      <c r="F7" s="0" t="s">
        <v>794</v>
      </c>
      <c r="G7" s="10"/>
      <c r="H7" s="10"/>
      <c r="I7" s="10"/>
      <c r="J7" s="10"/>
      <c r="K7" s="9" t="s">
        <v>795</v>
      </c>
      <c r="L7" s="9" t="s">
        <v>796</v>
      </c>
      <c r="M7" s="9" t="s">
        <v>797</v>
      </c>
      <c r="N7" s="9" t="s">
        <v>782</v>
      </c>
      <c r="O7" s="11"/>
      <c r="P7" s="11"/>
      <c r="Q7" s="11"/>
      <c r="R7" s="10"/>
      <c r="S7" s="11"/>
      <c r="T7" s="11"/>
      <c r="U7" s="11"/>
      <c r="V7" s="0" t="n">
        <v>0</v>
      </c>
      <c r="W7" s="14" t="s">
        <v>118</v>
      </c>
      <c r="X7" s="14" t="s">
        <v>109</v>
      </c>
      <c r="Y7" s="14" t="s">
        <v>142</v>
      </c>
      <c r="Z7" s="15" t="n">
        <f aca="false">Config!$B$7</f>
        <v>21.5</v>
      </c>
      <c r="AA7" s="15" t="n">
        <f aca="false">Config!$B$7</f>
        <v>21.5</v>
      </c>
      <c r="AB7" s="15" t="n">
        <f aca="false">Config!$B$7</f>
        <v>21.5</v>
      </c>
      <c r="AC7" s="16" t="n">
        <v>0</v>
      </c>
      <c r="AD7" s="9" t="s">
        <v>798</v>
      </c>
      <c r="AE7" s="9" t="s">
        <v>799</v>
      </c>
      <c r="AF7" s="10"/>
      <c r="AG7" s="10"/>
      <c r="AH7" s="10"/>
      <c r="AI7" s="10" t="n">
        <f aca="false">IFERROR(INDEX(HLTV_Teams!$N$2:$N$25,MATCH($A7&amp;"|A",HLTV_Teams!$A$2:$A$25,0)),"")</f>
        <v>0.520665204004499</v>
      </c>
      <c r="AJ7" s="10" t="n">
        <f aca="false">IFERROR(INDEX(HLTV_Teams!$N$2:$N$25,MATCH($A7&amp;"|B",HLTV_Teams!$A$2:$A$25,0)),"")</f>
        <v>0.532676558319604</v>
      </c>
      <c r="AK7" s="17" t="n">
        <f aca="false">IF($W7="","",IFERROR((SUMIFS(HLTV_Long!$B$2:$B$337,HLTV_Long!$A$2:$A$337,$A7&amp;"|A|"&amp;$W7&amp;"|lw")+SUMIFS(HLTV_Long!$B$2:$B$337,HLTV_Long!$A$2:$A$337,$A7&amp;"|B|"&amp;$W7&amp;"|wl"))/(COUNTIFS(HLTV_Long!$A$2:$A$337,$A7&amp;"|A|"&amp;$W7&amp;"|lw")+COUNTIFS(HLTV_Long!$A$2:$A$337,$A7&amp;"|B|"&amp;$W7&amp;"|wl")),IFERROR((SUMIFS(HLTV_Long!$B$2:$B$337,HLTV_Long!$A$2:$A$337,$A7&amp;"|A|"&amp;"ALL"&amp;"|lw")+SUMIFS(HLTV_Long!$B$2:$B$337,HLTV_Long!$A$2:$A$337,$A7&amp;"|B|"&amp;"ALL"&amp;"|wl"))/(COUNTIFS(HLTV_Long!$A$2:$A$337,$A7&amp;"|A|"&amp;"ALL"&amp;"|lw")+COUNTIFS(HLTV_Long!$A$2:$A$337,$A7&amp;"|B|"&amp;"ALL"&amp;"|wl")),"")))</f>
        <v>9.315</v>
      </c>
      <c r="AL7" s="17" t="n">
        <f aca="false">IF($W7="","",IFERROR((SUMIFS(HLTV_Long!$B$2:$B$337,HLTV_Long!$A$2:$A$337,$A7&amp;"|B|"&amp;$W7&amp;"|lw")+SUMIFS(HLTV_Long!$B$2:$B$337,HLTV_Long!$A$2:$A$337,$A7&amp;"|A|"&amp;$W7&amp;"|wl"))/(COUNTIFS(HLTV_Long!$A$2:$A$337,$A7&amp;"|B|"&amp;$W7&amp;"|lw")+COUNTIFS(HLTV_Long!$A$2:$A$337,$A7&amp;"|A|"&amp;$W7&amp;"|wl")),IFERROR((SUMIFS(HLTV_Long!$B$2:$B$337,HLTV_Long!$A$2:$A$337,$A7&amp;"|B|"&amp;"ALL"&amp;"|lw")+SUMIFS(HLTV_Long!$B$2:$B$337,HLTV_Long!$A$2:$A$337,$A7&amp;"|A|"&amp;"ALL"&amp;"|wl"))/(COUNTIFS(HLTV_Long!$A$2:$A$337,$A7&amp;"|B|"&amp;"ALL"&amp;"|lw")+COUNTIFS(HLTV_Long!$A$2:$A$337,$A7&amp;"|A|"&amp;"ALL"&amp;"|wl")),"")))</f>
        <v>9.225</v>
      </c>
      <c r="AM7" s="9" t="n">
        <f aca="false">IF($W7="","",COUNTIFS(HLTV_Long!$A$2:$A$337,$A7&amp;"|A|"&amp;$W7&amp;"|lw")+COUNTIFS(HLTV_Long!$A$2:$A$337,$A7&amp;"|B|"&amp;$W7&amp;"|wl")+COUNTIFS(HLTV_Long!$A$2:$A$337,$A7&amp;"|B|"&amp;$W7&amp;"|lw")+COUNTIFS(HLTV_Long!$A$2:$A$337,$A7&amp;"|A|"&amp;$W7&amp;"|wl"))</f>
        <v>4</v>
      </c>
      <c r="AN7" s="17" t="str">
        <f aca="false">IF(OR($AK7="",$AL7="",$AF7=""),"",13+$AF7*$AK7+(1-$AF7)*$AL7)</f>
        <v/>
      </c>
      <c r="AO7" s="17" t="str">
        <f aca="false">IF($AN7="","",$AF7*(13-$AK7)-(1-$AF7)*(13-$AL7))</f>
        <v/>
      </c>
      <c r="AP7" s="10" t="str">
        <f aca="false">IF($AN7="","",($AF7*13+(1-$AF7)*$AL7)/$AN7)</f>
        <v/>
      </c>
      <c r="AQ7" s="17" t="n">
        <f aca="false">IF($X7="","",IFERROR((SUMIFS(HLTV_Long!$B$2:$B$337,HLTV_Long!$A$2:$A$337,$A7&amp;"|A|"&amp;$X7&amp;"|lw")+SUMIFS(HLTV_Long!$B$2:$B$337,HLTV_Long!$A$2:$A$337,$A7&amp;"|B|"&amp;$X7&amp;"|wl"))/(COUNTIFS(HLTV_Long!$A$2:$A$337,$A7&amp;"|A|"&amp;$X7&amp;"|lw")+COUNTIFS(HLTV_Long!$A$2:$A$337,$A7&amp;"|B|"&amp;$X7&amp;"|wl")),IFERROR((SUMIFS(HLTV_Long!$B$2:$B$337,HLTV_Long!$A$2:$A$337,$A7&amp;"|A|"&amp;"ALL"&amp;"|lw")+SUMIFS(HLTV_Long!$B$2:$B$337,HLTV_Long!$A$2:$A$337,$A7&amp;"|B|"&amp;"ALL"&amp;"|wl"))/(COUNTIFS(HLTV_Long!$A$2:$A$337,$A7&amp;"|A|"&amp;"ALL"&amp;"|lw")+COUNTIFS(HLTV_Long!$A$2:$A$337,$A7&amp;"|B|"&amp;"ALL"&amp;"|wl")),"")))</f>
        <v>8.53</v>
      </c>
      <c r="AR7" s="17" t="n">
        <f aca="false">IF($X7="","",IFERROR((SUMIFS(HLTV_Long!$B$2:$B$337,HLTV_Long!$A$2:$A$337,$A7&amp;"|B|"&amp;$X7&amp;"|lw")+SUMIFS(HLTV_Long!$B$2:$B$337,HLTV_Long!$A$2:$A$337,$A7&amp;"|A|"&amp;$X7&amp;"|wl"))/(COUNTIFS(HLTV_Long!$A$2:$A$337,$A7&amp;"|B|"&amp;$X7&amp;"|lw")+COUNTIFS(HLTV_Long!$A$2:$A$337,$A7&amp;"|A|"&amp;$X7&amp;"|wl")),IFERROR((SUMIFS(HLTV_Long!$B$2:$B$337,HLTV_Long!$A$2:$A$337,$A7&amp;"|B|"&amp;"ALL"&amp;"|lw")+SUMIFS(HLTV_Long!$B$2:$B$337,HLTV_Long!$A$2:$A$337,$A7&amp;"|A|"&amp;"ALL"&amp;"|wl"))/(COUNTIFS(HLTV_Long!$A$2:$A$337,$A7&amp;"|B|"&amp;"ALL"&amp;"|lw")+COUNTIFS(HLTV_Long!$A$2:$A$337,$A7&amp;"|A|"&amp;"ALL"&amp;"|wl")),"")))</f>
        <v>6.965</v>
      </c>
      <c r="AS7" s="9" t="n">
        <f aca="false">IF($X7="","",COUNTIFS(HLTV_Long!$A$2:$A$337,$A7&amp;"|A|"&amp;$X7&amp;"|lw")+COUNTIFS(HLTV_Long!$A$2:$A$337,$A7&amp;"|B|"&amp;$X7&amp;"|wl")+COUNTIFS(HLTV_Long!$A$2:$A$337,$A7&amp;"|B|"&amp;$X7&amp;"|lw")+COUNTIFS(HLTV_Long!$A$2:$A$337,$A7&amp;"|A|"&amp;$X7&amp;"|wl"))</f>
        <v>4</v>
      </c>
      <c r="AT7" s="17" t="str">
        <f aca="false">IF(OR($AQ7="",$AR7="",$AG7=""),"",13+$AG7*$AQ7+(1-$AG7)*$AR7)</f>
        <v/>
      </c>
      <c r="AU7" s="17" t="str">
        <f aca="false">IF($AT7="","",$AG7*(13-$AQ7)-(1-$AG7)*(13-$AR7))</f>
        <v/>
      </c>
      <c r="AV7" s="10" t="str">
        <f aca="false">IF($AT7="","",($AG7*13+(1-$AG7)*$AR7)/$AT7)</f>
        <v/>
      </c>
      <c r="AW7" s="17" t="n">
        <f aca="false">IF($Y7="","",IFERROR((SUMIFS(HLTV_Long!$B$2:$B$337,HLTV_Long!$A$2:$A$337,$A7&amp;"|A|"&amp;$Y7&amp;"|lw")+SUMIFS(HLTV_Long!$B$2:$B$337,HLTV_Long!$A$2:$A$337,$A7&amp;"|B|"&amp;$Y7&amp;"|wl"))/(COUNTIFS(HLTV_Long!$A$2:$A$337,$A7&amp;"|A|"&amp;$Y7&amp;"|lw")+COUNTIFS(HLTV_Long!$A$2:$A$337,$A7&amp;"|B|"&amp;$Y7&amp;"|wl")),IFERROR((SUMIFS(HLTV_Long!$B$2:$B$337,HLTV_Long!$A$2:$A$337,$A7&amp;"|A|"&amp;"ALL"&amp;"|lw")+SUMIFS(HLTV_Long!$B$2:$B$337,HLTV_Long!$A$2:$A$337,$A7&amp;"|B|"&amp;"ALL"&amp;"|wl"))/(COUNTIFS(HLTV_Long!$A$2:$A$337,$A7&amp;"|A|"&amp;"ALL"&amp;"|lw")+COUNTIFS(HLTV_Long!$A$2:$A$337,$A7&amp;"|B|"&amp;"ALL"&amp;"|wl")),"")))</f>
        <v>9.375</v>
      </c>
      <c r="AX7" s="17" t="n">
        <f aca="false">IF($Y7="","",IFERROR((SUMIFS(HLTV_Long!$B$2:$B$337,HLTV_Long!$A$2:$A$337,$A7&amp;"|B|"&amp;$Y7&amp;"|lw")+SUMIFS(HLTV_Long!$B$2:$B$337,HLTV_Long!$A$2:$A$337,$A7&amp;"|A|"&amp;$Y7&amp;"|wl"))/(COUNTIFS(HLTV_Long!$A$2:$A$337,$A7&amp;"|B|"&amp;$Y7&amp;"|lw")+COUNTIFS(HLTV_Long!$A$2:$A$337,$A7&amp;"|A|"&amp;$Y7&amp;"|wl")),IFERROR((SUMIFS(HLTV_Long!$B$2:$B$337,HLTV_Long!$A$2:$A$337,$A7&amp;"|B|"&amp;"ALL"&amp;"|lw")+SUMIFS(HLTV_Long!$B$2:$B$337,HLTV_Long!$A$2:$A$337,$A7&amp;"|A|"&amp;"ALL"&amp;"|wl"))/(COUNTIFS(HLTV_Long!$A$2:$A$337,$A7&amp;"|B|"&amp;"ALL"&amp;"|lw")+COUNTIFS(HLTV_Long!$A$2:$A$337,$A7&amp;"|A|"&amp;"ALL"&amp;"|wl")),"")))</f>
        <v>8.09</v>
      </c>
      <c r="AY7" s="9" t="n">
        <f aca="false">IF($Y7="","",COUNTIFS(HLTV_Long!$A$2:$A$337,$A7&amp;"|A|"&amp;$Y7&amp;"|lw")+COUNTIFS(HLTV_Long!$A$2:$A$337,$A7&amp;"|B|"&amp;$Y7&amp;"|wl")+COUNTIFS(HLTV_Long!$A$2:$A$337,$A7&amp;"|B|"&amp;$Y7&amp;"|lw")+COUNTIFS(HLTV_Long!$A$2:$A$337,$A7&amp;"|A|"&amp;$Y7&amp;"|wl"))</f>
        <v>4</v>
      </c>
      <c r="AZ7" s="17" t="str">
        <f aca="false">IF(OR($AW7="",$AX7="",$AH7=""),"",13+$AH7*$AW7+(1-$AH7)*$AX7)</f>
        <v/>
      </c>
      <c r="BA7" s="17" t="str">
        <f aca="false">IF($AZ7="","",$AH7*(13-$AW7)-(1-$AH7)*(13-$AX7))</f>
        <v/>
      </c>
      <c r="BB7" s="10" t="str">
        <f aca="false">IF($AZ7="","",($AH7*13+(1-$AH7)*$AX7)/$AZ7)</f>
        <v/>
      </c>
    </row>
    <row r="8" customFormat="false" ht="15" hidden="false" customHeight="false" outlineLevel="0" collapsed="false">
      <c r="A8" s="0" t="s">
        <v>800</v>
      </c>
      <c r="B8" s="0" t="s">
        <v>775</v>
      </c>
      <c r="C8" s="0" t="s">
        <v>801</v>
      </c>
      <c r="D8" s="0" t="n">
        <v>3</v>
      </c>
      <c r="E8" s="0" t="s">
        <v>158</v>
      </c>
      <c r="F8" s="0" t="s">
        <v>159</v>
      </c>
      <c r="G8" s="10" t="n">
        <v>0.392857142857143</v>
      </c>
      <c r="H8" s="10" t="n">
        <v>0.198631591383283</v>
      </c>
      <c r="I8" s="10" t="n">
        <v>0.348797074469044</v>
      </c>
      <c r="J8" s="10" t="n">
        <v>0.452571334147673</v>
      </c>
      <c r="K8" s="9" t="s">
        <v>802</v>
      </c>
      <c r="L8" s="9" t="s">
        <v>803</v>
      </c>
      <c r="M8" s="9" t="s">
        <v>804</v>
      </c>
      <c r="N8" s="9" t="s">
        <v>782</v>
      </c>
      <c r="O8" s="11" t="n">
        <v>21.142289850998</v>
      </c>
      <c r="P8" s="11" t="n">
        <v>21.1214940294363</v>
      </c>
      <c r="Q8" s="11"/>
      <c r="R8" s="10" t="n">
        <v>0.148648648648649</v>
      </c>
      <c r="S8" s="11" t="n">
        <v>-2.45574929725931</v>
      </c>
      <c r="T8" s="11" t="n">
        <v>11.0952380952381</v>
      </c>
      <c r="U8" s="11"/>
      <c r="V8" s="0" t="n">
        <v>275</v>
      </c>
      <c r="W8" s="14" t="s">
        <v>131</v>
      </c>
      <c r="X8" s="14" t="s">
        <v>118</v>
      </c>
      <c r="Y8" s="14" t="s">
        <v>82</v>
      </c>
      <c r="Z8" s="15" t="n">
        <v>21.14</v>
      </c>
      <c r="AA8" s="15" t="n">
        <v>21.12</v>
      </c>
      <c r="AB8" s="15" t="n">
        <f aca="false">Config!$B$7</f>
        <v>21.5</v>
      </c>
      <c r="AC8" s="16" t="n">
        <v>0.4526</v>
      </c>
      <c r="AD8" s="9" t="s">
        <v>805</v>
      </c>
      <c r="AE8" s="9" t="s">
        <v>806</v>
      </c>
      <c r="AF8" s="10" t="n">
        <v>0.4193</v>
      </c>
      <c r="AG8" s="10" t="n">
        <v>0.4193</v>
      </c>
      <c r="AH8" s="10" t="n">
        <v>0.3929</v>
      </c>
      <c r="AI8" s="10" t="n">
        <f aca="false">IFERROR(INDEX(HLTV_Teams!$N$2:$N$25,MATCH($A8&amp;"|A",HLTV_Teams!$A$2:$A$25,0)),"")</f>
        <v>0.508489937716301</v>
      </c>
      <c r="AJ8" s="10" t="n">
        <f aca="false">IFERROR(INDEX(HLTV_Teams!$N$2:$N$25,MATCH($A8&amp;"|B",HLTV_Teams!$A$2:$A$25,0)),"")</f>
        <v>0.536454539434475</v>
      </c>
      <c r="AK8" s="17" t="n">
        <f aca="false">IF($W8="","",IFERROR((SUMIFS(HLTV_Long!$B$2:$B$337,HLTV_Long!$A$2:$A$337,$A8&amp;"|A|"&amp;$W8&amp;"|lw")+SUMIFS(HLTV_Long!$B$2:$B$337,HLTV_Long!$A$2:$A$337,$A8&amp;"|B|"&amp;$W8&amp;"|wl"))/(COUNTIFS(HLTV_Long!$A$2:$A$337,$A8&amp;"|A|"&amp;$W8&amp;"|lw")+COUNTIFS(HLTV_Long!$A$2:$A$337,$A8&amp;"|B|"&amp;$W8&amp;"|wl")),IFERROR((SUMIFS(HLTV_Long!$B$2:$B$337,HLTV_Long!$A$2:$A$337,$A8&amp;"|A|"&amp;"ALL"&amp;"|lw")+SUMIFS(HLTV_Long!$B$2:$B$337,HLTV_Long!$A$2:$A$337,$A8&amp;"|B|"&amp;"ALL"&amp;"|wl"))/(COUNTIFS(HLTV_Long!$A$2:$A$337,$A8&amp;"|A|"&amp;"ALL"&amp;"|lw")+COUNTIFS(HLTV_Long!$A$2:$A$337,$A8&amp;"|B|"&amp;"ALL"&amp;"|wl")),"")))</f>
        <v>6.335</v>
      </c>
      <c r="AL8" s="17" t="n">
        <f aca="false">IF($W8="","",IFERROR((SUMIFS(HLTV_Long!$B$2:$B$337,HLTV_Long!$A$2:$A$337,$A8&amp;"|B|"&amp;$W8&amp;"|lw")+SUMIFS(HLTV_Long!$B$2:$B$337,HLTV_Long!$A$2:$A$337,$A8&amp;"|A|"&amp;$W8&amp;"|wl"))/(COUNTIFS(HLTV_Long!$A$2:$A$337,$A8&amp;"|B|"&amp;$W8&amp;"|lw")+COUNTIFS(HLTV_Long!$A$2:$A$337,$A8&amp;"|A|"&amp;$W8&amp;"|wl")),IFERROR((SUMIFS(HLTV_Long!$B$2:$B$337,HLTV_Long!$A$2:$A$337,$A8&amp;"|B|"&amp;"ALL"&amp;"|lw")+SUMIFS(HLTV_Long!$B$2:$B$337,HLTV_Long!$A$2:$A$337,$A8&amp;"|A|"&amp;"ALL"&amp;"|wl"))/(COUNTIFS(HLTV_Long!$A$2:$A$337,$A8&amp;"|B|"&amp;"ALL"&amp;"|lw")+COUNTIFS(HLTV_Long!$A$2:$A$337,$A8&amp;"|A|"&amp;"ALL"&amp;"|wl")),"")))</f>
        <v>9.4</v>
      </c>
      <c r="AM8" s="9" t="n">
        <f aca="false">IF($W8="","",COUNTIFS(HLTV_Long!$A$2:$A$337,$A8&amp;"|A|"&amp;$W8&amp;"|lw")+COUNTIFS(HLTV_Long!$A$2:$A$337,$A8&amp;"|B|"&amp;$W8&amp;"|wl")+COUNTIFS(HLTV_Long!$A$2:$A$337,$A8&amp;"|B|"&amp;$W8&amp;"|lw")+COUNTIFS(HLTV_Long!$A$2:$A$337,$A8&amp;"|A|"&amp;$W8&amp;"|wl"))</f>
        <v>4</v>
      </c>
      <c r="AN8" s="17" t="n">
        <f aca="false">IF(OR($AK8="",$AL8="",$AF8=""),"",13+$AF8*$AK8+(1-$AF8)*$AL8)</f>
        <v>21.1148455</v>
      </c>
      <c r="AO8" s="17" t="n">
        <f aca="false">IF($AN8="","",$AF8*(13-$AK8)-(1-$AF8)*(13-$AL8))</f>
        <v>0.7041145</v>
      </c>
      <c r="AP8" s="10" t="n">
        <f aca="false">IF($AN8="","",($AF8*13+(1-$AF8)*$AL8)/$AN8)</f>
        <v>0.516673446651551</v>
      </c>
      <c r="AQ8" s="17" t="n">
        <f aca="false">IF($X8="","",IFERROR((SUMIFS(HLTV_Long!$B$2:$B$337,HLTV_Long!$A$2:$A$337,$A8&amp;"|A|"&amp;$X8&amp;"|lw")+SUMIFS(HLTV_Long!$B$2:$B$337,HLTV_Long!$A$2:$A$337,$A8&amp;"|B|"&amp;$X8&amp;"|wl"))/(COUNTIFS(HLTV_Long!$A$2:$A$337,$A8&amp;"|A|"&amp;$X8&amp;"|lw")+COUNTIFS(HLTV_Long!$A$2:$A$337,$A8&amp;"|B|"&amp;$X8&amp;"|wl")),IFERROR((SUMIFS(HLTV_Long!$B$2:$B$337,HLTV_Long!$A$2:$A$337,$A8&amp;"|A|"&amp;"ALL"&amp;"|lw")+SUMIFS(HLTV_Long!$B$2:$B$337,HLTV_Long!$A$2:$A$337,$A8&amp;"|B|"&amp;"ALL"&amp;"|wl"))/(COUNTIFS(HLTV_Long!$A$2:$A$337,$A8&amp;"|A|"&amp;"ALL"&amp;"|lw")+COUNTIFS(HLTV_Long!$A$2:$A$337,$A8&amp;"|B|"&amp;"ALL"&amp;"|wl")),"")))</f>
        <v>9.42</v>
      </c>
      <c r="AR8" s="17" t="n">
        <f aca="false">IF($X8="","",IFERROR((SUMIFS(HLTV_Long!$B$2:$B$337,HLTV_Long!$A$2:$A$337,$A8&amp;"|B|"&amp;$X8&amp;"|lw")+SUMIFS(HLTV_Long!$B$2:$B$337,HLTV_Long!$A$2:$A$337,$A8&amp;"|A|"&amp;$X8&amp;"|wl"))/(COUNTIFS(HLTV_Long!$A$2:$A$337,$A8&amp;"|B|"&amp;$X8&amp;"|lw")+COUNTIFS(HLTV_Long!$A$2:$A$337,$A8&amp;"|A|"&amp;$X8&amp;"|wl")),IFERROR((SUMIFS(HLTV_Long!$B$2:$B$337,HLTV_Long!$A$2:$A$337,$A8&amp;"|B|"&amp;"ALL"&amp;"|lw")+SUMIFS(HLTV_Long!$B$2:$B$337,HLTV_Long!$A$2:$A$337,$A8&amp;"|A|"&amp;"ALL"&amp;"|wl"))/(COUNTIFS(HLTV_Long!$A$2:$A$337,$A8&amp;"|B|"&amp;"ALL"&amp;"|lw")+COUNTIFS(HLTV_Long!$A$2:$A$337,$A8&amp;"|A|"&amp;"ALL"&amp;"|wl")),"")))</f>
        <v>8.2</v>
      </c>
      <c r="AS8" s="9" t="n">
        <f aca="false">IF($X8="","",COUNTIFS(HLTV_Long!$A$2:$A$337,$A8&amp;"|A|"&amp;$X8&amp;"|lw")+COUNTIFS(HLTV_Long!$A$2:$A$337,$A8&amp;"|B|"&amp;$X8&amp;"|wl")+COUNTIFS(HLTV_Long!$A$2:$A$337,$A8&amp;"|B|"&amp;$X8&amp;"|lw")+COUNTIFS(HLTV_Long!$A$2:$A$337,$A8&amp;"|A|"&amp;$X8&amp;"|wl"))</f>
        <v>4</v>
      </c>
      <c r="AT8" s="17" t="n">
        <f aca="false">IF(OR($AQ8="",$AR8="",$AG8=""),"",13+$AG8*$AQ8+(1-$AG8)*$AR8)</f>
        <v>21.711546</v>
      </c>
      <c r="AU8" s="17" t="n">
        <f aca="false">IF($AT8="","",$AG8*(13-$AQ8)-(1-$AG8)*(13-$AR8))</f>
        <v>-1.286266</v>
      </c>
      <c r="AV8" s="10" t="n">
        <f aca="false">IF($AT8="","",($AG8*13+(1-$AG8)*$AR8)/$AT8)</f>
        <v>0.470378295493099</v>
      </c>
      <c r="AW8" s="17" t="n">
        <f aca="false">IF($Y8="","",IFERROR((SUMIFS(HLTV_Long!$B$2:$B$337,HLTV_Long!$A$2:$A$337,$A8&amp;"|A|"&amp;$Y8&amp;"|lw")+SUMIFS(HLTV_Long!$B$2:$B$337,HLTV_Long!$A$2:$A$337,$A8&amp;"|B|"&amp;$Y8&amp;"|wl"))/(COUNTIFS(HLTV_Long!$A$2:$A$337,$A8&amp;"|A|"&amp;$Y8&amp;"|lw")+COUNTIFS(HLTV_Long!$A$2:$A$337,$A8&amp;"|B|"&amp;$Y8&amp;"|wl")),IFERROR((SUMIFS(HLTV_Long!$B$2:$B$337,HLTV_Long!$A$2:$A$337,$A8&amp;"|A|"&amp;"ALL"&amp;"|lw")+SUMIFS(HLTV_Long!$B$2:$B$337,HLTV_Long!$A$2:$A$337,$A8&amp;"|B|"&amp;"ALL"&amp;"|wl"))/(COUNTIFS(HLTV_Long!$A$2:$A$337,$A8&amp;"|A|"&amp;"ALL"&amp;"|lw")+COUNTIFS(HLTV_Long!$A$2:$A$337,$A8&amp;"|B|"&amp;"ALL"&amp;"|wl")),"")))</f>
        <v>5.915</v>
      </c>
      <c r="AX8" s="17" t="n">
        <f aca="false">IF($Y8="","",IFERROR((SUMIFS(HLTV_Long!$B$2:$B$337,HLTV_Long!$A$2:$A$337,$A8&amp;"|B|"&amp;$Y8&amp;"|lw")+SUMIFS(HLTV_Long!$B$2:$B$337,HLTV_Long!$A$2:$A$337,$A8&amp;"|A|"&amp;$Y8&amp;"|wl"))/(COUNTIFS(HLTV_Long!$A$2:$A$337,$A8&amp;"|B|"&amp;$Y8&amp;"|lw")+COUNTIFS(HLTV_Long!$A$2:$A$337,$A8&amp;"|A|"&amp;$Y8&amp;"|wl")),IFERROR((SUMIFS(HLTV_Long!$B$2:$B$337,HLTV_Long!$A$2:$A$337,$A8&amp;"|B|"&amp;"ALL"&amp;"|lw")+SUMIFS(HLTV_Long!$B$2:$B$337,HLTV_Long!$A$2:$A$337,$A8&amp;"|A|"&amp;"ALL"&amp;"|wl"))/(COUNTIFS(HLTV_Long!$A$2:$A$337,$A8&amp;"|B|"&amp;"ALL"&amp;"|lw")+COUNTIFS(HLTV_Long!$A$2:$A$337,$A8&amp;"|A|"&amp;"ALL"&amp;"|wl")),"")))</f>
        <v>8.125</v>
      </c>
      <c r="AY8" s="9" t="n">
        <f aca="false">IF($Y8="","",COUNTIFS(HLTV_Long!$A$2:$A$337,$A8&amp;"|A|"&amp;$Y8&amp;"|lw")+COUNTIFS(HLTV_Long!$A$2:$A$337,$A8&amp;"|B|"&amp;$Y8&amp;"|wl")+COUNTIFS(HLTV_Long!$A$2:$A$337,$A8&amp;"|B|"&amp;$Y8&amp;"|lw")+COUNTIFS(HLTV_Long!$A$2:$A$337,$A8&amp;"|A|"&amp;$Y8&amp;"|wl"))</f>
        <v>4</v>
      </c>
      <c r="AZ8" s="17" t="n">
        <f aca="false">IF(OR($AW8="",$AX8="",$AH8=""),"",13+$AH8*$AW8+(1-$AH8)*$AX8)</f>
        <v>20.256691</v>
      </c>
      <c r="BA8" s="17" t="n">
        <f aca="false">IF($AZ8="","",$AH8*(13-$AW8)-(1-$AH8)*(13-$AX8))</f>
        <v>-0.175916</v>
      </c>
      <c r="BB8" s="10" t="n">
        <f aca="false">IF($AZ8="","",($AH8*13+(1-$AH8)*$AX8)/$AZ8)</f>
        <v>0.495657829800534</v>
      </c>
    </row>
    <row r="9" customFormat="false" ht="15" hidden="false" customHeight="false" outlineLevel="0" collapsed="false">
      <c r="A9" s="0" t="s">
        <v>807</v>
      </c>
      <c r="B9" s="0" t="s">
        <v>775</v>
      </c>
      <c r="C9" s="0" t="s">
        <v>801</v>
      </c>
      <c r="D9" s="0" t="n">
        <v>3</v>
      </c>
      <c r="E9" s="0" t="s">
        <v>247</v>
      </c>
      <c r="F9" s="0" t="s">
        <v>248</v>
      </c>
      <c r="G9" s="10" t="n">
        <v>0.31712962962963</v>
      </c>
      <c r="H9" s="10" t="n">
        <v>0.160710878865388</v>
      </c>
      <c r="I9" s="10" t="n">
        <v>0.407436030926335</v>
      </c>
      <c r="J9" s="10" t="n">
        <v>0.431853090208277</v>
      </c>
      <c r="K9" s="9" t="s">
        <v>808</v>
      </c>
      <c r="L9" s="9" t="s">
        <v>809</v>
      </c>
      <c r="M9" s="9" t="s">
        <v>810</v>
      </c>
      <c r="N9" s="9" t="s">
        <v>782</v>
      </c>
      <c r="O9" s="11" t="n">
        <v>21.019333475753</v>
      </c>
      <c r="P9" s="11" t="n">
        <v>21.0131578947368</v>
      </c>
      <c r="Q9" s="11"/>
      <c r="R9" s="10" t="n">
        <v>0.142480211081794</v>
      </c>
      <c r="S9" s="11" t="n">
        <v>-3.10253358272403</v>
      </c>
      <c r="T9" s="11" t="n">
        <v>10.2380952380952</v>
      </c>
      <c r="U9" s="11"/>
      <c r="V9" s="0" t="n">
        <v>316</v>
      </c>
      <c r="W9" s="14" t="s">
        <v>82</v>
      </c>
      <c r="X9" s="14" t="s">
        <v>96</v>
      </c>
      <c r="Y9" s="14" t="s">
        <v>142</v>
      </c>
      <c r="Z9" s="15" t="n">
        <v>21.02</v>
      </c>
      <c r="AA9" s="15" t="n">
        <v>21.01</v>
      </c>
      <c r="AB9" s="15" t="n">
        <f aca="false">Config!$B$7</f>
        <v>21.5</v>
      </c>
      <c r="AC9" s="16" t="n">
        <v>0.4319</v>
      </c>
      <c r="AD9" s="9" t="s">
        <v>811</v>
      </c>
      <c r="AE9" s="9" t="s">
        <v>812</v>
      </c>
      <c r="AF9" s="10" t="n">
        <v>0.3648</v>
      </c>
      <c r="AG9" s="10" t="n">
        <v>0.3672</v>
      </c>
      <c r="AH9" s="10" t="n">
        <v>0.3171</v>
      </c>
      <c r="AI9" s="10" t="n">
        <f aca="false">IFERROR(INDEX(HLTV_Teams!$N$2:$N$25,MATCH($A9&amp;"|A",HLTV_Teams!$A$2:$A$25,0)),"")</f>
        <v>0.48716142396227</v>
      </c>
      <c r="AJ9" s="10" t="n">
        <f aca="false">IFERROR(INDEX(HLTV_Teams!$N$2:$N$25,MATCH($A9&amp;"|B",HLTV_Teams!$A$2:$A$25,0)),"")</f>
        <v>0.524698931009962</v>
      </c>
      <c r="AK9" s="17" t="n">
        <f aca="false">IF($W9="","",IFERROR((SUMIFS(HLTV_Long!$B$2:$B$337,HLTV_Long!$A$2:$A$337,$A9&amp;"|A|"&amp;$W9&amp;"|lw")+SUMIFS(HLTV_Long!$B$2:$B$337,HLTV_Long!$A$2:$A$337,$A9&amp;"|B|"&amp;$W9&amp;"|wl"))/(COUNTIFS(HLTV_Long!$A$2:$A$337,$A9&amp;"|A|"&amp;$W9&amp;"|lw")+COUNTIFS(HLTV_Long!$A$2:$A$337,$A9&amp;"|B|"&amp;$W9&amp;"|wl")),IFERROR((SUMIFS(HLTV_Long!$B$2:$B$337,HLTV_Long!$A$2:$A$337,$A9&amp;"|A|"&amp;"ALL"&amp;"|lw")+SUMIFS(HLTV_Long!$B$2:$B$337,HLTV_Long!$A$2:$A$337,$A9&amp;"|B|"&amp;"ALL"&amp;"|wl"))/(COUNTIFS(HLTV_Long!$A$2:$A$337,$A9&amp;"|A|"&amp;"ALL"&amp;"|lw")+COUNTIFS(HLTV_Long!$A$2:$A$337,$A9&amp;"|B|"&amp;"ALL"&amp;"|wl")),"")))</f>
        <v>9</v>
      </c>
      <c r="AL9" s="17" t="n">
        <f aca="false">IF($W9="","",IFERROR((SUMIFS(HLTV_Long!$B$2:$B$337,HLTV_Long!$A$2:$A$337,$A9&amp;"|B|"&amp;$W9&amp;"|lw")+SUMIFS(HLTV_Long!$B$2:$B$337,HLTV_Long!$A$2:$A$337,$A9&amp;"|A|"&amp;$W9&amp;"|wl"))/(COUNTIFS(HLTV_Long!$A$2:$A$337,$A9&amp;"|B|"&amp;$W9&amp;"|lw")+COUNTIFS(HLTV_Long!$A$2:$A$337,$A9&amp;"|A|"&amp;$W9&amp;"|wl")),IFERROR((SUMIFS(HLTV_Long!$B$2:$B$337,HLTV_Long!$A$2:$A$337,$A9&amp;"|B|"&amp;"ALL"&amp;"|lw")+SUMIFS(HLTV_Long!$B$2:$B$337,HLTV_Long!$A$2:$A$337,$A9&amp;"|A|"&amp;"ALL"&amp;"|wl"))/(COUNTIFS(HLTV_Long!$A$2:$A$337,$A9&amp;"|B|"&amp;"ALL"&amp;"|lw")+COUNTIFS(HLTV_Long!$A$2:$A$337,$A9&amp;"|A|"&amp;"ALL"&amp;"|wl")),"")))</f>
        <v>8.605</v>
      </c>
      <c r="AM9" s="9" t="n">
        <f aca="false">IF($W9="","",COUNTIFS(HLTV_Long!$A$2:$A$337,$A9&amp;"|A|"&amp;$W9&amp;"|lw")+COUNTIFS(HLTV_Long!$A$2:$A$337,$A9&amp;"|B|"&amp;$W9&amp;"|wl")+COUNTIFS(HLTV_Long!$A$2:$A$337,$A9&amp;"|B|"&amp;$W9&amp;"|lw")+COUNTIFS(HLTV_Long!$A$2:$A$337,$A9&amp;"|A|"&amp;$W9&amp;"|wl"))</f>
        <v>4</v>
      </c>
      <c r="AN9" s="17" t="n">
        <f aca="false">IF(OR($AK9="",$AL9="",$AF9=""),"",13+$AF9*$AK9+(1-$AF9)*$AL9)</f>
        <v>21.749096</v>
      </c>
      <c r="AO9" s="17" t="n">
        <f aca="false">IF($AN9="","",$AF9*(13-$AK9)-(1-$AF9)*(13-$AL9))</f>
        <v>-1.332504</v>
      </c>
      <c r="AP9" s="10" t="n">
        <f aca="false">IF($AN9="","",($AF9*13+(1-$AF9)*$AL9)/$AN9)</f>
        <v>0.46936645090904</v>
      </c>
      <c r="AQ9" s="17" t="n">
        <f aca="false">IF($X9="","",IFERROR((SUMIFS(HLTV_Long!$B$2:$B$337,HLTV_Long!$A$2:$A$337,$A9&amp;"|A|"&amp;$X9&amp;"|lw")+SUMIFS(HLTV_Long!$B$2:$B$337,HLTV_Long!$A$2:$A$337,$A9&amp;"|B|"&amp;$X9&amp;"|wl"))/(COUNTIFS(HLTV_Long!$A$2:$A$337,$A9&amp;"|A|"&amp;$X9&amp;"|lw")+COUNTIFS(HLTV_Long!$A$2:$A$337,$A9&amp;"|B|"&amp;$X9&amp;"|wl")),IFERROR((SUMIFS(HLTV_Long!$B$2:$B$337,HLTV_Long!$A$2:$A$337,$A9&amp;"|A|"&amp;"ALL"&amp;"|lw")+SUMIFS(HLTV_Long!$B$2:$B$337,HLTV_Long!$A$2:$A$337,$A9&amp;"|B|"&amp;"ALL"&amp;"|wl"))/(COUNTIFS(HLTV_Long!$A$2:$A$337,$A9&amp;"|A|"&amp;"ALL"&amp;"|lw")+COUNTIFS(HLTV_Long!$A$2:$A$337,$A9&amp;"|B|"&amp;"ALL"&amp;"|wl")),"")))</f>
        <v>10.9</v>
      </c>
      <c r="AR9" s="17" t="n">
        <f aca="false">IF($X9="","",IFERROR((SUMIFS(HLTV_Long!$B$2:$B$337,HLTV_Long!$A$2:$A$337,$A9&amp;"|B|"&amp;$X9&amp;"|lw")+SUMIFS(HLTV_Long!$B$2:$B$337,HLTV_Long!$A$2:$A$337,$A9&amp;"|A|"&amp;$X9&amp;"|wl"))/(COUNTIFS(HLTV_Long!$A$2:$A$337,$A9&amp;"|B|"&amp;$X9&amp;"|lw")+COUNTIFS(HLTV_Long!$A$2:$A$337,$A9&amp;"|A|"&amp;$X9&amp;"|wl")),IFERROR((SUMIFS(HLTV_Long!$B$2:$B$337,HLTV_Long!$A$2:$A$337,$A9&amp;"|B|"&amp;"ALL"&amp;"|lw")+SUMIFS(HLTV_Long!$B$2:$B$337,HLTV_Long!$A$2:$A$337,$A9&amp;"|A|"&amp;"ALL"&amp;"|wl"))/(COUNTIFS(HLTV_Long!$A$2:$A$337,$A9&amp;"|B|"&amp;"ALL"&amp;"|lw")+COUNTIFS(HLTV_Long!$A$2:$A$337,$A9&amp;"|A|"&amp;"ALL"&amp;"|wl")),"")))</f>
        <v>8.015</v>
      </c>
      <c r="AS9" s="9" t="n">
        <f aca="false">IF($X9="","",COUNTIFS(HLTV_Long!$A$2:$A$337,$A9&amp;"|A|"&amp;$X9&amp;"|lw")+COUNTIFS(HLTV_Long!$A$2:$A$337,$A9&amp;"|B|"&amp;$X9&amp;"|wl")+COUNTIFS(HLTV_Long!$A$2:$A$337,$A9&amp;"|B|"&amp;$X9&amp;"|lw")+COUNTIFS(HLTV_Long!$A$2:$A$337,$A9&amp;"|A|"&amp;$X9&amp;"|wl"))</f>
        <v>4</v>
      </c>
      <c r="AT9" s="17" t="n">
        <f aca="false">IF(OR($AQ9="",$AR9="",$AG9=""),"",13+$AG9*$AQ9+(1-$AG9)*$AR9)</f>
        <v>22.074372</v>
      </c>
      <c r="AU9" s="17" t="n">
        <f aca="false">IF($AT9="","",$AG9*(13-$AQ9)-(1-$AG9)*(13-$AR9))</f>
        <v>-2.383388</v>
      </c>
      <c r="AV9" s="10" t="n">
        <f aca="false">IF($AT9="","",($AG9*13+(1-$AG9)*$AR9)/$AT9)</f>
        <v>0.446014591037969</v>
      </c>
      <c r="AW9" s="17" t="n">
        <f aca="false">IF($Y9="","",IFERROR((SUMIFS(HLTV_Long!$B$2:$B$337,HLTV_Long!$A$2:$A$337,$A9&amp;"|A|"&amp;$Y9&amp;"|lw")+SUMIFS(HLTV_Long!$B$2:$B$337,HLTV_Long!$A$2:$A$337,$A9&amp;"|B|"&amp;$Y9&amp;"|wl"))/(COUNTIFS(HLTV_Long!$A$2:$A$337,$A9&amp;"|A|"&amp;$Y9&amp;"|lw")+COUNTIFS(HLTV_Long!$A$2:$A$337,$A9&amp;"|B|"&amp;$Y9&amp;"|wl")),IFERROR((SUMIFS(HLTV_Long!$B$2:$B$337,HLTV_Long!$A$2:$A$337,$A9&amp;"|A|"&amp;"ALL"&amp;"|lw")+SUMIFS(HLTV_Long!$B$2:$B$337,HLTV_Long!$A$2:$A$337,$A9&amp;"|B|"&amp;"ALL"&amp;"|wl"))/(COUNTIFS(HLTV_Long!$A$2:$A$337,$A9&amp;"|A|"&amp;"ALL"&amp;"|lw")+COUNTIFS(HLTV_Long!$A$2:$A$337,$A9&amp;"|B|"&amp;"ALL"&amp;"|wl")),"")))</f>
        <v>9.45</v>
      </c>
      <c r="AX9" s="17" t="n">
        <f aca="false">IF($Y9="","",IFERROR((SUMIFS(HLTV_Long!$B$2:$B$337,HLTV_Long!$A$2:$A$337,$A9&amp;"|B|"&amp;$Y9&amp;"|lw")+SUMIFS(HLTV_Long!$B$2:$B$337,HLTV_Long!$A$2:$A$337,$A9&amp;"|A|"&amp;$Y9&amp;"|wl"))/(COUNTIFS(HLTV_Long!$A$2:$A$337,$A9&amp;"|B|"&amp;$Y9&amp;"|lw")+COUNTIFS(HLTV_Long!$A$2:$A$337,$A9&amp;"|A|"&amp;$Y9&amp;"|wl")),IFERROR((SUMIFS(HLTV_Long!$B$2:$B$337,HLTV_Long!$A$2:$A$337,$A9&amp;"|B|"&amp;"ALL"&amp;"|lw")+SUMIFS(HLTV_Long!$B$2:$B$337,HLTV_Long!$A$2:$A$337,$A9&amp;"|A|"&amp;"ALL"&amp;"|wl"))/(COUNTIFS(HLTV_Long!$A$2:$A$337,$A9&amp;"|B|"&amp;"ALL"&amp;"|lw")+COUNTIFS(HLTV_Long!$A$2:$A$337,$A9&amp;"|A|"&amp;"ALL"&amp;"|wl")),"")))</f>
        <v>9.56</v>
      </c>
      <c r="AY9" s="9" t="n">
        <f aca="false">IF($Y9="","",COUNTIFS(HLTV_Long!$A$2:$A$337,$A9&amp;"|A|"&amp;$Y9&amp;"|lw")+COUNTIFS(HLTV_Long!$A$2:$A$337,$A9&amp;"|B|"&amp;$Y9&amp;"|wl")+COUNTIFS(HLTV_Long!$A$2:$A$337,$A9&amp;"|B|"&amp;$Y9&amp;"|lw")+COUNTIFS(HLTV_Long!$A$2:$A$337,$A9&amp;"|A|"&amp;$Y9&amp;"|wl"))</f>
        <v>4</v>
      </c>
      <c r="AZ9" s="17" t="n">
        <f aca="false">IF(OR($AW9="",$AX9="",$AH9=""),"",13+$AH9*$AW9+(1-$AH9)*$AX9)</f>
        <v>22.525119</v>
      </c>
      <c r="BA9" s="17" t="n">
        <f aca="false">IF($AZ9="","",$AH9*(13-$AW9)-(1-$AH9)*(13-$AX9))</f>
        <v>-1.223471</v>
      </c>
      <c r="BB9" s="10" t="n">
        <f aca="false">IF($AZ9="","",($AH9*13+(1-$AH9)*$AX9)/$AZ9)</f>
        <v>0.472842074663401</v>
      </c>
    </row>
    <row r="10" customFormat="false" ht="15" hidden="false" customHeight="false" outlineLevel="0" collapsed="false">
      <c r="A10" s="0" t="s">
        <v>813</v>
      </c>
      <c r="B10" s="0" t="s">
        <v>775</v>
      </c>
      <c r="C10" s="0" t="s">
        <v>814</v>
      </c>
      <c r="D10" s="0" t="n">
        <v>3</v>
      </c>
      <c r="E10" s="0" t="s">
        <v>335</v>
      </c>
      <c r="F10" s="0" t="s">
        <v>336</v>
      </c>
      <c r="G10" s="10" t="n">
        <v>0.597402597402597</v>
      </c>
      <c r="H10" s="10" t="n">
        <v>0.305210099868099</v>
      </c>
      <c r="I10" s="10" t="n">
        <v>0.194224609006972</v>
      </c>
      <c r="J10" s="10" t="n">
        <v>0.500565291124929</v>
      </c>
      <c r="K10" s="9" t="s">
        <v>815</v>
      </c>
      <c r="L10" s="9" t="s">
        <v>788</v>
      </c>
      <c r="M10" s="9" t="s">
        <v>816</v>
      </c>
      <c r="N10" s="9" t="s">
        <v>782</v>
      </c>
      <c r="O10" s="11" t="n">
        <v>21.5</v>
      </c>
      <c r="P10" s="11" t="n">
        <v>21.4231536926148</v>
      </c>
      <c r="Q10" s="11" t="n">
        <v>21.5</v>
      </c>
      <c r="R10" s="10" t="n">
        <v>0.159420289855073</v>
      </c>
      <c r="S10" s="11" t="n">
        <v>0.706118665018542</v>
      </c>
      <c r="T10" s="11"/>
      <c r="U10" s="11"/>
      <c r="V10" s="0" t="n">
        <v>226</v>
      </c>
      <c r="W10" s="14" t="s">
        <v>142</v>
      </c>
      <c r="X10" s="14" t="s">
        <v>96</v>
      </c>
      <c r="Y10" s="14" t="s">
        <v>149</v>
      </c>
      <c r="Z10" s="15" t="n">
        <v>21.5</v>
      </c>
      <c r="AA10" s="15" t="n">
        <v>21.42</v>
      </c>
      <c r="AB10" s="15" t="n">
        <v>21.5</v>
      </c>
      <c r="AC10" s="16" t="n">
        <v>0.5006</v>
      </c>
      <c r="AD10" s="9" t="s">
        <v>817</v>
      </c>
      <c r="AE10" s="9" t="s">
        <v>818</v>
      </c>
      <c r="AF10" s="10" t="n">
        <v>0.527</v>
      </c>
      <c r="AG10" s="10" t="n">
        <v>0.5974</v>
      </c>
      <c r="AH10" s="10" t="n">
        <v>0.56</v>
      </c>
      <c r="AI10" s="10" t="n">
        <f aca="false">IFERROR(INDEX(HLTV_Teams!$N$2:$N$25,MATCH($A10&amp;"|A",HLTV_Teams!$A$2:$A$25,0)),"")</f>
        <v>0.547384816538242</v>
      </c>
      <c r="AJ10" s="10" t="n">
        <f aca="false">IFERROR(INDEX(HLTV_Teams!$N$2:$N$25,MATCH($A10&amp;"|B",HLTV_Teams!$A$2:$A$25,0)),"")</f>
        <v>0.48082958468459</v>
      </c>
      <c r="AK10" s="17" t="n">
        <f aca="false">IF($W10="","",IFERROR((SUMIFS(HLTV_Long!$B$2:$B$337,HLTV_Long!$A$2:$A$337,$A10&amp;"|A|"&amp;$W10&amp;"|lw")+SUMIFS(HLTV_Long!$B$2:$B$337,HLTV_Long!$A$2:$A$337,$A10&amp;"|B|"&amp;$W10&amp;"|wl"))/(COUNTIFS(HLTV_Long!$A$2:$A$337,$A10&amp;"|A|"&amp;$W10&amp;"|lw")+COUNTIFS(HLTV_Long!$A$2:$A$337,$A10&amp;"|B|"&amp;$W10&amp;"|wl")),IFERROR((SUMIFS(HLTV_Long!$B$2:$B$337,HLTV_Long!$A$2:$A$337,$A10&amp;"|A|"&amp;"ALL"&amp;"|lw")+SUMIFS(HLTV_Long!$B$2:$B$337,HLTV_Long!$A$2:$A$337,$A10&amp;"|B|"&amp;"ALL"&amp;"|wl"))/(COUNTIFS(HLTV_Long!$A$2:$A$337,$A10&amp;"|A|"&amp;"ALL"&amp;"|lw")+COUNTIFS(HLTV_Long!$A$2:$A$337,$A10&amp;"|B|"&amp;"ALL"&amp;"|wl")),"")))</f>
        <v>8.115</v>
      </c>
      <c r="AL10" s="17" t="n">
        <f aca="false">IF($W10="","",IFERROR((SUMIFS(HLTV_Long!$B$2:$B$337,HLTV_Long!$A$2:$A$337,$A10&amp;"|B|"&amp;$W10&amp;"|lw")+SUMIFS(HLTV_Long!$B$2:$B$337,HLTV_Long!$A$2:$A$337,$A10&amp;"|A|"&amp;$W10&amp;"|wl"))/(COUNTIFS(HLTV_Long!$A$2:$A$337,$A10&amp;"|B|"&amp;$W10&amp;"|lw")+COUNTIFS(HLTV_Long!$A$2:$A$337,$A10&amp;"|A|"&amp;$W10&amp;"|wl")),IFERROR((SUMIFS(HLTV_Long!$B$2:$B$337,HLTV_Long!$A$2:$A$337,$A10&amp;"|B|"&amp;"ALL"&amp;"|lw")+SUMIFS(HLTV_Long!$B$2:$B$337,HLTV_Long!$A$2:$A$337,$A10&amp;"|A|"&amp;"ALL"&amp;"|wl"))/(COUNTIFS(HLTV_Long!$A$2:$A$337,$A10&amp;"|B|"&amp;"ALL"&amp;"|lw")+COUNTIFS(HLTV_Long!$A$2:$A$337,$A10&amp;"|A|"&amp;"ALL"&amp;"|wl")),"")))</f>
        <v>8.165</v>
      </c>
      <c r="AM10" s="9" t="n">
        <f aca="false">IF($W10="","",COUNTIFS(HLTV_Long!$A$2:$A$337,$A10&amp;"|A|"&amp;$W10&amp;"|lw")+COUNTIFS(HLTV_Long!$A$2:$A$337,$A10&amp;"|B|"&amp;$W10&amp;"|wl")+COUNTIFS(HLTV_Long!$A$2:$A$337,$A10&amp;"|B|"&amp;$W10&amp;"|lw")+COUNTIFS(HLTV_Long!$A$2:$A$337,$A10&amp;"|A|"&amp;$W10&amp;"|wl"))</f>
        <v>4</v>
      </c>
      <c r="AN10" s="17" t="n">
        <f aca="false">IF(OR($AK10="",$AL10="",$AF10=""),"",13+$AF10*$AK10+(1-$AF10)*$AL10)</f>
        <v>21.13865</v>
      </c>
      <c r="AO10" s="17" t="n">
        <f aca="false">IF($AN10="","",$AF10*(13-$AK10)-(1-$AF10)*(13-$AL10))</f>
        <v>0.28744</v>
      </c>
      <c r="AP10" s="10" t="n">
        <f aca="false">IF($AN10="","",($AF10*13+(1-$AF10)*$AL10)/$AN10)</f>
        <v>0.506798920460862</v>
      </c>
      <c r="AQ10" s="17" t="n">
        <f aca="false">IF($X10="","",IFERROR((SUMIFS(HLTV_Long!$B$2:$B$337,HLTV_Long!$A$2:$A$337,$A10&amp;"|A|"&amp;$X10&amp;"|lw")+SUMIFS(HLTV_Long!$B$2:$B$337,HLTV_Long!$A$2:$A$337,$A10&amp;"|B|"&amp;$X10&amp;"|wl"))/(COUNTIFS(HLTV_Long!$A$2:$A$337,$A10&amp;"|A|"&amp;$X10&amp;"|lw")+COUNTIFS(HLTV_Long!$A$2:$A$337,$A10&amp;"|B|"&amp;$X10&amp;"|wl")),IFERROR((SUMIFS(HLTV_Long!$B$2:$B$337,HLTV_Long!$A$2:$A$337,$A10&amp;"|A|"&amp;"ALL"&amp;"|lw")+SUMIFS(HLTV_Long!$B$2:$B$337,HLTV_Long!$A$2:$A$337,$A10&amp;"|B|"&amp;"ALL"&amp;"|wl"))/(COUNTIFS(HLTV_Long!$A$2:$A$337,$A10&amp;"|A|"&amp;"ALL"&amp;"|lw")+COUNTIFS(HLTV_Long!$A$2:$A$337,$A10&amp;"|B|"&amp;"ALL"&amp;"|wl")),"")))</f>
        <v>8.365</v>
      </c>
      <c r="AR10" s="17" t="n">
        <f aca="false">IF($X10="","",IFERROR((SUMIFS(HLTV_Long!$B$2:$B$337,HLTV_Long!$A$2:$A$337,$A10&amp;"|B|"&amp;$X10&amp;"|lw")+SUMIFS(HLTV_Long!$B$2:$B$337,HLTV_Long!$A$2:$A$337,$A10&amp;"|A|"&amp;$X10&amp;"|wl"))/(COUNTIFS(HLTV_Long!$A$2:$A$337,$A10&amp;"|B|"&amp;$X10&amp;"|lw")+COUNTIFS(HLTV_Long!$A$2:$A$337,$A10&amp;"|A|"&amp;$X10&amp;"|wl")),IFERROR((SUMIFS(HLTV_Long!$B$2:$B$337,HLTV_Long!$A$2:$A$337,$A10&amp;"|B|"&amp;"ALL"&amp;"|lw")+SUMIFS(HLTV_Long!$B$2:$B$337,HLTV_Long!$A$2:$A$337,$A10&amp;"|A|"&amp;"ALL"&amp;"|wl"))/(COUNTIFS(HLTV_Long!$A$2:$A$337,$A10&amp;"|B|"&amp;"ALL"&amp;"|lw")+COUNTIFS(HLTV_Long!$A$2:$A$337,$A10&amp;"|A|"&amp;"ALL"&amp;"|wl")),"")))</f>
        <v>5.625</v>
      </c>
      <c r="AS10" s="9" t="n">
        <f aca="false">IF($X10="","",COUNTIFS(HLTV_Long!$A$2:$A$337,$A10&amp;"|A|"&amp;$X10&amp;"|lw")+COUNTIFS(HLTV_Long!$A$2:$A$337,$A10&amp;"|B|"&amp;$X10&amp;"|wl")+COUNTIFS(HLTV_Long!$A$2:$A$337,$A10&amp;"|B|"&amp;$X10&amp;"|lw")+COUNTIFS(HLTV_Long!$A$2:$A$337,$A10&amp;"|A|"&amp;$X10&amp;"|wl"))</f>
        <v>4</v>
      </c>
      <c r="AT10" s="17" t="n">
        <f aca="false">IF(OR($AQ10="",$AR10="",$AG10=""),"",13+$AG10*$AQ10+(1-$AG10)*$AR10)</f>
        <v>20.261876</v>
      </c>
      <c r="AU10" s="17" t="n">
        <f aca="false">IF($AT10="","",$AG10*(13-$AQ10)-(1-$AG10)*(13-$AR10))</f>
        <v>-0.200226</v>
      </c>
      <c r="AV10" s="10" t="n">
        <f aca="false">IF($AT10="","",($AG10*13+(1-$AG10)*$AR10)/$AT10)</f>
        <v>0.49505904586525</v>
      </c>
      <c r="AW10" s="17" t="n">
        <f aca="false">IF($Y10="","",IFERROR((SUMIFS(HLTV_Long!$B$2:$B$337,HLTV_Long!$A$2:$A$337,$A10&amp;"|A|"&amp;$Y10&amp;"|lw")+SUMIFS(HLTV_Long!$B$2:$B$337,HLTV_Long!$A$2:$A$337,$A10&amp;"|B|"&amp;$Y10&amp;"|wl"))/(COUNTIFS(HLTV_Long!$A$2:$A$337,$A10&amp;"|A|"&amp;$Y10&amp;"|lw")+COUNTIFS(HLTV_Long!$A$2:$A$337,$A10&amp;"|B|"&amp;$Y10&amp;"|wl")),IFERROR((SUMIFS(HLTV_Long!$B$2:$B$337,HLTV_Long!$A$2:$A$337,$A10&amp;"|A|"&amp;"ALL"&amp;"|lw")+SUMIFS(HLTV_Long!$B$2:$B$337,HLTV_Long!$A$2:$A$337,$A10&amp;"|B|"&amp;"ALL"&amp;"|wl"))/(COUNTIFS(HLTV_Long!$A$2:$A$337,$A10&amp;"|A|"&amp;"ALL"&amp;"|lw")+COUNTIFS(HLTV_Long!$A$2:$A$337,$A10&amp;"|B|"&amp;"ALL"&amp;"|wl")),"")))</f>
        <v>6.945</v>
      </c>
      <c r="AX10" s="17" t="n">
        <f aca="false">IF($Y10="","",IFERROR((SUMIFS(HLTV_Long!$B$2:$B$337,HLTV_Long!$A$2:$A$337,$A10&amp;"|B|"&amp;$Y10&amp;"|lw")+SUMIFS(HLTV_Long!$B$2:$B$337,HLTV_Long!$A$2:$A$337,$A10&amp;"|A|"&amp;$Y10&amp;"|wl"))/(COUNTIFS(HLTV_Long!$A$2:$A$337,$A10&amp;"|B|"&amp;$Y10&amp;"|lw")+COUNTIFS(HLTV_Long!$A$2:$A$337,$A10&amp;"|A|"&amp;$Y10&amp;"|wl")),IFERROR((SUMIFS(HLTV_Long!$B$2:$B$337,HLTV_Long!$A$2:$A$337,$A10&amp;"|B|"&amp;"ALL"&amp;"|lw")+SUMIFS(HLTV_Long!$B$2:$B$337,HLTV_Long!$A$2:$A$337,$A10&amp;"|A|"&amp;"ALL"&amp;"|wl"))/(COUNTIFS(HLTV_Long!$A$2:$A$337,$A10&amp;"|B|"&amp;"ALL"&amp;"|lw")+COUNTIFS(HLTV_Long!$A$2:$A$337,$A10&amp;"|A|"&amp;"ALL"&amp;"|wl")),"")))</f>
        <v>7.665</v>
      </c>
      <c r="AY10" s="9" t="n">
        <f aca="false">IF($Y10="","",COUNTIFS(HLTV_Long!$A$2:$A$337,$A10&amp;"|A|"&amp;$Y10&amp;"|lw")+COUNTIFS(HLTV_Long!$A$2:$A$337,$A10&amp;"|B|"&amp;$Y10&amp;"|wl")+COUNTIFS(HLTV_Long!$A$2:$A$337,$A10&amp;"|B|"&amp;$Y10&amp;"|lw")+COUNTIFS(HLTV_Long!$A$2:$A$337,$A10&amp;"|A|"&amp;$Y10&amp;"|wl"))</f>
        <v>4</v>
      </c>
      <c r="AZ10" s="17" t="n">
        <f aca="false">IF(OR($AW10="",$AX10="",$AH10=""),"",13+$AH10*$AW10+(1-$AH10)*$AX10)</f>
        <v>20.2618</v>
      </c>
      <c r="BA10" s="17" t="n">
        <f aca="false">IF($AZ10="","",$AH10*(13-$AW10)-(1-$AH10)*(13-$AX10))</f>
        <v>1.0434</v>
      </c>
      <c r="BB10" s="10" t="n">
        <f aca="false">IF($AZ10="","",($AH10*13+(1-$AH10)*$AX10)/$AZ10)</f>
        <v>0.52574795921389</v>
      </c>
    </row>
    <row r="11" customFormat="false" ht="15" hidden="false" customHeight="false" outlineLevel="0" collapsed="false">
      <c r="A11" s="0" t="s">
        <v>819</v>
      </c>
      <c r="B11" s="0" t="s">
        <v>775</v>
      </c>
      <c r="C11" s="0" t="s">
        <v>820</v>
      </c>
      <c r="D11" s="0" t="n">
        <v>3</v>
      </c>
      <c r="E11" s="0" t="s">
        <v>401</v>
      </c>
      <c r="F11" s="0" t="s">
        <v>402</v>
      </c>
      <c r="G11" s="10" t="n">
        <v>0.867410161090458</v>
      </c>
      <c r="H11" s="10" t="n">
        <v>0.611446697419633</v>
      </c>
      <c r="I11" s="10" t="n">
        <v>0.0689711874689346</v>
      </c>
      <c r="J11" s="10" t="n">
        <v>0.319582115111433</v>
      </c>
      <c r="K11" s="9" t="s">
        <v>821</v>
      </c>
      <c r="L11" s="9" t="s">
        <v>822</v>
      </c>
      <c r="M11" s="9" t="s">
        <v>823</v>
      </c>
      <c r="N11" s="9" t="s">
        <v>782</v>
      </c>
      <c r="O11" s="11" t="n">
        <v>20.1884205755722</v>
      </c>
      <c r="P11" s="11" t="n">
        <v>20.1884205755722</v>
      </c>
      <c r="Q11" s="11"/>
      <c r="R11" s="10" t="n">
        <v>0.121387283236994</v>
      </c>
      <c r="S11" s="11" t="n">
        <v>5.12373907195696</v>
      </c>
      <c r="T11" s="11"/>
      <c r="U11" s="11" t="n">
        <v>7.87626092804304</v>
      </c>
      <c r="V11" s="0" t="n">
        <v>276</v>
      </c>
      <c r="W11" s="14" t="s">
        <v>131</v>
      </c>
      <c r="X11" s="14" t="s">
        <v>109</v>
      </c>
      <c r="Y11" s="14" t="s">
        <v>82</v>
      </c>
      <c r="Z11" s="15" t="n">
        <v>20.19</v>
      </c>
      <c r="AA11" s="15" t="n">
        <v>20.19</v>
      </c>
      <c r="AB11" s="15" t="n">
        <f aca="false">Config!$B$7</f>
        <v>21.5</v>
      </c>
      <c r="AC11" s="16" t="n">
        <v>0.3196</v>
      </c>
      <c r="AD11" s="9" t="s">
        <v>824</v>
      </c>
      <c r="AE11" s="9" t="s">
        <v>825</v>
      </c>
      <c r="AF11" s="10" t="n">
        <v>0.7944</v>
      </c>
      <c r="AG11" s="10" t="n">
        <v>0.7937</v>
      </c>
      <c r="AH11" s="10" t="n">
        <v>0.8674</v>
      </c>
      <c r="AI11" s="10" t="n">
        <f aca="false">IFERROR(INDEX(HLTV_Teams!$N$2:$N$25,MATCH($A11&amp;"|A",HLTV_Teams!$A$2:$A$25,0)),"")</f>
        <v>0.565058271752111</v>
      </c>
      <c r="AJ11" s="10" t="n">
        <f aca="false">IFERROR(INDEX(HLTV_Teams!$N$2:$N$25,MATCH($A11&amp;"|B",HLTV_Teams!$A$2:$A$25,0)),"")</f>
        <v>0.502646935849676</v>
      </c>
      <c r="AK11" s="17" t="n">
        <f aca="false">IF($W11="","",IFERROR((SUMIFS(HLTV_Long!$B$2:$B$337,HLTV_Long!$A$2:$A$337,$A11&amp;"|A|"&amp;$W11&amp;"|lw")+SUMIFS(HLTV_Long!$B$2:$B$337,HLTV_Long!$A$2:$A$337,$A11&amp;"|B|"&amp;$W11&amp;"|wl"))/(COUNTIFS(HLTV_Long!$A$2:$A$337,$A11&amp;"|A|"&amp;$W11&amp;"|lw")+COUNTIFS(HLTV_Long!$A$2:$A$337,$A11&amp;"|B|"&amp;$W11&amp;"|wl")),IFERROR((SUMIFS(HLTV_Long!$B$2:$B$337,HLTV_Long!$A$2:$A$337,$A11&amp;"|A|"&amp;"ALL"&amp;"|lw")+SUMIFS(HLTV_Long!$B$2:$B$337,HLTV_Long!$A$2:$A$337,$A11&amp;"|B|"&amp;"ALL"&amp;"|wl"))/(COUNTIFS(HLTV_Long!$A$2:$A$337,$A11&amp;"|A|"&amp;"ALL"&amp;"|lw")+COUNTIFS(HLTV_Long!$A$2:$A$337,$A11&amp;"|B|"&amp;"ALL"&amp;"|wl")),"")))</f>
        <v>7.69</v>
      </c>
      <c r="AL11" s="17" t="n">
        <f aca="false">IF($W11="","",IFERROR((SUMIFS(HLTV_Long!$B$2:$B$337,HLTV_Long!$A$2:$A$337,$A11&amp;"|B|"&amp;$W11&amp;"|lw")+SUMIFS(HLTV_Long!$B$2:$B$337,HLTV_Long!$A$2:$A$337,$A11&amp;"|A|"&amp;$W11&amp;"|wl"))/(COUNTIFS(HLTV_Long!$A$2:$A$337,$A11&amp;"|B|"&amp;$W11&amp;"|lw")+COUNTIFS(HLTV_Long!$A$2:$A$337,$A11&amp;"|A|"&amp;$W11&amp;"|wl")),IFERROR((SUMIFS(HLTV_Long!$B$2:$B$337,HLTV_Long!$A$2:$A$337,$A11&amp;"|B|"&amp;"ALL"&amp;"|lw")+SUMIFS(HLTV_Long!$B$2:$B$337,HLTV_Long!$A$2:$A$337,$A11&amp;"|A|"&amp;"ALL"&amp;"|wl"))/(COUNTIFS(HLTV_Long!$A$2:$A$337,$A11&amp;"|B|"&amp;"ALL"&amp;"|lw")+COUNTIFS(HLTV_Long!$A$2:$A$337,$A11&amp;"|A|"&amp;"ALL"&amp;"|wl")),"")))</f>
        <v>7.3</v>
      </c>
      <c r="AM11" s="9" t="n">
        <f aca="false">IF($W11="","",COUNTIFS(HLTV_Long!$A$2:$A$337,$A11&amp;"|A|"&amp;$W11&amp;"|lw")+COUNTIFS(HLTV_Long!$A$2:$A$337,$A11&amp;"|B|"&amp;$W11&amp;"|wl")+COUNTIFS(HLTV_Long!$A$2:$A$337,$A11&amp;"|B|"&amp;$W11&amp;"|lw")+COUNTIFS(HLTV_Long!$A$2:$A$337,$A11&amp;"|A|"&amp;$W11&amp;"|wl"))</f>
        <v>4</v>
      </c>
      <c r="AN11" s="17" t="n">
        <f aca="false">IF(OR($AK11="",$AL11="",$AF11=""),"",13+$AF11*$AK11+(1-$AF11)*$AL11)</f>
        <v>20.609816</v>
      </c>
      <c r="AO11" s="17" t="n">
        <f aca="false">IF($AN11="","",$AF11*(13-$AK11)-(1-$AF11)*(13-$AL11))</f>
        <v>3.046344</v>
      </c>
      <c r="AP11" s="10" t="n">
        <f aca="false">IF($AN11="","",($AF11*13+(1-$AF11)*$AL11)/$AN11)</f>
        <v>0.57390517217621</v>
      </c>
      <c r="AQ11" s="17" t="n">
        <f aca="false">IF($X11="","",IFERROR((SUMIFS(HLTV_Long!$B$2:$B$337,HLTV_Long!$A$2:$A$337,$A11&amp;"|A|"&amp;$X11&amp;"|lw")+SUMIFS(HLTV_Long!$B$2:$B$337,HLTV_Long!$A$2:$A$337,$A11&amp;"|B|"&amp;$X11&amp;"|wl"))/(COUNTIFS(HLTV_Long!$A$2:$A$337,$A11&amp;"|A|"&amp;$X11&amp;"|lw")+COUNTIFS(HLTV_Long!$A$2:$A$337,$A11&amp;"|B|"&amp;$X11&amp;"|wl")),IFERROR((SUMIFS(HLTV_Long!$B$2:$B$337,HLTV_Long!$A$2:$A$337,$A11&amp;"|A|"&amp;"ALL"&amp;"|lw")+SUMIFS(HLTV_Long!$B$2:$B$337,HLTV_Long!$A$2:$A$337,$A11&amp;"|B|"&amp;"ALL"&amp;"|wl"))/(COUNTIFS(HLTV_Long!$A$2:$A$337,$A11&amp;"|A|"&amp;"ALL"&amp;"|lw")+COUNTIFS(HLTV_Long!$A$2:$A$337,$A11&amp;"|B|"&amp;"ALL"&amp;"|wl")),"")))</f>
        <v>6.1</v>
      </c>
      <c r="AR11" s="17" t="n">
        <f aca="false">IF($X11="","",IFERROR((SUMIFS(HLTV_Long!$B$2:$B$337,HLTV_Long!$A$2:$A$337,$A11&amp;"|B|"&amp;$X11&amp;"|lw")+SUMIFS(HLTV_Long!$B$2:$B$337,HLTV_Long!$A$2:$A$337,$A11&amp;"|A|"&amp;$X11&amp;"|wl"))/(COUNTIFS(HLTV_Long!$A$2:$A$337,$A11&amp;"|B|"&amp;$X11&amp;"|lw")+COUNTIFS(HLTV_Long!$A$2:$A$337,$A11&amp;"|A|"&amp;$X11&amp;"|wl")),IFERROR((SUMIFS(HLTV_Long!$B$2:$B$337,HLTV_Long!$A$2:$A$337,$A11&amp;"|B|"&amp;"ALL"&amp;"|lw")+SUMIFS(HLTV_Long!$B$2:$B$337,HLTV_Long!$A$2:$A$337,$A11&amp;"|A|"&amp;"ALL"&amp;"|wl"))/(COUNTIFS(HLTV_Long!$A$2:$A$337,$A11&amp;"|B|"&amp;"ALL"&amp;"|lw")+COUNTIFS(HLTV_Long!$A$2:$A$337,$A11&amp;"|A|"&amp;"ALL"&amp;"|wl")),"")))</f>
        <v>7.425</v>
      </c>
      <c r="AS11" s="9" t="n">
        <f aca="false">IF($X11="","",COUNTIFS(HLTV_Long!$A$2:$A$337,$A11&amp;"|A|"&amp;$X11&amp;"|lw")+COUNTIFS(HLTV_Long!$A$2:$A$337,$A11&amp;"|B|"&amp;$X11&amp;"|wl")+COUNTIFS(HLTV_Long!$A$2:$A$337,$A11&amp;"|B|"&amp;$X11&amp;"|lw")+COUNTIFS(HLTV_Long!$A$2:$A$337,$A11&amp;"|A|"&amp;$X11&amp;"|wl"))</f>
        <v>4</v>
      </c>
      <c r="AT11" s="17" t="n">
        <f aca="false">IF(OR($AQ11="",$AR11="",$AG11=""),"",13+$AG11*$AQ11+(1-$AG11)*$AR11)</f>
        <v>19.3733475</v>
      </c>
      <c r="AU11" s="17" t="n">
        <f aca="false">IF($AT11="","",$AG11*(13-$AQ11)-(1-$AG11)*(13-$AR11))</f>
        <v>4.3264075</v>
      </c>
      <c r="AV11" s="10" t="n">
        <f aca="false">IF($AT11="","",($AG11*13+(1-$AG11)*$AR11)/$AT11)</f>
        <v>0.611658749217191</v>
      </c>
      <c r="AW11" s="17" t="n">
        <f aca="false">IF($Y11="","",IFERROR((SUMIFS(HLTV_Long!$B$2:$B$337,HLTV_Long!$A$2:$A$337,$A11&amp;"|A|"&amp;$Y11&amp;"|lw")+SUMIFS(HLTV_Long!$B$2:$B$337,HLTV_Long!$A$2:$A$337,$A11&amp;"|B|"&amp;$Y11&amp;"|wl"))/(COUNTIFS(HLTV_Long!$A$2:$A$337,$A11&amp;"|A|"&amp;$Y11&amp;"|lw")+COUNTIFS(HLTV_Long!$A$2:$A$337,$A11&amp;"|B|"&amp;$Y11&amp;"|wl")),IFERROR((SUMIFS(HLTV_Long!$B$2:$B$337,HLTV_Long!$A$2:$A$337,$A11&amp;"|A|"&amp;"ALL"&amp;"|lw")+SUMIFS(HLTV_Long!$B$2:$B$337,HLTV_Long!$A$2:$A$337,$A11&amp;"|B|"&amp;"ALL"&amp;"|wl"))/(COUNTIFS(HLTV_Long!$A$2:$A$337,$A11&amp;"|A|"&amp;"ALL"&amp;"|lw")+COUNTIFS(HLTV_Long!$A$2:$A$337,$A11&amp;"|B|"&amp;"ALL"&amp;"|wl")),"")))</f>
        <v>8.035</v>
      </c>
      <c r="AX11" s="17" t="n">
        <f aca="false">IF($Y11="","",IFERROR((SUMIFS(HLTV_Long!$B$2:$B$337,HLTV_Long!$A$2:$A$337,$A11&amp;"|B|"&amp;$Y11&amp;"|lw")+SUMIFS(HLTV_Long!$B$2:$B$337,HLTV_Long!$A$2:$A$337,$A11&amp;"|A|"&amp;$Y11&amp;"|wl"))/(COUNTIFS(HLTV_Long!$A$2:$A$337,$A11&amp;"|B|"&amp;$Y11&amp;"|lw")+COUNTIFS(HLTV_Long!$A$2:$A$337,$A11&amp;"|A|"&amp;$Y11&amp;"|wl")),IFERROR((SUMIFS(HLTV_Long!$B$2:$B$337,HLTV_Long!$A$2:$A$337,$A11&amp;"|B|"&amp;"ALL"&amp;"|lw")+SUMIFS(HLTV_Long!$B$2:$B$337,HLTV_Long!$A$2:$A$337,$A11&amp;"|A|"&amp;"ALL"&amp;"|wl"))/(COUNTIFS(HLTV_Long!$A$2:$A$337,$A11&amp;"|B|"&amp;"ALL"&amp;"|lw")+COUNTIFS(HLTV_Long!$A$2:$A$337,$A11&amp;"|A|"&amp;"ALL"&amp;"|wl")),"")))</f>
        <v>9.3</v>
      </c>
      <c r="AY11" s="9" t="n">
        <f aca="false">IF($Y11="","",COUNTIFS(HLTV_Long!$A$2:$A$337,$A11&amp;"|A|"&amp;$Y11&amp;"|lw")+COUNTIFS(HLTV_Long!$A$2:$A$337,$A11&amp;"|B|"&amp;$Y11&amp;"|wl")+COUNTIFS(HLTV_Long!$A$2:$A$337,$A11&amp;"|B|"&amp;$Y11&amp;"|lw")+COUNTIFS(HLTV_Long!$A$2:$A$337,$A11&amp;"|A|"&amp;$Y11&amp;"|wl"))</f>
        <v>4</v>
      </c>
      <c r="AZ11" s="17" t="n">
        <f aca="false">IF(OR($AW11="",$AX11="",$AH11=""),"",13+$AH11*$AW11+(1-$AH11)*$AX11)</f>
        <v>21.202739</v>
      </c>
      <c r="BA11" s="17" t="n">
        <f aca="false">IF($AZ11="","",$AH11*(13-$AW11)-(1-$AH11)*(13-$AX11))</f>
        <v>3.816021</v>
      </c>
      <c r="BB11" s="10" t="n">
        <f aca="false">IF($AZ11="","",($AH11*13+(1-$AH11)*$AX11)/$AZ11)</f>
        <v>0.589988868890949</v>
      </c>
    </row>
    <row r="12" customFormat="false" ht="15" hidden="false" customHeight="false" outlineLevel="0" collapsed="false">
      <c r="A12" s="0" t="s">
        <v>826</v>
      </c>
      <c r="B12" s="0" t="s">
        <v>775</v>
      </c>
      <c r="C12" s="0" t="s">
        <v>820</v>
      </c>
      <c r="D12" s="0" t="n">
        <v>3</v>
      </c>
      <c r="E12" s="0" t="s">
        <v>465</v>
      </c>
      <c r="F12" s="0" t="s">
        <v>466</v>
      </c>
      <c r="G12" s="10" t="n">
        <v>0.549071618037135</v>
      </c>
      <c r="H12" s="10" t="n">
        <v>0.292556565647909</v>
      </c>
      <c r="I12" s="10" t="n">
        <v>0.244206881129067</v>
      </c>
      <c r="J12" s="10" t="n">
        <v>0.463236553223024</v>
      </c>
      <c r="K12" s="9" t="s">
        <v>827</v>
      </c>
      <c r="L12" s="9" t="s">
        <v>822</v>
      </c>
      <c r="M12" s="9" t="s">
        <v>804</v>
      </c>
      <c r="N12" s="9" t="s">
        <v>782</v>
      </c>
      <c r="O12" s="11" t="n">
        <v>21.1951125175809</v>
      </c>
      <c r="P12" s="11" t="n">
        <v>21.1723982527907</v>
      </c>
      <c r="Q12" s="11"/>
      <c r="R12" s="10" t="n">
        <v>0.147496617050068</v>
      </c>
      <c r="S12" s="11" t="n">
        <v>0.732758620689656</v>
      </c>
      <c r="T12" s="11"/>
      <c r="U12" s="11"/>
      <c r="V12" s="0" t="n">
        <v>275</v>
      </c>
      <c r="W12" s="14" t="s">
        <v>142</v>
      </c>
      <c r="X12" s="14" t="s">
        <v>109</v>
      </c>
      <c r="Y12" s="14" t="s">
        <v>82</v>
      </c>
      <c r="Z12" s="15" t="n">
        <v>21.2</v>
      </c>
      <c r="AA12" s="15" t="n">
        <v>21.17</v>
      </c>
      <c r="AB12" s="15" t="n">
        <f aca="false">Config!$B$7</f>
        <v>21.5</v>
      </c>
      <c r="AC12" s="16" t="n">
        <v>0.4632</v>
      </c>
      <c r="AD12" s="9" t="s">
        <v>828</v>
      </c>
      <c r="AE12" s="9" t="s">
        <v>829</v>
      </c>
      <c r="AF12" s="10" t="n">
        <v>0.5253</v>
      </c>
      <c r="AG12" s="10" t="n">
        <v>0.5253</v>
      </c>
      <c r="AH12" s="10" t="n">
        <v>0.5491</v>
      </c>
      <c r="AI12" s="10" t="n">
        <f aca="false">IFERROR(INDEX(HLTV_Teams!$N$2:$N$25,MATCH($A12&amp;"|A",HLTV_Teams!$A$2:$A$25,0)),"")</f>
        <v>0.495030037569649</v>
      </c>
      <c r="AJ12" s="10" t="n">
        <f aca="false">IFERROR(INDEX(HLTV_Teams!$N$2:$N$25,MATCH($A12&amp;"|B",HLTV_Teams!$A$2:$A$25,0)),"")</f>
        <v>0.512856397182864</v>
      </c>
      <c r="AK12" s="17" t="n">
        <f aca="false">IF($W12="","",IFERROR((SUMIFS(HLTV_Long!$B$2:$B$337,HLTV_Long!$A$2:$A$337,$A12&amp;"|A|"&amp;$W12&amp;"|lw")+SUMIFS(HLTV_Long!$B$2:$B$337,HLTV_Long!$A$2:$A$337,$A12&amp;"|B|"&amp;$W12&amp;"|wl"))/(COUNTIFS(HLTV_Long!$A$2:$A$337,$A12&amp;"|A|"&amp;$W12&amp;"|lw")+COUNTIFS(HLTV_Long!$A$2:$A$337,$A12&amp;"|B|"&amp;$W12&amp;"|wl")),IFERROR((SUMIFS(HLTV_Long!$B$2:$B$337,HLTV_Long!$A$2:$A$337,$A12&amp;"|A|"&amp;"ALL"&amp;"|lw")+SUMIFS(HLTV_Long!$B$2:$B$337,HLTV_Long!$A$2:$A$337,$A12&amp;"|B|"&amp;"ALL"&amp;"|wl"))/(COUNTIFS(HLTV_Long!$A$2:$A$337,$A12&amp;"|A|"&amp;"ALL"&amp;"|lw")+COUNTIFS(HLTV_Long!$A$2:$A$337,$A12&amp;"|B|"&amp;"ALL"&amp;"|wl")),"")))</f>
        <v>6.285</v>
      </c>
      <c r="AL12" s="17" t="n">
        <f aca="false">IF($W12="","",IFERROR((SUMIFS(HLTV_Long!$B$2:$B$337,HLTV_Long!$A$2:$A$337,$A12&amp;"|B|"&amp;$W12&amp;"|lw")+SUMIFS(HLTV_Long!$B$2:$B$337,HLTV_Long!$A$2:$A$337,$A12&amp;"|A|"&amp;$W12&amp;"|wl"))/(COUNTIFS(HLTV_Long!$A$2:$A$337,$A12&amp;"|B|"&amp;$W12&amp;"|lw")+COUNTIFS(HLTV_Long!$A$2:$A$337,$A12&amp;"|A|"&amp;$W12&amp;"|wl")),IFERROR((SUMIFS(HLTV_Long!$B$2:$B$337,HLTV_Long!$A$2:$A$337,$A12&amp;"|B|"&amp;"ALL"&amp;"|lw")+SUMIFS(HLTV_Long!$B$2:$B$337,HLTV_Long!$A$2:$A$337,$A12&amp;"|A|"&amp;"ALL"&amp;"|wl"))/(COUNTIFS(HLTV_Long!$A$2:$A$337,$A12&amp;"|B|"&amp;"ALL"&amp;"|lw")+COUNTIFS(HLTV_Long!$A$2:$A$337,$A12&amp;"|A|"&amp;"ALL"&amp;"|wl")),"")))</f>
        <v>9</v>
      </c>
      <c r="AM12" s="9" t="n">
        <f aca="false">IF($W12="","",COUNTIFS(HLTV_Long!$A$2:$A$337,$A12&amp;"|A|"&amp;$W12&amp;"|lw")+COUNTIFS(HLTV_Long!$A$2:$A$337,$A12&amp;"|B|"&amp;$W12&amp;"|wl")+COUNTIFS(HLTV_Long!$A$2:$A$337,$A12&amp;"|B|"&amp;$W12&amp;"|lw")+COUNTIFS(HLTV_Long!$A$2:$A$337,$A12&amp;"|A|"&amp;$W12&amp;"|wl"))</f>
        <v>4</v>
      </c>
      <c r="AN12" s="17" t="n">
        <f aca="false">IF(OR($AK12="",$AL12="",$AF12=""),"",13+$AF12*$AK12+(1-$AF12)*$AL12)</f>
        <v>20.5738105</v>
      </c>
      <c r="AO12" s="17" t="n">
        <f aca="false">IF($AN12="","",$AF12*(13-$AK12)-(1-$AF12)*(13-$AL12))</f>
        <v>1.6285895</v>
      </c>
      <c r="AP12" s="10" t="n">
        <f aca="false">IF($AN12="","",($AF12*13+(1-$AF12)*$AL12)/$AN12)</f>
        <v>0.539579189766524</v>
      </c>
      <c r="AQ12" s="17" t="n">
        <f aca="false">IF($X12="","",IFERROR((SUMIFS(HLTV_Long!$B$2:$B$337,HLTV_Long!$A$2:$A$337,$A12&amp;"|A|"&amp;$X12&amp;"|lw")+SUMIFS(HLTV_Long!$B$2:$B$337,HLTV_Long!$A$2:$A$337,$A12&amp;"|B|"&amp;$X12&amp;"|wl"))/(COUNTIFS(HLTV_Long!$A$2:$A$337,$A12&amp;"|A|"&amp;$X12&amp;"|lw")+COUNTIFS(HLTV_Long!$A$2:$A$337,$A12&amp;"|B|"&amp;$X12&amp;"|wl")),IFERROR((SUMIFS(HLTV_Long!$B$2:$B$337,HLTV_Long!$A$2:$A$337,$A12&amp;"|A|"&amp;"ALL"&amp;"|lw")+SUMIFS(HLTV_Long!$B$2:$B$337,HLTV_Long!$A$2:$A$337,$A12&amp;"|B|"&amp;"ALL"&amp;"|wl"))/(COUNTIFS(HLTV_Long!$A$2:$A$337,$A12&amp;"|A|"&amp;"ALL"&amp;"|lw")+COUNTIFS(HLTV_Long!$A$2:$A$337,$A12&amp;"|B|"&amp;"ALL"&amp;"|wl")),"")))</f>
        <v>8.25</v>
      </c>
      <c r="AR12" s="17" t="n">
        <f aca="false">IF($X12="","",IFERROR((SUMIFS(HLTV_Long!$B$2:$B$337,HLTV_Long!$A$2:$A$337,$A12&amp;"|B|"&amp;$X12&amp;"|lw")+SUMIFS(HLTV_Long!$B$2:$B$337,HLTV_Long!$A$2:$A$337,$A12&amp;"|A|"&amp;$X12&amp;"|wl"))/(COUNTIFS(HLTV_Long!$A$2:$A$337,$A12&amp;"|B|"&amp;$X12&amp;"|lw")+COUNTIFS(HLTV_Long!$A$2:$A$337,$A12&amp;"|A|"&amp;$X12&amp;"|wl")),IFERROR((SUMIFS(HLTV_Long!$B$2:$B$337,HLTV_Long!$A$2:$A$337,$A12&amp;"|B|"&amp;"ALL"&amp;"|lw")+SUMIFS(HLTV_Long!$B$2:$B$337,HLTV_Long!$A$2:$A$337,$A12&amp;"|A|"&amp;"ALL"&amp;"|wl"))/(COUNTIFS(HLTV_Long!$A$2:$A$337,$A12&amp;"|B|"&amp;"ALL"&amp;"|lw")+COUNTIFS(HLTV_Long!$A$2:$A$337,$A12&amp;"|A|"&amp;"ALL"&amp;"|wl")),"")))</f>
        <v>7.215</v>
      </c>
      <c r="AS12" s="9" t="n">
        <f aca="false">IF($X12="","",COUNTIFS(HLTV_Long!$A$2:$A$337,$A12&amp;"|A|"&amp;$X12&amp;"|lw")+COUNTIFS(HLTV_Long!$A$2:$A$337,$A12&amp;"|B|"&amp;$X12&amp;"|wl")+COUNTIFS(HLTV_Long!$A$2:$A$337,$A12&amp;"|B|"&amp;$X12&amp;"|lw")+COUNTIFS(HLTV_Long!$A$2:$A$337,$A12&amp;"|A|"&amp;$X12&amp;"|wl"))</f>
        <v>4</v>
      </c>
      <c r="AT12" s="17" t="n">
        <f aca="false">IF(OR($AQ12="",$AR12="",$AG12=""),"",13+$AG12*$AQ12+(1-$AG12)*$AR12)</f>
        <v>20.7586855</v>
      </c>
      <c r="AU12" s="17" t="n">
        <f aca="false">IF($AT12="","",$AG12*(13-$AQ12)-(1-$AG12)*(13-$AR12))</f>
        <v>-0.2509645</v>
      </c>
      <c r="AV12" s="10" t="n">
        <f aca="false">IF($AT12="","",($AG12*13+(1-$AG12)*$AR12)/$AT12)</f>
        <v>0.493955192875772</v>
      </c>
      <c r="AW12" s="17" t="n">
        <f aca="false">IF($Y12="","",IFERROR((SUMIFS(HLTV_Long!$B$2:$B$337,HLTV_Long!$A$2:$A$337,$A12&amp;"|A|"&amp;$Y12&amp;"|lw")+SUMIFS(HLTV_Long!$B$2:$B$337,HLTV_Long!$A$2:$A$337,$A12&amp;"|B|"&amp;$Y12&amp;"|wl"))/(COUNTIFS(HLTV_Long!$A$2:$A$337,$A12&amp;"|A|"&amp;$Y12&amp;"|lw")+COUNTIFS(HLTV_Long!$A$2:$A$337,$A12&amp;"|B|"&amp;$Y12&amp;"|wl")),IFERROR((SUMIFS(HLTV_Long!$B$2:$B$337,HLTV_Long!$A$2:$A$337,$A12&amp;"|A|"&amp;"ALL"&amp;"|lw")+SUMIFS(HLTV_Long!$B$2:$B$337,HLTV_Long!$A$2:$A$337,$A12&amp;"|B|"&amp;"ALL"&amp;"|wl"))/(COUNTIFS(HLTV_Long!$A$2:$A$337,$A12&amp;"|A|"&amp;"ALL"&amp;"|lw")+COUNTIFS(HLTV_Long!$A$2:$A$337,$A12&amp;"|B|"&amp;"ALL"&amp;"|wl")),"")))</f>
        <v>11</v>
      </c>
      <c r="AX12" s="17" t="n">
        <f aca="false">IF($Y12="","",IFERROR((SUMIFS(HLTV_Long!$B$2:$B$337,HLTV_Long!$A$2:$A$337,$A12&amp;"|B|"&amp;$Y12&amp;"|lw")+SUMIFS(HLTV_Long!$B$2:$B$337,HLTV_Long!$A$2:$A$337,$A12&amp;"|A|"&amp;$Y12&amp;"|wl"))/(COUNTIFS(HLTV_Long!$A$2:$A$337,$A12&amp;"|B|"&amp;$Y12&amp;"|lw")+COUNTIFS(HLTV_Long!$A$2:$A$337,$A12&amp;"|A|"&amp;$Y12&amp;"|wl")),IFERROR((SUMIFS(HLTV_Long!$B$2:$B$337,HLTV_Long!$A$2:$A$337,$A12&amp;"|B|"&amp;"ALL"&amp;"|lw")+SUMIFS(HLTV_Long!$B$2:$B$337,HLTV_Long!$A$2:$A$337,$A12&amp;"|A|"&amp;"ALL"&amp;"|wl"))/(COUNTIFS(HLTV_Long!$A$2:$A$337,$A12&amp;"|B|"&amp;"ALL"&amp;"|lw")+COUNTIFS(HLTV_Long!$A$2:$A$337,$A12&amp;"|A|"&amp;"ALL"&amp;"|wl")),"")))</f>
        <v>8.69</v>
      </c>
      <c r="AY12" s="9" t="n">
        <f aca="false">IF($Y12="","",COUNTIFS(HLTV_Long!$A$2:$A$337,$A12&amp;"|A|"&amp;$Y12&amp;"|lw")+COUNTIFS(HLTV_Long!$A$2:$A$337,$A12&amp;"|B|"&amp;$Y12&amp;"|wl")+COUNTIFS(HLTV_Long!$A$2:$A$337,$A12&amp;"|B|"&amp;$Y12&amp;"|lw")+COUNTIFS(HLTV_Long!$A$2:$A$337,$A12&amp;"|A|"&amp;$Y12&amp;"|wl"))</f>
        <v>4</v>
      </c>
      <c r="AZ12" s="17" t="n">
        <f aca="false">IF(OR($AW12="",$AX12="",$AH12=""),"",13+$AH12*$AW12+(1-$AH12)*$AX12)</f>
        <v>22.958421</v>
      </c>
      <c r="BA12" s="17" t="n">
        <f aca="false">IF($AZ12="","",$AH12*(13-$AW12)-(1-$AH12)*(13-$AX12))</f>
        <v>-0.845179</v>
      </c>
      <c r="BB12" s="10" t="n">
        <f aca="false">IF($AZ12="","",($AH12*13+(1-$AH12)*$AX12)/$AZ12)</f>
        <v>0.481593268108464</v>
      </c>
    </row>
    <row r="13" customFormat="false" ht="15" hidden="false" customHeight="false" outlineLevel="0" collapsed="false">
      <c r="A13" s="0" t="s">
        <v>830</v>
      </c>
      <c r="B13" s="0" t="s">
        <v>775</v>
      </c>
      <c r="C13" s="0" t="s">
        <v>820</v>
      </c>
      <c r="D13" s="0" t="n">
        <v>3</v>
      </c>
      <c r="E13" s="0" t="s">
        <v>532</v>
      </c>
      <c r="F13" s="0" t="s">
        <v>533</v>
      </c>
      <c r="G13" s="10" t="n">
        <v>0.385786802030457</v>
      </c>
      <c r="H13" s="10" t="n">
        <v>0.199524940617577</v>
      </c>
      <c r="I13" s="10" t="n">
        <v>0.346001583531275</v>
      </c>
      <c r="J13" s="10" t="n">
        <v>0.454473475851148</v>
      </c>
      <c r="K13" s="9" t="s">
        <v>831</v>
      </c>
      <c r="L13" s="9" t="s">
        <v>803</v>
      </c>
      <c r="M13" s="9" t="s">
        <v>832</v>
      </c>
      <c r="N13" s="9" t="s">
        <v>782</v>
      </c>
      <c r="O13" s="11" t="n">
        <v>21.1985018726592</v>
      </c>
      <c r="P13" s="11" t="n">
        <v>21.0726800085464</v>
      </c>
      <c r="Q13" s="11"/>
      <c r="R13" s="10" t="n">
        <v>0.147496617050068</v>
      </c>
      <c r="S13" s="11" t="n">
        <v>-0.683977058876243</v>
      </c>
      <c r="T13" s="11"/>
      <c r="U13" s="11"/>
      <c r="V13" s="0" t="n">
        <v>315</v>
      </c>
      <c r="W13" s="14" t="s">
        <v>131</v>
      </c>
      <c r="X13" s="14" t="s">
        <v>118</v>
      </c>
      <c r="Y13" s="14" t="s">
        <v>82</v>
      </c>
      <c r="Z13" s="15" t="n">
        <v>21.2</v>
      </c>
      <c r="AA13" s="15" t="n">
        <v>21.07</v>
      </c>
      <c r="AB13" s="15" t="n">
        <f aca="false">Config!$B$7</f>
        <v>21.5</v>
      </c>
      <c r="AC13" s="16" t="n">
        <v>0.4545</v>
      </c>
      <c r="AD13" s="9" t="s">
        <v>833</v>
      </c>
      <c r="AE13" s="9" t="s">
        <v>834</v>
      </c>
      <c r="AF13" s="10" t="n">
        <v>0.4601</v>
      </c>
      <c r="AG13" s="10" t="n">
        <v>0.3813</v>
      </c>
      <c r="AH13" s="10" t="n">
        <v>0.3858</v>
      </c>
      <c r="AI13" s="10" t="n">
        <f aca="false">IFERROR(INDEX(HLTV_Teams!$N$2:$N$25,MATCH($A13&amp;"|A",HLTV_Teams!$A$2:$A$25,0)),"")</f>
        <v>0.520867653467907</v>
      </c>
      <c r="AJ13" s="10" t="n">
        <f aca="false">IFERROR(INDEX(HLTV_Teams!$N$2:$N$25,MATCH($A13&amp;"|B",HLTV_Teams!$A$2:$A$25,0)),"")</f>
        <v>0.515589163533086</v>
      </c>
      <c r="AK13" s="17" t="n">
        <f aca="false">IF($W13="","",IFERROR((SUMIFS(HLTV_Long!$B$2:$B$337,HLTV_Long!$A$2:$A$337,$A13&amp;"|A|"&amp;$W13&amp;"|lw")+SUMIFS(HLTV_Long!$B$2:$B$337,HLTV_Long!$A$2:$A$337,$A13&amp;"|B|"&amp;$W13&amp;"|wl"))/(COUNTIFS(HLTV_Long!$A$2:$A$337,$A13&amp;"|A|"&amp;$W13&amp;"|lw")+COUNTIFS(HLTV_Long!$A$2:$A$337,$A13&amp;"|B|"&amp;$W13&amp;"|wl")),IFERROR((SUMIFS(HLTV_Long!$B$2:$B$337,HLTV_Long!$A$2:$A$337,$A13&amp;"|A|"&amp;"ALL"&amp;"|lw")+SUMIFS(HLTV_Long!$B$2:$B$337,HLTV_Long!$A$2:$A$337,$A13&amp;"|B|"&amp;"ALL"&amp;"|wl"))/(COUNTIFS(HLTV_Long!$A$2:$A$337,$A13&amp;"|A|"&amp;"ALL"&amp;"|lw")+COUNTIFS(HLTV_Long!$A$2:$A$337,$A13&amp;"|B|"&amp;"ALL"&amp;"|wl")),"")))</f>
        <v>9.185</v>
      </c>
      <c r="AL13" s="17" t="n">
        <f aca="false">IF($W13="","",IFERROR((SUMIFS(HLTV_Long!$B$2:$B$337,HLTV_Long!$A$2:$A$337,$A13&amp;"|B|"&amp;$W13&amp;"|lw")+SUMIFS(HLTV_Long!$B$2:$B$337,HLTV_Long!$A$2:$A$337,$A13&amp;"|A|"&amp;$W13&amp;"|wl"))/(COUNTIFS(HLTV_Long!$A$2:$A$337,$A13&amp;"|B|"&amp;$W13&amp;"|lw")+COUNTIFS(HLTV_Long!$A$2:$A$337,$A13&amp;"|A|"&amp;$W13&amp;"|wl")),IFERROR((SUMIFS(HLTV_Long!$B$2:$B$337,HLTV_Long!$A$2:$A$337,$A13&amp;"|B|"&amp;"ALL"&amp;"|lw")+SUMIFS(HLTV_Long!$B$2:$B$337,HLTV_Long!$A$2:$A$337,$A13&amp;"|A|"&amp;"ALL"&amp;"|wl"))/(COUNTIFS(HLTV_Long!$A$2:$A$337,$A13&amp;"|B|"&amp;"ALL"&amp;"|lw")+COUNTIFS(HLTV_Long!$A$2:$A$337,$A13&amp;"|A|"&amp;"ALL"&amp;"|wl")),"")))</f>
        <v>8.605</v>
      </c>
      <c r="AM13" s="9" t="n">
        <f aca="false">IF($W13="","",COUNTIFS(HLTV_Long!$A$2:$A$337,$A13&amp;"|A|"&amp;$W13&amp;"|lw")+COUNTIFS(HLTV_Long!$A$2:$A$337,$A13&amp;"|B|"&amp;$W13&amp;"|wl")+COUNTIFS(HLTV_Long!$A$2:$A$337,$A13&amp;"|B|"&amp;$W13&amp;"|lw")+COUNTIFS(HLTV_Long!$A$2:$A$337,$A13&amp;"|A|"&amp;$W13&amp;"|wl"))</f>
        <v>4</v>
      </c>
      <c r="AN13" s="17" t="n">
        <f aca="false">IF(OR($AK13="",$AL13="",$AF13=""),"",13+$AF13*$AK13+(1-$AF13)*$AL13)</f>
        <v>21.871858</v>
      </c>
      <c r="AO13" s="17" t="n">
        <f aca="false">IF($AN13="","",$AF13*(13-$AK13)-(1-$AF13)*(13-$AL13))</f>
        <v>-0.617578999999999</v>
      </c>
      <c r="AP13" s="10" t="n">
        <f aca="false">IF($AN13="","",($AF13*13+(1-$AF13)*$AL13)/$AN13)</f>
        <v>0.485881880725451</v>
      </c>
      <c r="AQ13" s="17" t="n">
        <f aca="false">IF($X13="","",IFERROR((SUMIFS(HLTV_Long!$B$2:$B$337,HLTV_Long!$A$2:$A$337,$A13&amp;"|A|"&amp;$X13&amp;"|lw")+SUMIFS(HLTV_Long!$B$2:$B$337,HLTV_Long!$A$2:$A$337,$A13&amp;"|B|"&amp;$X13&amp;"|wl"))/(COUNTIFS(HLTV_Long!$A$2:$A$337,$A13&amp;"|A|"&amp;$X13&amp;"|lw")+COUNTIFS(HLTV_Long!$A$2:$A$337,$A13&amp;"|B|"&amp;$X13&amp;"|wl")),IFERROR((SUMIFS(HLTV_Long!$B$2:$B$337,HLTV_Long!$A$2:$A$337,$A13&amp;"|A|"&amp;"ALL"&amp;"|lw")+SUMIFS(HLTV_Long!$B$2:$B$337,HLTV_Long!$A$2:$A$337,$A13&amp;"|B|"&amp;"ALL"&amp;"|wl"))/(COUNTIFS(HLTV_Long!$A$2:$A$337,$A13&amp;"|A|"&amp;"ALL"&amp;"|lw")+COUNTIFS(HLTV_Long!$A$2:$A$337,$A13&amp;"|B|"&amp;"ALL"&amp;"|wl")),"")))</f>
        <v>8.465</v>
      </c>
      <c r="AR13" s="17" t="n">
        <f aca="false">IF($X13="","",IFERROR((SUMIFS(HLTV_Long!$B$2:$B$337,HLTV_Long!$A$2:$A$337,$A13&amp;"|B|"&amp;$X13&amp;"|lw")+SUMIFS(HLTV_Long!$B$2:$B$337,HLTV_Long!$A$2:$A$337,$A13&amp;"|A|"&amp;$X13&amp;"|wl"))/(COUNTIFS(HLTV_Long!$A$2:$A$337,$A13&amp;"|B|"&amp;$X13&amp;"|lw")+COUNTIFS(HLTV_Long!$A$2:$A$337,$A13&amp;"|A|"&amp;$X13&amp;"|wl")),IFERROR((SUMIFS(HLTV_Long!$B$2:$B$337,HLTV_Long!$A$2:$A$337,$A13&amp;"|B|"&amp;"ALL"&amp;"|lw")+SUMIFS(HLTV_Long!$B$2:$B$337,HLTV_Long!$A$2:$A$337,$A13&amp;"|A|"&amp;"ALL"&amp;"|wl"))/(COUNTIFS(HLTV_Long!$A$2:$A$337,$A13&amp;"|B|"&amp;"ALL"&amp;"|lw")+COUNTIFS(HLTV_Long!$A$2:$A$337,$A13&amp;"|A|"&amp;"ALL"&amp;"|wl")),"")))</f>
        <v>6.585</v>
      </c>
      <c r="AS13" s="9" t="n">
        <f aca="false">IF($X13="","",COUNTIFS(HLTV_Long!$A$2:$A$337,$A13&amp;"|A|"&amp;$X13&amp;"|lw")+COUNTIFS(HLTV_Long!$A$2:$A$337,$A13&amp;"|B|"&amp;$X13&amp;"|wl")+COUNTIFS(HLTV_Long!$A$2:$A$337,$A13&amp;"|B|"&amp;$X13&amp;"|lw")+COUNTIFS(HLTV_Long!$A$2:$A$337,$A13&amp;"|A|"&amp;$X13&amp;"|wl"))</f>
        <v>4</v>
      </c>
      <c r="AT13" s="17" t="n">
        <f aca="false">IF(OR($AQ13="",$AR13="",$AG13=""),"",13+$AG13*$AQ13+(1-$AG13)*$AR13)</f>
        <v>20.301844</v>
      </c>
      <c r="AU13" s="17" t="n">
        <f aca="false">IF($AT13="","",$AG13*(13-$AQ13)-(1-$AG13)*(13-$AR13))</f>
        <v>-2.239765</v>
      </c>
      <c r="AV13" s="10" t="n">
        <f aca="false">IF($AT13="","",($AG13*13+(1-$AG13)*$AR13)/$AT13)</f>
        <v>0.444838385124031</v>
      </c>
      <c r="AW13" s="17" t="n">
        <f aca="false">IF($Y13="","",IFERROR((SUMIFS(HLTV_Long!$B$2:$B$337,HLTV_Long!$A$2:$A$337,$A13&amp;"|A|"&amp;$Y13&amp;"|lw")+SUMIFS(HLTV_Long!$B$2:$B$337,HLTV_Long!$A$2:$A$337,$A13&amp;"|B|"&amp;$Y13&amp;"|wl"))/(COUNTIFS(HLTV_Long!$A$2:$A$337,$A13&amp;"|A|"&amp;$Y13&amp;"|lw")+COUNTIFS(HLTV_Long!$A$2:$A$337,$A13&amp;"|B|"&amp;$Y13&amp;"|wl")),IFERROR((SUMIFS(HLTV_Long!$B$2:$B$337,HLTV_Long!$A$2:$A$337,$A13&amp;"|A|"&amp;"ALL"&amp;"|lw")+SUMIFS(HLTV_Long!$B$2:$B$337,HLTV_Long!$A$2:$A$337,$A13&amp;"|B|"&amp;"ALL"&amp;"|wl"))/(COUNTIFS(HLTV_Long!$A$2:$A$337,$A13&amp;"|A|"&amp;"ALL"&amp;"|lw")+COUNTIFS(HLTV_Long!$A$2:$A$337,$A13&amp;"|B|"&amp;"ALL"&amp;"|wl")),"")))</f>
        <v>7.475</v>
      </c>
      <c r="AX13" s="17" t="n">
        <f aca="false">IF($Y13="","",IFERROR((SUMIFS(HLTV_Long!$B$2:$B$337,HLTV_Long!$A$2:$A$337,$A13&amp;"|B|"&amp;$Y13&amp;"|lw")+SUMIFS(HLTV_Long!$B$2:$B$337,HLTV_Long!$A$2:$A$337,$A13&amp;"|A|"&amp;$Y13&amp;"|wl"))/(COUNTIFS(HLTV_Long!$A$2:$A$337,$A13&amp;"|B|"&amp;$Y13&amp;"|lw")+COUNTIFS(HLTV_Long!$A$2:$A$337,$A13&amp;"|A|"&amp;$Y13&amp;"|wl")),IFERROR((SUMIFS(HLTV_Long!$B$2:$B$337,HLTV_Long!$A$2:$A$337,$A13&amp;"|B|"&amp;"ALL"&amp;"|lw")+SUMIFS(HLTV_Long!$B$2:$B$337,HLTV_Long!$A$2:$A$337,$A13&amp;"|A|"&amp;"ALL"&amp;"|wl"))/(COUNTIFS(HLTV_Long!$A$2:$A$337,$A13&amp;"|B|"&amp;"ALL"&amp;"|lw")+COUNTIFS(HLTV_Long!$A$2:$A$337,$A13&amp;"|A|"&amp;"ALL"&amp;"|wl")),"")))</f>
        <v>7.965</v>
      </c>
      <c r="AY13" s="9" t="n">
        <f aca="false">IF($Y13="","",COUNTIFS(HLTV_Long!$A$2:$A$337,$A13&amp;"|A|"&amp;$Y13&amp;"|lw")+COUNTIFS(HLTV_Long!$A$2:$A$337,$A13&amp;"|B|"&amp;$Y13&amp;"|wl")+COUNTIFS(HLTV_Long!$A$2:$A$337,$A13&amp;"|B|"&amp;$Y13&amp;"|lw")+COUNTIFS(HLTV_Long!$A$2:$A$337,$A13&amp;"|A|"&amp;$Y13&amp;"|wl"))</f>
        <v>4</v>
      </c>
      <c r="AZ13" s="17" t="n">
        <f aca="false">IF(OR($AW13="",$AX13="",$AH13=""),"",13+$AH13*$AW13+(1-$AH13)*$AX13)</f>
        <v>20.775958</v>
      </c>
      <c r="BA13" s="17" t="n">
        <f aca="false">IF($AZ13="","",$AH13*(13-$AW13)-(1-$AH13)*(13-$AX13))</f>
        <v>-0.960952</v>
      </c>
      <c r="BB13" s="10" t="n">
        <f aca="false">IF($AZ13="","",($AH13*13+(1-$AH13)*$AX13)/$AZ13)</f>
        <v>0.47687346114196</v>
      </c>
    </row>
    <row r="14" customFormat="false" ht="15" hidden="false" customHeight="false" outlineLevel="0" collapsed="false">
      <c r="A14" s="0" t="s">
        <v>835</v>
      </c>
      <c r="B14" s="0" t="s">
        <v>775</v>
      </c>
      <c r="C14" s="0" t="s">
        <v>820</v>
      </c>
      <c r="D14" s="0" t="n">
        <v>3</v>
      </c>
      <c r="E14" s="0" t="s">
        <v>836</v>
      </c>
      <c r="F14" s="0" t="s">
        <v>837</v>
      </c>
      <c r="G14" s="10"/>
      <c r="H14" s="10"/>
      <c r="I14" s="10"/>
      <c r="J14" s="10"/>
      <c r="K14" s="9" t="s">
        <v>838</v>
      </c>
      <c r="L14" s="9" t="s">
        <v>839</v>
      </c>
      <c r="M14" s="9" t="s">
        <v>840</v>
      </c>
      <c r="N14" s="9" t="s">
        <v>782</v>
      </c>
      <c r="O14" s="11"/>
      <c r="P14" s="11"/>
      <c r="Q14" s="11"/>
      <c r="R14" s="10"/>
      <c r="S14" s="11"/>
      <c r="T14" s="11"/>
      <c r="U14" s="11"/>
      <c r="V14" s="0" t="n">
        <v>0</v>
      </c>
      <c r="W14" s="14" t="s">
        <v>109</v>
      </c>
      <c r="X14" s="14" t="s">
        <v>96</v>
      </c>
      <c r="Y14" s="14" t="s">
        <v>82</v>
      </c>
      <c r="Z14" s="15" t="n">
        <f aca="false">Config!$B$7</f>
        <v>21.5</v>
      </c>
      <c r="AA14" s="15" t="n">
        <f aca="false">Config!$B$7</f>
        <v>21.5</v>
      </c>
      <c r="AB14" s="15" t="n">
        <f aca="false">Config!$B$7</f>
        <v>21.5</v>
      </c>
      <c r="AC14" s="16" t="n">
        <v>0</v>
      </c>
      <c r="AD14" s="9" t="s">
        <v>841</v>
      </c>
      <c r="AE14" s="9" t="s">
        <v>842</v>
      </c>
      <c r="AF14" s="10"/>
      <c r="AG14" s="10"/>
      <c r="AH14" s="10"/>
      <c r="AI14" s="10"/>
      <c r="AJ14" s="10"/>
      <c r="AK14" s="17"/>
      <c r="AL14" s="17"/>
      <c r="AN14" s="17"/>
      <c r="AO14" s="17"/>
      <c r="AP14" s="10"/>
      <c r="AQ14" s="17"/>
      <c r="AR14" s="17"/>
      <c r="AT14" s="17"/>
      <c r="AU14" s="17"/>
      <c r="AV14" s="10"/>
      <c r="AW14" s="17"/>
      <c r="AX14" s="17"/>
      <c r="AZ14" s="17"/>
      <c r="BA14" s="17"/>
      <c r="BB14" s="10"/>
    </row>
    <row r="15" customFormat="false" ht="15" hidden="false" customHeight="false" outlineLevel="0" collapsed="false">
      <c r="A15" s="0" t="s">
        <v>843</v>
      </c>
      <c r="B15" s="0" t="s">
        <v>775</v>
      </c>
      <c r="C15" s="0" t="s">
        <v>844</v>
      </c>
      <c r="D15" s="0" t="n">
        <v>3</v>
      </c>
      <c r="E15" s="0" t="s">
        <v>588</v>
      </c>
      <c r="F15" s="0" t="s">
        <v>589</v>
      </c>
      <c r="G15" s="10" t="n">
        <v>0.472972972972973</v>
      </c>
      <c r="H15" s="10" t="n">
        <v>0.22417934347478</v>
      </c>
      <c r="I15" s="10" t="n">
        <v>0.266212970376301</v>
      </c>
      <c r="J15" s="10" t="n">
        <v>0.509607686148919</v>
      </c>
      <c r="K15" s="9" t="s">
        <v>845</v>
      </c>
      <c r="L15" s="9" t="s">
        <v>846</v>
      </c>
      <c r="M15" s="9" t="s">
        <v>847</v>
      </c>
      <c r="N15" s="9" t="s">
        <v>782</v>
      </c>
      <c r="O15" s="11" t="n">
        <v>21.5</v>
      </c>
      <c r="P15" s="11" t="n">
        <v>21.5</v>
      </c>
      <c r="Q15" s="11" t="n">
        <v>21.5</v>
      </c>
      <c r="R15" s="10" t="n">
        <v>0.159420289855073</v>
      </c>
      <c r="S15" s="11" t="n">
        <v>-1.36489569752282</v>
      </c>
      <c r="T15" s="11" t="n">
        <v>11.5</v>
      </c>
      <c r="U15" s="11"/>
      <c r="V15" s="0" t="n">
        <v>227</v>
      </c>
      <c r="W15" s="14" t="s">
        <v>109</v>
      </c>
      <c r="X15" s="14" t="s">
        <v>96</v>
      </c>
      <c r="Y15" s="14" t="s">
        <v>118</v>
      </c>
      <c r="Z15" s="15" t="n">
        <v>21.5</v>
      </c>
      <c r="AA15" s="15" t="n">
        <v>21.5</v>
      </c>
      <c r="AB15" s="15" t="n">
        <v>21.5</v>
      </c>
      <c r="AC15" s="16" t="n">
        <v>0.5096</v>
      </c>
      <c r="AD15" s="9" t="s">
        <v>848</v>
      </c>
      <c r="AE15" s="9" t="s">
        <v>849</v>
      </c>
      <c r="AF15" s="10" t="n">
        <v>0.44</v>
      </c>
      <c r="AG15" s="10" t="n">
        <v>0.5135</v>
      </c>
      <c r="AH15" s="10" t="n">
        <v>0.4811</v>
      </c>
      <c r="AI15" s="10" t="n">
        <f aca="false">IFERROR(INDEX(HLTV_Teams!$N$2:$N$25,MATCH($A15&amp;"|A",HLTV_Teams!$A$2:$A$25,0)),"")</f>
        <v>0.516100583959004</v>
      </c>
      <c r="AJ15" s="10" t="n">
        <f aca="false">IFERROR(INDEX(HLTV_Teams!$N$2:$N$25,MATCH($A15&amp;"|B",HLTV_Teams!$A$2:$A$25,0)),"")</f>
        <v>0.497786063854579</v>
      </c>
      <c r="AK15" s="17" t="n">
        <f aca="false">IF($W15="","",IFERROR((SUMIFS(HLTV_Long!$B$2:$B$337,HLTV_Long!$A$2:$A$337,$A15&amp;"|A|"&amp;$W15&amp;"|lw")+SUMIFS(HLTV_Long!$B$2:$B$337,HLTV_Long!$A$2:$A$337,$A15&amp;"|B|"&amp;$W15&amp;"|wl"))/(COUNTIFS(HLTV_Long!$A$2:$A$337,$A15&amp;"|A|"&amp;$W15&amp;"|lw")+COUNTIFS(HLTV_Long!$A$2:$A$337,$A15&amp;"|B|"&amp;$W15&amp;"|wl")),IFERROR((SUMIFS(HLTV_Long!$B$2:$B$337,HLTV_Long!$A$2:$A$337,$A15&amp;"|A|"&amp;"ALL"&amp;"|lw")+SUMIFS(HLTV_Long!$B$2:$B$337,HLTV_Long!$A$2:$A$337,$A15&amp;"|B|"&amp;"ALL"&amp;"|wl"))/(COUNTIFS(HLTV_Long!$A$2:$A$337,$A15&amp;"|A|"&amp;"ALL"&amp;"|lw")+COUNTIFS(HLTV_Long!$A$2:$A$337,$A15&amp;"|B|"&amp;"ALL"&amp;"|wl")),"")))</f>
        <v>7.71</v>
      </c>
      <c r="AL15" s="17" t="n">
        <f aca="false">IF($W15="","",IFERROR((SUMIFS(HLTV_Long!$B$2:$B$337,HLTV_Long!$A$2:$A$337,$A15&amp;"|B|"&amp;$W15&amp;"|lw")+SUMIFS(HLTV_Long!$B$2:$B$337,HLTV_Long!$A$2:$A$337,$A15&amp;"|A|"&amp;$W15&amp;"|wl"))/(COUNTIFS(HLTV_Long!$A$2:$A$337,$A15&amp;"|B|"&amp;$W15&amp;"|lw")+COUNTIFS(HLTV_Long!$A$2:$A$337,$A15&amp;"|A|"&amp;$W15&amp;"|wl")),IFERROR((SUMIFS(HLTV_Long!$B$2:$B$337,HLTV_Long!$A$2:$A$337,$A15&amp;"|B|"&amp;"ALL"&amp;"|lw")+SUMIFS(HLTV_Long!$B$2:$B$337,HLTV_Long!$A$2:$A$337,$A15&amp;"|A|"&amp;"ALL"&amp;"|wl"))/(COUNTIFS(HLTV_Long!$A$2:$A$337,$A15&amp;"|B|"&amp;"ALL"&amp;"|lw")+COUNTIFS(HLTV_Long!$A$2:$A$337,$A15&amp;"|A|"&amp;"ALL"&amp;"|wl")),"")))</f>
        <v>6</v>
      </c>
      <c r="AM15" s="9" t="n">
        <f aca="false">IF($W15="","",COUNTIFS(HLTV_Long!$A$2:$A$337,$A15&amp;"|A|"&amp;$W15&amp;"|lw")+COUNTIFS(HLTV_Long!$A$2:$A$337,$A15&amp;"|B|"&amp;$W15&amp;"|wl")+COUNTIFS(HLTV_Long!$A$2:$A$337,$A15&amp;"|B|"&amp;$W15&amp;"|lw")+COUNTIFS(HLTV_Long!$A$2:$A$337,$A15&amp;"|A|"&amp;$W15&amp;"|wl"))</f>
        <v>4</v>
      </c>
      <c r="AN15" s="17" t="n">
        <f aca="false">IF(OR($AK15="",$AL15="",$AF15=""),"",13+$AF15*$AK15+(1-$AF15)*$AL15)</f>
        <v>19.7524</v>
      </c>
      <c r="AO15" s="17" t="n">
        <f aca="false">IF($AN15="","",$AF15*(13-$AK15)-(1-$AF15)*(13-$AL15))</f>
        <v>-1.5924</v>
      </c>
      <c r="AP15" s="10" t="n">
        <f aca="false">IF($AN15="","",($AF15*13+(1-$AF15)*$AL15)/$AN15)</f>
        <v>0.459690974261356</v>
      </c>
      <c r="AQ15" s="17" t="n">
        <f aca="false">IF($X15="","",IFERROR((SUMIFS(HLTV_Long!$B$2:$B$337,HLTV_Long!$A$2:$A$337,$A15&amp;"|A|"&amp;$X15&amp;"|lw")+SUMIFS(HLTV_Long!$B$2:$B$337,HLTV_Long!$A$2:$A$337,$A15&amp;"|B|"&amp;$X15&amp;"|wl"))/(COUNTIFS(HLTV_Long!$A$2:$A$337,$A15&amp;"|A|"&amp;$X15&amp;"|lw")+COUNTIFS(HLTV_Long!$A$2:$A$337,$A15&amp;"|B|"&amp;$X15&amp;"|wl")),IFERROR((SUMIFS(HLTV_Long!$B$2:$B$337,HLTV_Long!$A$2:$A$337,$A15&amp;"|A|"&amp;"ALL"&amp;"|lw")+SUMIFS(HLTV_Long!$B$2:$B$337,HLTV_Long!$A$2:$A$337,$A15&amp;"|B|"&amp;"ALL"&amp;"|wl"))/(COUNTIFS(HLTV_Long!$A$2:$A$337,$A15&amp;"|A|"&amp;"ALL"&amp;"|lw")+COUNTIFS(HLTV_Long!$A$2:$A$337,$A15&amp;"|B|"&amp;"ALL"&amp;"|wl")),"")))</f>
        <v>8.75</v>
      </c>
      <c r="AR15" s="17" t="n">
        <f aca="false">IF($X15="","",IFERROR((SUMIFS(HLTV_Long!$B$2:$B$337,HLTV_Long!$A$2:$A$337,$A15&amp;"|B|"&amp;$X15&amp;"|lw")+SUMIFS(HLTV_Long!$B$2:$B$337,HLTV_Long!$A$2:$A$337,$A15&amp;"|A|"&amp;$X15&amp;"|wl"))/(COUNTIFS(HLTV_Long!$A$2:$A$337,$A15&amp;"|B|"&amp;$X15&amp;"|lw")+COUNTIFS(HLTV_Long!$A$2:$A$337,$A15&amp;"|A|"&amp;$X15&amp;"|wl")),IFERROR((SUMIFS(HLTV_Long!$B$2:$B$337,HLTV_Long!$A$2:$A$337,$A15&amp;"|B|"&amp;"ALL"&amp;"|lw")+SUMIFS(HLTV_Long!$B$2:$B$337,HLTV_Long!$A$2:$A$337,$A15&amp;"|A|"&amp;"ALL"&amp;"|wl"))/(COUNTIFS(HLTV_Long!$A$2:$A$337,$A15&amp;"|B|"&amp;"ALL"&amp;"|lw")+COUNTIFS(HLTV_Long!$A$2:$A$337,$A15&amp;"|A|"&amp;"ALL"&amp;"|wl")),"")))</f>
        <v>10.665</v>
      </c>
      <c r="AS15" s="9" t="n">
        <f aca="false">IF($X15="","",COUNTIFS(HLTV_Long!$A$2:$A$337,$A15&amp;"|A|"&amp;$X15&amp;"|lw")+COUNTIFS(HLTV_Long!$A$2:$A$337,$A15&amp;"|B|"&amp;$X15&amp;"|wl")+COUNTIFS(HLTV_Long!$A$2:$A$337,$A15&amp;"|B|"&amp;$X15&amp;"|lw")+COUNTIFS(HLTV_Long!$A$2:$A$337,$A15&amp;"|A|"&amp;$X15&amp;"|wl"))</f>
        <v>4</v>
      </c>
      <c r="AT15" s="17" t="n">
        <f aca="false">IF(OR($AQ15="",$AR15="",$AG15=""),"",13+$AG15*$AQ15+(1-$AG15)*$AR15)</f>
        <v>22.6816475</v>
      </c>
      <c r="AU15" s="17" t="n">
        <f aca="false">IF($AT15="","",$AG15*(13-$AQ15)-(1-$AG15)*(13-$AR15))</f>
        <v>1.0463975</v>
      </c>
      <c r="AV15" s="10" t="n">
        <f aca="false">IF($AT15="","",($AG15*13+(1-$AG15)*$AR15)/$AT15)</f>
        <v>0.52306705233824</v>
      </c>
      <c r="AW15" s="17" t="n">
        <f aca="false">IF($Y15="","",IFERROR((SUMIFS(HLTV_Long!$B$2:$B$337,HLTV_Long!$A$2:$A$337,$A15&amp;"|A|"&amp;$Y15&amp;"|lw")+SUMIFS(HLTV_Long!$B$2:$B$337,HLTV_Long!$A$2:$A$337,$A15&amp;"|B|"&amp;$Y15&amp;"|wl"))/(COUNTIFS(HLTV_Long!$A$2:$A$337,$A15&amp;"|A|"&amp;$Y15&amp;"|lw")+COUNTIFS(HLTV_Long!$A$2:$A$337,$A15&amp;"|B|"&amp;$Y15&amp;"|wl")),IFERROR((SUMIFS(HLTV_Long!$B$2:$B$337,HLTV_Long!$A$2:$A$337,$A15&amp;"|A|"&amp;"ALL"&amp;"|lw")+SUMIFS(HLTV_Long!$B$2:$B$337,HLTV_Long!$A$2:$A$337,$A15&amp;"|B|"&amp;"ALL"&amp;"|wl"))/(COUNTIFS(HLTV_Long!$A$2:$A$337,$A15&amp;"|A|"&amp;"ALL"&amp;"|lw")+COUNTIFS(HLTV_Long!$A$2:$A$337,$A15&amp;"|B|"&amp;"ALL"&amp;"|wl")),"")))</f>
        <v>7.665</v>
      </c>
      <c r="AX15" s="17" t="n">
        <f aca="false">IF($Y15="","",IFERROR((SUMIFS(HLTV_Long!$B$2:$B$337,HLTV_Long!$A$2:$A$337,$A15&amp;"|B|"&amp;$Y15&amp;"|lw")+SUMIFS(HLTV_Long!$B$2:$B$337,HLTV_Long!$A$2:$A$337,$A15&amp;"|A|"&amp;$Y15&amp;"|wl"))/(COUNTIFS(HLTV_Long!$A$2:$A$337,$A15&amp;"|B|"&amp;$Y15&amp;"|lw")+COUNTIFS(HLTV_Long!$A$2:$A$337,$A15&amp;"|A|"&amp;$Y15&amp;"|wl")),IFERROR((SUMIFS(HLTV_Long!$B$2:$B$337,HLTV_Long!$A$2:$A$337,$A15&amp;"|B|"&amp;"ALL"&amp;"|lw")+SUMIFS(HLTV_Long!$B$2:$B$337,HLTV_Long!$A$2:$A$337,$A15&amp;"|A|"&amp;"ALL"&amp;"|wl"))/(COUNTIFS(HLTV_Long!$A$2:$A$337,$A15&amp;"|B|"&amp;"ALL"&amp;"|lw")+COUNTIFS(HLTV_Long!$A$2:$A$337,$A15&amp;"|A|"&amp;"ALL"&amp;"|wl")),"")))</f>
        <v>9.5</v>
      </c>
      <c r="AY15" s="9" t="n">
        <f aca="false">IF($Y15="","",COUNTIFS(HLTV_Long!$A$2:$A$337,$A15&amp;"|A|"&amp;$Y15&amp;"|lw")+COUNTIFS(HLTV_Long!$A$2:$A$337,$A15&amp;"|B|"&amp;$Y15&amp;"|wl")+COUNTIFS(HLTV_Long!$A$2:$A$337,$A15&amp;"|B|"&amp;$Y15&amp;"|lw")+COUNTIFS(HLTV_Long!$A$2:$A$337,$A15&amp;"|A|"&amp;$Y15&amp;"|wl"))</f>
        <v>4</v>
      </c>
      <c r="AZ15" s="17" t="n">
        <f aca="false">IF(OR($AW15="",$AX15="",$AH15=""),"",13+$AH15*$AW15+(1-$AH15)*$AX15)</f>
        <v>21.6171815</v>
      </c>
      <c r="BA15" s="17" t="n">
        <f aca="false">IF($AZ15="","",$AH15*(13-$AW15)-(1-$AH15)*(13-$AX15))</f>
        <v>0.7505185</v>
      </c>
      <c r="BB15" s="10" t="n">
        <f aca="false">IF($AZ15="","",($AH15*13+(1-$AH15)*$AX15)/$AZ15)</f>
        <v>0.517359305143457</v>
      </c>
    </row>
    <row r="16" customFormat="false" ht="15" hidden="false" customHeight="false" outlineLevel="0" collapsed="false">
      <c r="A16" s="0" t="s">
        <v>850</v>
      </c>
      <c r="B16" s="0" t="s">
        <v>775</v>
      </c>
      <c r="C16" s="0" t="s">
        <v>844</v>
      </c>
      <c r="D16" s="0" t="n">
        <v>3</v>
      </c>
      <c r="E16" s="0" t="s">
        <v>851</v>
      </c>
      <c r="F16" s="0" t="s">
        <v>852</v>
      </c>
      <c r="G16" s="10"/>
      <c r="H16" s="10"/>
      <c r="I16" s="10"/>
      <c r="J16" s="10"/>
      <c r="K16" s="9" t="s">
        <v>853</v>
      </c>
      <c r="L16" s="9" t="s">
        <v>839</v>
      </c>
      <c r="M16" s="9" t="s">
        <v>854</v>
      </c>
      <c r="N16" s="9" t="s">
        <v>782</v>
      </c>
      <c r="O16" s="11"/>
      <c r="P16" s="11"/>
      <c r="Q16" s="11"/>
      <c r="R16" s="10"/>
      <c r="S16" s="11"/>
      <c r="T16" s="11"/>
      <c r="U16" s="11"/>
      <c r="V16" s="0" t="n">
        <v>0</v>
      </c>
      <c r="W16" s="14" t="s">
        <v>131</v>
      </c>
      <c r="X16" s="14" t="s">
        <v>96</v>
      </c>
      <c r="Y16" s="14" t="s">
        <v>118</v>
      </c>
      <c r="Z16" s="15" t="n">
        <f aca="false">Config!$B$7</f>
        <v>21.5</v>
      </c>
      <c r="AA16" s="15" t="n">
        <f aca="false">Config!$B$7</f>
        <v>21.5</v>
      </c>
      <c r="AB16" s="15" t="n">
        <f aca="false">Config!$B$7</f>
        <v>21.5</v>
      </c>
      <c r="AC16" s="16" t="n">
        <v>0</v>
      </c>
      <c r="AD16" s="9" t="s">
        <v>855</v>
      </c>
      <c r="AE16" s="9" t="s">
        <v>856</v>
      </c>
      <c r="AF16" s="10"/>
      <c r="AG16" s="10"/>
      <c r="AH16" s="10"/>
      <c r="AI16" s="10" t="n">
        <f aca="false">IFERROR(INDEX(HLTV_Teams!$N$2:$N$25,MATCH($A16&amp;"|A",HLTV_Teams!$A$2:$A$25,0)),"")</f>
        <v>0.505174597688453</v>
      </c>
      <c r="AJ16" s="10" t="n">
        <f aca="false">IFERROR(INDEX(HLTV_Teams!$N$2:$N$25,MATCH($A16&amp;"|B",HLTV_Teams!$A$2:$A$25,0)),"")</f>
        <v>0.54819008095961</v>
      </c>
      <c r="AK16" s="17" t="n">
        <f aca="false">IF($W16="","",IFERROR((SUMIFS(HLTV_Long!$B$2:$B$337,HLTV_Long!$A$2:$A$337,$A16&amp;"|A|"&amp;$W16&amp;"|lw")+SUMIFS(HLTV_Long!$B$2:$B$337,HLTV_Long!$A$2:$A$337,$A16&amp;"|B|"&amp;$W16&amp;"|wl"))/(COUNTIFS(HLTV_Long!$A$2:$A$337,$A16&amp;"|A|"&amp;$W16&amp;"|lw")+COUNTIFS(HLTV_Long!$A$2:$A$337,$A16&amp;"|B|"&amp;$W16&amp;"|wl")),IFERROR((SUMIFS(HLTV_Long!$B$2:$B$337,HLTV_Long!$A$2:$A$337,$A16&amp;"|A|"&amp;"ALL"&amp;"|lw")+SUMIFS(HLTV_Long!$B$2:$B$337,HLTV_Long!$A$2:$A$337,$A16&amp;"|B|"&amp;"ALL"&amp;"|wl"))/(COUNTIFS(HLTV_Long!$A$2:$A$337,$A16&amp;"|A|"&amp;"ALL"&amp;"|lw")+COUNTIFS(HLTV_Long!$A$2:$A$337,$A16&amp;"|B|"&amp;"ALL"&amp;"|wl")),"")))</f>
        <v>8.665</v>
      </c>
      <c r="AL16" s="17" t="n">
        <f aca="false">IF($W16="","",IFERROR((SUMIFS(HLTV_Long!$B$2:$B$337,HLTV_Long!$A$2:$A$337,$A16&amp;"|B|"&amp;$W16&amp;"|lw")+SUMIFS(HLTV_Long!$B$2:$B$337,HLTV_Long!$A$2:$A$337,$A16&amp;"|A|"&amp;$W16&amp;"|wl"))/(COUNTIFS(HLTV_Long!$A$2:$A$337,$A16&amp;"|B|"&amp;$W16&amp;"|lw")+COUNTIFS(HLTV_Long!$A$2:$A$337,$A16&amp;"|A|"&amp;$W16&amp;"|wl")),IFERROR((SUMIFS(HLTV_Long!$B$2:$B$337,HLTV_Long!$A$2:$A$337,$A16&amp;"|B|"&amp;"ALL"&amp;"|lw")+SUMIFS(HLTV_Long!$B$2:$B$337,HLTV_Long!$A$2:$A$337,$A16&amp;"|A|"&amp;"ALL"&amp;"|wl"))/(COUNTIFS(HLTV_Long!$A$2:$A$337,$A16&amp;"|B|"&amp;"ALL"&amp;"|lw")+COUNTIFS(HLTV_Long!$A$2:$A$337,$A16&amp;"|A|"&amp;"ALL"&amp;"|wl")),"")))</f>
        <v>7.075</v>
      </c>
      <c r="AM16" s="9" t="n">
        <f aca="false">IF($W16="","",COUNTIFS(HLTV_Long!$A$2:$A$337,$A16&amp;"|A|"&amp;$W16&amp;"|lw")+COUNTIFS(HLTV_Long!$A$2:$A$337,$A16&amp;"|B|"&amp;$W16&amp;"|wl")+COUNTIFS(HLTV_Long!$A$2:$A$337,$A16&amp;"|B|"&amp;$W16&amp;"|lw")+COUNTIFS(HLTV_Long!$A$2:$A$337,$A16&amp;"|A|"&amp;$W16&amp;"|wl"))</f>
        <v>4</v>
      </c>
      <c r="AN16" s="17" t="str">
        <f aca="false">IF(OR($AK16="",$AL16="",$AF16=""),"",13+$AF16*$AK16+(1-$AF16)*$AL16)</f>
        <v/>
      </c>
      <c r="AO16" s="17" t="str">
        <f aca="false">IF($AN16="","",$AF16*(13-$AK16)-(1-$AF16)*(13-$AL16))</f>
        <v/>
      </c>
      <c r="AP16" s="10" t="str">
        <f aca="false">IF($AN16="","",($AF16*13+(1-$AF16)*$AL16)/$AN16)</f>
        <v/>
      </c>
      <c r="AQ16" s="17" t="n">
        <f aca="false">IF($X16="","",IFERROR((SUMIFS(HLTV_Long!$B$2:$B$337,HLTV_Long!$A$2:$A$337,$A16&amp;"|A|"&amp;$X16&amp;"|lw")+SUMIFS(HLTV_Long!$B$2:$B$337,HLTV_Long!$A$2:$A$337,$A16&amp;"|B|"&amp;$X16&amp;"|wl"))/(COUNTIFS(HLTV_Long!$A$2:$A$337,$A16&amp;"|A|"&amp;$X16&amp;"|lw")+COUNTIFS(HLTV_Long!$A$2:$A$337,$A16&amp;"|B|"&amp;$X16&amp;"|wl")),IFERROR((SUMIFS(HLTV_Long!$B$2:$B$337,HLTV_Long!$A$2:$A$337,$A16&amp;"|A|"&amp;"ALL"&amp;"|lw")+SUMIFS(HLTV_Long!$B$2:$B$337,HLTV_Long!$A$2:$A$337,$A16&amp;"|B|"&amp;"ALL"&amp;"|wl"))/(COUNTIFS(HLTV_Long!$A$2:$A$337,$A16&amp;"|A|"&amp;"ALL"&amp;"|lw")+COUNTIFS(HLTV_Long!$A$2:$A$337,$A16&amp;"|B|"&amp;"ALL"&amp;"|wl")),"")))</f>
        <v>8.46</v>
      </c>
      <c r="AR16" s="17" t="n">
        <f aca="false">IF($X16="","",IFERROR((SUMIFS(HLTV_Long!$B$2:$B$337,HLTV_Long!$A$2:$A$337,$A16&amp;"|B|"&amp;$X16&amp;"|lw")+SUMIFS(HLTV_Long!$B$2:$B$337,HLTV_Long!$A$2:$A$337,$A16&amp;"|A|"&amp;$X16&amp;"|wl"))/(COUNTIFS(HLTV_Long!$A$2:$A$337,$A16&amp;"|B|"&amp;$X16&amp;"|lw")+COUNTIFS(HLTV_Long!$A$2:$A$337,$A16&amp;"|A|"&amp;$X16&amp;"|wl")),IFERROR((SUMIFS(HLTV_Long!$B$2:$B$337,HLTV_Long!$A$2:$A$337,$A16&amp;"|B|"&amp;"ALL"&amp;"|lw")+SUMIFS(HLTV_Long!$B$2:$B$337,HLTV_Long!$A$2:$A$337,$A16&amp;"|A|"&amp;"ALL"&amp;"|wl"))/(COUNTIFS(HLTV_Long!$A$2:$A$337,$A16&amp;"|B|"&amp;"ALL"&amp;"|lw")+COUNTIFS(HLTV_Long!$A$2:$A$337,$A16&amp;"|A|"&amp;"ALL"&amp;"|wl")),"")))</f>
        <v>7.66</v>
      </c>
      <c r="AS16" s="9" t="n">
        <f aca="false">IF($X16="","",COUNTIFS(HLTV_Long!$A$2:$A$337,$A16&amp;"|A|"&amp;$X16&amp;"|lw")+COUNTIFS(HLTV_Long!$A$2:$A$337,$A16&amp;"|B|"&amp;$X16&amp;"|wl")+COUNTIFS(HLTV_Long!$A$2:$A$337,$A16&amp;"|B|"&amp;$X16&amp;"|lw")+COUNTIFS(HLTV_Long!$A$2:$A$337,$A16&amp;"|A|"&amp;$X16&amp;"|wl"))</f>
        <v>4</v>
      </c>
      <c r="AT16" s="17" t="str">
        <f aca="false">IF(OR($AQ16="",$AR16="",$AG16=""),"",13+$AG16*$AQ16+(1-$AG16)*$AR16)</f>
        <v/>
      </c>
      <c r="AU16" s="17" t="str">
        <f aca="false">IF($AT16="","",$AG16*(13-$AQ16)-(1-$AG16)*(13-$AR16))</f>
        <v/>
      </c>
      <c r="AV16" s="10" t="str">
        <f aca="false">IF($AT16="","",($AG16*13+(1-$AG16)*$AR16)/$AT16)</f>
        <v/>
      </c>
      <c r="AW16" s="17" t="n">
        <f aca="false">IF($Y16="","",IFERROR((SUMIFS(HLTV_Long!$B$2:$B$337,HLTV_Long!$A$2:$A$337,$A16&amp;"|A|"&amp;$Y16&amp;"|lw")+SUMIFS(HLTV_Long!$B$2:$B$337,HLTV_Long!$A$2:$A$337,$A16&amp;"|B|"&amp;$Y16&amp;"|wl"))/(COUNTIFS(HLTV_Long!$A$2:$A$337,$A16&amp;"|A|"&amp;$Y16&amp;"|lw")+COUNTIFS(HLTV_Long!$A$2:$A$337,$A16&amp;"|B|"&amp;$Y16&amp;"|wl")),IFERROR((SUMIFS(HLTV_Long!$B$2:$B$337,HLTV_Long!$A$2:$A$337,$A16&amp;"|A|"&amp;"ALL"&amp;"|lw")+SUMIFS(HLTV_Long!$B$2:$B$337,HLTV_Long!$A$2:$A$337,$A16&amp;"|B|"&amp;"ALL"&amp;"|wl"))/(COUNTIFS(HLTV_Long!$A$2:$A$337,$A16&amp;"|A|"&amp;"ALL"&amp;"|lw")+COUNTIFS(HLTV_Long!$A$2:$A$337,$A16&amp;"|B|"&amp;"ALL"&amp;"|wl")),"")))</f>
        <v>8.195</v>
      </c>
      <c r="AX16" s="17" t="n">
        <f aca="false">IF($Y16="","",IFERROR((SUMIFS(HLTV_Long!$B$2:$B$337,HLTV_Long!$A$2:$A$337,$A16&amp;"|B|"&amp;$Y16&amp;"|lw")+SUMIFS(HLTV_Long!$B$2:$B$337,HLTV_Long!$A$2:$A$337,$A16&amp;"|A|"&amp;$Y16&amp;"|wl"))/(COUNTIFS(HLTV_Long!$A$2:$A$337,$A16&amp;"|B|"&amp;$Y16&amp;"|lw")+COUNTIFS(HLTV_Long!$A$2:$A$337,$A16&amp;"|A|"&amp;$Y16&amp;"|wl")),IFERROR((SUMIFS(HLTV_Long!$B$2:$B$337,HLTV_Long!$A$2:$A$337,$A16&amp;"|B|"&amp;"ALL"&amp;"|lw")+SUMIFS(HLTV_Long!$B$2:$B$337,HLTV_Long!$A$2:$A$337,$A16&amp;"|A|"&amp;"ALL"&amp;"|wl"))/(COUNTIFS(HLTV_Long!$A$2:$A$337,$A16&amp;"|B|"&amp;"ALL"&amp;"|lw")+COUNTIFS(HLTV_Long!$A$2:$A$337,$A16&amp;"|A|"&amp;"ALL"&amp;"|wl")),"")))</f>
        <v>7.735</v>
      </c>
      <c r="AY16" s="9" t="n">
        <f aca="false">IF($Y16="","",COUNTIFS(HLTV_Long!$A$2:$A$337,$A16&amp;"|A|"&amp;$Y16&amp;"|lw")+COUNTIFS(HLTV_Long!$A$2:$A$337,$A16&amp;"|B|"&amp;$Y16&amp;"|wl")+COUNTIFS(HLTV_Long!$A$2:$A$337,$A16&amp;"|B|"&amp;$Y16&amp;"|lw")+COUNTIFS(HLTV_Long!$A$2:$A$337,$A16&amp;"|A|"&amp;$Y16&amp;"|wl"))</f>
        <v>4</v>
      </c>
      <c r="AZ16" s="17" t="str">
        <f aca="false">IF(OR($AW16="",$AX16="",$AH16=""),"",13+$AH16*$AW16+(1-$AH16)*$AX16)</f>
        <v/>
      </c>
      <c r="BA16" s="17" t="str">
        <f aca="false">IF($AZ16="","",$AH16*(13-$AW16)-(1-$AH16)*(13-$AX16))</f>
        <v/>
      </c>
      <c r="BB16" s="10" t="str">
        <f aca="false">IF($AZ16="","",($AH16*13+(1-$AH16)*$AX16)/$AZ16)</f>
        <v/>
      </c>
    </row>
    <row r="17" customFormat="false" ht="15" hidden="false" customHeight="false" outlineLevel="0" collapsed="false">
      <c r="A17" s="0" t="s">
        <v>857</v>
      </c>
      <c r="B17" s="0" t="s">
        <v>775</v>
      </c>
      <c r="C17" s="0" t="s">
        <v>858</v>
      </c>
      <c r="D17" s="0" t="n">
        <v>3</v>
      </c>
      <c r="E17" s="0" t="s">
        <v>641</v>
      </c>
      <c r="F17" s="0" t="s">
        <v>642</v>
      </c>
      <c r="G17" s="10" t="n">
        <v>0.371859296482412</v>
      </c>
      <c r="H17" s="10" t="n">
        <v>0.173935220606988</v>
      </c>
      <c r="I17" s="10" t="n">
        <v>0.347870441213976</v>
      </c>
      <c r="J17" s="10" t="n">
        <v>0.478194338179036</v>
      </c>
      <c r="K17" s="9" t="s">
        <v>859</v>
      </c>
      <c r="L17" s="9" t="s">
        <v>860</v>
      </c>
      <c r="M17" s="9" t="s">
        <v>861</v>
      </c>
      <c r="N17" s="9" t="s">
        <v>782</v>
      </c>
      <c r="O17" s="11" t="n">
        <v>21.5</v>
      </c>
      <c r="P17" s="11" t="n">
        <v>21.3125531311986</v>
      </c>
      <c r="Q17" s="11" t="n">
        <v>21.4231536926148</v>
      </c>
      <c r="R17" s="10" t="n">
        <v>0.159420289855073</v>
      </c>
      <c r="S17" s="11" t="n">
        <v>-1.36489569752282</v>
      </c>
      <c r="T17" s="11" t="n">
        <v>11.5</v>
      </c>
      <c r="U17" s="11"/>
      <c r="V17" s="0" t="n">
        <v>227</v>
      </c>
      <c r="W17" s="14" t="s">
        <v>82</v>
      </c>
      <c r="X17" s="14" t="s">
        <v>109</v>
      </c>
      <c r="Y17" s="14" t="s">
        <v>96</v>
      </c>
      <c r="Z17" s="15" t="n">
        <v>21.5</v>
      </c>
      <c r="AA17" s="15" t="n">
        <v>21.31</v>
      </c>
      <c r="AB17" s="15" t="n">
        <v>21.42</v>
      </c>
      <c r="AC17" s="16" t="n">
        <v>0.4782</v>
      </c>
      <c r="AD17" s="9" t="s">
        <v>862</v>
      </c>
      <c r="AE17" s="9" t="s">
        <v>863</v>
      </c>
      <c r="AF17" s="10" t="n">
        <v>0.44</v>
      </c>
      <c r="AG17" s="10" t="n">
        <v>0.3846</v>
      </c>
      <c r="AH17" s="10" t="n">
        <v>0.4026</v>
      </c>
      <c r="AI17" s="10" t="n">
        <f aca="false">IFERROR(INDEX(HLTV_Teams!$N$2:$N$25,MATCH($A17&amp;"|A",HLTV_Teams!$A$2:$A$25,0)),"")</f>
        <v>0.548261236129168</v>
      </c>
      <c r="AJ17" s="10" t="n">
        <f aca="false">IFERROR(INDEX(HLTV_Teams!$N$2:$N$25,MATCH($A17&amp;"|B",HLTV_Teams!$A$2:$A$25,0)),"")</f>
        <v>0.488544967535125</v>
      </c>
      <c r="AK17" s="17" t="n">
        <f aca="false">IF($W17="","",IFERROR((SUMIFS(HLTV_Long!$B$2:$B$337,HLTV_Long!$A$2:$A$337,$A17&amp;"|A|"&amp;$W17&amp;"|lw")+SUMIFS(HLTV_Long!$B$2:$B$337,HLTV_Long!$A$2:$A$337,$A17&amp;"|B|"&amp;$W17&amp;"|wl"))/(COUNTIFS(HLTV_Long!$A$2:$A$337,$A17&amp;"|A|"&amp;$W17&amp;"|lw")+COUNTIFS(HLTV_Long!$A$2:$A$337,$A17&amp;"|B|"&amp;$W17&amp;"|wl")),IFERROR((SUMIFS(HLTV_Long!$B$2:$B$337,HLTV_Long!$A$2:$A$337,$A17&amp;"|A|"&amp;"ALL"&amp;"|lw")+SUMIFS(HLTV_Long!$B$2:$B$337,HLTV_Long!$A$2:$A$337,$A17&amp;"|B|"&amp;"ALL"&amp;"|wl"))/(COUNTIFS(HLTV_Long!$A$2:$A$337,$A17&amp;"|A|"&amp;"ALL"&amp;"|lw")+COUNTIFS(HLTV_Long!$A$2:$A$337,$A17&amp;"|B|"&amp;"ALL"&amp;"|wl")),"")))</f>
        <v>6.915</v>
      </c>
      <c r="AL17" s="17" t="n">
        <f aca="false">IF($W17="","",IFERROR((SUMIFS(HLTV_Long!$B$2:$B$337,HLTV_Long!$A$2:$A$337,$A17&amp;"|B|"&amp;$W17&amp;"|lw")+SUMIFS(HLTV_Long!$B$2:$B$337,HLTV_Long!$A$2:$A$337,$A17&amp;"|A|"&amp;$W17&amp;"|wl"))/(COUNTIFS(HLTV_Long!$A$2:$A$337,$A17&amp;"|B|"&amp;$W17&amp;"|lw")+COUNTIFS(HLTV_Long!$A$2:$A$337,$A17&amp;"|A|"&amp;$W17&amp;"|wl")),IFERROR((SUMIFS(HLTV_Long!$B$2:$B$337,HLTV_Long!$A$2:$A$337,$A17&amp;"|B|"&amp;"ALL"&amp;"|lw")+SUMIFS(HLTV_Long!$B$2:$B$337,HLTV_Long!$A$2:$A$337,$A17&amp;"|A|"&amp;"ALL"&amp;"|wl"))/(COUNTIFS(HLTV_Long!$A$2:$A$337,$A17&amp;"|B|"&amp;"ALL"&amp;"|lw")+COUNTIFS(HLTV_Long!$A$2:$A$337,$A17&amp;"|A|"&amp;"ALL"&amp;"|wl")),"")))</f>
        <v>7.035</v>
      </c>
      <c r="AM17" s="9" t="n">
        <f aca="false">IF($W17="","",COUNTIFS(HLTV_Long!$A$2:$A$337,$A17&amp;"|A|"&amp;$W17&amp;"|lw")+COUNTIFS(HLTV_Long!$A$2:$A$337,$A17&amp;"|B|"&amp;$W17&amp;"|wl")+COUNTIFS(HLTV_Long!$A$2:$A$337,$A17&amp;"|B|"&amp;$W17&amp;"|lw")+COUNTIFS(HLTV_Long!$A$2:$A$337,$A17&amp;"|A|"&amp;$W17&amp;"|wl"))</f>
        <v>4</v>
      </c>
      <c r="AN17" s="17" t="n">
        <f aca="false">IF(OR($AK17="",$AL17="",$AF17=""),"",13+$AF17*$AK17+(1-$AF17)*$AL17)</f>
        <v>19.9822</v>
      </c>
      <c r="AO17" s="17" t="n">
        <f aca="false">IF($AN17="","",$AF17*(13-$AK17)-(1-$AF17)*(13-$AL17))</f>
        <v>-0.663</v>
      </c>
      <c r="AP17" s="10" t="n">
        <f aca="false">IF($AN17="","",($AF17*13+(1-$AF17)*$AL17)/$AN17)</f>
        <v>0.483410235109247</v>
      </c>
      <c r="AQ17" s="17" t="n">
        <f aca="false">IF($X17="","",IFERROR((SUMIFS(HLTV_Long!$B$2:$B$337,HLTV_Long!$A$2:$A$337,$A17&amp;"|A|"&amp;$X17&amp;"|lw")+SUMIFS(HLTV_Long!$B$2:$B$337,HLTV_Long!$A$2:$A$337,$A17&amp;"|B|"&amp;$X17&amp;"|wl"))/(COUNTIFS(HLTV_Long!$A$2:$A$337,$A17&amp;"|A|"&amp;$X17&amp;"|lw")+COUNTIFS(HLTV_Long!$A$2:$A$337,$A17&amp;"|B|"&amp;$X17&amp;"|wl")),IFERROR((SUMIFS(HLTV_Long!$B$2:$B$337,HLTV_Long!$A$2:$A$337,$A17&amp;"|A|"&amp;"ALL"&amp;"|lw")+SUMIFS(HLTV_Long!$B$2:$B$337,HLTV_Long!$A$2:$A$337,$A17&amp;"|B|"&amp;"ALL"&amp;"|wl"))/(COUNTIFS(HLTV_Long!$A$2:$A$337,$A17&amp;"|A|"&amp;"ALL"&amp;"|lw")+COUNTIFS(HLTV_Long!$A$2:$A$337,$A17&amp;"|B|"&amp;"ALL"&amp;"|wl")),"")))</f>
        <v>8.64</v>
      </c>
      <c r="AR17" s="17" t="n">
        <f aca="false">IF($X17="","",IFERROR((SUMIFS(HLTV_Long!$B$2:$B$337,HLTV_Long!$A$2:$A$337,$A17&amp;"|B|"&amp;$X17&amp;"|lw")+SUMIFS(HLTV_Long!$B$2:$B$337,HLTV_Long!$A$2:$A$337,$A17&amp;"|A|"&amp;$X17&amp;"|wl"))/(COUNTIFS(HLTV_Long!$A$2:$A$337,$A17&amp;"|B|"&amp;$X17&amp;"|lw")+COUNTIFS(HLTV_Long!$A$2:$A$337,$A17&amp;"|A|"&amp;$X17&amp;"|wl")),IFERROR((SUMIFS(HLTV_Long!$B$2:$B$337,HLTV_Long!$A$2:$A$337,$A17&amp;"|B|"&amp;"ALL"&amp;"|lw")+SUMIFS(HLTV_Long!$B$2:$B$337,HLTV_Long!$A$2:$A$337,$A17&amp;"|A|"&amp;"ALL"&amp;"|wl"))/(COUNTIFS(HLTV_Long!$A$2:$A$337,$A17&amp;"|B|"&amp;"ALL"&amp;"|lw")+COUNTIFS(HLTV_Long!$A$2:$A$337,$A17&amp;"|A|"&amp;"ALL"&amp;"|wl")),"")))</f>
        <v>8.375</v>
      </c>
      <c r="AS17" s="9" t="n">
        <f aca="false">IF($X17="","",COUNTIFS(HLTV_Long!$A$2:$A$337,$A17&amp;"|A|"&amp;$X17&amp;"|lw")+COUNTIFS(HLTV_Long!$A$2:$A$337,$A17&amp;"|B|"&amp;$X17&amp;"|wl")+COUNTIFS(HLTV_Long!$A$2:$A$337,$A17&amp;"|B|"&amp;$X17&amp;"|lw")+COUNTIFS(HLTV_Long!$A$2:$A$337,$A17&amp;"|A|"&amp;$X17&amp;"|wl"))</f>
        <v>4</v>
      </c>
      <c r="AT17" s="17" t="n">
        <f aca="false">IF(OR($AQ17="",$AR17="",$AG17=""),"",13+$AG17*$AQ17+(1-$AG17)*$AR17)</f>
        <v>21.476919</v>
      </c>
      <c r="AU17" s="17" t="n">
        <f aca="false">IF($AT17="","",$AG17*(13-$AQ17)-(1-$AG17)*(13-$AR17))</f>
        <v>-1.169369</v>
      </c>
      <c r="AV17" s="10" t="n">
        <f aca="false">IF($AT17="","",($AG17*13+(1-$AG17)*$AR17)/$AT17)</f>
        <v>0.472776146336446</v>
      </c>
      <c r="AW17" s="17" t="n">
        <f aca="false">IF($Y17="","",IFERROR((SUMIFS(HLTV_Long!$B$2:$B$337,HLTV_Long!$A$2:$A$337,$A17&amp;"|A|"&amp;$Y17&amp;"|lw")+SUMIFS(HLTV_Long!$B$2:$B$337,HLTV_Long!$A$2:$A$337,$A17&amp;"|B|"&amp;$Y17&amp;"|wl"))/(COUNTIFS(HLTV_Long!$A$2:$A$337,$A17&amp;"|A|"&amp;$Y17&amp;"|lw")+COUNTIFS(HLTV_Long!$A$2:$A$337,$A17&amp;"|B|"&amp;$Y17&amp;"|wl")),IFERROR((SUMIFS(HLTV_Long!$B$2:$B$337,HLTV_Long!$A$2:$A$337,$A17&amp;"|A|"&amp;"ALL"&amp;"|lw")+SUMIFS(HLTV_Long!$B$2:$B$337,HLTV_Long!$A$2:$A$337,$A17&amp;"|B|"&amp;"ALL"&amp;"|wl"))/(COUNTIFS(HLTV_Long!$A$2:$A$337,$A17&amp;"|A|"&amp;"ALL"&amp;"|lw")+COUNTIFS(HLTV_Long!$A$2:$A$337,$A17&amp;"|B|"&amp;"ALL"&amp;"|wl")),"")))</f>
        <v>7.1</v>
      </c>
      <c r="AX17" s="17" t="n">
        <f aca="false">IF($Y17="","",IFERROR((SUMIFS(HLTV_Long!$B$2:$B$337,HLTV_Long!$A$2:$A$337,$A17&amp;"|B|"&amp;$Y17&amp;"|lw")+SUMIFS(HLTV_Long!$B$2:$B$337,HLTV_Long!$A$2:$A$337,$A17&amp;"|A|"&amp;$Y17&amp;"|wl"))/(COUNTIFS(HLTV_Long!$A$2:$A$337,$A17&amp;"|B|"&amp;$Y17&amp;"|lw")+COUNTIFS(HLTV_Long!$A$2:$A$337,$A17&amp;"|A|"&amp;$Y17&amp;"|wl")),IFERROR((SUMIFS(HLTV_Long!$B$2:$B$337,HLTV_Long!$A$2:$A$337,$A17&amp;"|B|"&amp;"ALL"&amp;"|lw")+SUMIFS(HLTV_Long!$B$2:$B$337,HLTV_Long!$A$2:$A$337,$A17&amp;"|A|"&amp;"ALL"&amp;"|wl"))/(COUNTIFS(HLTV_Long!$A$2:$A$337,$A17&amp;"|B|"&amp;"ALL"&amp;"|lw")+COUNTIFS(HLTV_Long!$A$2:$A$337,$A17&amp;"|A|"&amp;"ALL"&amp;"|wl")),"")))</f>
        <v>6.215</v>
      </c>
      <c r="AY17" s="9" t="n">
        <f aca="false">IF($Y17="","",COUNTIFS(HLTV_Long!$A$2:$A$337,$A17&amp;"|A|"&amp;$Y17&amp;"|lw")+COUNTIFS(HLTV_Long!$A$2:$A$337,$A17&amp;"|B|"&amp;$Y17&amp;"|wl")+COUNTIFS(HLTV_Long!$A$2:$A$337,$A17&amp;"|B|"&amp;$Y17&amp;"|lw")+COUNTIFS(HLTV_Long!$A$2:$A$337,$A17&amp;"|A|"&amp;$Y17&amp;"|wl"))</f>
        <v>4</v>
      </c>
      <c r="AZ17" s="17" t="n">
        <f aca="false">IF(OR($AW17="",$AX17="",$AH17=""),"",13+$AH17*$AW17+(1-$AH17)*$AX17)</f>
        <v>19.571301</v>
      </c>
      <c r="BA17" s="17" t="n">
        <f aca="false">IF($AZ17="","",$AH17*(13-$AW17)-(1-$AH17)*(13-$AX17))</f>
        <v>-1.678019</v>
      </c>
      <c r="BB17" s="10" t="n">
        <f aca="false">IF($AZ17="","",($AH17*13+(1-$AH17)*$AX17)/$AZ17)</f>
        <v>0.457130622026609</v>
      </c>
    </row>
  </sheetData>
  <dataValidations count="1">
    <dataValidation allowBlank="true" error="Pick a map from the list (Config tab, column E)." errorStyle="stop" errorTitle="Not in the CS2 map pool" operator="between" showDropDown="false" showErrorMessage="true" showInputMessage="false" sqref="W5:Y17" type="list">
      <formula1>Config!$E$4:$E$11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8" min="8" style="0" width="6"/>
    <col collapsed="false" customWidth="true" hidden="false" outlineLevel="0" max="10" min="9" style="0" width="8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7" min="15" style="0" width="6"/>
    <col collapsed="false" customWidth="true" hidden="false" outlineLevel="0" max="18" min="18" style="0" width="9"/>
    <col collapsed="false" customWidth="true" hidden="false" outlineLevel="0" max="19" min="19" style="0" width="6"/>
    <col collapsed="false" customWidth="true" hidden="false" outlineLevel="0" max="20" min="20" style="0" width="22"/>
    <col collapsed="false" customWidth="true" hidden="false" outlineLevel="0" max="21" min="21" style="0" width="14"/>
    <col collapsed="false" customWidth="true" hidden="false" outlineLevel="0" max="22" min="22" style="0" width="34"/>
    <col collapsed="false" customWidth="true" hidden="true" outlineLevel="0" max="23" min="23" style="0" width="24"/>
    <col collapsed="false" customWidth="true" hidden="true" outlineLevel="0" max="24" min="24" style="0" width="5"/>
    <col collapsed="false" customWidth="true" hidden="true" outlineLevel="0" max="25" min="25" style="0" width="28"/>
    <col collapsed="false" customWidth="true" hidden="false" outlineLevel="0" max="26" min="26" style="0" width="8"/>
    <col collapsed="false" customWidth="true" hidden="false" outlineLevel="0" max="27" min="27" style="0" width="7"/>
    <col collapsed="false" customWidth="true" hidden="false" outlineLevel="0" max="29" min="28" style="0" width="9"/>
    <col collapsed="false" customWidth="true" hidden="false" outlineLevel="0" max="30" min="30" style="0" width="10"/>
    <col collapsed="false" customWidth="true" hidden="false" outlineLevel="0" max="31" min="31" style="0" width="8"/>
  </cols>
  <sheetData>
    <row r="1" customFormat="false" ht="55.2" hidden="false" customHeight="false" outlineLevel="0" collapsed="false">
      <c r="A1" s="12" t="s">
        <v>738</v>
      </c>
      <c r="B1" s="12" t="s">
        <v>737</v>
      </c>
      <c r="C1" s="12" t="s">
        <v>713</v>
      </c>
      <c r="D1" s="12" t="s">
        <v>712</v>
      </c>
      <c r="E1" s="12" t="s">
        <v>864</v>
      </c>
      <c r="F1" s="12" t="s">
        <v>865</v>
      </c>
      <c r="G1" s="12" t="s">
        <v>866</v>
      </c>
      <c r="H1" s="12" t="s">
        <v>867</v>
      </c>
      <c r="I1" s="12" t="s">
        <v>722</v>
      </c>
      <c r="J1" s="12" t="s">
        <v>868</v>
      </c>
      <c r="K1" s="12" t="s">
        <v>869</v>
      </c>
      <c r="L1" s="12" t="s">
        <v>870</v>
      </c>
      <c r="M1" s="12" t="s">
        <v>871</v>
      </c>
      <c r="N1" s="12" t="s">
        <v>872</v>
      </c>
      <c r="O1" s="12" t="s">
        <v>873</v>
      </c>
      <c r="P1" s="12" t="s">
        <v>725</v>
      </c>
      <c r="Q1" s="12" t="s">
        <v>874</v>
      </c>
      <c r="R1" s="12" t="s">
        <v>875</v>
      </c>
      <c r="S1" s="12" t="s">
        <v>876</v>
      </c>
      <c r="T1" s="12" t="s">
        <v>877</v>
      </c>
      <c r="U1" s="12" t="s">
        <v>878</v>
      </c>
      <c r="V1" s="12" t="s">
        <v>731</v>
      </c>
      <c r="W1" s="12" t="s">
        <v>879</v>
      </c>
      <c r="X1" s="12" t="s">
        <v>880</v>
      </c>
      <c r="Y1" s="12" t="s">
        <v>881</v>
      </c>
      <c r="Z1" s="12" t="s">
        <v>882</v>
      </c>
      <c r="AA1" s="12" t="s">
        <v>883</v>
      </c>
      <c r="AB1" s="12" t="s">
        <v>884</v>
      </c>
      <c r="AC1" s="12" t="s">
        <v>885</v>
      </c>
      <c r="AD1" s="12" t="s">
        <v>886</v>
      </c>
      <c r="AE1" s="12" t="s">
        <v>719</v>
      </c>
    </row>
    <row r="2" customFormat="false" ht="15" hidden="false" customHeight="false" outlineLevel="0" collapsed="false">
      <c r="A2" s="0" t="s">
        <v>775</v>
      </c>
      <c r="B2" s="0" t="s">
        <v>692</v>
      </c>
      <c r="C2" s="0" t="s">
        <v>887</v>
      </c>
      <c r="D2" s="0" t="s">
        <v>784</v>
      </c>
      <c r="E2" s="0" t="s">
        <v>888</v>
      </c>
      <c r="F2" s="0" t="n">
        <v>27</v>
      </c>
      <c r="G2" s="11" t="n">
        <f aca="false">IFERROR(INDEX(CHOOSE(MATCH($X2,{"K1","K2","K3","K12","K13","H1","H2","H3","H12","H13"},0),Calc!$V$2:$V$105,Calc!$AC$2:$AC$105,Calc!$AJ$2:$AJ$105,Calc!$AL$2:$AL$105,Calc!$AM$2:$AM$105,Calc!$W$2:$W$105,Calc!$AD$2:$AD$105,Calc!$AK$2:$AK$105,Calc!$AN$2:$AN$105,Calc!$AO$2:$AO$105),MATCH($W2,Calc!$A$2:$A$105,0)),"")</f>
        <v>27.4602777777778</v>
      </c>
      <c r="H2" s="11" t="n">
        <f aca="false">IF(G2="","",IF(LEFT($X2,1)="H",SQRT(G2*(IFERROR(INDEX(Calc!$AP$2:$AP$105,MATCH($W2,Calc!$A$2:$A$105,0)),0.5)*Config!$B$5+1-IFERROR(INDEX(Calc!$AP$2:$AP$105,MATCH($W2,Calc!$A$2:$A$105,0)),0.5))),SQRT(G2*Config!$B$5)))</f>
        <v>6.20035393255005</v>
      </c>
      <c r="I2" s="10" t="n">
        <f aca="false">IF(OR(F2="",G2="",N(H2)&lt;=0),"",1-NORMDIST(FLOOR(F2,1)+0.5,G2,H2,TRUE()))</f>
        <v>0.497444215977071</v>
      </c>
      <c r="J2" s="10" t="n">
        <f aca="false">IF(I2="","",NORMDIST(CEILING(F2,1)-0.5,G2,H2,TRUE()))</f>
        <v>0.438460060997152</v>
      </c>
      <c r="K2" s="10" t="n">
        <f aca="false">IF(I2="","",MAX(0,1-I2-J2))</f>
        <v>0.0640957230257774</v>
      </c>
      <c r="L2" s="0" t="str">
        <f aca="false">IF(I2="","",IF(I2&gt;=0.5+Config!$B$6,"OVER",IF(J2&gt;=0.5+Config!$B$6,"UNDER","—")))</f>
        <v>—</v>
      </c>
      <c r="N2" s="0" t="n">
        <v>25.2</v>
      </c>
      <c r="O2" s="10" t="n">
        <v>0.6</v>
      </c>
      <c r="P2" s="10" t="n">
        <v>0.5</v>
      </c>
      <c r="Q2" s="10" t="n">
        <v>0.6</v>
      </c>
      <c r="R2" s="9" t="s">
        <v>889</v>
      </c>
      <c r="S2" s="0" t="n">
        <v>1</v>
      </c>
      <c r="T2" s="0" t="str">
        <f aca="false">INDEX(Calc!$G$2:$G$105,MATCH($W2,Calc!$A$2:$A$105,0))&amp;" / "&amp;INDEX(Calc!$H$2:$H$105,MATCH($W2,Calc!$A$2:$A$105,0))</f>
        <v>Dust2 / Cache</v>
      </c>
      <c r="U2" s="0" t="str">
        <f aca="false">TEXT(INDEX(Calc!$J$2:$J$105,MATCH($W2,Calc!$A$2:$A$105,0)),"0.0")&amp;" / "&amp;TEXT(INDEX(Calc!$K$2:$K$105,MATCH($W2,Calc!$A$2:$A$105,0)),"0.0")</f>
        <v>21.5 / 21.5</v>
      </c>
      <c r="V2" s="0" t="str">
        <f aca="false">IFERROR(INDEX(Calc!$AQ$2:$AQ$105,MATCH($W2,Calc!$A$2:$A$105,0)),"")</f>
        <v/>
      </c>
      <c r="W2" s="9" t="s">
        <v>890</v>
      </c>
      <c r="X2" s="9" t="s">
        <v>891</v>
      </c>
      <c r="Y2" s="0" t="str">
        <f aca="false">W2&amp;"|"&amp;X2</f>
        <v>kn6f2ad0sktmmzc|CS2 [NO MARKET] · AE vs RA|K12</v>
      </c>
      <c r="Z2" s="11" t="n">
        <f aca="false">IFERROR(INDEX(CHOOSE(MATCH($X2,{"K1","K2","K3","K12","K13","H1","H2","H3","H12","H13"},0),Calc!$BA$2:$BA$105,Calc!$BB$2:$BB$105,Calc!$BC$2:$BC$105,Calc!$BD$2:$BD$105,Calc!$BE$2:$BE$105,Calc!$BF$2:$BF$105,Calc!$BG$2:$BG$105,Calc!$BH$2:$BH$105,Calc!$BI$2:$BI$105,Calc!$BJ$2:$BJ$105),MATCH($W2,Calc!$A$2:$A$105,0)),"")</f>
        <v>27.4602777777778</v>
      </c>
      <c r="AA2" s="11" t="n">
        <f aca="false">IF(Z2="","",IF(LEFT($X2,1)="H",SQRT(Z2*(IFERROR(INDEX(Calc!$AP$2:$AP$105,MATCH($W2,Calc!$A$2:$A$105,0)),0.5)*Config!$B$5+1-IFERROR(INDEX(Calc!$AP$2:$AP$105,MATCH($W2,Calc!$A$2:$A$105,0)),0.5))),SQRT(Z2*Config!$B$5)))</f>
        <v>6.20035393255005</v>
      </c>
      <c r="AB2" s="10" t="n">
        <f aca="false">IF(OR(F2="",Z2="",N(AA2)&lt;=0),"",1-NORMDIST(FLOOR(F2,1)+0.5,Z2,AA2,TRUE()))</f>
        <v>0.497444215977071</v>
      </c>
      <c r="AC2" s="10" t="n">
        <f aca="false">IF(AB2="","",NORMDIST(CEILING(F2,1)-0.5,Z2,AA2,TRUE()))</f>
        <v>0.438460060997152</v>
      </c>
      <c r="AD2" s="0" t="str">
        <f aca="false">IF(AB2="","",IF(AB2&gt;=0.5+Config!$B$6,"OVER",IF(AC2&gt;=0.5+Config!$B$6,"UNDER","—")))</f>
        <v>—</v>
      </c>
      <c r="AE2" s="13" t="n">
        <f aca="false">IFERROR(Z2/G2,"")</f>
        <v>1</v>
      </c>
    </row>
    <row r="3" customFormat="false" ht="15" hidden="false" customHeight="false" outlineLevel="0" collapsed="false">
      <c r="A3" s="0" t="s">
        <v>775</v>
      </c>
      <c r="B3" s="0" t="s">
        <v>692</v>
      </c>
      <c r="C3" s="0" t="s">
        <v>892</v>
      </c>
      <c r="D3" s="0" t="s">
        <v>784</v>
      </c>
      <c r="E3" s="0" t="s">
        <v>893</v>
      </c>
      <c r="F3" s="0" t="n">
        <v>20.5</v>
      </c>
      <c r="G3" s="11" t="n">
        <f aca="false">IFERROR(INDEX(CHOOSE(MATCH($X3,{"K1","K2","K3","K12","K13","H1","H2","H3","H12","H13"},0),Calc!$V$2:$V$105,Calc!$AC$2:$AC$105,Calc!$AJ$2:$AJ$105,Calc!$AL$2:$AL$105,Calc!$AM$2:$AM$105,Calc!$W$2:$W$105,Calc!$AD$2:$AD$105,Calc!$AK$2:$AK$105,Calc!$AN$2:$AN$105,Calc!$AO$2:$AO$105),MATCH($W3,Calc!$A$2:$A$105,0)),"")</f>
        <v>22.2683517708333</v>
      </c>
      <c r="H3" s="11" t="n">
        <f aca="false">IF(G3="","",IF(LEFT($X3,1)="H",SQRT(G3*(IFERROR(INDEX(Calc!$AP$2:$AP$105,MATCH($W3,Calc!$A$2:$A$105,0)),0.5)*Config!$B$5+1-IFERROR(INDEX(Calc!$AP$2:$AP$105,MATCH($W3,Calc!$A$2:$A$105,0)),0.5))),SQRT(G3*Config!$B$5)))</f>
        <v>5.2840822459167</v>
      </c>
      <c r="I3" s="10" t="n">
        <f aca="false">IF(OR(F3="",G3="",N(H3)&lt;=0),"",1-NORMDIST(FLOOR(F3,1)+0.5,G3,H3,TRUE()))</f>
        <v>0.631057840556706</v>
      </c>
      <c r="J3" s="10" t="n">
        <f aca="false">IF(I3="","",NORMDIST(CEILING(F3,1)-0.5,G3,H3,TRUE()))</f>
        <v>0.368942159443294</v>
      </c>
      <c r="K3" s="10" t="n">
        <f aca="false">IF(I3="","",MAX(0,1-I3-J3))</f>
        <v>0</v>
      </c>
      <c r="L3" s="0" t="str">
        <f aca="false">IF(I3="","",IF(I3&gt;=0.5+Config!$B$6,"OVER",IF(J3&gt;=0.5+Config!$B$6,"UNDER","—")))</f>
        <v>OVER</v>
      </c>
      <c r="N3" s="0" t="n">
        <v>21.4</v>
      </c>
      <c r="O3" s="10" t="n">
        <v>0.6</v>
      </c>
      <c r="P3" s="10" t="n">
        <v>0.5</v>
      </c>
      <c r="Q3" s="10" t="n">
        <v>0.53</v>
      </c>
      <c r="R3" s="9" t="s">
        <v>894</v>
      </c>
      <c r="S3" s="0" t="n">
        <v>1</v>
      </c>
      <c r="T3" s="0" t="str">
        <f aca="false">INDEX(Calc!$G$2:$G$105,MATCH($W3,Calc!$A$2:$A$105,0))&amp;" / "&amp;INDEX(Calc!$H$2:$H$105,MATCH($W3,Calc!$A$2:$A$105,0))</f>
        <v>Dust2 / Cache</v>
      </c>
      <c r="U3" s="0" t="str">
        <f aca="false">TEXT(INDEX(Calc!$J$2:$J$105,MATCH($W3,Calc!$A$2:$A$105,0)),"0.0")&amp;" / "&amp;TEXT(INDEX(Calc!$K$2:$K$105,MATCH($W3,Calc!$A$2:$A$105,0)),"0.0")</f>
        <v>21.5 / 21.5</v>
      </c>
      <c r="V3" s="0" t="str">
        <f aca="false">IFERROR(INDEX(Calc!$AQ$2:$AQ$105,MATCH($W3,Calc!$A$2:$A$105,0)),"")</f>
        <v/>
      </c>
      <c r="W3" s="9" t="s">
        <v>895</v>
      </c>
      <c r="X3" s="9" t="s">
        <v>896</v>
      </c>
      <c r="Y3" s="0" t="str">
        <f aca="false">W3&amp;"|"&amp;X3</f>
        <v>f9wcr2x423brdzr|CS2 [NO MARKET] · AE vs RA|H12</v>
      </c>
      <c r="Z3" s="11" t="n">
        <f aca="false">IFERROR(INDEX(CHOOSE(MATCH($X3,{"K1","K2","K3","K12","K13","H1","H2","H3","H12","H13"},0),Calc!$BA$2:$BA$105,Calc!$BB$2:$BB$105,Calc!$BC$2:$BC$105,Calc!$BD$2:$BD$105,Calc!$BE$2:$BE$105,Calc!$BF$2:$BF$105,Calc!$BG$2:$BG$105,Calc!$BH$2:$BH$105,Calc!$BI$2:$BI$105,Calc!$BJ$2:$BJ$105),MATCH($W3,Calc!$A$2:$A$105,0)),"")</f>
        <v>22.2683517708333</v>
      </c>
      <c r="AA3" s="11" t="n">
        <f aca="false">IF(Z3="","",IF(LEFT($X3,1)="H",SQRT(Z3*(IFERROR(INDEX(Calc!$AP$2:$AP$105,MATCH($W3,Calc!$A$2:$A$105,0)),0.5)*Config!$B$5+1-IFERROR(INDEX(Calc!$AP$2:$AP$105,MATCH($W3,Calc!$A$2:$A$105,0)),0.5))),SQRT(Z3*Config!$B$5)))</f>
        <v>5.2840822459167</v>
      </c>
      <c r="AB3" s="10" t="n">
        <f aca="false">IF(OR(F3="",Z3="",N(AA3)&lt;=0),"",1-NORMDIST(FLOOR(F3,1)+0.5,Z3,AA3,TRUE()))</f>
        <v>0.631057840556706</v>
      </c>
      <c r="AC3" s="10" t="n">
        <f aca="false">IF(AB3="","",NORMDIST(CEILING(F3,1)-0.5,Z3,AA3,TRUE()))</f>
        <v>0.368942159443294</v>
      </c>
      <c r="AD3" s="0" t="str">
        <f aca="false">IF(AB3="","",IF(AB3&gt;=0.5+Config!$B$6,"OVER",IF(AC3&gt;=0.5+Config!$B$6,"UNDER","—")))</f>
        <v>OVER</v>
      </c>
      <c r="AE3" s="13" t="n">
        <f aca="false">IFERROR(Z3/G3,"")</f>
        <v>1</v>
      </c>
    </row>
    <row r="4" customFormat="false" ht="15" hidden="false" customHeight="false" outlineLevel="0" collapsed="false">
      <c r="A4" s="0" t="s">
        <v>775</v>
      </c>
      <c r="B4" s="0" t="s">
        <v>692</v>
      </c>
      <c r="C4" s="0" t="s">
        <v>892</v>
      </c>
      <c r="D4" s="0" t="s">
        <v>784</v>
      </c>
      <c r="E4" s="0" t="s">
        <v>888</v>
      </c>
      <c r="F4" s="0" t="n">
        <v>32.5</v>
      </c>
      <c r="G4" s="11" t="n">
        <f aca="false">IFERROR(INDEX(CHOOSE(MATCH($X4,{"K1","K2","K3","K12","K13","H1","H2","H3","H12","H13"},0),Calc!$V$2:$V$105,Calc!$AC$2:$AC$105,Calc!$AJ$2:$AJ$105,Calc!$AL$2:$AL$105,Calc!$AM$2:$AM$105,Calc!$W$2:$W$105,Calc!$AD$2:$AD$105,Calc!$AK$2:$AK$105,Calc!$AN$2:$AN$105,Calc!$AO$2:$AO$105),MATCH($W4,Calc!$A$2:$A$105,0)),"")</f>
        <v>35.0868055555556</v>
      </c>
      <c r="H4" s="11" t="n">
        <f aca="false">IF(G4="","",IF(LEFT($X4,1)="H",SQRT(G4*(IFERROR(INDEX(Calc!$AP$2:$AP$105,MATCH($W4,Calc!$A$2:$A$105,0)),0.5)*Config!$B$5+1-IFERROR(INDEX(Calc!$AP$2:$AP$105,MATCH($W4,Calc!$A$2:$A$105,0)),0.5))),SQRT(G4*Config!$B$5)))</f>
        <v>7.00867517993078</v>
      </c>
      <c r="I4" s="10" t="n">
        <f aca="false">IF(OR(F4="",G4="",N(H4)&lt;=0),"",1-NORMDIST(FLOOR(F4,1)+0.5,G4,H4,TRUE()))</f>
        <v>0.643968276798993</v>
      </c>
      <c r="J4" s="10" t="n">
        <f aca="false">IF(I4="","",NORMDIST(CEILING(F4,1)-0.5,G4,H4,TRUE()))</f>
        <v>0.356031723201007</v>
      </c>
      <c r="K4" s="10" t="n">
        <f aca="false">IF(I4="","",MAX(0,1-I4-J4))</f>
        <v>0</v>
      </c>
      <c r="L4" s="0" t="str">
        <f aca="false">IF(I4="","",IF(I4&gt;=0.5+Config!$B$6,"OVER",IF(J4&gt;=0.5+Config!$B$6,"UNDER","—")))</f>
        <v>OVER</v>
      </c>
      <c r="N4" s="0" t="n">
        <v>34.3</v>
      </c>
      <c r="O4" s="10" t="n">
        <v>0.4</v>
      </c>
      <c r="P4" s="10" t="n">
        <v>0.5</v>
      </c>
      <c r="Q4" s="10" t="n">
        <v>0.53</v>
      </c>
      <c r="R4" s="9" t="s">
        <v>894</v>
      </c>
      <c r="S4" s="0" t="n">
        <v>1</v>
      </c>
      <c r="T4" s="0" t="str">
        <f aca="false">INDEX(Calc!$G$2:$G$105,MATCH($W4,Calc!$A$2:$A$105,0))&amp;" / "&amp;INDEX(Calc!$H$2:$H$105,MATCH($W4,Calc!$A$2:$A$105,0))</f>
        <v>Dust2 / Cache</v>
      </c>
      <c r="U4" s="0" t="str">
        <f aca="false">TEXT(INDEX(Calc!$J$2:$J$105,MATCH($W4,Calc!$A$2:$A$105,0)),"0.0")&amp;" / "&amp;TEXT(INDEX(Calc!$K$2:$K$105,MATCH($W4,Calc!$A$2:$A$105,0)),"0.0")</f>
        <v>21.5 / 21.5</v>
      </c>
      <c r="V4" s="0" t="str">
        <f aca="false">IFERROR(INDEX(Calc!$AQ$2:$AQ$105,MATCH($W4,Calc!$A$2:$A$105,0)),"")</f>
        <v/>
      </c>
      <c r="W4" s="9" t="s">
        <v>895</v>
      </c>
      <c r="X4" s="9" t="s">
        <v>891</v>
      </c>
      <c r="Y4" s="0" t="str">
        <f aca="false">W4&amp;"|"&amp;X4</f>
        <v>f9wcr2x423brdzr|CS2 [NO MARKET] · AE vs RA|K12</v>
      </c>
      <c r="Z4" s="11" t="n">
        <f aca="false">IFERROR(INDEX(CHOOSE(MATCH($X4,{"K1","K2","K3","K12","K13","H1","H2","H3","H12","H13"},0),Calc!$BA$2:$BA$105,Calc!$BB$2:$BB$105,Calc!$BC$2:$BC$105,Calc!$BD$2:$BD$105,Calc!$BE$2:$BE$105,Calc!$BF$2:$BF$105,Calc!$BG$2:$BG$105,Calc!$BH$2:$BH$105,Calc!$BI$2:$BI$105,Calc!$BJ$2:$BJ$105),MATCH($W4,Calc!$A$2:$A$105,0)),"")</f>
        <v>35.0868055555556</v>
      </c>
      <c r="AA4" s="11" t="n">
        <f aca="false">IF(Z4="","",IF(LEFT($X4,1)="H",SQRT(Z4*(IFERROR(INDEX(Calc!$AP$2:$AP$105,MATCH($W4,Calc!$A$2:$A$105,0)),0.5)*Config!$B$5+1-IFERROR(INDEX(Calc!$AP$2:$AP$105,MATCH($W4,Calc!$A$2:$A$105,0)),0.5))),SQRT(Z4*Config!$B$5)))</f>
        <v>7.00867517993078</v>
      </c>
      <c r="AB4" s="10" t="n">
        <f aca="false">IF(OR(F4="",Z4="",N(AA4)&lt;=0),"",1-NORMDIST(FLOOR(F4,1)+0.5,Z4,AA4,TRUE()))</f>
        <v>0.643968276798993</v>
      </c>
      <c r="AC4" s="10" t="n">
        <f aca="false">IF(AB4="","",NORMDIST(CEILING(F4,1)-0.5,Z4,AA4,TRUE()))</f>
        <v>0.356031723201007</v>
      </c>
      <c r="AD4" s="0" t="str">
        <f aca="false">IF(AB4="","",IF(AB4&gt;=0.5+Config!$B$6,"OVER",IF(AC4&gt;=0.5+Config!$B$6,"UNDER","—")))</f>
        <v>OVER</v>
      </c>
      <c r="AE4" s="13" t="n">
        <f aca="false">IFERROR(Z4/G4,"")</f>
        <v>1</v>
      </c>
    </row>
    <row r="5" customFormat="false" ht="15" hidden="false" customHeight="false" outlineLevel="0" collapsed="false">
      <c r="A5" s="0" t="s">
        <v>775</v>
      </c>
      <c r="B5" s="0" t="s">
        <v>692</v>
      </c>
      <c r="C5" s="0" t="s">
        <v>897</v>
      </c>
      <c r="D5" s="0" t="s">
        <v>784</v>
      </c>
      <c r="E5" s="0" t="s">
        <v>893</v>
      </c>
      <c r="F5" s="0" t="n">
        <v>10.5</v>
      </c>
      <c r="G5" s="11" t="n">
        <f aca="false">IFERROR(INDEX(CHOOSE(MATCH($X5,{"K1","K2","K3","K12","K13","H1","H2","H3","H12","H13"},0),Calc!$V$2:$V$105,Calc!$AC$2:$AC$105,Calc!$AJ$2:$AJ$105,Calc!$AL$2:$AL$105,Calc!$AM$2:$AM$105,Calc!$W$2:$W$105,Calc!$AD$2:$AD$105,Calc!$AK$2:$AK$105,Calc!$AN$2:$AN$105,Calc!$AO$2:$AO$105),MATCH($W5,Calc!$A$2:$A$105,0)),"")</f>
        <v>13.4161780747922</v>
      </c>
      <c r="H5" s="11" t="n">
        <f aca="false">IF(G5="","",IF(LEFT($X5,1)="H",SQRT(G5*(IFERROR(INDEX(Calc!$AP$2:$AP$105,MATCH($W5,Calc!$A$2:$A$105,0)),0.5)*Config!$B$5+1-IFERROR(INDEX(Calc!$AP$2:$AP$105,MATCH($W5,Calc!$A$2:$A$105,0)),0.5))),SQRT(G5*Config!$B$5)))</f>
        <v>3.9627298603271</v>
      </c>
      <c r="I5" s="10" t="n">
        <f aca="false">IF(OR(F5="",G5="",N(H5)&lt;=0),"",1-NORMDIST(FLOOR(F5,1)+0.5,G5,H5,TRUE()))</f>
        <v>0.769104618426832</v>
      </c>
      <c r="J5" s="10" t="n">
        <f aca="false">IF(I5="","",NORMDIST(CEILING(F5,1)-0.5,G5,H5,TRUE()))</f>
        <v>0.230895381573168</v>
      </c>
      <c r="K5" s="10" t="n">
        <f aca="false">IF(I5="","",MAX(0,1-I5-J5))</f>
        <v>0</v>
      </c>
      <c r="L5" s="0" t="str">
        <f aca="false">IF(I5="","",IF(I5&gt;=0.5+Config!$B$6,"OVER",IF(J5&gt;=0.5+Config!$B$6,"UNDER","—")))</f>
        <v>OVER</v>
      </c>
      <c r="N5" s="0" t="n">
        <v>11.4</v>
      </c>
      <c r="O5" s="10" t="n">
        <v>0.4</v>
      </c>
      <c r="P5" s="10" t="n">
        <v>0.5</v>
      </c>
      <c r="Q5" s="10" t="n">
        <v>0.6</v>
      </c>
      <c r="R5" s="9" t="s">
        <v>889</v>
      </c>
      <c r="S5" s="0" t="n">
        <v>2</v>
      </c>
      <c r="T5" s="0" t="str">
        <f aca="false">INDEX(Calc!$G$2:$G$105,MATCH($W5,Calc!$A$2:$A$105,0))&amp;" / "&amp;INDEX(Calc!$H$2:$H$105,MATCH($W5,Calc!$A$2:$A$105,0))</f>
        <v>Dust2 / Cache</v>
      </c>
      <c r="U5" s="0" t="str">
        <f aca="false">TEXT(INDEX(Calc!$J$2:$J$105,MATCH($W5,Calc!$A$2:$A$105,0)),"0.0")&amp;" / "&amp;TEXT(INDEX(Calc!$K$2:$K$105,MATCH($W5,Calc!$A$2:$A$105,0)),"0.0")</f>
        <v>21.5 / 21.5</v>
      </c>
      <c r="V5" s="0" t="str">
        <f aca="false">IFERROR(INDEX(Calc!$AQ$2:$AQ$105,MATCH($W5,Calc!$A$2:$A$105,0)),"")</f>
        <v/>
      </c>
      <c r="W5" s="9" t="s">
        <v>898</v>
      </c>
      <c r="X5" s="9" t="s">
        <v>896</v>
      </c>
      <c r="Y5" s="0" t="str">
        <f aca="false">W5&amp;"|"&amp;X5</f>
        <v>ughyxb03plt3xrp|CS2 [NO MARKET] · AE vs RA|H12</v>
      </c>
      <c r="Z5" s="11" t="n">
        <f aca="false">IFERROR(INDEX(CHOOSE(MATCH($X5,{"K1","K2","K3","K12","K13","H1","H2","H3","H12","H13"},0),Calc!$BA$2:$BA$105,Calc!$BB$2:$BB$105,Calc!$BC$2:$BC$105,Calc!$BD$2:$BD$105,Calc!$BE$2:$BE$105,Calc!$BF$2:$BF$105,Calc!$BG$2:$BG$105,Calc!$BH$2:$BH$105,Calc!$BI$2:$BI$105,Calc!$BJ$2:$BJ$105),MATCH($W5,Calc!$A$2:$A$105,0)),"")</f>
        <v>13.4161780747922</v>
      </c>
      <c r="AA5" s="11" t="n">
        <f aca="false">IF(Z5="","",IF(LEFT($X5,1)="H",SQRT(Z5*(IFERROR(INDEX(Calc!$AP$2:$AP$105,MATCH($W5,Calc!$A$2:$A$105,0)),0.5)*Config!$B$5+1-IFERROR(INDEX(Calc!$AP$2:$AP$105,MATCH($W5,Calc!$A$2:$A$105,0)),0.5))),SQRT(Z5*Config!$B$5)))</f>
        <v>3.9627298603271</v>
      </c>
      <c r="AB5" s="10" t="n">
        <f aca="false">IF(OR(F5="",Z5="",N(AA5)&lt;=0),"",1-NORMDIST(FLOOR(F5,1)+0.5,Z5,AA5,TRUE()))</f>
        <v>0.769104618426832</v>
      </c>
      <c r="AC5" s="10" t="n">
        <f aca="false">IF(AB5="","",NORMDIST(CEILING(F5,1)-0.5,Z5,AA5,TRUE()))</f>
        <v>0.230895381573168</v>
      </c>
      <c r="AD5" s="0" t="str">
        <f aca="false">IF(AB5="","",IF(AB5&gt;=0.5+Config!$B$6,"OVER",IF(AC5&gt;=0.5+Config!$B$6,"UNDER","—")))</f>
        <v>OVER</v>
      </c>
      <c r="AE5" s="13" t="n">
        <f aca="false">IFERROR(Z5/G5,"")</f>
        <v>1</v>
      </c>
    </row>
    <row r="6" customFormat="false" ht="15" hidden="false" customHeight="false" outlineLevel="0" collapsed="false">
      <c r="A6" s="0" t="s">
        <v>775</v>
      </c>
      <c r="B6" s="0" t="s">
        <v>692</v>
      </c>
      <c r="C6" s="0" t="s">
        <v>897</v>
      </c>
      <c r="D6" s="0" t="s">
        <v>784</v>
      </c>
      <c r="E6" s="0" t="s">
        <v>888</v>
      </c>
      <c r="F6" s="0" t="n">
        <v>30.5</v>
      </c>
      <c r="G6" s="11" t="n">
        <f aca="false">IFERROR(INDEX(CHOOSE(MATCH($X6,{"K1","K2","K3","K12","K13","H1","H2","H3","H12","H13"},0),Calc!$V$2:$V$105,Calc!$AC$2:$AC$105,Calc!$AJ$2:$AJ$105,Calc!$AL$2:$AL$105,Calc!$AM$2:$AM$105,Calc!$W$2:$W$105,Calc!$AD$2:$AD$105,Calc!$AK$2:$AK$105,Calc!$AN$2:$AN$105,Calc!$AO$2:$AO$105),MATCH($W6,Calc!$A$2:$A$105,0)),"")</f>
        <v>31.4805263157895</v>
      </c>
      <c r="H6" s="11" t="n">
        <f aca="false">IF(G6="","",IF(LEFT($X6,1)="H",SQRT(G6*(IFERROR(INDEX(Calc!$AP$2:$AP$105,MATCH($W6,Calc!$A$2:$A$105,0)),0.5)*Config!$B$5+1-IFERROR(INDEX(Calc!$AP$2:$AP$105,MATCH($W6,Calc!$A$2:$A$105,0)),0.5))),SQRT(G6*Config!$B$5)))</f>
        <v>6.6387300624521</v>
      </c>
      <c r="I6" s="10" t="n">
        <f aca="false">IF(OR(F6="",G6="",N(H6)&lt;=0),"",1-NORMDIST(FLOOR(F6,1)+0.5,G6,H6,TRUE()))</f>
        <v>0.558709395201866</v>
      </c>
      <c r="J6" s="10" t="n">
        <f aca="false">IF(I6="","",NORMDIST(CEILING(F6,1)-0.5,G6,H6,TRUE()))</f>
        <v>0.441290604798134</v>
      </c>
      <c r="K6" s="10" t="n">
        <f aca="false">IF(I6="","",MAX(0,1-I6-J6))</f>
        <v>0</v>
      </c>
      <c r="L6" s="0" t="str">
        <f aca="false">IF(I6="","",IF(I6&gt;=0.5+Config!$B$6,"OVER",IF(J6&gt;=0.5+Config!$B$6,"UNDER","—")))</f>
        <v>OVER</v>
      </c>
      <c r="N6" s="0" t="n">
        <v>31.5</v>
      </c>
      <c r="O6" s="10" t="n">
        <v>0.4</v>
      </c>
      <c r="P6" s="10" t="n">
        <v>0.5</v>
      </c>
      <c r="Q6" s="10" t="n">
        <v>0.47</v>
      </c>
      <c r="R6" s="9" t="s">
        <v>889</v>
      </c>
      <c r="S6" s="0" t="n">
        <v>2</v>
      </c>
      <c r="T6" s="0" t="str">
        <f aca="false">INDEX(Calc!$G$2:$G$105,MATCH($W6,Calc!$A$2:$A$105,0))&amp;" / "&amp;INDEX(Calc!$H$2:$H$105,MATCH($W6,Calc!$A$2:$A$105,0))</f>
        <v>Dust2 / Cache</v>
      </c>
      <c r="U6" s="0" t="str">
        <f aca="false">TEXT(INDEX(Calc!$J$2:$J$105,MATCH($W6,Calc!$A$2:$A$105,0)),"0.0")&amp;" / "&amp;TEXT(INDEX(Calc!$K$2:$K$105,MATCH($W6,Calc!$A$2:$A$105,0)),"0.0")</f>
        <v>21.5 / 21.5</v>
      </c>
      <c r="V6" s="0" t="str">
        <f aca="false">IFERROR(INDEX(Calc!$AQ$2:$AQ$105,MATCH($W6,Calc!$A$2:$A$105,0)),"")</f>
        <v/>
      </c>
      <c r="W6" s="9" t="s">
        <v>898</v>
      </c>
      <c r="X6" s="9" t="s">
        <v>891</v>
      </c>
      <c r="Y6" s="0" t="str">
        <f aca="false">W6&amp;"|"&amp;X6</f>
        <v>ughyxb03plt3xrp|CS2 [NO MARKET] · AE vs RA|K12</v>
      </c>
      <c r="Z6" s="11" t="n">
        <f aca="false">IFERROR(INDEX(CHOOSE(MATCH($X6,{"K1","K2","K3","K12","K13","H1","H2","H3","H12","H13"},0),Calc!$BA$2:$BA$105,Calc!$BB$2:$BB$105,Calc!$BC$2:$BC$105,Calc!$BD$2:$BD$105,Calc!$BE$2:$BE$105,Calc!$BF$2:$BF$105,Calc!$BG$2:$BG$105,Calc!$BH$2:$BH$105,Calc!$BI$2:$BI$105,Calc!$BJ$2:$BJ$105),MATCH($W6,Calc!$A$2:$A$105,0)),"")</f>
        <v>31.4805263157895</v>
      </c>
      <c r="AA6" s="11" t="n">
        <f aca="false">IF(Z6="","",IF(LEFT($X6,1)="H",SQRT(Z6*(IFERROR(INDEX(Calc!$AP$2:$AP$105,MATCH($W6,Calc!$A$2:$A$105,0)),0.5)*Config!$B$5+1-IFERROR(INDEX(Calc!$AP$2:$AP$105,MATCH($W6,Calc!$A$2:$A$105,0)),0.5))),SQRT(Z6*Config!$B$5)))</f>
        <v>6.6387300624521</v>
      </c>
      <c r="AB6" s="10" t="n">
        <f aca="false">IF(OR(F6="",Z6="",N(AA6)&lt;=0),"",1-NORMDIST(FLOOR(F6,1)+0.5,Z6,AA6,TRUE()))</f>
        <v>0.558709395201866</v>
      </c>
      <c r="AC6" s="10" t="n">
        <f aca="false">IF(AB6="","",NORMDIST(CEILING(F6,1)-0.5,Z6,AA6,TRUE()))</f>
        <v>0.441290604798134</v>
      </c>
      <c r="AD6" s="0" t="str">
        <f aca="false">IF(AB6="","",IF(AB6&gt;=0.5+Config!$B$6,"OVER",IF(AC6&gt;=0.5+Config!$B$6,"UNDER","—")))</f>
        <v>OVER</v>
      </c>
      <c r="AE6" s="13" t="n">
        <f aca="false">IFERROR(Z6/G6,"")</f>
        <v>1</v>
      </c>
    </row>
    <row r="7" customFormat="false" ht="15" hidden="false" customHeight="false" outlineLevel="0" collapsed="false">
      <c r="A7" s="0" t="s">
        <v>775</v>
      </c>
      <c r="B7" s="0" t="s">
        <v>692</v>
      </c>
      <c r="C7" s="0" t="s">
        <v>899</v>
      </c>
      <c r="D7" s="0" t="s">
        <v>784</v>
      </c>
      <c r="E7" s="0" t="s">
        <v>893</v>
      </c>
      <c r="F7" s="0" t="n">
        <v>17.5</v>
      </c>
      <c r="G7" s="11" t="n">
        <f aca="false">IFERROR(INDEX(CHOOSE(MATCH($X7,{"K1","K2","K3","K12","K13","H1","H2","H3","H12","H13"},0),Calc!$V$2:$V$105,Calc!$AC$2:$AC$105,Calc!$AJ$2:$AJ$105,Calc!$AL$2:$AL$105,Calc!$AM$2:$AM$105,Calc!$W$2:$W$105,Calc!$AD$2:$AD$105,Calc!$AK$2:$AK$105,Calc!$AN$2:$AN$105,Calc!$AO$2:$AO$105),MATCH($W7,Calc!$A$2:$A$105,0)),"")</f>
        <v>18.3476938888889</v>
      </c>
      <c r="H7" s="11" t="n">
        <f aca="false">IF(G7="","",IF(LEFT($X7,1)="H",SQRT(G7*(IFERROR(INDEX(Calc!$AP$2:$AP$105,MATCH($W7,Calc!$A$2:$A$105,0)),0.5)*Config!$B$5+1-IFERROR(INDEX(Calc!$AP$2:$AP$105,MATCH($W7,Calc!$A$2:$A$105,0)),0.5))),SQRT(G7*Config!$B$5)))</f>
        <v>4.76308468895642</v>
      </c>
      <c r="I7" s="10" t="n">
        <f aca="false">IF(OR(F7="",G7="",N(H7)&lt;=0),"",1-NORMDIST(FLOOR(F7,1)+0.5,G7,H7,TRUE()))</f>
        <v>0.570627367294295</v>
      </c>
      <c r="J7" s="10" t="n">
        <f aca="false">IF(I7="","",NORMDIST(CEILING(F7,1)-0.5,G7,H7,TRUE()))</f>
        <v>0.429372632705705</v>
      </c>
      <c r="K7" s="10" t="n">
        <f aca="false">IF(I7="","",MAX(0,1-I7-J7))</f>
        <v>0</v>
      </c>
      <c r="L7" s="0" t="str">
        <f aca="false">IF(I7="","",IF(I7&gt;=0.5+Config!$B$6,"OVER",IF(J7&gt;=0.5+Config!$B$6,"UNDER","—")))</f>
        <v>OVER</v>
      </c>
      <c r="N7" s="0" t="n">
        <v>20</v>
      </c>
      <c r="O7" s="10" t="n">
        <v>0.2</v>
      </c>
      <c r="P7" s="10" t="n">
        <v>0.5</v>
      </c>
      <c r="Q7" s="10" t="n">
        <v>0.4</v>
      </c>
      <c r="R7" s="9" t="s">
        <v>900</v>
      </c>
      <c r="S7" s="0" t="n">
        <v>1</v>
      </c>
      <c r="T7" s="0" t="str">
        <f aca="false">INDEX(Calc!$G$2:$G$105,MATCH($W7,Calc!$A$2:$A$105,0))&amp;" / "&amp;INDEX(Calc!$H$2:$H$105,MATCH($W7,Calc!$A$2:$A$105,0))</f>
        <v>Dust2 / Cache</v>
      </c>
      <c r="U7" s="0" t="str">
        <f aca="false">TEXT(INDEX(Calc!$J$2:$J$105,MATCH($W7,Calc!$A$2:$A$105,0)),"0.0")&amp;" / "&amp;TEXT(INDEX(Calc!$K$2:$K$105,MATCH($W7,Calc!$A$2:$A$105,0)),"0.0")</f>
        <v>21.5 / 21.5</v>
      </c>
      <c r="V7" s="0" t="str">
        <f aca="false">IFERROR(INDEX(Calc!$AQ$2:$AQ$105,MATCH($W7,Calc!$A$2:$A$105,0)),"")</f>
        <v/>
      </c>
      <c r="W7" s="9" t="s">
        <v>901</v>
      </c>
      <c r="X7" s="9" t="s">
        <v>896</v>
      </c>
      <c r="Y7" s="0" t="str">
        <f aca="false">W7&amp;"|"&amp;X7</f>
        <v>je1olgjbcmc9iwy|CS2 [NO MARKET] · AE vs RA|H12</v>
      </c>
      <c r="Z7" s="11" t="n">
        <f aca="false">IFERROR(INDEX(CHOOSE(MATCH($X7,{"K1","K2","K3","K12","K13","H1","H2","H3","H12","H13"},0),Calc!$BA$2:$BA$105,Calc!$BB$2:$BB$105,Calc!$BC$2:$BC$105,Calc!$BD$2:$BD$105,Calc!$BE$2:$BE$105,Calc!$BF$2:$BF$105,Calc!$BG$2:$BG$105,Calc!$BH$2:$BH$105,Calc!$BI$2:$BI$105,Calc!$BJ$2:$BJ$105),MATCH($W7,Calc!$A$2:$A$105,0)),"")</f>
        <v>18.3476938888889</v>
      </c>
      <c r="AA7" s="11" t="n">
        <f aca="false">IF(Z7="","",IF(LEFT($X7,1)="H",SQRT(Z7*(IFERROR(INDEX(Calc!$AP$2:$AP$105,MATCH($W7,Calc!$A$2:$A$105,0)),0.5)*Config!$B$5+1-IFERROR(INDEX(Calc!$AP$2:$AP$105,MATCH($W7,Calc!$A$2:$A$105,0)),0.5))),SQRT(Z7*Config!$B$5)))</f>
        <v>4.76308468895642</v>
      </c>
      <c r="AB7" s="10" t="n">
        <f aca="false">IF(OR(F7="",Z7="",N(AA7)&lt;=0),"",1-NORMDIST(FLOOR(F7,1)+0.5,Z7,AA7,TRUE()))</f>
        <v>0.570627367294295</v>
      </c>
      <c r="AC7" s="10" t="n">
        <f aca="false">IF(AB7="","",NORMDIST(CEILING(F7,1)-0.5,Z7,AA7,TRUE()))</f>
        <v>0.429372632705705</v>
      </c>
      <c r="AD7" s="0" t="str">
        <f aca="false">IF(AB7="","",IF(AB7&gt;=0.5+Config!$B$6,"OVER",IF(AC7&gt;=0.5+Config!$B$6,"UNDER","—")))</f>
        <v>OVER</v>
      </c>
      <c r="AE7" s="13" t="n">
        <f aca="false">IFERROR(Z7/G7,"")</f>
        <v>1</v>
      </c>
    </row>
    <row r="8" customFormat="false" ht="15" hidden="false" customHeight="false" outlineLevel="0" collapsed="false">
      <c r="A8" s="0" t="s">
        <v>775</v>
      </c>
      <c r="B8" s="0" t="s">
        <v>692</v>
      </c>
      <c r="C8" s="0" t="s">
        <v>899</v>
      </c>
      <c r="D8" s="0" t="s">
        <v>784</v>
      </c>
      <c r="E8" s="0" t="s">
        <v>888</v>
      </c>
      <c r="F8" s="0" t="n">
        <v>31.5</v>
      </c>
      <c r="G8" s="11" t="n">
        <f aca="false">IFERROR(INDEX(CHOOSE(MATCH($X8,{"K1","K2","K3","K12","K13","H1","H2","H3","H12","H13"},0),Calc!$V$2:$V$105,Calc!$AC$2:$AC$105,Calc!$AJ$2:$AJ$105,Calc!$AL$2:$AL$105,Calc!$AM$2:$AM$105,Calc!$W$2:$W$105,Calc!$AD$2:$AD$105,Calc!$AK$2:$AK$105,Calc!$AN$2:$AN$105,Calc!$AO$2:$AO$105),MATCH($W8,Calc!$A$2:$A$105,0)),"")</f>
        <v>31.0316666666667</v>
      </c>
      <c r="H8" s="11" t="n">
        <f aca="false">IF(G8="","",IF(LEFT($X8,1)="H",SQRT(G8*(IFERROR(INDEX(Calc!$AP$2:$AP$105,MATCH($W8,Calc!$A$2:$A$105,0)),0.5)*Config!$B$5+1-IFERROR(INDEX(Calc!$AP$2:$AP$105,MATCH($W8,Calc!$A$2:$A$105,0)),0.5))),SQRT(G8*Config!$B$5)))</f>
        <v>6.59123154906072</v>
      </c>
      <c r="I8" s="10" t="n">
        <f aca="false">IF(OR(F8="",G8="",N(H8)&lt;=0),"",1-NORMDIST(FLOOR(F8,1)+0.5,G8,H8,TRUE()))</f>
        <v>0.471677391136259</v>
      </c>
      <c r="J8" s="10" t="n">
        <f aca="false">IF(I8="","",NORMDIST(CEILING(F8,1)-0.5,G8,H8,TRUE()))</f>
        <v>0.528322608863741</v>
      </c>
      <c r="K8" s="10" t="n">
        <f aca="false">IF(I8="","",MAX(0,1-I8-J8))</f>
        <v>0</v>
      </c>
      <c r="L8" s="0" t="str">
        <f aca="false">IF(I8="","",IF(I8&gt;=0.5+Config!$B$6,"OVER",IF(J8&gt;=0.5+Config!$B$6,"UNDER","—")))</f>
        <v>—</v>
      </c>
      <c r="N8" s="0" t="n">
        <v>33.7</v>
      </c>
      <c r="O8" s="10" t="n">
        <v>0.2</v>
      </c>
      <c r="P8" s="10" t="n">
        <v>0.4</v>
      </c>
      <c r="Q8" s="10" t="n">
        <v>0.33</v>
      </c>
      <c r="R8" s="9" t="s">
        <v>902</v>
      </c>
      <c r="S8" s="0" t="n">
        <v>1</v>
      </c>
      <c r="T8" s="0" t="str">
        <f aca="false">INDEX(Calc!$G$2:$G$105,MATCH($W8,Calc!$A$2:$A$105,0))&amp;" / "&amp;INDEX(Calc!$H$2:$H$105,MATCH($W8,Calc!$A$2:$A$105,0))</f>
        <v>Dust2 / Cache</v>
      </c>
      <c r="U8" s="0" t="str">
        <f aca="false">TEXT(INDEX(Calc!$J$2:$J$105,MATCH($W8,Calc!$A$2:$A$105,0)),"0.0")&amp;" / "&amp;TEXT(INDEX(Calc!$K$2:$K$105,MATCH($W8,Calc!$A$2:$A$105,0)),"0.0")</f>
        <v>21.5 / 21.5</v>
      </c>
      <c r="V8" s="0" t="str">
        <f aca="false">IFERROR(INDEX(Calc!$AQ$2:$AQ$105,MATCH($W8,Calc!$A$2:$A$105,0)),"")</f>
        <v/>
      </c>
      <c r="W8" s="9" t="s">
        <v>901</v>
      </c>
      <c r="X8" s="9" t="s">
        <v>891</v>
      </c>
      <c r="Y8" s="0" t="str">
        <f aca="false">W8&amp;"|"&amp;X8</f>
        <v>je1olgjbcmc9iwy|CS2 [NO MARKET] · AE vs RA|K12</v>
      </c>
      <c r="Z8" s="11" t="n">
        <f aca="false">IFERROR(INDEX(CHOOSE(MATCH($X8,{"K1","K2","K3","K12","K13","H1","H2","H3","H12","H13"},0),Calc!$BA$2:$BA$105,Calc!$BB$2:$BB$105,Calc!$BC$2:$BC$105,Calc!$BD$2:$BD$105,Calc!$BE$2:$BE$105,Calc!$BF$2:$BF$105,Calc!$BG$2:$BG$105,Calc!$BH$2:$BH$105,Calc!$BI$2:$BI$105,Calc!$BJ$2:$BJ$105),MATCH($W8,Calc!$A$2:$A$105,0)),"")</f>
        <v>31.0316666666667</v>
      </c>
      <c r="AA8" s="11" t="n">
        <f aca="false">IF(Z8="","",IF(LEFT($X8,1)="H",SQRT(Z8*(IFERROR(INDEX(Calc!$AP$2:$AP$105,MATCH($W8,Calc!$A$2:$A$105,0)),0.5)*Config!$B$5+1-IFERROR(INDEX(Calc!$AP$2:$AP$105,MATCH($W8,Calc!$A$2:$A$105,0)),0.5))),SQRT(Z8*Config!$B$5)))</f>
        <v>6.59123154906072</v>
      </c>
      <c r="AB8" s="10" t="n">
        <f aca="false">IF(OR(F8="",Z8="",N(AA8)&lt;=0),"",1-NORMDIST(FLOOR(F8,1)+0.5,Z8,AA8,TRUE()))</f>
        <v>0.471677391136259</v>
      </c>
      <c r="AC8" s="10" t="n">
        <f aca="false">IF(AB8="","",NORMDIST(CEILING(F8,1)-0.5,Z8,AA8,TRUE()))</f>
        <v>0.528322608863741</v>
      </c>
      <c r="AD8" s="0" t="str">
        <f aca="false">IF(AB8="","",IF(AB8&gt;=0.5+Config!$B$6,"OVER",IF(AC8&gt;=0.5+Config!$B$6,"UNDER","—")))</f>
        <v>—</v>
      </c>
      <c r="AE8" s="13" t="n">
        <f aca="false">IFERROR(Z8/G8,"")</f>
        <v>1</v>
      </c>
    </row>
    <row r="9" customFormat="false" ht="15" hidden="false" customHeight="false" outlineLevel="0" collapsed="false">
      <c r="A9" s="0" t="s">
        <v>775</v>
      </c>
      <c r="B9" s="0" t="s">
        <v>692</v>
      </c>
      <c r="C9" s="0" t="s">
        <v>903</v>
      </c>
      <c r="D9" s="0" t="s">
        <v>784</v>
      </c>
      <c r="E9" s="0" t="s">
        <v>893</v>
      </c>
      <c r="F9" s="0" t="n">
        <v>15.5</v>
      </c>
      <c r="G9" s="11" t="n">
        <f aca="false">IFERROR(INDEX(CHOOSE(MATCH($X9,{"K1","K2","K3","K12","K13","H1","H2","H3","H12","H13"},0),Calc!$V$2:$V$105,Calc!$AC$2:$AC$105,Calc!$AJ$2:$AJ$105,Calc!$AL$2:$AL$105,Calc!$AM$2:$AM$105,Calc!$W$2:$W$105,Calc!$AD$2:$AD$105,Calc!$AK$2:$AK$105,Calc!$AN$2:$AN$105,Calc!$AO$2:$AO$105),MATCH($W9,Calc!$A$2:$A$105,0)),"")</f>
        <v>16.736970625</v>
      </c>
      <c r="H9" s="11" t="n">
        <f aca="false">IF(G9="","",IF(LEFT($X9,1)="H",SQRT(G9*(IFERROR(INDEX(Calc!$AP$2:$AP$105,MATCH($W9,Calc!$A$2:$A$105,0)),0.5)*Config!$B$5+1-IFERROR(INDEX(Calc!$AP$2:$AP$105,MATCH($W9,Calc!$A$2:$A$105,0)),0.5))),SQRT(G9*Config!$B$5)))</f>
        <v>4.57509098484483</v>
      </c>
      <c r="I9" s="10" t="n">
        <f aca="false">IF(OR(F9="",G9="",N(H9)&lt;=0),"",1-NORMDIST(FLOOR(F9,1)+0.5,G9,H9,TRUE()))</f>
        <v>0.606562466633088</v>
      </c>
      <c r="J9" s="10" t="n">
        <f aca="false">IF(I9="","",NORMDIST(CEILING(F9,1)-0.5,G9,H9,TRUE()))</f>
        <v>0.393437533366912</v>
      </c>
      <c r="K9" s="10" t="n">
        <f aca="false">IF(I9="","",MAX(0,1-I9-J9))</f>
        <v>0</v>
      </c>
      <c r="L9" s="0" t="str">
        <f aca="false">IF(I9="","",IF(I9&gt;=0.5+Config!$B$6,"OVER",IF(J9&gt;=0.5+Config!$B$6,"UNDER","—")))</f>
        <v>OVER</v>
      </c>
      <c r="N9" s="0" t="n">
        <v>15.2</v>
      </c>
      <c r="O9" s="10" t="n">
        <v>0.4</v>
      </c>
      <c r="P9" s="10" t="n">
        <v>0.5</v>
      </c>
      <c r="Q9" s="10" t="n">
        <v>0.47</v>
      </c>
      <c r="R9" s="9" t="s">
        <v>904</v>
      </c>
      <c r="S9" s="0" t="n">
        <v>-2</v>
      </c>
      <c r="T9" s="0" t="str">
        <f aca="false">INDEX(Calc!$G$2:$G$105,MATCH($W9,Calc!$A$2:$A$105,0))&amp;" / "&amp;INDEX(Calc!$H$2:$H$105,MATCH($W9,Calc!$A$2:$A$105,0))</f>
        <v>Dust2 / Cache</v>
      </c>
      <c r="U9" s="0" t="str">
        <f aca="false">TEXT(INDEX(Calc!$J$2:$J$105,MATCH($W9,Calc!$A$2:$A$105,0)),"0.0")&amp;" / "&amp;TEXT(INDEX(Calc!$K$2:$K$105,MATCH($W9,Calc!$A$2:$A$105,0)),"0.0")</f>
        <v>21.5 / 21.5</v>
      </c>
      <c r="V9" s="0" t="str">
        <f aca="false">IFERROR(INDEX(Calc!$AQ$2:$AQ$105,MATCH($W9,Calc!$A$2:$A$105,0)),"")</f>
        <v/>
      </c>
      <c r="W9" s="9" t="s">
        <v>905</v>
      </c>
      <c r="X9" s="9" t="s">
        <v>896</v>
      </c>
      <c r="Y9" s="0" t="str">
        <f aca="false">W9&amp;"|"&amp;X9</f>
        <v>d0e1cvnzi7r6gn1|CS2 [NO MARKET] · AE vs RA|H12</v>
      </c>
      <c r="Z9" s="11" t="n">
        <f aca="false">IFERROR(INDEX(CHOOSE(MATCH($X9,{"K1","K2","K3","K12","K13","H1","H2","H3","H12","H13"},0),Calc!$BA$2:$BA$105,Calc!$BB$2:$BB$105,Calc!$BC$2:$BC$105,Calc!$BD$2:$BD$105,Calc!$BE$2:$BE$105,Calc!$BF$2:$BF$105,Calc!$BG$2:$BG$105,Calc!$BH$2:$BH$105,Calc!$BI$2:$BI$105,Calc!$BJ$2:$BJ$105),MATCH($W9,Calc!$A$2:$A$105,0)),"")</f>
        <v>16.736970625</v>
      </c>
      <c r="AA9" s="11" t="n">
        <f aca="false">IF(Z9="","",IF(LEFT($X9,1)="H",SQRT(Z9*(IFERROR(INDEX(Calc!$AP$2:$AP$105,MATCH($W9,Calc!$A$2:$A$105,0)),0.5)*Config!$B$5+1-IFERROR(INDEX(Calc!$AP$2:$AP$105,MATCH($W9,Calc!$A$2:$A$105,0)),0.5))),SQRT(Z9*Config!$B$5)))</f>
        <v>4.57509098484483</v>
      </c>
      <c r="AB9" s="10" t="n">
        <f aca="false">IF(OR(F9="",Z9="",N(AA9)&lt;=0),"",1-NORMDIST(FLOOR(F9,1)+0.5,Z9,AA9,TRUE()))</f>
        <v>0.606562466633088</v>
      </c>
      <c r="AC9" s="10" t="n">
        <f aca="false">IF(AB9="","",NORMDIST(CEILING(F9,1)-0.5,Z9,AA9,TRUE()))</f>
        <v>0.393437533366912</v>
      </c>
      <c r="AD9" s="0" t="str">
        <f aca="false">IF(AB9="","",IF(AB9&gt;=0.5+Config!$B$6,"OVER",IF(AC9&gt;=0.5+Config!$B$6,"UNDER","—")))</f>
        <v>OVER</v>
      </c>
      <c r="AE9" s="13" t="n">
        <f aca="false">IFERROR(Z9/G9,"")</f>
        <v>1</v>
      </c>
    </row>
    <row r="10" customFormat="false" ht="15" hidden="false" customHeight="false" outlineLevel="0" collapsed="false">
      <c r="A10" s="0" t="s">
        <v>775</v>
      </c>
      <c r="B10" s="0" t="s">
        <v>692</v>
      </c>
      <c r="C10" s="0" t="s">
        <v>903</v>
      </c>
      <c r="D10" s="0" t="s">
        <v>784</v>
      </c>
      <c r="E10" s="0" t="s">
        <v>888</v>
      </c>
      <c r="F10" s="0" t="n">
        <v>27</v>
      </c>
      <c r="G10" s="11" t="n">
        <f aca="false">IFERROR(INDEX(CHOOSE(MATCH($X10,{"K1","K2","K3","K12","K13","H1","H2","H3","H12","H13"},0),Calc!$V$2:$V$105,Calc!$AC$2:$AC$105,Calc!$AJ$2:$AJ$105,Calc!$AL$2:$AL$105,Calc!$AM$2:$AM$105,Calc!$W$2:$W$105,Calc!$AD$2:$AD$105,Calc!$AK$2:$AK$105,Calc!$AN$2:$AN$105,Calc!$AO$2:$AO$105),MATCH($W10,Calc!$A$2:$A$105,0)),"")</f>
        <v>26.71375</v>
      </c>
      <c r="H10" s="11" t="n">
        <f aca="false">IF(G10="","",IF(LEFT($X10,1)="H",SQRT(G10*(IFERROR(INDEX(Calc!$AP$2:$AP$105,MATCH($W10,Calc!$A$2:$A$105,0)),0.5)*Config!$B$5+1-IFERROR(INDEX(Calc!$AP$2:$AP$105,MATCH($W10,Calc!$A$2:$A$105,0)),0.5))),SQRT(G10*Config!$B$5)))</f>
        <v>6.11549262120395</v>
      </c>
      <c r="I10" s="10" t="n">
        <f aca="false">IF(OR(F10="",G10="",N(H10)&lt;=0),"",1-NORMDIST(FLOOR(F10,1)+0.5,G10,H10,TRUE()))</f>
        <v>0.448850174790027</v>
      </c>
      <c r="J10" s="10" t="n">
        <f aca="false">IF(I10="","",NORMDIST(CEILING(F10,1)-0.5,G10,H10,TRUE()))</f>
        <v>0.486058923080032</v>
      </c>
      <c r="K10" s="10" t="n">
        <f aca="false">IF(I10="","",MAX(0,1-I10-J10))</f>
        <v>0.0650909021299411</v>
      </c>
      <c r="L10" s="0" t="str">
        <f aca="false">IF(I10="","",IF(I10&gt;=0.5+Config!$B$6,"OVER",IF(J10&gt;=0.5+Config!$B$6,"UNDER","—")))</f>
        <v>—</v>
      </c>
      <c r="N10" s="0" t="n">
        <v>26.7</v>
      </c>
      <c r="O10" s="10" t="n">
        <v>0.6</v>
      </c>
      <c r="P10" s="10" t="n">
        <v>0.4</v>
      </c>
      <c r="Q10" s="10" t="n">
        <v>0.33</v>
      </c>
      <c r="R10" s="9" t="s">
        <v>900</v>
      </c>
      <c r="S10" s="0" t="n">
        <v>1</v>
      </c>
      <c r="T10" s="0" t="str">
        <f aca="false">INDEX(Calc!$G$2:$G$105,MATCH($W10,Calc!$A$2:$A$105,0))&amp;" / "&amp;INDEX(Calc!$H$2:$H$105,MATCH($W10,Calc!$A$2:$A$105,0))</f>
        <v>Dust2 / Cache</v>
      </c>
      <c r="U10" s="0" t="str">
        <f aca="false">TEXT(INDEX(Calc!$J$2:$J$105,MATCH($W10,Calc!$A$2:$A$105,0)),"0.0")&amp;" / "&amp;TEXT(INDEX(Calc!$K$2:$K$105,MATCH($W10,Calc!$A$2:$A$105,0)),"0.0")</f>
        <v>21.5 / 21.5</v>
      </c>
      <c r="V10" s="0" t="str">
        <f aca="false">IFERROR(INDEX(Calc!$AQ$2:$AQ$105,MATCH($W10,Calc!$A$2:$A$105,0)),"")</f>
        <v/>
      </c>
      <c r="W10" s="9" t="s">
        <v>905</v>
      </c>
      <c r="X10" s="9" t="s">
        <v>891</v>
      </c>
      <c r="Y10" s="0" t="str">
        <f aca="false">W10&amp;"|"&amp;X10</f>
        <v>d0e1cvnzi7r6gn1|CS2 [NO MARKET] · AE vs RA|K12</v>
      </c>
      <c r="Z10" s="11" t="n">
        <f aca="false">IFERROR(INDEX(CHOOSE(MATCH($X10,{"K1","K2","K3","K12","K13","H1","H2","H3","H12","H13"},0),Calc!$BA$2:$BA$105,Calc!$BB$2:$BB$105,Calc!$BC$2:$BC$105,Calc!$BD$2:$BD$105,Calc!$BE$2:$BE$105,Calc!$BF$2:$BF$105,Calc!$BG$2:$BG$105,Calc!$BH$2:$BH$105,Calc!$BI$2:$BI$105,Calc!$BJ$2:$BJ$105),MATCH($W10,Calc!$A$2:$A$105,0)),"")</f>
        <v>26.71375</v>
      </c>
      <c r="AA10" s="11" t="n">
        <f aca="false">IF(Z10="","",IF(LEFT($X10,1)="H",SQRT(Z10*(IFERROR(INDEX(Calc!$AP$2:$AP$105,MATCH($W10,Calc!$A$2:$A$105,0)),0.5)*Config!$B$5+1-IFERROR(INDEX(Calc!$AP$2:$AP$105,MATCH($W10,Calc!$A$2:$A$105,0)),0.5))),SQRT(Z10*Config!$B$5)))</f>
        <v>6.11549262120395</v>
      </c>
      <c r="AB10" s="10" t="n">
        <f aca="false">IF(OR(F10="",Z10="",N(AA10)&lt;=0),"",1-NORMDIST(FLOOR(F10,1)+0.5,Z10,AA10,TRUE()))</f>
        <v>0.448850174790027</v>
      </c>
      <c r="AC10" s="10" t="n">
        <f aca="false">IF(AB10="","",NORMDIST(CEILING(F10,1)-0.5,Z10,AA10,TRUE()))</f>
        <v>0.486058923080032</v>
      </c>
      <c r="AD10" s="0" t="str">
        <f aca="false">IF(AB10="","",IF(AB10&gt;=0.5+Config!$B$6,"OVER",IF(AC10&gt;=0.5+Config!$B$6,"UNDER","—")))</f>
        <v>—</v>
      </c>
      <c r="AE10" s="13" t="n">
        <f aca="false">IFERROR(Z10/G10,"")</f>
        <v>1</v>
      </c>
    </row>
    <row r="11" customFormat="false" ht="15" hidden="false" customHeight="false" outlineLevel="0" collapsed="false">
      <c r="A11" s="0" t="s">
        <v>775</v>
      </c>
      <c r="B11" s="0" t="s">
        <v>835</v>
      </c>
      <c r="C11" s="0" t="s">
        <v>906</v>
      </c>
      <c r="D11" s="0" t="s">
        <v>842</v>
      </c>
      <c r="E11" s="0" t="s">
        <v>893</v>
      </c>
      <c r="F11" s="0" t="n">
        <v>11.5</v>
      </c>
      <c r="G11" s="11" t="n">
        <f aca="false">IFERROR(INDEX(CHOOSE(MATCH($X11,{"K1","K2","K3","K12","K13","H1","H2","H3","H12","H13"},0),Calc!$V$2:$V$105,Calc!$AC$2:$AC$105,Calc!$AJ$2:$AJ$105,Calc!$AL$2:$AL$105,Calc!$AM$2:$AM$105,Calc!$W$2:$W$105,Calc!$AD$2:$AD$105,Calc!$AK$2:$AK$105,Calc!$AN$2:$AN$105,Calc!$AO$2:$AO$105),MATCH($W11,Calc!$A$2:$A$105,0)),"")</f>
        <v>10.8294824793388</v>
      </c>
      <c r="H11" s="11" t="n">
        <f aca="false">IF(G11="","",IF(LEFT($X11,1)="H",SQRT(G11*(IFERROR(INDEX(Calc!$AP$2:$AP$105,MATCH($W11,Calc!$A$2:$A$105,0)),0.5)*Config!$B$5+1-IFERROR(INDEX(Calc!$AP$2:$AP$105,MATCH($W11,Calc!$A$2:$A$105,0)),0.5))),SQRT(G11*Config!$B$5)))</f>
        <v>3.51404810885334</v>
      </c>
      <c r="I11" s="10" t="n">
        <f aca="false">IF(OR(F11="",G11="",N(H11)&lt;=0),"",1-NORMDIST(FLOOR(F11,1)+0.5,G11,H11,TRUE()))</f>
        <v>0.424337003810691</v>
      </c>
      <c r="J11" s="10" t="n">
        <f aca="false">IF(I11="","",NORMDIST(CEILING(F11,1)-0.5,G11,H11,TRUE()))</f>
        <v>0.575662996189309</v>
      </c>
      <c r="K11" s="10" t="n">
        <f aca="false">IF(I11="","",MAX(0,1-I11-J11))</f>
        <v>0</v>
      </c>
      <c r="L11" s="0" t="str">
        <f aca="false">IF(I11="","",IF(I11&gt;=0.5+Config!$B$6,"OVER",IF(J11&gt;=0.5+Config!$B$6,"UNDER","—")))</f>
        <v>UNDER</v>
      </c>
      <c r="N11" s="0" t="n">
        <v>11.6</v>
      </c>
      <c r="O11" s="10" t="n">
        <v>1</v>
      </c>
      <c r="P11" s="10" t="n">
        <v>0.6</v>
      </c>
      <c r="Q11" s="10" t="n">
        <v>0.4</v>
      </c>
      <c r="R11" s="9" t="s">
        <v>907</v>
      </c>
      <c r="S11" s="0" t="n">
        <v>6</v>
      </c>
      <c r="T11" s="0" t="str">
        <f aca="false">INDEX(Calc!$G$2:$G$105,MATCH($W11,Calc!$A$2:$A$105,0))&amp;" / "&amp;INDEX(Calc!$H$2:$H$105,MATCH($W11,Calc!$A$2:$A$105,0))</f>
        <v>Inferno / Dust2</v>
      </c>
      <c r="U11" s="0" t="str">
        <f aca="false">TEXT(INDEX(Calc!$J$2:$J$105,MATCH($W11,Calc!$A$2:$A$105,0)),"0.0")&amp;" / "&amp;TEXT(INDEX(Calc!$K$2:$K$105,MATCH($W11,Calc!$A$2:$A$105,0)),"0.0")</f>
        <v>21.5 / 21.5</v>
      </c>
      <c r="V11" s="0" t="str">
        <f aca="false">IFERROR(INDEX(Calc!$AQ$2:$AQ$105,MATCH($W11,Calc!$A$2:$A$105,0)),"")</f>
        <v/>
      </c>
      <c r="W11" s="9" t="s">
        <v>908</v>
      </c>
      <c r="X11" s="9" t="s">
        <v>896</v>
      </c>
      <c r="Y11" s="0" t="str">
        <f aca="false">W11&amp;"|"&amp;X11</f>
        <v>now9yw1c0z61fxl|CS2 [NO MARKET] · ASTR vs LG|H12</v>
      </c>
      <c r="Z11" s="11" t="n">
        <f aca="false">IFERROR(INDEX(CHOOSE(MATCH($X11,{"K1","K2","K3","K12","K13","H1","H2","H3","H12","H13"},0),Calc!$BA$2:$BA$105,Calc!$BB$2:$BB$105,Calc!$BC$2:$BC$105,Calc!$BD$2:$BD$105,Calc!$BE$2:$BE$105,Calc!$BF$2:$BF$105,Calc!$BG$2:$BG$105,Calc!$BH$2:$BH$105,Calc!$BI$2:$BI$105,Calc!$BJ$2:$BJ$105),MATCH($W11,Calc!$A$2:$A$105,0)),"")</f>
        <v>10.8294824793388</v>
      </c>
      <c r="AA11" s="11" t="n">
        <f aca="false">IF(Z11="","",IF(LEFT($X11,1)="H",SQRT(Z11*(IFERROR(INDEX(Calc!$AP$2:$AP$105,MATCH($W11,Calc!$A$2:$A$105,0)),0.5)*Config!$B$5+1-IFERROR(INDEX(Calc!$AP$2:$AP$105,MATCH($W11,Calc!$A$2:$A$105,0)),0.5))),SQRT(Z11*Config!$B$5)))</f>
        <v>3.51404810885334</v>
      </c>
      <c r="AB11" s="10" t="n">
        <f aca="false">IF(OR(F11="",Z11="",N(AA11)&lt;=0),"",1-NORMDIST(FLOOR(F11,1)+0.5,Z11,AA11,TRUE()))</f>
        <v>0.424337003810691</v>
      </c>
      <c r="AC11" s="10" t="n">
        <f aca="false">IF(AB11="","",NORMDIST(CEILING(F11,1)-0.5,Z11,AA11,TRUE()))</f>
        <v>0.575662996189309</v>
      </c>
      <c r="AD11" s="0" t="str">
        <f aca="false">IF(AB11="","",IF(AB11&gt;=0.5+Config!$B$6,"OVER",IF(AC11&gt;=0.5+Config!$B$6,"UNDER","—")))</f>
        <v>UNDER</v>
      </c>
      <c r="AE11" s="13" t="n">
        <f aca="false">IFERROR(Z11/G11,"")</f>
        <v>1</v>
      </c>
    </row>
    <row r="12" customFormat="false" ht="15" hidden="false" customHeight="false" outlineLevel="0" collapsed="false">
      <c r="A12" s="0" t="s">
        <v>775</v>
      </c>
      <c r="B12" s="0" t="s">
        <v>835</v>
      </c>
      <c r="C12" s="0" t="s">
        <v>906</v>
      </c>
      <c r="D12" s="0" t="s">
        <v>842</v>
      </c>
      <c r="E12" s="0" t="s">
        <v>888</v>
      </c>
      <c r="F12" s="0" t="n">
        <v>31.5</v>
      </c>
      <c r="G12" s="11" t="n">
        <f aca="false">IFERROR(INDEX(CHOOSE(MATCH($X12,{"K1","K2","K3","K12","K13","H1","H2","H3","H12","H13"},0),Calc!$V$2:$V$105,Calc!$AC$2:$AC$105,Calc!$AJ$2:$AJ$105,Calc!$AL$2:$AL$105,Calc!$AM$2:$AM$105,Calc!$W$2:$W$105,Calc!$AD$2:$AD$105,Calc!$AK$2:$AK$105,Calc!$AN$2:$AN$105,Calc!$AO$2:$AO$105),MATCH($W12,Calc!$A$2:$A$105,0)),"")</f>
        <v>30.8818181818182</v>
      </c>
      <c r="H12" s="11" t="n">
        <f aca="false">IF(G12="","",IF(LEFT($X12,1)="H",SQRT(G12*(IFERROR(INDEX(Calc!$AP$2:$AP$105,MATCH($W12,Calc!$A$2:$A$105,0)),0.5)*Config!$B$5+1-IFERROR(INDEX(Calc!$AP$2:$AP$105,MATCH($W12,Calc!$A$2:$A$105,0)),0.5))),SQRT(G12*Config!$B$5)))</f>
        <v>6.57529812666661</v>
      </c>
      <c r="I12" s="10" t="n">
        <f aca="false">IF(OR(F12="",G12="",N(H12)&lt;=0),"",1-NORMDIST(FLOOR(F12,1)+0.5,G12,H12,TRUE()))</f>
        <v>0.462548308636625</v>
      </c>
      <c r="J12" s="10" t="n">
        <f aca="false">IF(I12="","",NORMDIST(CEILING(F12,1)-0.5,G12,H12,TRUE()))</f>
        <v>0.537451691363375</v>
      </c>
      <c r="K12" s="10" t="n">
        <f aca="false">IF(I12="","",MAX(0,1-I12-J12))</f>
        <v>0</v>
      </c>
      <c r="L12" s="0" t="str">
        <f aca="false">IF(I12="","",IF(I12&gt;=0.5+Config!$B$6,"OVER",IF(J12&gt;=0.5+Config!$B$6,"UNDER","—")))</f>
        <v>—</v>
      </c>
      <c r="N12" s="0" t="n">
        <v>33.9</v>
      </c>
      <c r="O12" s="10" t="n">
        <v>0.6</v>
      </c>
      <c r="P12" s="10" t="n">
        <v>0.5</v>
      </c>
      <c r="Q12" s="10" t="n">
        <v>0.47</v>
      </c>
      <c r="R12" s="9" t="s">
        <v>907</v>
      </c>
      <c r="S12" s="0" t="n">
        <v>-1</v>
      </c>
      <c r="T12" s="0" t="str">
        <f aca="false">INDEX(Calc!$G$2:$G$105,MATCH($W12,Calc!$A$2:$A$105,0))&amp;" / "&amp;INDEX(Calc!$H$2:$H$105,MATCH($W12,Calc!$A$2:$A$105,0))</f>
        <v>Inferno / Dust2</v>
      </c>
      <c r="U12" s="0" t="str">
        <f aca="false">TEXT(INDEX(Calc!$J$2:$J$105,MATCH($W12,Calc!$A$2:$A$105,0)),"0.0")&amp;" / "&amp;TEXT(INDEX(Calc!$K$2:$K$105,MATCH($W12,Calc!$A$2:$A$105,0)),"0.0")</f>
        <v>21.5 / 21.5</v>
      </c>
      <c r="V12" s="0" t="str">
        <f aca="false">IFERROR(INDEX(Calc!$AQ$2:$AQ$105,MATCH($W12,Calc!$A$2:$A$105,0)),"")</f>
        <v/>
      </c>
      <c r="W12" s="9" t="s">
        <v>908</v>
      </c>
      <c r="X12" s="9" t="s">
        <v>891</v>
      </c>
      <c r="Y12" s="0" t="str">
        <f aca="false">W12&amp;"|"&amp;X12</f>
        <v>now9yw1c0z61fxl|CS2 [NO MARKET] · ASTR vs LG|K12</v>
      </c>
      <c r="Z12" s="11" t="n">
        <f aca="false">IFERROR(INDEX(CHOOSE(MATCH($X12,{"K1","K2","K3","K12","K13","H1","H2","H3","H12","H13"},0),Calc!$BA$2:$BA$105,Calc!$BB$2:$BB$105,Calc!$BC$2:$BC$105,Calc!$BD$2:$BD$105,Calc!$BE$2:$BE$105,Calc!$BF$2:$BF$105,Calc!$BG$2:$BG$105,Calc!$BH$2:$BH$105,Calc!$BI$2:$BI$105,Calc!$BJ$2:$BJ$105),MATCH($W12,Calc!$A$2:$A$105,0)),"")</f>
        <v>30.8818181818182</v>
      </c>
      <c r="AA12" s="11" t="n">
        <f aca="false">IF(Z12="","",IF(LEFT($X12,1)="H",SQRT(Z12*(IFERROR(INDEX(Calc!$AP$2:$AP$105,MATCH($W12,Calc!$A$2:$A$105,0)),0.5)*Config!$B$5+1-IFERROR(INDEX(Calc!$AP$2:$AP$105,MATCH($W12,Calc!$A$2:$A$105,0)),0.5))),SQRT(Z12*Config!$B$5)))</f>
        <v>6.57529812666661</v>
      </c>
      <c r="AB12" s="10" t="n">
        <f aca="false">IF(OR(F12="",Z12="",N(AA12)&lt;=0),"",1-NORMDIST(FLOOR(F12,1)+0.5,Z12,AA12,TRUE()))</f>
        <v>0.462548308636625</v>
      </c>
      <c r="AC12" s="10" t="n">
        <f aca="false">IF(AB12="","",NORMDIST(CEILING(F12,1)-0.5,Z12,AA12,TRUE()))</f>
        <v>0.537451691363375</v>
      </c>
      <c r="AD12" s="0" t="str">
        <f aca="false">IF(AB12="","",IF(AB12&gt;=0.5+Config!$B$6,"OVER",IF(AC12&gt;=0.5+Config!$B$6,"UNDER","—")))</f>
        <v>—</v>
      </c>
      <c r="AE12" s="13" t="n">
        <f aca="false">IFERROR(Z12/G12,"")</f>
        <v>1</v>
      </c>
    </row>
    <row r="13" customFormat="false" ht="15" hidden="false" customHeight="false" outlineLevel="0" collapsed="false">
      <c r="A13" s="0" t="s">
        <v>775</v>
      </c>
      <c r="B13" s="0" t="s">
        <v>835</v>
      </c>
      <c r="C13" s="0" t="s">
        <v>909</v>
      </c>
      <c r="D13" s="0" t="s">
        <v>842</v>
      </c>
      <c r="E13" s="0" t="s">
        <v>893</v>
      </c>
      <c r="F13" s="0" t="n">
        <v>16.5</v>
      </c>
      <c r="G13" s="11" t="n">
        <f aca="false">IFERROR(INDEX(CHOOSE(MATCH($X13,{"K1","K2","K3","K12","K13","H1","H2","H3","H12","H13"},0),Calc!$V$2:$V$105,Calc!$AC$2:$AC$105,Calc!$AJ$2:$AJ$105,Calc!$AL$2:$AL$105,Calc!$AM$2:$AM$105,Calc!$W$2:$W$105,Calc!$AD$2:$AD$105,Calc!$AK$2:$AK$105,Calc!$AN$2:$AN$105,Calc!$AO$2:$AO$105),MATCH($W13,Calc!$A$2:$A$105,0)),"")</f>
        <v>16.5735361983471</v>
      </c>
      <c r="H13" s="11" t="n">
        <f aca="false">IF(G13="","",IF(LEFT($X13,1)="H",SQRT(G13*(IFERROR(INDEX(Calc!$AP$2:$AP$105,MATCH($W13,Calc!$A$2:$A$105,0)),0.5)*Config!$B$5+1-IFERROR(INDEX(Calc!$AP$2:$AP$105,MATCH($W13,Calc!$A$2:$A$105,0)),0.5))),SQRT(G13*Config!$B$5)))</f>
        <v>4.54260302453746</v>
      </c>
      <c r="I13" s="10" t="n">
        <f aca="false">IF(OR(F13="",G13="",N(H13)&lt;=0),"",1-NORMDIST(FLOOR(F13,1)+0.5,G13,H13,TRUE()))</f>
        <v>0.506457843057566</v>
      </c>
      <c r="J13" s="10" t="n">
        <f aca="false">IF(I13="","",NORMDIST(CEILING(F13,1)-0.5,G13,H13,TRUE()))</f>
        <v>0.493542156942434</v>
      </c>
      <c r="K13" s="10" t="n">
        <f aca="false">IF(I13="","",MAX(0,1-I13-J13))</f>
        <v>0</v>
      </c>
      <c r="L13" s="0" t="str">
        <f aca="false">IF(I13="","",IF(I13&gt;=0.5+Config!$B$6,"OVER",IF(J13&gt;=0.5+Config!$B$6,"UNDER","—")))</f>
        <v>—</v>
      </c>
      <c r="N13" s="0" t="n">
        <v>15</v>
      </c>
      <c r="O13" s="10" t="n">
        <v>0.2</v>
      </c>
      <c r="P13" s="10" t="n">
        <v>0.3</v>
      </c>
      <c r="Q13" s="10" t="n">
        <v>0.4</v>
      </c>
      <c r="R13" s="9" t="s">
        <v>907</v>
      </c>
      <c r="S13" s="0" t="n">
        <v>-1</v>
      </c>
      <c r="T13" s="0" t="str">
        <f aca="false">INDEX(Calc!$G$2:$G$105,MATCH($W13,Calc!$A$2:$A$105,0))&amp;" / "&amp;INDEX(Calc!$H$2:$H$105,MATCH($W13,Calc!$A$2:$A$105,0))</f>
        <v>Inferno / Dust2</v>
      </c>
      <c r="U13" s="0" t="str">
        <f aca="false">TEXT(INDEX(Calc!$J$2:$J$105,MATCH($W13,Calc!$A$2:$A$105,0)),"0.0")&amp;" / "&amp;TEXT(INDEX(Calc!$K$2:$K$105,MATCH($W13,Calc!$A$2:$A$105,0)),"0.0")</f>
        <v>21.5 / 21.5</v>
      </c>
      <c r="V13" s="0" t="str">
        <f aca="false">IFERROR(INDEX(Calc!$AQ$2:$AQ$105,MATCH($W13,Calc!$A$2:$A$105,0)),"")</f>
        <v/>
      </c>
      <c r="W13" s="9" t="s">
        <v>910</v>
      </c>
      <c r="X13" s="9" t="s">
        <v>896</v>
      </c>
      <c r="Y13" s="0" t="str">
        <f aca="false">W13&amp;"|"&amp;X13</f>
        <v>5b322opruaopkmm|CS2 [NO MARKET] · ASTR vs LG|H12</v>
      </c>
      <c r="Z13" s="11" t="n">
        <f aca="false">IFERROR(INDEX(CHOOSE(MATCH($X13,{"K1","K2","K3","K12","K13","H1","H2","H3","H12","H13"},0),Calc!$BA$2:$BA$105,Calc!$BB$2:$BB$105,Calc!$BC$2:$BC$105,Calc!$BD$2:$BD$105,Calc!$BE$2:$BE$105,Calc!$BF$2:$BF$105,Calc!$BG$2:$BG$105,Calc!$BH$2:$BH$105,Calc!$BI$2:$BI$105,Calc!$BJ$2:$BJ$105),MATCH($W13,Calc!$A$2:$A$105,0)),"")</f>
        <v>16.5735361983471</v>
      </c>
      <c r="AA13" s="11" t="n">
        <f aca="false">IF(Z13="","",IF(LEFT($X13,1)="H",SQRT(Z13*(IFERROR(INDEX(Calc!$AP$2:$AP$105,MATCH($W13,Calc!$A$2:$A$105,0)),0.5)*Config!$B$5+1-IFERROR(INDEX(Calc!$AP$2:$AP$105,MATCH($W13,Calc!$A$2:$A$105,0)),0.5))),SQRT(Z13*Config!$B$5)))</f>
        <v>4.54260302453746</v>
      </c>
      <c r="AB13" s="10" t="n">
        <f aca="false">IF(OR(F13="",Z13="",N(AA13)&lt;=0),"",1-NORMDIST(FLOOR(F13,1)+0.5,Z13,AA13,TRUE()))</f>
        <v>0.506457843057566</v>
      </c>
      <c r="AC13" s="10" t="n">
        <f aca="false">IF(AB13="","",NORMDIST(CEILING(F13,1)-0.5,Z13,AA13,TRUE()))</f>
        <v>0.493542156942434</v>
      </c>
      <c r="AD13" s="0" t="str">
        <f aca="false">IF(AB13="","",IF(AB13&gt;=0.5+Config!$B$6,"OVER",IF(AC13&gt;=0.5+Config!$B$6,"UNDER","—")))</f>
        <v>—</v>
      </c>
      <c r="AE13" s="13" t="n">
        <f aca="false">IFERROR(Z13/G13,"")</f>
        <v>1</v>
      </c>
    </row>
    <row r="14" customFormat="false" ht="15" hidden="false" customHeight="false" outlineLevel="0" collapsed="false">
      <c r="A14" s="0" t="s">
        <v>775</v>
      </c>
      <c r="B14" s="0" t="s">
        <v>835</v>
      </c>
      <c r="C14" s="0" t="s">
        <v>909</v>
      </c>
      <c r="D14" s="0" t="s">
        <v>842</v>
      </c>
      <c r="E14" s="0" t="s">
        <v>888</v>
      </c>
      <c r="F14" s="0" t="n">
        <v>28</v>
      </c>
      <c r="G14" s="11" t="n">
        <f aca="false">IFERROR(INDEX(CHOOSE(MATCH($X14,{"K1","K2","K3","K12","K13","H1","H2","H3","H12","H13"},0),Calc!$V$2:$V$105,Calc!$AC$2:$AC$105,Calc!$AJ$2:$AJ$105,Calc!$AL$2:$AL$105,Calc!$AM$2:$AM$105,Calc!$W$2:$W$105,Calc!$AD$2:$AD$105,Calc!$AK$2:$AK$105,Calc!$AN$2:$AN$105,Calc!$AO$2:$AO$105),MATCH($W14,Calc!$A$2:$A$105,0)),"")</f>
        <v>27.0509090909091</v>
      </c>
      <c r="H14" s="11" t="n">
        <f aca="false">IF(G14="","",IF(LEFT($X14,1)="H",SQRT(G14*(IFERROR(INDEX(Calc!$AP$2:$AP$105,MATCH($W14,Calc!$A$2:$A$105,0)),0.5)*Config!$B$5+1-IFERROR(INDEX(Calc!$AP$2:$AP$105,MATCH($W14,Calc!$A$2:$A$105,0)),0.5))),SQRT(G14*Config!$B$5)))</f>
        <v>6.1539639848859</v>
      </c>
      <c r="I14" s="10" t="n">
        <f aca="false">IF(OR(F14="",G14="",N(H14)&lt;=0),"",1-NORMDIST(FLOOR(F14,1)+0.5,G14,H14,TRUE()))</f>
        <v>0.406920907886168</v>
      </c>
      <c r="J14" s="10" t="n">
        <f aca="false">IF(I14="","",NORMDIST(CEILING(F14,1)-0.5,G14,H14,TRUE()))</f>
        <v>0.529087342529752</v>
      </c>
      <c r="K14" s="10" t="n">
        <f aca="false">IF(I14="","",MAX(0,1-I14-J14))</f>
        <v>0.0639917495840797</v>
      </c>
      <c r="L14" s="0" t="str">
        <f aca="false">IF(I14="","",IF(I14&gt;=0.5+Config!$B$6,"OVER",IF(J14&gt;=0.5+Config!$B$6,"UNDER","—")))</f>
        <v>—</v>
      </c>
      <c r="N14" s="0" t="n">
        <v>27.5</v>
      </c>
      <c r="O14" s="10" t="n">
        <v>0.6</v>
      </c>
      <c r="P14" s="10" t="n">
        <v>0.6</v>
      </c>
      <c r="Q14" s="10" t="n">
        <v>0.6</v>
      </c>
      <c r="R14" s="9" t="s">
        <v>907</v>
      </c>
      <c r="S14" s="0" t="n">
        <v>3</v>
      </c>
      <c r="T14" s="0" t="str">
        <f aca="false">INDEX(Calc!$G$2:$G$105,MATCH($W14,Calc!$A$2:$A$105,0))&amp;" / "&amp;INDEX(Calc!$H$2:$H$105,MATCH($W14,Calc!$A$2:$A$105,0))</f>
        <v>Inferno / Dust2</v>
      </c>
      <c r="U14" s="0" t="str">
        <f aca="false">TEXT(INDEX(Calc!$J$2:$J$105,MATCH($W14,Calc!$A$2:$A$105,0)),"0.0")&amp;" / "&amp;TEXT(INDEX(Calc!$K$2:$K$105,MATCH($W14,Calc!$A$2:$A$105,0)),"0.0")</f>
        <v>21.5 / 21.5</v>
      </c>
      <c r="V14" s="0" t="str">
        <f aca="false">IFERROR(INDEX(Calc!$AQ$2:$AQ$105,MATCH($W14,Calc!$A$2:$A$105,0)),"")</f>
        <v/>
      </c>
      <c r="W14" s="9" t="s">
        <v>910</v>
      </c>
      <c r="X14" s="9" t="s">
        <v>891</v>
      </c>
      <c r="Y14" s="0" t="str">
        <f aca="false">W14&amp;"|"&amp;X14</f>
        <v>5b322opruaopkmm|CS2 [NO MARKET] · ASTR vs LG|K12</v>
      </c>
      <c r="Z14" s="11" t="n">
        <f aca="false">IFERROR(INDEX(CHOOSE(MATCH($X14,{"K1","K2","K3","K12","K13","H1","H2","H3","H12","H13"},0),Calc!$BA$2:$BA$105,Calc!$BB$2:$BB$105,Calc!$BC$2:$BC$105,Calc!$BD$2:$BD$105,Calc!$BE$2:$BE$105,Calc!$BF$2:$BF$105,Calc!$BG$2:$BG$105,Calc!$BH$2:$BH$105,Calc!$BI$2:$BI$105,Calc!$BJ$2:$BJ$105),MATCH($W14,Calc!$A$2:$A$105,0)),"")</f>
        <v>27.0509090909091</v>
      </c>
      <c r="AA14" s="11" t="n">
        <f aca="false">IF(Z14="","",IF(LEFT($X14,1)="H",SQRT(Z14*(IFERROR(INDEX(Calc!$AP$2:$AP$105,MATCH($W14,Calc!$A$2:$A$105,0)),0.5)*Config!$B$5+1-IFERROR(INDEX(Calc!$AP$2:$AP$105,MATCH($W14,Calc!$A$2:$A$105,0)),0.5))),SQRT(Z14*Config!$B$5)))</f>
        <v>6.1539639848859</v>
      </c>
      <c r="AB14" s="10" t="n">
        <f aca="false">IF(OR(F14="",Z14="",N(AA14)&lt;=0),"",1-NORMDIST(FLOOR(F14,1)+0.5,Z14,AA14,TRUE()))</f>
        <v>0.406920907886168</v>
      </c>
      <c r="AC14" s="10" t="n">
        <f aca="false">IF(AB14="","",NORMDIST(CEILING(F14,1)-0.5,Z14,AA14,TRUE()))</f>
        <v>0.529087342529752</v>
      </c>
      <c r="AD14" s="0" t="str">
        <f aca="false">IF(AB14="","",IF(AB14&gt;=0.5+Config!$B$6,"OVER",IF(AC14&gt;=0.5+Config!$B$6,"UNDER","—")))</f>
        <v>—</v>
      </c>
      <c r="AE14" s="13" t="n">
        <f aca="false">IFERROR(Z14/G14,"")</f>
        <v>1</v>
      </c>
    </row>
    <row r="15" customFormat="false" ht="15" hidden="false" customHeight="false" outlineLevel="0" collapsed="false">
      <c r="A15" s="0" t="s">
        <v>775</v>
      </c>
      <c r="B15" s="0" t="s">
        <v>835</v>
      </c>
      <c r="C15" s="0" t="s">
        <v>911</v>
      </c>
      <c r="D15" s="0" t="s">
        <v>842</v>
      </c>
      <c r="E15" s="0" t="s">
        <v>893</v>
      </c>
      <c r="F15" s="0" t="n">
        <v>15</v>
      </c>
      <c r="G15" s="11" t="n">
        <f aca="false">IFERROR(INDEX(CHOOSE(MATCH($X15,{"K1","K2","K3","K12","K13","H1","H2","H3","H12","H13"},0),Calc!$V$2:$V$105,Calc!$AC$2:$AC$105,Calc!$AJ$2:$AJ$105,Calc!$AL$2:$AL$105,Calc!$AM$2:$AM$105,Calc!$W$2:$W$105,Calc!$AD$2:$AD$105,Calc!$AK$2:$AK$105,Calc!$AN$2:$AN$105,Calc!$AO$2:$AO$105),MATCH($W15,Calc!$A$2:$A$105,0)),"")</f>
        <v>14.8088588429752</v>
      </c>
      <c r="H15" s="11" t="n">
        <f aca="false">IF(G15="","",IF(LEFT($X15,1)="H",SQRT(G15*(IFERROR(INDEX(Calc!$AP$2:$AP$105,MATCH($W15,Calc!$A$2:$A$105,0)),0.5)*Config!$B$5+1-IFERROR(INDEX(Calc!$AP$2:$AP$105,MATCH($W15,Calc!$A$2:$A$105,0)),0.5))),SQRT(G15*Config!$B$5)))</f>
        <v>4.24544370795675</v>
      </c>
      <c r="I15" s="10" t="n">
        <f aca="false">IF(OR(F15="",G15="",N(H15)&lt;=0),"",1-NORMDIST(FLOOR(F15,1)+0.5,G15,H15,TRUE()))</f>
        <v>0.43533953787788</v>
      </c>
      <c r="J15" s="10" t="n">
        <f aca="false">IF(I15="","",NORMDIST(CEILING(F15,1)-0.5,G15,H15,TRUE()))</f>
        <v>0.471002266182726</v>
      </c>
      <c r="K15" s="10" t="n">
        <f aca="false">IF(I15="","",MAX(0,1-I15-J15))</f>
        <v>0.0936581959393937</v>
      </c>
      <c r="L15" s="0" t="str">
        <f aca="false">IF(I15="","",IF(I15&gt;=0.5+Config!$B$6,"OVER",IF(J15&gt;=0.5+Config!$B$6,"UNDER","—")))</f>
        <v>—</v>
      </c>
      <c r="N15" s="0" t="n">
        <v>17.2</v>
      </c>
      <c r="O15" s="10" t="n">
        <v>0.6</v>
      </c>
      <c r="P15" s="10" t="n">
        <v>0.8</v>
      </c>
      <c r="Q15" s="10" t="n">
        <v>0.6</v>
      </c>
      <c r="R15" s="9" t="s">
        <v>907</v>
      </c>
      <c r="S15" s="0" t="n">
        <v>-1</v>
      </c>
      <c r="T15" s="0" t="str">
        <f aca="false">INDEX(Calc!$G$2:$G$105,MATCH($W15,Calc!$A$2:$A$105,0))&amp;" / "&amp;INDEX(Calc!$H$2:$H$105,MATCH($W15,Calc!$A$2:$A$105,0))</f>
        <v>Inferno / Dust2</v>
      </c>
      <c r="U15" s="0" t="str">
        <f aca="false">TEXT(INDEX(Calc!$J$2:$J$105,MATCH($W15,Calc!$A$2:$A$105,0)),"0.0")&amp;" / "&amp;TEXT(INDEX(Calc!$K$2:$K$105,MATCH($W15,Calc!$A$2:$A$105,0)),"0.0")</f>
        <v>21.5 / 21.5</v>
      </c>
      <c r="V15" s="0" t="str">
        <f aca="false">IFERROR(INDEX(Calc!$AQ$2:$AQ$105,MATCH($W15,Calc!$A$2:$A$105,0)),"")</f>
        <v/>
      </c>
      <c r="W15" s="9" t="s">
        <v>912</v>
      </c>
      <c r="X15" s="9" t="s">
        <v>896</v>
      </c>
      <c r="Y15" s="0" t="str">
        <f aca="false">W15&amp;"|"&amp;X15</f>
        <v>oau6mcpwamuknva|CS2 [NO MARKET] · ASTR vs LG|H12</v>
      </c>
      <c r="Z15" s="11" t="n">
        <f aca="false">IFERROR(INDEX(CHOOSE(MATCH($X15,{"K1","K2","K3","K12","K13","H1","H2","H3","H12","H13"},0),Calc!$BA$2:$BA$105,Calc!$BB$2:$BB$105,Calc!$BC$2:$BC$105,Calc!$BD$2:$BD$105,Calc!$BE$2:$BE$105,Calc!$BF$2:$BF$105,Calc!$BG$2:$BG$105,Calc!$BH$2:$BH$105,Calc!$BI$2:$BI$105,Calc!$BJ$2:$BJ$105),MATCH($W15,Calc!$A$2:$A$105,0)),"")</f>
        <v>14.8088588429752</v>
      </c>
      <c r="AA15" s="11" t="n">
        <f aca="false">IF(Z15="","",IF(LEFT($X15,1)="H",SQRT(Z15*(IFERROR(INDEX(Calc!$AP$2:$AP$105,MATCH($W15,Calc!$A$2:$A$105,0)),0.5)*Config!$B$5+1-IFERROR(INDEX(Calc!$AP$2:$AP$105,MATCH($W15,Calc!$A$2:$A$105,0)),0.5))),SQRT(Z15*Config!$B$5)))</f>
        <v>4.24544370795675</v>
      </c>
      <c r="AB15" s="10" t="n">
        <f aca="false">IF(OR(F15="",Z15="",N(AA15)&lt;=0),"",1-NORMDIST(FLOOR(F15,1)+0.5,Z15,AA15,TRUE()))</f>
        <v>0.43533953787788</v>
      </c>
      <c r="AC15" s="10" t="n">
        <f aca="false">IF(AB15="","",NORMDIST(CEILING(F15,1)-0.5,Z15,AA15,TRUE()))</f>
        <v>0.471002266182726</v>
      </c>
      <c r="AD15" s="0" t="str">
        <f aca="false">IF(AB15="","",IF(AB15&gt;=0.5+Config!$B$6,"OVER",IF(AC15&gt;=0.5+Config!$B$6,"UNDER","—")))</f>
        <v>—</v>
      </c>
      <c r="AE15" s="13" t="n">
        <f aca="false">IFERROR(Z15/G15,"")</f>
        <v>1</v>
      </c>
    </row>
    <row r="16" customFormat="false" ht="15" hidden="false" customHeight="false" outlineLevel="0" collapsed="false">
      <c r="A16" s="0" t="s">
        <v>775</v>
      </c>
      <c r="B16" s="0" t="s">
        <v>835</v>
      </c>
      <c r="C16" s="0" t="s">
        <v>911</v>
      </c>
      <c r="D16" s="0" t="s">
        <v>842</v>
      </c>
      <c r="E16" s="0" t="s">
        <v>888</v>
      </c>
      <c r="F16" s="0" t="n">
        <v>27.5</v>
      </c>
      <c r="G16" s="11" t="n">
        <f aca="false">IFERROR(INDEX(CHOOSE(MATCH($X16,{"K1","K2","K3","K12","K13","H1","H2","H3","H12","H13"},0),Calc!$V$2:$V$105,Calc!$AC$2:$AC$105,Calc!$AJ$2:$AJ$105,Calc!$AL$2:$AL$105,Calc!$AM$2:$AM$105,Calc!$W$2:$W$105,Calc!$AD$2:$AD$105,Calc!$AK$2:$AK$105,Calc!$AN$2:$AN$105,Calc!$AO$2:$AO$105),MATCH($W16,Calc!$A$2:$A$105,0)),"")</f>
        <v>27.2854545454546</v>
      </c>
      <c r="H16" s="11" t="n">
        <f aca="false">IF(G16="","",IF(LEFT($X16,1)="H",SQRT(G16*(IFERROR(INDEX(Calc!$AP$2:$AP$105,MATCH($W16,Calc!$A$2:$A$105,0)),0.5)*Config!$B$5+1-IFERROR(INDEX(Calc!$AP$2:$AP$105,MATCH($W16,Calc!$A$2:$A$105,0)),0.5))),SQRT(G16*Config!$B$5)))</f>
        <v>6.18058543858398</v>
      </c>
      <c r="I16" s="10" t="n">
        <f aca="false">IF(OR(F16="",G16="",N(H16)&lt;=0),"",1-NORMDIST(FLOOR(F16,1)+0.5,G16,H16,TRUE()))</f>
        <v>0.486154375249934</v>
      </c>
      <c r="J16" s="10" t="n">
        <f aca="false">IF(I16="","",NORMDIST(CEILING(F16,1)-0.5,G16,H16,TRUE()))</f>
        <v>0.513845624750066</v>
      </c>
      <c r="K16" s="10" t="n">
        <f aca="false">IF(I16="","",MAX(0,1-I16-J16))</f>
        <v>0</v>
      </c>
      <c r="L16" s="0" t="str">
        <f aca="false">IF(I16="","",IF(I16&gt;=0.5+Config!$B$6,"OVER",IF(J16&gt;=0.5+Config!$B$6,"UNDER","—")))</f>
        <v>—</v>
      </c>
      <c r="N16" s="0" t="n">
        <v>32.4</v>
      </c>
      <c r="O16" s="10" t="n">
        <v>1</v>
      </c>
      <c r="P16" s="10" t="n">
        <v>0.9</v>
      </c>
      <c r="Q16" s="10" t="n">
        <v>0.67</v>
      </c>
      <c r="R16" s="9" t="s">
        <v>907</v>
      </c>
      <c r="S16" s="0" t="n">
        <v>8</v>
      </c>
      <c r="T16" s="0" t="str">
        <f aca="false">INDEX(Calc!$G$2:$G$105,MATCH($W16,Calc!$A$2:$A$105,0))&amp;" / "&amp;INDEX(Calc!$H$2:$H$105,MATCH($W16,Calc!$A$2:$A$105,0))</f>
        <v>Inferno / Dust2</v>
      </c>
      <c r="U16" s="0" t="str">
        <f aca="false">TEXT(INDEX(Calc!$J$2:$J$105,MATCH($W16,Calc!$A$2:$A$105,0)),"0.0")&amp;" / "&amp;TEXT(INDEX(Calc!$K$2:$K$105,MATCH($W16,Calc!$A$2:$A$105,0)),"0.0")</f>
        <v>21.5 / 21.5</v>
      </c>
      <c r="V16" s="0" t="str">
        <f aca="false">IFERROR(INDEX(Calc!$AQ$2:$AQ$105,MATCH($W16,Calc!$A$2:$A$105,0)),"")</f>
        <v/>
      </c>
      <c r="W16" s="9" t="s">
        <v>912</v>
      </c>
      <c r="X16" s="9" t="s">
        <v>891</v>
      </c>
      <c r="Y16" s="0" t="str">
        <f aca="false">W16&amp;"|"&amp;X16</f>
        <v>oau6mcpwamuknva|CS2 [NO MARKET] · ASTR vs LG|K12</v>
      </c>
      <c r="Z16" s="11" t="n">
        <f aca="false">IFERROR(INDEX(CHOOSE(MATCH($X16,{"K1","K2","K3","K12","K13","H1","H2","H3","H12","H13"},0),Calc!$BA$2:$BA$105,Calc!$BB$2:$BB$105,Calc!$BC$2:$BC$105,Calc!$BD$2:$BD$105,Calc!$BE$2:$BE$105,Calc!$BF$2:$BF$105,Calc!$BG$2:$BG$105,Calc!$BH$2:$BH$105,Calc!$BI$2:$BI$105,Calc!$BJ$2:$BJ$105),MATCH($W16,Calc!$A$2:$A$105,0)),"")</f>
        <v>27.2854545454546</v>
      </c>
      <c r="AA16" s="11" t="n">
        <f aca="false">IF(Z16="","",IF(LEFT($X16,1)="H",SQRT(Z16*(IFERROR(INDEX(Calc!$AP$2:$AP$105,MATCH($W16,Calc!$A$2:$A$105,0)),0.5)*Config!$B$5+1-IFERROR(INDEX(Calc!$AP$2:$AP$105,MATCH($W16,Calc!$A$2:$A$105,0)),0.5))),SQRT(Z16*Config!$B$5)))</f>
        <v>6.18058543858398</v>
      </c>
      <c r="AB16" s="10" t="n">
        <f aca="false">IF(OR(F16="",Z16="",N(AA16)&lt;=0),"",1-NORMDIST(FLOOR(F16,1)+0.5,Z16,AA16,TRUE()))</f>
        <v>0.486154375249934</v>
      </c>
      <c r="AC16" s="10" t="n">
        <f aca="false">IF(AB16="","",NORMDIST(CEILING(F16,1)-0.5,Z16,AA16,TRUE()))</f>
        <v>0.513845624750066</v>
      </c>
      <c r="AD16" s="0" t="str">
        <f aca="false">IF(AB16="","",IF(AB16&gt;=0.5+Config!$B$6,"OVER",IF(AC16&gt;=0.5+Config!$B$6,"UNDER","—")))</f>
        <v>—</v>
      </c>
      <c r="AE16" s="13" t="n">
        <f aca="false">IFERROR(Z16/G16,"")</f>
        <v>1</v>
      </c>
    </row>
    <row r="17" customFormat="false" ht="15" hidden="false" customHeight="false" outlineLevel="0" collapsed="false">
      <c r="A17" s="0" t="s">
        <v>775</v>
      </c>
      <c r="B17" s="0" t="s">
        <v>835</v>
      </c>
      <c r="C17" s="0" t="s">
        <v>913</v>
      </c>
      <c r="D17" s="0" t="s">
        <v>842</v>
      </c>
      <c r="E17" s="0" t="s">
        <v>893</v>
      </c>
      <c r="F17" s="0" t="n">
        <v>14</v>
      </c>
      <c r="G17" s="11" t="n">
        <f aca="false">IFERROR(INDEX(CHOOSE(MATCH($X17,{"K1","K2","K3","K12","K13","H1","H2","H3","H12","H13"},0),Calc!$V$2:$V$105,Calc!$AC$2:$AC$105,Calc!$AJ$2:$AJ$105,Calc!$AL$2:$AL$105,Calc!$AM$2:$AM$105,Calc!$W$2:$W$105,Calc!$AD$2:$AD$105,Calc!$AK$2:$AK$105,Calc!$AN$2:$AN$105,Calc!$AO$2:$AO$105),MATCH($W17,Calc!$A$2:$A$105,0)),"")</f>
        <v>12.9564330578512</v>
      </c>
      <c r="H17" s="11" t="n">
        <f aca="false">IF(G17="","",IF(LEFT($X17,1)="H",SQRT(G17*(IFERROR(INDEX(Calc!$AP$2:$AP$105,MATCH($W17,Calc!$A$2:$A$105,0)),0.5)*Config!$B$5+1-IFERROR(INDEX(Calc!$AP$2:$AP$105,MATCH($W17,Calc!$A$2:$A$105,0)),0.5))),SQRT(G17*Config!$B$5)))</f>
        <v>3.91775649416126</v>
      </c>
      <c r="I17" s="10" t="n">
        <f aca="false">IF(OR(F17="",G17="",N(H17)&lt;=0),"",1-NORMDIST(FLOOR(F17,1)+0.5,G17,H17,TRUE()))</f>
        <v>0.346793263112136</v>
      </c>
      <c r="J17" s="10" t="n">
        <f aca="false">IF(I17="","",NORMDIST(CEILING(F17,1)-0.5,G17,H17,TRUE()))</f>
        <v>0.5551739513166</v>
      </c>
      <c r="K17" s="10" t="n">
        <f aca="false">IF(I17="","",MAX(0,1-I17-J17))</f>
        <v>0.0980327855712634</v>
      </c>
      <c r="L17" s="0" t="str">
        <f aca="false">IF(I17="","",IF(I17&gt;=0.5+Config!$B$6,"OVER",IF(J17&gt;=0.5+Config!$B$6,"UNDER","—")))</f>
        <v>UNDER</v>
      </c>
      <c r="N17" s="0" t="n">
        <v>12.3</v>
      </c>
      <c r="O17" s="10" t="n">
        <v>0.4</v>
      </c>
      <c r="P17" s="10" t="n">
        <v>0.3</v>
      </c>
      <c r="Q17" s="10" t="n">
        <v>0.4</v>
      </c>
      <c r="R17" s="9" t="s">
        <v>907</v>
      </c>
      <c r="S17" s="0" t="n">
        <v>-3</v>
      </c>
      <c r="T17" s="0" t="str">
        <f aca="false">INDEX(Calc!$G$2:$G$105,MATCH($W17,Calc!$A$2:$A$105,0))&amp;" / "&amp;INDEX(Calc!$H$2:$H$105,MATCH($W17,Calc!$A$2:$A$105,0))</f>
        <v>Inferno / Dust2</v>
      </c>
      <c r="U17" s="0" t="str">
        <f aca="false">TEXT(INDEX(Calc!$J$2:$J$105,MATCH($W17,Calc!$A$2:$A$105,0)),"0.0")&amp;" / "&amp;TEXT(INDEX(Calc!$K$2:$K$105,MATCH($W17,Calc!$A$2:$A$105,0)),"0.0")</f>
        <v>21.5 / 21.5</v>
      </c>
      <c r="V17" s="0" t="str">
        <f aca="false">IFERROR(INDEX(Calc!$AQ$2:$AQ$105,MATCH($W17,Calc!$A$2:$A$105,0)),"")</f>
        <v/>
      </c>
      <c r="W17" s="9" t="s">
        <v>914</v>
      </c>
      <c r="X17" s="9" t="s">
        <v>896</v>
      </c>
      <c r="Y17" s="0" t="str">
        <f aca="false">W17&amp;"|"&amp;X17</f>
        <v>a8s1ja8a0vwhgvp|CS2 [NO MARKET] · ASTR vs LG|H12</v>
      </c>
      <c r="Z17" s="11" t="n">
        <f aca="false">IFERROR(INDEX(CHOOSE(MATCH($X17,{"K1","K2","K3","K12","K13","H1","H2","H3","H12","H13"},0),Calc!$BA$2:$BA$105,Calc!$BB$2:$BB$105,Calc!$BC$2:$BC$105,Calc!$BD$2:$BD$105,Calc!$BE$2:$BE$105,Calc!$BF$2:$BF$105,Calc!$BG$2:$BG$105,Calc!$BH$2:$BH$105,Calc!$BI$2:$BI$105,Calc!$BJ$2:$BJ$105),MATCH($W17,Calc!$A$2:$A$105,0)),"")</f>
        <v>12.9564330578512</v>
      </c>
      <c r="AA17" s="11" t="n">
        <f aca="false">IF(Z17="","",IF(LEFT($X17,1)="H",SQRT(Z17*(IFERROR(INDEX(Calc!$AP$2:$AP$105,MATCH($W17,Calc!$A$2:$A$105,0)),0.5)*Config!$B$5+1-IFERROR(INDEX(Calc!$AP$2:$AP$105,MATCH($W17,Calc!$A$2:$A$105,0)),0.5))),SQRT(Z17*Config!$B$5)))</f>
        <v>3.91775649416126</v>
      </c>
      <c r="AB17" s="10" t="n">
        <f aca="false">IF(OR(F17="",Z17="",N(AA17)&lt;=0),"",1-NORMDIST(FLOOR(F17,1)+0.5,Z17,AA17,TRUE()))</f>
        <v>0.346793263112136</v>
      </c>
      <c r="AC17" s="10" t="n">
        <f aca="false">IF(AB17="","",NORMDIST(CEILING(F17,1)-0.5,Z17,AA17,TRUE()))</f>
        <v>0.5551739513166</v>
      </c>
      <c r="AD17" s="0" t="str">
        <f aca="false">IF(AB17="","",IF(AB17&gt;=0.5+Config!$B$6,"OVER",IF(AC17&gt;=0.5+Config!$B$6,"UNDER","—")))</f>
        <v>UNDER</v>
      </c>
      <c r="AE17" s="13" t="n">
        <f aca="false">IFERROR(Z17/G17,"")</f>
        <v>1</v>
      </c>
    </row>
    <row r="18" customFormat="false" ht="15" hidden="false" customHeight="false" outlineLevel="0" collapsed="false">
      <c r="A18" s="0" t="s">
        <v>775</v>
      </c>
      <c r="B18" s="0" t="s">
        <v>835</v>
      </c>
      <c r="C18" s="0" t="s">
        <v>913</v>
      </c>
      <c r="D18" s="0" t="s">
        <v>842</v>
      </c>
      <c r="E18" s="0" t="s">
        <v>888</v>
      </c>
      <c r="F18" s="0" t="n">
        <v>28.5</v>
      </c>
      <c r="G18" s="11" t="n">
        <f aca="false">IFERROR(INDEX(CHOOSE(MATCH($X18,{"K1","K2","K3","K12","K13","H1","H2","H3","H12","H13"},0),Calc!$V$2:$V$105,Calc!$AC$2:$AC$105,Calc!$AJ$2:$AJ$105,Calc!$AL$2:$AL$105,Calc!$AM$2:$AM$105,Calc!$W$2:$W$105,Calc!$AD$2:$AD$105,Calc!$AK$2:$AK$105,Calc!$AN$2:$AN$105,Calc!$AO$2:$AO$105),MATCH($W18,Calc!$A$2:$A$105,0)),"")</f>
        <v>28.0672727272727</v>
      </c>
      <c r="H18" s="11" t="n">
        <f aca="false">IF(G18="","",IF(LEFT($X18,1)="H",SQRT(G18*(IFERROR(INDEX(Calc!$AP$2:$AP$105,MATCH($W18,Calc!$A$2:$A$105,0)),0.5)*Config!$B$5+1-IFERROR(INDEX(Calc!$AP$2:$AP$105,MATCH($W18,Calc!$A$2:$A$105,0)),0.5))),SQRT(G18*Config!$B$5)))</f>
        <v>6.26850714430332</v>
      </c>
      <c r="I18" s="10" t="n">
        <f aca="false">IF(OR(F18="",G18="",N(H18)&lt;=0),"",1-NORMDIST(FLOOR(F18,1)+0.5,G18,H18,TRUE()))</f>
        <v>0.472482093803463</v>
      </c>
      <c r="J18" s="10" t="n">
        <f aca="false">IF(I18="","",NORMDIST(CEILING(F18,1)-0.5,G18,H18,TRUE()))</f>
        <v>0.527517906196537</v>
      </c>
      <c r="K18" s="10" t="n">
        <f aca="false">IF(I18="","",MAX(0,1-I18-J18))</f>
        <v>0</v>
      </c>
      <c r="L18" s="0" t="str">
        <f aca="false">IF(I18="","",IF(I18&gt;=0.5+Config!$B$6,"OVER",IF(J18&gt;=0.5+Config!$B$6,"UNDER","—")))</f>
        <v>—</v>
      </c>
      <c r="N18" s="0" t="n">
        <v>29.6</v>
      </c>
      <c r="O18" s="10" t="n">
        <v>0.6</v>
      </c>
      <c r="P18" s="10" t="n">
        <v>0.5</v>
      </c>
      <c r="Q18" s="10" t="n">
        <v>0.47</v>
      </c>
      <c r="R18" s="9" t="s">
        <v>907</v>
      </c>
      <c r="S18" s="0" t="n">
        <v>-1</v>
      </c>
      <c r="T18" s="0" t="str">
        <f aca="false">INDEX(Calc!$G$2:$G$105,MATCH($W18,Calc!$A$2:$A$105,0))&amp;" / "&amp;INDEX(Calc!$H$2:$H$105,MATCH($W18,Calc!$A$2:$A$105,0))</f>
        <v>Inferno / Dust2</v>
      </c>
      <c r="U18" s="0" t="str">
        <f aca="false">TEXT(INDEX(Calc!$J$2:$J$105,MATCH($W18,Calc!$A$2:$A$105,0)),"0.0")&amp;" / "&amp;TEXT(INDEX(Calc!$K$2:$K$105,MATCH($W18,Calc!$A$2:$A$105,0)),"0.0")</f>
        <v>21.5 / 21.5</v>
      </c>
      <c r="V18" s="0" t="str">
        <f aca="false">IFERROR(INDEX(Calc!$AQ$2:$AQ$105,MATCH($W18,Calc!$A$2:$A$105,0)),"")</f>
        <v/>
      </c>
      <c r="W18" s="9" t="s">
        <v>914</v>
      </c>
      <c r="X18" s="9" t="s">
        <v>891</v>
      </c>
      <c r="Y18" s="0" t="str">
        <f aca="false">W18&amp;"|"&amp;X18</f>
        <v>a8s1ja8a0vwhgvp|CS2 [NO MARKET] · ASTR vs LG|K12</v>
      </c>
      <c r="Z18" s="11" t="n">
        <f aca="false">IFERROR(INDEX(CHOOSE(MATCH($X18,{"K1","K2","K3","K12","K13","H1","H2","H3","H12","H13"},0),Calc!$BA$2:$BA$105,Calc!$BB$2:$BB$105,Calc!$BC$2:$BC$105,Calc!$BD$2:$BD$105,Calc!$BE$2:$BE$105,Calc!$BF$2:$BF$105,Calc!$BG$2:$BG$105,Calc!$BH$2:$BH$105,Calc!$BI$2:$BI$105,Calc!$BJ$2:$BJ$105),MATCH($W18,Calc!$A$2:$A$105,0)),"")</f>
        <v>28.0672727272727</v>
      </c>
      <c r="AA18" s="11" t="n">
        <f aca="false">IF(Z18="","",IF(LEFT($X18,1)="H",SQRT(Z18*(IFERROR(INDEX(Calc!$AP$2:$AP$105,MATCH($W18,Calc!$A$2:$A$105,0)),0.5)*Config!$B$5+1-IFERROR(INDEX(Calc!$AP$2:$AP$105,MATCH($W18,Calc!$A$2:$A$105,0)),0.5))),SQRT(Z18*Config!$B$5)))</f>
        <v>6.26850714430332</v>
      </c>
      <c r="AB18" s="10" t="n">
        <f aca="false">IF(OR(F18="",Z18="",N(AA18)&lt;=0),"",1-NORMDIST(FLOOR(F18,1)+0.5,Z18,AA18,TRUE()))</f>
        <v>0.472482093803463</v>
      </c>
      <c r="AC18" s="10" t="n">
        <f aca="false">IF(AB18="","",NORMDIST(CEILING(F18,1)-0.5,Z18,AA18,TRUE()))</f>
        <v>0.527517906196537</v>
      </c>
      <c r="AD18" s="0" t="str">
        <f aca="false">IF(AB18="","",IF(AB18&gt;=0.5+Config!$B$6,"OVER",IF(AC18&gt;=0.5+Config!$B$6,"UNDER","—")))</f>
        <v>—</v>
      </c>
      <c r="AE18" s="13" t="n">
        <f aca="false">IFERROR(Z18/G18,"")</f>
        <v>1</v>
      </c>
    </row>
    <row r="19" customFormat="false" ht="15" hidden="false" customHeight="false" outlineLevel="0" collapsed="false">
      <c r="A19" s="0" t="s">
        <v>775</v>
      </c>
      <c r="B19" s="0" t="s">
        <v>835</v>
      </c>
      <c r="C19" s="0" t="s">
        <v>915</v>
      </c>
      <c r="D19" s="0" t="s">
        <v>842</v>
      </c>
      <c r="E19" s="0" t="s">
        <v>893</v>
      </c>
      <c r="F19" s="0" t="n">
        <v>17</v>
      </c>
      <c r="G19" s="11" t="n">
        <f aca="false">IFERROR(INDEX(CHOOSE(MATCH($X19,{"K1","K2","K3","K12","K13","H1","H2","H3","H12","H13"},0),Calc!$V$2:$V$105,Calc!$AC$2:$AC$105,Calc!$AJ$2:$AJ$105,Calc!$AL$2:$AL$105,Calc!$AM$2:$AM$105,Calc!$W$2:$W$105,Calc!$AD$2:$AD$105,Calc!$AK$2:$AK$105,Calc!$AN$2:$AN$105,Calc!$AO$2:$AO$105),MATCH($W19,Calc!$A$2:$A$105,0)),"")</f>
        <v>17.3985178512397</v>
      </c>
      <c r="H19" s="11" t="n">
        <f aca="false">IF(G19="","",IF(LEFT($X19,1)="H",SQRT(G19*(IFERROR(INDEX(Calc!$AP$2:$AP$105,MATCH($W19,Calc!$A$2:$A$105,0)),0.5)*Config!$B$5+1-IFERROR(INDEX(Calc!$AP$2:$AP$105,MATCH($W19,Calc!$A$2:$A$105,0)),0.5))),SQRT(G19*Config!$B$5)))</f>
        <v>4.626619620051</v>
      </c>
      <c r="I19" s="10" t="n">
        <f aca="false">IF(OR(F19="",G19="",N(H19)&lt;=0),"",1-NORMDIST(FLOOR(F19,1)+0.5,G19,H19,TRUE()))</f>
        <v>0.491250140054938</v>
      </c>
      <c r="J19" s="10" t="n">
        <f aca="false">IF(I19="","",NORMDIST(CEILING(F19,1)-0.5,G19,H19,TRUE()))</f>
        <v>0.423007245000596</v>
      </c>
      <c r="K19" s="10" t="n">
        <f aca="false">IF(I19="","",MAX(0,1-I19-J19))</f>
        <v>0.0857426149444661</v>
      </c>
      <c r="L19" s="0" t="str">
        <f aca="false">IF(I19="","",IF(I19&gt;=0.5+Config!$B$6,"OVER",IF(J19&gt;=0.5+Config!$B$6,"UNDER","—")))</f>
        <v>—</v>
      </c>
      <c r="N19" s="0" t="n">
        <v>17.5</v>
      </c>
      <c r="O19" s="10" t="n">
        <v>0.4</v>
      </c>
      <c r="P19" s="10" t="n">
        <v>0.5</v>
      </c>
      <c r="Q19" s="10" t="n">
        <v>0.47</v>
      </c>
      <c r="R19" s="9" t="s">
        <v>894</v>
      </c>
      <c r="S19" s="0" t="n">
        <v>-2</v>
      </c>
      <c r="T19" s="0" t="str">
        <f aca="false">INDEX(Calc!$G$2:$G$105,MATCH($W19,Calc!$A$2:$A$105,0))&amp;" / "&amp;INDEX(Calc!$H$2:$H$105,MATCH($W19,Calc!$A$2:$A$105,0))</f>
        <v>Inferno / Dust2</v>
      </c>
      <c r="U19" s="0" t="str">
        <f aca="false">TEXT(INDEX(Calc!$J$2:$J$105,MATCH($W19,Calc!$A$2:$A$105,0)),"0.0")&amp;" / "&amp;TEXT(INDEX(Calc!$K$2:$K$105,MATCH($W19,Calc!$A$2:$A$105,0)),"0.0")</f>
        <v>21.5 / 21.5</v>
      </c>
      <c r="V19" s="0" t="str">
        <f aca="false">IFERROR(INDEX(Calc!$AQ$2:$AQ$105,MATCH($W19,Calc!$A$2:$A$105,0)),"")</f>
        <v/>
      </c>
      <c r="W19" s="9" t="s">
        <v>916</v>
      </c>
      <c r="X19" s="9" t="s">
        <v>896</v>
      </c>
      <c r="Y19" s="0" t="str">
        <f aca="false">W19&amp;"|"&amp;X19</f>
        <v>4g49imv2ok4y1rr|CS2 [NO MARKET] · ASTR vs LG|H12</v>
      </c>
      <c r="Z19" s="11" t="n">
        <f aca="false">IFERROR(INDEX(CHOOSE(MATCH($X19,{"K1","K2","K3","K12","K13","H1","H2","H3","H12","H13"},0),Calc!$BA$2:$BA$105,Calc!$BB$2:$BB$105,Calc!$BC$2:$BC$105,Calc!$BD$2:$BD$105,Calc!$BE$2:$BE$105,Calc!$BF$2:$BF$105,Calc!$BG$2:$BG$105,Calc!$BH$2:$BH$105,Calc!$BI$2:$BI$105,Calc!$BJ$2:$BJ$105),MATCH($W19,Calc!$A$2:$A$105,0)),"")</f>
        <v>17.3985178512397</v>
      </c>
      <c r="AA19" s="11" t="n">
        <f aca="false">IF(Z19="","",IF(LEFT($X19,1)="H",SQRT(Z19*(IFERROR(INDEX(Calc!$AP$2:$AP$105,MATCH($W19,Calc!$A$2:$A$105,0)),0.5)*Config!$B$5+1-IFERROR(INDEX(Calc!$AP$2:$AP$105,MATCH($W19,Calc!$A$2:$A$105,0)),0.5))),SQRT(Z19*Config!$B$5)))</f>
        <v>4.626619620051</v>
      </c>
      <c r="AB19" s="10" t="n">
        <f aca="false">IF(OR(F19="",Z19="",N(AA19)&lt;=0),"",1-NORMDIST(FLOOR(F19,1)+0.5,Z19,AA19,TRUE()))</f>
        <v>0.491250140054938</v>
      </c>
      <c r="AC19" s="10" t="n">
        <f aca="false">IF(AB19="","",NORMDIST(CEILING(F19,1)-0.5,Z19,AA19,TRUE()))</f>
        <v>0.423007245000596</v>
      </c>
      <c r="AD19" s="0" t="str">
        <f aca="false">IF(AB19="","",IF(AB19&gt;=0.5+Config!$B$6,"OVER",IF(AC19&gt;=0.5+Config!$B$6,"UNDER","—")))</f>
        <v>—</v>
      </c>
      <c r="AE19" s="13" t="n">
        <f aca="false">IFERROR(Z19/G19,"")</f>
        <v>1</v>
      </c>
    </row>
    <row r="20" customFormat="false" ht="15" hidden="false" customHeight="false" outlineLevel="0" collapsed="false">
      <c r="A20" s="0" t="s">
        <v>775</v>
      </c>
      <c r="B20" s="0" t="s">
        <v>835</v>
      </c>
      <c r="C20" s="0" t="s">
        <v>915</v>
      </c>
      <c r="D20" s="0" t="s">
        <v>842</v>
      </c>
      <c r="E20" s="0" t="s">
        <v>888</v>
      </c>
      <c r="F20" s="0" t="n">
        <v>29.5</v>
      </c>
      <c r="G20" s="11" t="n">
        <f aca="false">IFERROR(INDEX(CHOOSE(MATCH($X20,{"K1","K2","K3","K12","K13","H1","H2","H3","H12","H13"},0),Calc!$V$2:$V$105,Calc!$AC$2:$AC$105,Calc!$AJ$2:$AJ$105,Calc!$AL$2:$AL$105,Calc!$AM$2:$AM$105,Calc!$W$2:$W$105,Calc!$AD$2:$AD$105,Calc!$AK$2:$AK$105,Calc!$AN$2:$AN$105,Calc!$AO$2:$AO$105),MATCH($W20,Calc!$A$2:$A$105,0)),"")</f>
        <v>30.2172727272727</v>
      </c>
      <c r="H20" s="11" t="n">
        <f aca="false">IF(G20="","",IF(LEFT($X20,1)="H",SQRT(G20*(IFERROR(INDEX(Calc!$AP$2:$AP$105,MATCH($W20,Calc!$A$2:$A$105,0)),0.5)*Config!$B$5+1-IFERROR(INDEX(Calc!$AP$2:$AP$105,MATCH($W20,Calc!$A$2:$A$105,0)),0.5))),SQRT(G20*Config!$B$5)))</f>
        <v>6.50416649680663</v>
      </c>
      <c r="I20" s="10" t="n">
        <f aca="false">IF(OR(F20="",G20="",N(H20)&lt;=0),"",1-NORMDIST(FLOOR(F20,1)+0.5,G20,H20,TRUE()))</f>
        <v>0.543905929147058</v>
      </c>
      <c r="J20" s="10" t="n">
        <f aca="false">IF(I20="","",NORMDIST(CEILING(F20,1)-0.5,G20,H20,TRUE()))</f>
        <v>0.456094070852942</v>
      </c>
      <c r="K20" s="10" t="n">
        <f aca="false">IF(I20="","",MAX(0,1-I20-J20))</f>
        <v>0</v>
      </c>
      <c r="L20" s="0" t="str">
        <f aca="false">IF(I20="","",IF(I20&gt;=0.5+Config!$B$6,"OVER",IF(J20&gt;=0.5+Config!$B$6,"UNDER","—")))</f>
        <v>OVER</v>
      </c>
      <c r="N20" s="0" t="n">
        <v>29.8</v>
      </c>
      <c r="O20" s="10" t="n">
        <v>0.6</v>
      </c>
      <c r="P20" s="10" t="n">
        <v>0.6</v>
      </c>
      <c r="Q20" s="10" t="n">
        <v>0.6</v>
      </c>
      <c r="R20" s="9" t="s">
        <v>894</v>
      </c>
      <c r="S20" s="0" t="n">
        <v>-2</v>
      </c>
      <c r="T20" s="0" t="str">
        <f aca="false">INDEX(Calc!$G$2:$G$105,MATCH($W20,Calc!$A$2:$A$105,0))&amp;" / "&amp;INDEX(Calc!$H$2:$H$105,MATCH($W20,Calc!$A$2:$A$105,0))</f>
        <v>Inferno / Dust2</v>
      </c>
      <c r="U20" s="0" t="str">
        <f aca="false">TEXT(INDEX(Calc!$J$2:$J$105,MATCH($W20,Calc!$A$2:$A$105,0)),"0.0")&amp;" / "&amp;TEXT(INDEX(Calc!$K$2:$K$105,MATCH($W20,Calc!$A$2:$A$105,0)),"0.0")</f>
        <v>21.5 / 21.5</v>
      </c>
      <c r="V20" s="0" t="str">
        <f aca="false">IFERROR(INDEX(Calc!$AQ$2:$AQ$105,MATCH($W20,Calc!$A$2:$A$105,0)),"")</f>
        <v/>
      </c>
      <c r="W20" s="9" t="s">
        <v>916</v>
      </c>
      <c r="X20" s="9" t="s">
        <v>891</v>
      </c>
      <c r="Y20" s="0" t="str">
        <f aca="false">W20&amp;"|"&amp;X20</f>
        <v>4g49imv2ok4y1rr|CS2 [NO MARKET] · ASTR vs LG|K12</v>
      </c>
      <c r="Z20" s="11" t="n">
        <f aca="false">IFERROR(INDEX(CHOOSE(MATCH($X20,{"K1","K2","K3","K12","K13","H1","H2","H3","H12","H13"},0),Calc!$BA$2:$BA$105,Calc!$BB$2:$BB$105,Calc!$BC$2:$BC$105,Calc!$BD$2:$BD$105,Calc!$BE$2:$BE$105,Calc!$BF$2:$BF$105,Calc!$BG$2:$BG$105,Calc!$BH$2:$BH$105,Calc!$BI$2:$BI$105,Calc!$BJ$2:$BJ$105),MATCH($W20,Calc!$A$2:$A$105,0)),"")</f>
        <v>30.2172727272727</v>
      </c>
      <c r="AA20" s="11" t="n">
        <f aca="false">IF(Z20="","",IF(LEFT($X20,1)="H",SQRT(Z20*(IFERROR(INDEX(Calc!$AP$2:$AP$105,MATCH($W20,Calc!$A$2:$A$105,0)),0.5)*Config!$B$5+1-IFERROR(INDEX(Calc!$AP$2:$AP$105,MATCH($W20,Calc!$A$2:$A$105,0)),0.5))),SQRT(Z20*Config!$B$5)))</f>
        <v>6.50416649680663</v>
      </c>
      <c r="AB20" s="10" t="n">
        <f aca="false">IF(OR(F20="",Z20="",N(AA20)&lt;=0),"",1-NORMDIST(FLOOR(F20,1)+0.5,Z20,AA20,TRUE()))</f>
        <v>0.543905929147058</v>
      </c>
      <c r="AC20" s="10" t="n">
        <f aca="false">IF(AB20="","",NORMDIST(CEILING(F20,1)-0.5,Z20,AA20,TRUE()))</f>
        <v>0.456094070852942</v>
      </c>
      <c r="AD20" s="0" t="str">
        <f aca="false">IF(AB20="","",IF(AB20&gt;=0.5+Config!$B$6,"OVER",IF(AC20&gt;=0.5+Config!$B$6,"UNDER","—")))</f>
        <v>OVER</v>
      </c>
      <c r="AE20" s="13" t="n">
        <f aca="false">IFERROR(Z20/G20,"")</f>
        <v>1</v>
      </c>
    </row>
    <row r="21" customFormat="false" ht="15" hidden="false" customHeight="false" outlineLevel="0" collapsed="false">
      <c r="A21" s="0" t="s">
        <v>775</v>
      </c>
      <c r="B21" s="0" t="s">
        <v>850</v>
      </c>
      <c r="C21" s="0" t="s">
        <v>917</v>
      </c>
      <c r="D21" s="0" t="s">
        <v>855</v>
      </c>
      <c r="E21" s="0" t="s">
        <v>893</v>
      </c>
      <c r="F21" s="0" t="n">
        <v>13.5</v>
      </c>
      <c r="G21" s="11" t="n">
        <f aca="false">IFERROR(INDEX(CHOOSE(MATCH($X21,{"K1","K2","K3","K12","K13","H1","H2","H3","H12","H13"},0),Calc!$V$2:$V$105,Calc!$AC$2:$AC$105,Calc!$AJ$2:$AJ$105,Calc!$AL$2:$AL$105,Calc!$AM$2:$AM$105,Calc!$W$2:$W$105,Calc!$AD$2:$AD$105,Calc!$AK$2:$AK$105,Calc!$AN$2:$AN$105,Calc!$AO$2:$AO$105),MATCH($W21,Calc!$A$2:$A$105,0)),"")</f>
        <v>13.1306612869823</v>
      </c>
      <c r="H21" s="11" t="n">
        <f aca="false">IF(G21="","",IF(LEFT($X21,1)="H",SQRT(G21*(IFERROR(INDEX(Calc!$AP$2:$AP$105,MATCH($W21,Calc!$A$2:$A$105,0)),0.5)*Config!$B$5+1-IFERROR(INDEX(Calc!$AP$2:$AP$105,MATCH($W21,Calc!$A$2:$A$105,0)),0.5))),SQRT(G21*Config!$B$5)))</f>
        <v>3.97102998764694</v>
      </c>
      <c r="I21" s="10" t="n">
        <f aca="false">IF(OR(F21="",G21="",N(H21)&lt;=0),"",1-NORMDIST(FLOOR(F21,1)+0.5,G21,H21,TRUE()))</f>
        <v>0.462948487219892</v>
      </c>
      <c r="J21" s="10" t="n">
        <f aca="false">IF(I21="","",NORMDIST(CEILING(F21,1)-0.5,G21,H21,TRUE()))</f>
        <v>0.537051512780108</v>
      </c>
      <c r="K21" s="10" t="n">
        <f aca="false">IF(I21="","",MAX(0,1-I21-J21))</f>
        <v>0</v>
      </c>
      <c r="L21" s="0" t="str">
        <f aca="false">IF(I21="","",IF(I21&gt;=0.5+Config!$B$6,"OVER",IF(J21&gt;=0.5+Config!$B$6,"UNDER","—")))</f>
        <v>—</v>
      </c>
      <c r="N21" s="0" t="n">
        <v>13.7</v>
      </c>
      <c r="O21" s="10" t="n">
        <v>0.6</v>
      </c>
      <c r="P21" s="10" t="n">
        <v>0.7</v>
      </c>
      <c r="Q21" s="10" t="n">
        <v>0.67</v>
      </c>
      <c r="R21" s="9" t="s">
        <v>889</v>
      </c>
      <c r="S21" s="0" t="n">
        <v>-1</v>
      </c>
      <c r="T21" s="0" t="str">
        <f aca="false">INDEX(Calc!$G$2:$G$105,MATCH($W21,Calc!$A$2:$A$105,0))&amp;" / "&amp;INDEX(Calc!$H$2:$H$105,MATCH($W21,Calc!$A$2:$A$105,0))</f>
        <v>Cache / Dust2</v>
      </c>
      <c r="U21" s="0" t="str">
        <f aca="false">TEXT(INDEX(Calc!$J$2:$J$105,MATCH($W21,Calc!$A$2:$A$105,0)),"0.0")&amp;" / "&amp;TEXT(INDEX(Calc!$K$2:$K$105,MATCH($W21,Calc!$A$2:$A$105,0)),"0.0")</f>
        <v>21.5 / 21.5</v>
      </c>
      <c r="V21" s="0" t="str">
        <f aca="false">IFERROR(INDEX(Calc!$AQ$2:$AQ$105,MATCH($W21,Calc!$A$2:$A$105,0)),"")</f>
        <v/>
      </c>
      <c r="W21" s="9" t="s">
        <v>918</v>
      </c>
      <c r="X21" s="9" t="s">
        <v>896</v>
      </c>
      <c r="Y21" s="0" t="str">
        <f aca="false">W21&amp;"|"&amp;X21</f>
        <v>ghy1dudzs9kapjt|CS2 [NO MARKET] · FOKUS vs ex-ZT|H12</v>
      </c>
      <c r="Z21" s="11" t="n">
        <f aca="false">IFERROR(INDEX(CHOOSE(MATCH($X21,{"K1","K2","K3","K12","K13","H1","H2","H3","H12","H13"},0),Calc!$BA$2:$BA$105,Calc!$BB$2:$BB$105,Calc!$BC$2:$BC$105,Calc!$BD$2:$BD$105,Calc!$BE$2:$BE$105,Calc!$BF$2:$BF$105,Calc!$BG$2:$BG$105,Calc!$BH$2:$BH$105,Calc!$BI$2:$BI$105,Calc!$BJ$2:$BJ$105),MATCH($W21,Calc!$A$2:$A$105,0)),"")</f>
        <v>13.1306612869823</v>
      </c>
      <c r="AA21" s="11" t="n">
        <f aca="false">IF(Z21="","",IF(LEFT($X21,1)="H",SQRT(Z21*(IFERROR(INDEX(Calc!$AP$2:$AP$105,MATCH($W21,Calc!$A$2:$A$105,0)),0.5)*Config!$B$5+1-IFERROR(INDEX(Calc!$AP$2:$AP$105,MATCH($W21,Calc!$A$2:$A$105,0)),0.5))),SQRT(Z21*Config!$B$5)))</f>
        <v>3.97102998764694</v>
      </c>
      <c r="AB21" s="10" t="n">
        <f aca="false">IF(OR(F21="",Z21="",N(AA21)&lt;=0),"",1-NORMDIST(FLOOR(F21,1)+0.5,Z21,AA21,TRUE()))</f>
        <v>0.462948487219892</v>
      </c>
      <c r="AC21" s="10" t="n">
        <f aca="false">IF(AB21="","",NORMDIST(CEILING(F21,1)-0.5,Z21,AA21,TRUE()))</f>
        <v>0.537051512780108</v>
      </c>
      <c r="AD21" s="0" t="str">
        <f aca="false">IF(AB21="","",IF(AB21&gt;=0.5+Config!$B$6,"OVER",IF(AC21&gt;=0.5+Config!$B$6,"UNDER","—")))</f>
        <v>—</v>
      </c>
      <c r="AE21" s="13" t="n">
        <f aca="false">IFERROR(Z21/G21,"")</f>
        <v>1</v>
      </c>
    </row>
    <row r="22" customFormat="false" ht="15" hidden="false" customHeight="false" outlineLevel="0" collapsed="false">
      <c r="A22" s="0" t="s">
        <v>775</v>
      </c>
      <c r="B22" s="0" t="s">
        <v>850</v>
      </c>
      <c r="C22" s="0" t="s">
        <v>917</v>
      </c>
      <c r="D22" s="0" t="s">
        <v>855</v>
      </c>
      <c r="E22" s="0" t="s">
        <v>888</v>
      </c>
      <c r="F22" s="0" t="n">
        <v>28.5</v>
      </c>
      <c r="G22" s="11" t="n">
        <f aca="false">IFERROR(INDEX(CHOOSE(MATCH($X22,{"K1","K2","K3","K12","K13","H1","H2","H3","H12","H13"},0),Calc!$V$2:$V$105,Calc!$AC$2:$AC$105,Calc!$AJ$2:$AJ$105,Calc!$AL$2:$AL$105,Calc!$AM$2:$AM$105,Calc!$W$2:$W$105,Calc!$AD$2:$AD$105,Calc!$AK$2:$AK$105,Calc!$AN$2:$AN$105,Calc!$AO$2:$AO$105),MATCH($W22,Calc!$A$2:$A$105,0)),"")</f>
        <v>26.1390384615385</v>
      </c>
      <c r="H22" s="11" t="n">
        <f aca="false">IF(G22="","",IF(LEFT($X22,1)="H",SQRT(G22*(IFERROR(INDEX(Calc!$AP$2:$AP$105,MATCH($W22,Calc!$A$2:$A$105,0)),0.5)*Config!$B$5+1-IFERROR(INDEX(Calc!$AP$2:$AP$105,MATCH($W22,Calc!$A$2:$A$105,0)),0.5))),SQRT(G22*Config!$B$5)))</f>
        <v>6.04935152277943</v>
      </c>
      <c r="I22" s="10" t="n">
        <f aca="false">IF(OR(F22="",G22="",N(H22)&lt;=0),"",1-NORMDIST(FLOOR(F22,1)+0.5,G22,H22,TRUE()))</f>
        <v>0.348163494863792</v>
      </c>
      <c r="J22" s="10" t="n">
        <f aca="false">IF(I22="","",NORMDIST(CEILING(F22,1)-0.5,G22,H22,TRUE()))</f>
        <v>0.651836505136209</v>
      </c>
      <c r="K22" s="10" t="n">
        <f aca="false">IF(I22="","",MAX(0,1-I22-J22))</f>
        <v>0</v>
      </c>
      <c r="L22" s="0" t="str">
        <f aca="false">IF(I22="","",IF(I22&gt;=0.5+Config!$B$6,"OVER",IF(J22&gt;=0.5+Config!$B$6,"UNDER","—")))</f>
        <v>UNDER</v>
      </c>
      <c r="N22" s="0" t="n">
        <v>26.8</v>
      </c>
      <c r="O22" s="10" t="n">
        <v>0.6</v>
      </c>
      <c r="P22" s="10" t="n">
        <v>0.4</v>
      </c>
      <c r="Q22" s="10" t="n">
        <v>0.4</v>
      </c>
      <c r="R22" s="9" t="s">
        <v>894</v>
      </c>
      <c r="S22" s="0" t="n">
        <v>-1</v>
      </c>
      <c r="T22" s="0" t="str">
        <f aca="false">INDEX(Calc!$G$2:$G$105,MATCH($W22,Calc!$A$2:$A$105,0))&amp;" / "&amp;INDEX(Calc!$H$2:$H$105,MATCH($W22,Calc!$A$2:$A$105,0))</f>
        <v>Cache / Dust2</v>
      </c>
      <c r="U22" s="0" t="str">
        <f aca="false">TEXT(INDEX(Calc!$J$2:$J$105,MATCH($W22,Calc!$A$2:$A$105,0)),"0.0")&amp;" / "&amp;TEXT(INDEX(Calc!$K$2:$K$105,MATCH($W22,Calc!$A$2:$A$105,0)),"0.0")</f>
        <v>21.5 / 21.5</v>
      </c>
      <c r="V22" s="0" t="str">
        <f aca="false">IFERROR(INDEX(Calc!$AQ$2:$AQ$105,MATCH($W22,Calc!$A$2:$A$105,0)),"")</f>
        <v/>
      </c>
      <c r="W22" s="9" t="s">
        <v>918</v>
      </c>
      <c r="X22" s="9" t="s">
        <v>891</v>
      </c>
      <c r="Y22" s="0" t="str">
        <f aca="false">W22&amp;"|"&amp;X22</f>
        <v>ghy1dudzs9kapjt|CS2 [NO MARKET] · FOKUS vs ex-ZT|K12</v>
      </c>
      <c r="Z22" s="11" t="n">
        <f aca="false">IFERROR(INDEX(CHOOSE(MATCH($X22,{"K1","K2","K3","K12","K13","H1","H2","H3","H12","H13"},0),Calc!$BA$2:$BA$105,Calc!$BB$2:$BB$105,Calc!$BC$2:$BC$105,Calc!$BD$2:$BD$105,Calc!$BE$2:$BE$105,Calc!$BF$2:$BF$105,Calc!$BG$2:$BG$105,Calc!$BH$2:$BH$105,Calc!$BI$2:$BI$105,Calc!$BJ$2:$BJ$105),MATCH($W22,Calc!$A$2:$A$105,0)),"")</f>
        <v>26.1390384615385</v>
      </c>
      <c r="AA22" s="11" t="n">
        <f aca="false">IF(Z22="","",IF(LEFT($X22,1)="H",SQRT(Z22*(IFERROR(INDEX(Calc!$AP$2:$AP$105,MATCH($W22,Calc!$A$2:$A$105,0)),0.5)*Config!$B$5+1-IFERROR(INDEX(Calc!$AP$2:$AP$105,MATCH($W22,Calc!$A$2:$A$105,0)),0.5))),SQRT(Z22*Config!$B$5)))</f>
        <v>6.04935152277943</v>
      </c>
      <c r="AB22" s="10" t="n">
        <f aca="false">IF(OR(F22="",Z22="",N(AA22)&lt;=0),"",1-NORMDIST(FLOOR(F22,1)+0.5,Z22,AA22,TRUE()))</f>
        <v>0.348163494863792</v>
      </c>
      <c r="AC22" s="10" t="n">
        <f aca="false">IF(AB22="","",NORMDIST(CEILING(F22,1)-0.5,Z22,AA22,TRUE()))</f>
        <v>0.651836505136209</v>
      </c>
      <c r="AD22" s="0" t="str">
        <f aca="false">IF(AB22="","",IF(AB22&gt;=0.5+Config!$B$6,"OVER",IF(AC22&gt;=0.5+Config!$B$6,"UNDER","—")))</f>
        <v>UNDER</v>
      </c>
      <c r="AE22" s="13" t="n">
        <f aca="false">IFERROR(Z22/G22,"")</f>
        <v>1</v>
      </c>
    </row>
    <row r="23" customFormat="false" ht="15" hidden="false" customHeight="false" outlineLevel="0" collapsed="false">
      <c r="A23" s="0" t="s">
        <v>775</v>
      </c>
      <c r="B23" s="0" t="s">
        <v>850</v>
      </c>
      <c r="C23" s="0" t="s">
        <v>919</v>
      </c>
      <c r="D23" s="0" t="s">
        <v>855</v>
      </c>
      <c r="E23" s="0" t="s">
        <v>893</v>
      </c>
      <c r="F23" s="0" t="n">
        <v>15</v>
      </c>
      <c r="G23" s="11" t="n">
        <f aca="false">IFERROR(INDEX(CHOOSE(MATCH($X23,{"K1","K2","K3","K12","K13","H1","H2","H3","H12","H13"},0),Calc!$V$2:$V$105,Calc!$AC$2:$AC$105,Calc!$AJ$2:$AJ$105,Calc!$AL$2:$AL$105,Calc!$AM$2:$AM$105,Calc!$W$2:$W$105,Calc!$AD$2:$AD$105,Calc!$AK$2:$AK$105,Calc!$AN$2:$AN$105,Calc!$AO$2:$AO$105),MATCH($W23,Calc!$A$2:$A$105,0)),"")</f>
        <v>16.6735712278107</v>
      </c>
      <c r="H23" s="11" t="n">
        <f aca="false">IF(G23="","",IF(LEFT($X23,1)="H",SQRT(G23*(IFERROR(INDEX(Calc!$AP$2:$AP$105,MATCH($W23,Calc!$A$2:$A$105,0)),0.5)*Config!$B$5+1-IFERROR(INDEX(Calc!$AP$2:$AP$105,MATCH($W23,Calc!$A$2:$A$105,0)),0.5))),SQRT(G23*Config!$B$5)))</f>
        <v>4.46059682059019</v>
      </c>
      <c r="I23" s="10" t="n">
        <f aca="false">IF(OR(F23="",G23="",N(H23)&lt;=0),"",1-NORMDIST(FLOOR(F23,1)+0.5,G23,H23,TRUE()))</f>
        <v>0.603762228945485</v>
      </c>
      <c r="J23" s="10" t="n">
        <f aca="false">IF(I23="","",NORMDIST(CEILING(F23,1)-0.5,G23,H23,TRUE()))</f>
        <v>0.313029037435279</v>
      </c>
      <c r="K23" s="10" t="n">
        <f aca="false">IF(I23="","",MAX(0,1-I23-J23))</f>
        <v>0.0832087336192362</v>
      </c>
      <c r="L23" s="0" t="str">
        <f aca="false">IF(I23="","",IF(I23&gt;=0.5+Config!$B$6,"OVER",IF(J23&gt;=0.5+Config!$B$6,"UNDER","—")))</f>
        <v>OVER</v>
      </c>
      <c r="N23" s="0" t="n">
        <v>15.1</v>
      </c>
      <c r="O23" s="10" t="n">
        <v>0.4</v>
      </c>
      <c r="P23" s="10" t="n">
        <v>0.6</v>
      </c>
      <c r="Q23" s="10" t="n">
        <v>0.6</v>
      </c>
      <c r="R23" s="9" t="s">
        <v>920</v>
      </c>
      <c r="S23" s="0" t="n">
        <v>-2</v>
      </c>
      <c r="T23" s="0" t="str">
        <f aca="false">INDEX(Calc!$G$2:$G$105,MATCH($W23,Calc!$A$2:$A$105,0))&amp;" / "&amp;INDEX(Calc!$H$2:$H$105,MATCH($W23,Calc!$A$2:$A$105,0))</f>
        <v>Cache / Dust2</v>
      </c>
      <c r="U23" s="0" t="str">
        <f aca="false">TEXT(INDEX(Calc!$J$2:$J$105,MATCH($W23,Calc!$A$2:$A$105,0)),"0.0")&amp;" / "&amp;TEXT(INDEX(Calc!$K$2:$K$105,MATCH($W23,Calc!$A$2:$A$105,0)),"0.0")</f>
        <v>21.5 / 21.5</v>
      </c>
      <c r="V23" s="0" t="str">
        <f aca="false">IFERROR(INDEX(Calc!$AQ$2:$AQ$105,MATCH($W23,Calc!$A$2:$A$105,0)),"")</f>
        <v/>
      </c>
      <c r="W23" s="9" t="s">
        <v>921</v>
      </c>
      <c r="X23" s="9" t="s">
        <v>896</v>
      </c>
      <c r="Y23" s="0" t="str">
        <f aca="false">W23&amp;"|"&amp;X23</f>
        <v>x2emtl5gfecz2g5|CS2 [NO MARKET] · FOKUS vs ex-ZT|H12</v>
      </c>
      <c r="Z23" s="11" t="n">
        <f aca="false">IFERROR(INDEX(CHOOSE(MATCH($X23,{"K1","K2","K3","K12","K13","H1","H2","H3","H12","H13"},0),Calc!$BA$2:$BA$105,Calc!$BB$2:$BB$105,Calc!$BC$2:$BC$105,Calc!$BD$2:$BD$105,Calc!$BE$2:$BE$105,Calc!$BF$2:$BF$105,Calc!$BG$2:$BG$105,Calc!$BH$2:$BH$105,Calc!$BI$2:$BI$105,Calc!$BJ$2:$BJ$105),MATCH($W23,Calc!$A$2:$A$105,0)),"")</f>
        <v>16.6735712278107</v>
      </c>
      <c r="AA23" s="11" t="n">
        <f aca="false">IF(Z23="","",IF(LEFT($X23,1)="H",SQRT(Z23*(IFERROR(INDEX(Calc!$AP$2:$AP$105,MATCH($W23,Calc!$A$2:$A$105,0)),0.5)*Config!$B$5+1-IFERROR(INDEX(Calc!$AP$2:$AP$105,MATCH($W23,Calc!$A$2:$A$105,0)),0.5))),SQRT(Z23*Config!$B$5)))</f>
        <v>4.46059682059019</v>
      </c>
      <c r="AB23" s="10" t="n">
        <f aca="false">IF(OR(F23="",Z23="",N(AA23)&lt;=0),"",1-NORMDIST(FLOOR(F23,1)+0.5,Z23,AA23,TRUE()))</f>
        <v>0.603762228945485</v>
      </c>
      <c r="AC23" s="10" t="n">
        <f aca="false">IF(AB23="","",NORMDIST(CEILING(F23,1)-0.5,Z23,AA23,TRUE()))</f>
        <v>0.313029037435279</v>
      </c>
      <c r="AD23" s="0" t="str">
        <f aca="false">IF(AB23="","",IF(AB23&gt;=0.5+Config!$B$6,"OVER",IF(AC23&gt;=0.5+Config!$B$6,"UNDER","—")))</f>
        <v>OVER</v>
      </c>
      <c r="AE23" s="13" t="n">
        <f aca="false">IFERROR(Z23/G23,"")</f>
        <v>1</v>
      </c>
    </row>
    <row r="24" customFormat="false" ht="15" hidden="false" customHeight="false" outlineLevel="0" collapsed="false">
      <c r="A24" s="0" t="s">
        <v>775</v>
      </c>
      <c r="B24" s="0" t="s">
        <v>850</v>
      </c>
      <c r="C24" s="0" t="s">
        <v>919</v>
      </c>
      <c r="D24" s="0" t="s">
        <v>855</v>
      </c>
      <c r="E24" s="0" t="s">
        <v>888</v>
      </c>
      <c r="F24" s="0" t="n">
        <v>31.5</v>
      </c>
      <c r="G24" s="11" t="n">
        <f aca="false">IFERROR(INDEX(CHOOSE(MATCH($X24,{"K1","K2","K3","K12","K13","H1","H2","H3","H12","H13"},0),Calc!$V$2:$V$105,Calc!$AC$2:$AC$105,Calc!$AJ$2:$AJ$105,Calc!$AL$2:$AL$105,Calc!$AM$2:$AM$105,Calc!$W$2:$W$105,Calc!$AD$2:$AD$105,Calc!$AK$2:$AK$105,Calc!$AN$2:$AN$105,Calc!$AO$2:$AO$105),MATCH($W24,Calc!$A$2:$A$105,0)),"")</f>
        <v>34.4992307692308</v>
      </c>
      <c r="H24" s="11" t="n">
        <f aca="false">IF(G24="","",IF(LEFT($X24,1)="H",SQRT(G24*(IFERROR(INDEX(Calc!$AP$2:$AP$105,MATCH($W24,Calc!$A$2:$A$105,0)),0.5)*Config!$B$5+1-IFERROR(INDEX(Calc!$AP$2:$AP$105,MATCH($W24,Calc!$A$2:$A$105,0)),0.5))),SQRT(G24*Config!$B$5)))</f>
        <v>6.94974266264033</v>
      </c>
      <c r="I24" s="10" t="n">
        <f aca="false">IF(OR(F24="",G24="",N(H24)&lt;=0),"",1-NORMDIST(FLOOR(F24,1)+0.5,G24,H24,TRUE()))</f>
        <v>0.666969373016315</v>
      </c>
      <c r="J24" s="10" t="n">
        <f aca="false">IF(I24="","",NORMDIST(CEILING(F24,1)-0.5,G24,H24,TRUE()))</f>
        <v>0.333030626983685</v>
      </c>
      <c r="K24" s="10" t="n">
        <f aca="false">IF(I24="","",MAX(0,1-I24-J24))</f>
        <v>0</v>
      </c>
      <c r="L24" s="0" t="str">
        <f aca="false">IF(I24="","",IF(I24&gt;=0.5+Config!$B$6,"OVER",IF(J24&gt;=0.5+Config!$B$6,"UNDER","—")))</f>
        <v>OVER</v>
      </c>
      <c r="N24" s="0" t="n">
        <v>32.3</v>
      </c>
      <c r="O24" s="10" t="n">
        <v>0.4</v>
      </c>
      <c r="P24" s="10" t="n">
        <v>0.5</v>
      </c>
      <c r="Q24" s="10" t="n">
        <v>0.6</v>
      </c>
      <c r="R24" s="9" t="s">
        <v>920</v>
      </c>
      <c r="S24" s="0" t="n">
        <v>-2</v>
      </c>
      <c r="T24" s="0" t="str">
        <f aca="false">INDEX(Calc!$G$2:$G$105,MATCH($W24,Calc!$A$2:$A$105,0))&amp;" / "&amp;INDEX(Calc!$H$2:$H$105,MATCH($W24,Calc!$A$2:$A$105,0))</f>
        <v>Cache / Dust2</v>
      </c>
      <c r="U24" s="0" t="str">
        <f aca="false">TEXT(INDEX(Calc!$J$2:$J$105,MATCH($W24,Calc!$A$2:$A$105,0)),"0.0")&amp;" / "&amp;TEXT(INDEX(Calc!$K$2:$K$105,MATCH($W24,Calc!$A$2:$A$105,0)),"0.0")</f>
        <v>21.5 / 21.5</v>
      </c>
      <c r="V24" s="0" t="str">
        <f aca="false">IFERROR(INDEX(Calc!$AQ$2:$AQ$105,MATCH($W24,Calc!$A$2:$A$105,0)),"")</f>
        <v/>
      </c>
      <c r="W24" s="9" t="s">
        <v>921</v>
      </c>
      <c r="X24" s="9" t="s">
        <v>891</v>
      </c>
      <c r="Y24" s="0" t="str">
        <f aca="false">W24&amp;"|"&amp;X24</f>
        <v>x2emtl5gfecz2g5|CS2 [NO MARKET] · FOKUS vs ex-ZT|K12</v>
      </c>
      <c r="Z24" s="11" t="n">
        <f aca="false">IFERROR(INDEX(CHOOSE(MATCH($X24,{"K1","K2","K3","K12","K13","H1","H2","H3","H12","H13"},0),Calc!$BA$2:$BA$105,Calc!$BB$2:$BB$105,Calc!$BC$2:$BC$105,Calc!$BD$2:$BD$105,Calc!$BE$2:$BE$105,Calc!$BF$2:$BF$105,Calc!$BG$2:$BG$105,Calc!$BH$2:$BH$105,Calc!$BI$2:$BI$105,Calc!$BJ$2:$BJ$105),MATCH($W24,Calc!$A$2:$A$105,0)),"")</f>
        <v>34.4992307692308</v>
      </c>
      <c r="AA24" s="11" t="n">
        <f aca="false">IF(Z24="","",IF(LEFT($X24,1)="H",SQRT(Z24*(IFERROR(INDEX(Calc!$AP$2:$AP$105,MATCH($W24,Calc!$A$2:$A$105,0)),0.5)*Config!$B$5+1-IFERROR(INDEX(Calc!$AP$2:$AP$105,MATCH($W24,Calc!$A$2:$A$105,0)),0.5))),SQRT(Z24*Config!$B$5)))</f>
        <v>6.94974266264033</v>
      </c>
      <c r="AB24" s="10" t="n">
        <f aca="false">IF(OR(F24="",Z24="",N(AA24)&lt;=0),"",1-NORMDIST(FLOOR(F24,1)+0.5,Z24,AA24,TRUE()))</f>
        <v>0.666969373016315</v>
      </c>
      <c r="AC24" s="10" t="n">
        <f aca="false">IF(AB24="","",NORMDIST(CEILING(F24,1)-0.5,Z24,AA24,TRUE()))</f>
        <v>0.333030626983685</v>
      </c>
      <c r="AD24" s="0" t="str">
        <f aca="false">IF(AB24="","",IF(AB24&gt;=0.5+Config!$B$6,"OVER",IF(AC24&gt;=0.5+Config!$B$6,"UNDER","—")))</f>
        <v>OVER</v>
      </c>
      <c r="AE24" s="13" t="n">
        <f aca="false">IFERROR(Z24/G24,"")</f>
        <v>1</v>
      </c>
    </row>
    <row r="25" customFormat="false" ht="15" hidden="false" customHeight="false" outlineLevel="0" collapsed="false">
      <c r="A25" s="0" t="s">
        <v>775</v>
      </c>
      <c r="B25" s="0" t="s">
        <v>850</v>
      </c>
      <c r="C25" s="0" t="s">
        <v>922</v>
      </c>
      <c r="D25" s="0" t="s">
        <v>855</v>
      </c>
      <c r="E25" s="0" t="s">
        <v>893</v>
      </c>
      <c r="F25" s="0" t="n">
        <v>19.5</v>
      </c>
      <c r="G25" s="11" t="n">
        <f aca="false">IFERROR(INDEX(CHOOSE(MATCH($X25,{"K1","K2","K3","K12","K13","H1","H2","H3","H12","H13"},0),Calc!$V$2:$V$105,Calc!$AC$2:$AC$105,Calc!$AJ$2:$AJ$105,Calc!$AL$2:$AL$105,Calc!$AM$2:$AM$105,Calc!$W$2:$W$105,Calc!$AD$2:$AD$105,Calc!$AK$2:$AK$105,Calc!$AN$2:$AN$105,Calc!$AO$2:$AO$105),MATCH($W25,Calc!$A$2:$A$105,0)),"")</f>
        <v>18.9625585502959</v>
      </c>
      <c r="H25" s="11" t="n">
        <f aca="false">IF(G25="","",IF(LEFT($X25,1)="H",SQRT(G25*(IFERROR(INDEX(Calc!$AP$2:$AP$105,MATCH($W25,Calc!$A$2:$A$105,0)),0.5)*Config!$B$5+1-IFERROR(INDEX(Calc!$AP$2:$AP$105,MATCH($W25,Calc!$A$2:$A$105,0)),0.5))),SQRT(G25*Config!$B$5)))</f>
        <v>4.82137266142763</v>
      </c>
      <c r="I25" s="10" t="n">
        <f aca="false">IF(OR(F25="",G25="",N(H25)&lt;=0),"",1-NORMDIST(FLOOR(F25,1)+0.5,G25,H25,TRUE()))</f>
        <v>0.455621577008749</v>
      </c>
      <c r="J25" s="10" t="n">
        <f aca="false">IF(I25="","",NORMDIST(CEILING(F25,1)-0.5,G25,H25,TRUE()))</f>
        <v>0.544378422991251</v>
      </c>
      <c r="K25" s="10" t="n">
        <f aca="false">IF(I25="","",MAX(0,1-I25-J25))</f>
        <v>0</v>
      </c>
      <c r="L25" s="0" t="str">
        <f aca="false">IF(I25="","",IF(I25&gt;=0.5+Config!$B$6,"OVER",IF(J25&gt;=0.5+Config!$B$6,"UNDER","—")))</f>
        <v>UNDER</v>
      </c>
      <c r="N25" s="0" t="n">
        <v>20.7</v>
      </c>
      <c r="O25" s="10" t="n">
        <v>0.6</v>
      </c>
      <c r="P25" s="10" t="n">
        <v>0.6</v>
      </c>
      <c r="Q25" s="10" t="n">
        <v>0.53</v>
      </c>
      <c r="R25" s="9" t="s">
        <v>889</v>
      </c>
      <c r="S25" s="0" t="n">
        <v>-1</v>
      </c>
      <c r="T25" s="0" t="str">
        <f aca="false">INDEX(Calc!$G$2:$G$105,MATCH($W25,Calc!$A$2:$A$105,0))&amp;" / "&amp;INDEX(Calc!$H$2:$H$105,MATCH($W25,Calc!$A$2:$A$105,0))</f>
        <v>Cache / Dust2</v>
      </c>
      <c r="U25" s="0" t="str">
        <f aca="false">TEXT(INDEX(Calc!$J$2:$J$105,MATCH($W25,Calc!$A$2:$A$105,0)),"0.0")&amp;" / "&amp;TEXT(INDEX(Calc!$K$2:$K$105,MATCH($W25,Calc!$A$2:$A$105,0)),"0.0")</f>
        <v>21.5 / 21.5</v>
      </c>
      <c r="V25" s="0" t="str">
        <f aca="false">IFERROR(INDEX(Calc!$AQ$2:$AQ$105,MATCH($W25,Calc!$A$2:$A$105,0)),"")</f>
        <v/>
      </c>
      <c r="W25" s="9" t="s">
        <v>923</v>
      </c>
      <c r="X25" s="9" t="s">
        <v>896</v>
      </c>
      <c r="Y25" s="0" t="str">
        <f aca="false">W25&amp;"|"&amp;X25</f>
        <v>dhsfp2nlwaldqcx|CS2 [NO MARKET] · FOKUS vs ex-ZT|H12</v>
      </c>
      <c r="Z25" s="11" t="n">
        <f aca="false">IFERROR(INDEX(CHOOSE(MATCH($X25,{"K1","K2","K3","K12","K13","H1","H2","H3","H12","H13"},0),Calc!$BA$2:$BA$105,Calc!$BB$2:$BB$105,Calc!$BC$2:$BC$105,Calc!$BD$2:$BD$105,Calc!$BE$2:$BE$105,Calc!$BF$2:$BF$105,Calc!$BG$2:$BG$105,Calc!$BH$2:$BH$105,Calc!$BI$2:$BI$105,Calc!$BJ$2:$BJ$105),MATCH($W25,Calc!$A$2:$A$105,0)),"")</f>
        <v>18.9625585502959</v>
      </c>
      <c r="AA25" s="11" t="n">
        <f aca="false">IF(Z25="","",IF(LEFT($X25,1)="H",SQRT(Z25*(IFERROR(INDEX(Calc!$AP$2:$AP$105,MATCH($W25,Calc!$A$2:$A$105,0)),0.5)*Config!$B$5+1-IFERROR(INDEX(Calc!$AP$2:$AP$105,MATCH($W25,Calc!$A$2:$A$105,0)),0.5))),SQRT(Z25*Config!$B$5)))</f>
        <v>4.82137266142763</v>
      </c>
      <c r="AB25" s="10" t="n">
        <f aca="false">IF(OR(F25="",Z25="",N(AA25)&lt;=0),"",1-NORMDIST(FLOOR(F25,1)+0.5,Z25,AA25,TRUE()))</f>
        <v>0.455621577008749</v>
      </c>
      <c r="AC25" s="10" t="n">
        <f aca="false">IF(AB25="","",NORMDIST(CEILING(F25,1)-0.5,Z25,AA25,TRUE()))</f>
        <v>0.544378422991251</v>
      </c>
      <c r="AD25" s="0" t="str">
        <f aca="false">IF(AB25="","",IF(AB25&gt;=0.5+Config!$B$6,"OVER",IF(AC25&gt;=0.5+Config!$B$6,"UNDER","—")))</f>
        <v>UNDER</v>
      </c>
      <c r="AE25" s="13" t="n">
        <f aca="false">IFERROR(Z25/G25,"")</f>
        <v>1</v>
      </c>
    </row>
    <row r="26" customFormat="false" ht="15" hidden="false" customHeight="false" outlineLevel="0" collapsed="false">
      <c r="A26" s="0" t="s">
        <v>775</v>
      </c>
      <c r="B26" s="0" t="s">
        <v>850</v>
      </c>
      <c r="C26" s="0" t="s">
        <v>922</v>
      </c>
      <c r="D26" s="0" t="s">
        <v>855</v>
      </c>
      <c r="E26" s="0" t="s">
        <v>888</v>
      </c>
      <c r="F26" s="0" t="n">
        <v>32.5</v>
      </c>
      <c r="G26" s="11" t="n">
        <f aca="false">IFERROR(INDEX(CHOOSE(MATCH($X26,{"K1","K2","K3","K12","K13","H1","H2","H3","H12","H13"},0),Calc!$V$2:$V$105,Calc!$AC$2:$AC$105,Calc!$AJ$2:$AJ$105,Calc!$AL$2:$AL$105,Calc!$AM$2:$AM$105,Calc!$W$2:$W$105,Calc!$AD$2:$AD$105,Calc!$AK$2:$AK$105,Calc!$AN$2:$AN$105,Calc!$AO$2:$AO$105),MATCH($W26,Calc!$A$2:$A$105,0)),"")</f>
        <v>33.5813461538462</v>
      </c>
      <c r="H26" s="11" t="n">
        <f aca="false">IF(G26="","",IF(LEFT($X26,1)="H",SQRT(G26*(IFERROR(INDEX(Calc!$AP$2:$AP$105,MATCH($W26,Calc!$A$2:$A$105,0)),0.5)*Config!$B$5+1-IFERROR(INDEX(Calc!$AP$2:$AP$105,MATCH($W26,Calc!$A$2:$A$105,0)),0.5))),SQRT(G26*Config!$B$5)))</f>
        <v>6.85666716527677</v>
      </c>
      <c r="I26" s="10" t="n">
        <f aca="false">IF(OR(F26="",G26="",N(H26)&lt;=0),"",1-NORMDIST(FLOOR(F26,1)+0.5,G26,H26,TRUE()))</f>
        <v>0.562656258124647</v>
      </c>
      <c r="J26" s="10" t="n">
        <f aca="false">IF(I26="","",NORMDIST(CEILING(F26,1)-0.5,G26,H26,TRUE()))</f>
        <v>0.437343741875353</v>
      </c>
      <c r="K26" s="10" t="n">
        <f aca="false">IF(I26="","",MAX(0,1-I26-J26))</f>
        <v>0</v>
      </c>
      <c r="L26" s="0" t="str">
        <f aca="false">IF(I26="","",IF(I26&gt;=0.5+Config!$B$6,"OVER",IF(J26&gt;=0.5+Config!$B$6,"UNDER","—")))</f>
        <v>OVER</v>
      </c>
      <c r="N26" s="0" t="n">
        <v>34.8</v>
      </c>
      <c r="O26" s="10" t="n">
        <v>0.6</v>
      </c>
      <c r="P26" s="10" t="n">
        <v>0.7</v>
      </c>
      <c r="Q26" s="10" t="n">
        <v>0.53</v>
      </c>
      <c r="R26" s="9" t="s">
        <v>889</v>
      </c>
      <c r="S26" s="0" t="n">
        <v>-1</v>
      </c>
      <c r="T26" s="0" t="str">
        <f aca="false">INDEX(Calc!$G$2:$G$105,MATCH($W26,Calc!$A$2:$A$105,0))&amp;" / "&amp;INDEX(Calc!$H$2:$H$105,MATCH($W26,Calc!$A$2:$A$105,0))</f>
        <v>Cache / Dust2</v>
      </c>
      <c r="U26" s="0" t="str">
        <f aca="false">TEXT(INDEX(Calc!$J$2:$J$105,MATCH($W26,Calc!$A$2:$A$105,0)),"0.0")&amp;" / "&amp;TEXT(INDEX(Calc!$K$2:$K$105,MATCH($W26,Calc!$A$2:$A$105,0)),"0.0")</f>
        <v>21.5 / 21.5</v>
      </c>
      <c r="V26" s="0" t="str">
        <f aca="false">IFERROR(INDEX(Calc!$AQ$2:$AQ$105,MATCH($W26,Calc!$A$2:$A$105,0)),"")</f>
        <v/>
      </c>
      <c r="W26" s="9" t="s">
        <v>923</v>
      </c>
      <c r="X26" s="9" t="s">
        <v>891</v>
      </c>
      <c r="Y26" s="0" t="str">
        <f aca="false">W26&amp;"|"&amp;X26</f>
        <v>dhsfp2nlwaldqcx|CS2 [NO MARKET] · FOKUS vs ex-ZT|K12</v>
      </c>
      <c r="Z26" s="11" t="n">
        <f aca="false">IFERROR(INDEX(CHOOSE(MATCH($X26,{"K1","K2","K3","K12","K13","H1","H2","H3","H12","H13"},0),Calc!$BA$2:$BA$105,Calc!$BB$2:$BB$105,Calc!$BC$2:$BC$105,Calc!$BD$2:$BD$105,Calc!$BE$2:$BE$105,Calc!$BF$2:$BF$105,Calc!$BG$2:$BG$105,Calc!$BH$2:$BH$105,Calc!$BI$2:$BI$105,Calc!$BJ$2:$BJ$105),MATCH($W26,Calc!$A$2:$A$105,0)),"")</f>
        <v>33.5813461538462</v>
      </c>
      <c r="AA26" s="11" t="n">
        <f aca="false">IF(Z26="","",IF(LEFT($X26,1)="H",SQRT(Z26*(IFERROR(INDEX(Calc!$AP$2:$AP$105,MATCH($W26,Calc!$A$2:$A$105,0)),0.5)*Config!$B$5+1-IFERROR(INDEX(Calc!$AP$2:$AP$105,MATCH($W26,Calc!$A$2:$A$105,0)),0.5))),SQRT(Z26*Config!$B$5)))</f>
        <v>6.85666716527677</v>
      </c>
      <c r="AB26" s="10" t="n">
        <f aca="false">IF(OR(F26="",Z26="",N(AA26)&lt;=0),"",1-NORMDIST(FLOOR(F26,1)+0.5,Z26,AA26,TRUE()))</f>
        <v>0.562656258124647</v>
      </c>
      <c r="AC26" s="10" t="n">
        <f aca="false">IF(AB26="","",NORMDIST(CEILING(F26,1)-0.5,Z26,AA26,TRUE()))</f>
        <v>0.437343741875353</v>
      </c>
      <c r="AD26" s="0" t="str">
        <f aca="false">IF(AB26="","",IF(AB26&gt;=0.5+Config!$B$6,"OVER",IF(AC26&gt;=0.5+Config!$B$6,"UNDER","—")))</f>
        <v>OVER</v>
      </c>
      <c r="AE26" s="13" t="n">
        <f aca="false">IFERROR(Z26/G26,"")</f>
        <v>1</v>
      </c>
    </row>
    <row r="27" customFormat="false" ht="15" hidden="false" customHeight="false" outlineLevel="0" collapsed="false">
      <c r="A27" s="0" t="s">
        <v>775</v>
      </c>
      <c r="B27" s="0" t="s">
        <v>850</v>
      </c>
      <c r="C27" s="0" t="s">
        <v>924</v>
      </c>
      <c r="D27" s="0" t="s">
        <v>855</v>
      </c>
      <c r="E27" s="0" t="s">
        <v>893</v>
      </c>
      <c r="F27" s="0" t="n">
        <v>9.5</v>
      </c>
      <c r="G27" s="11" t="n">
        <f aca="false">IFERROR(INDEX(CHOOSE(MATCH($X27,{"K1","K2","K3","K12","K13","H1","H2","H3","H12","H13"},0),Calc!$V$2:$V$105,Calc!$AC$2:$AC$105,Calc!$AJ$2:$AJ$105,Calc!$AL$2:$AL$105,Calc!$AM$2:$AM$105,Calc!$W$2:$W$105,Calc!$AD$2:$AD$105,Calc!$AK$2:$AK$105,Calc!$AN$2:$AN$105,Calc!$AO$2:$AO$105),MATCH($W27,Calc!$A$2:$A$105,0)),"")</f>
        <v>8.84756836538462</v>
      </c>
      <c r="H27" s="11" t="n">
        <f aca="false">IF(G27="","",IF(LEFT($X27,1)="H",SQRT(G27*(IFERROR(INDEX(Calc!$AP$2:$AP$105,MATCH($W27,Calc!$A$2:$A$105,0)),0.5)*Config!$B$5+1-IFERROR(INDEX(Calc!$AP$2:$AP$105,MATCH($W27,Calc!$A$2:$A$105,0)),0.5))),SQRT(G27*Config!$B$5)))</f>
        <v>3.15124824612538</v>
      </c>
      <c r="I27" s="10" t="n">
        <f aca="false">IF(OR(F27="",G27="",N(H27)&lt;=0),"",1-NORMDIST(FLOOR(F27,1)+0.5,G27,H27,TRUE()))</f>
        <v>0.417989657110766</v>
      </c>
      <c r="J27" s="10" t="n">
        <f aca="false">IF(I27="","",NORMDIST(CEILING(F27,1)-0.5,G27,H27,TRUE()))</f>
        <v>0.582010342889234</v>
      </c>
      <c r="K27" s="10" t="n">
        <f aca="false">IF(I27="","",MAX(0,1-I27-J27))</f>
        <v>0</v>
      </c>
      <c r="L27" s="0" t="str">
        <f aca="false">IF(I27="","",IF(I27&gt;=0.5+Config!$B$6,"OVER",IF(J27&gt;=0.5+Config!$B$6,"UNDER","—")))</f>
        <v>UNDER</v>
      </c>
      <c r="N27" s="0" t="n">
        <v>8.3</v>
      </c>
      <c r="O27" s="10" t="n">
        <v>0</v>
      </c>
      <c r="P27" s="10" t="n">
        <v>0.2</v>
      </c>
      <c r="Q27" s="10" t="n">
        <v>0.33</v>
      </c>
      <c r="R27" s="9" t="s">
        <v>894</v>
      </c>
      <c r="S27" s="0" t="n">
        <v>-5</v>
      </c>
      <c r="T27" s="0" t="str">
        <f aca="false">INDEX(Calc!$G$2:$G$105,MATCH($W27,Calc!$A$2:$A$105,0))&amp;" / "&amp;INDEX(Calc!$H$2:$H$105,MATCH($W27,Calc!$A$2:$A$105,0))</f>
        <v>Cache / Dust2</v>
      </c>
      <c r="U27" s="0" t="str">
        <f aca="false">TEXT(INDEX(Calc!$J$2:$J$105,MATCH($W27,Calc!$A$2:$A$105,0)),"0.0")&amp;" / "&amp;TEXT(INDEX(Calc!$K$2:$K$105,MATCH($W27,Calc!$A$2:$A$105,0)),"0.0")</f>
        <v>21.5 / 21.5</v>
      </c>
      <c r="V27" s="0" t="str">
        <f aca="false">IFERROR(INDEX(Calc!$AQ$2:$AQ$105,MATCH($W27,Calc!$A$2:$A$105,0)),"")</f>
        <v/>
      </c>
      <c r="W27" s="9" t="s">
        <v>925</v>
      </c>
      <c r="X27" s="9" t="s">
        <v>896</v>
      </c>
      <c r="Y27" s="0" t="str">
        <f aca="false">W27&amp;"|"&amp;X27</f>
        <v>86isvekrtorp4vs|CS2 [NO MARKET] · FOKUS vs ex-ZT|H12</v>
      </c>
      <c r="Z27" s="11" t="n">
        <f aca="false">IFERROR(INDEX(CHOOSE(MATCH($X27,{"K1","K2","K3","K12","K13","H1","H2","H3","H12","H13"},0),Calc!$BA$2:$BA$105,Calc!$BB$2:$BB$105,Calc!$BC$2:$BC$105,Calc!$BD$2:$BD$105,Calc!$BE$2:$BE$105,Calc!$BF$2:$BF$105,Calc!$BG$2:$BG$105,Calc!$BH$2:$BH$105,Calc!$BI$2:$BI$105,Calc!$BJ$2:$BJ$105),MATCH($W27,Calc!$A$2:$A$105,0)),"")</f>
        <v>8.84756836538462</v>
      </c>
      <c r="AA27" s="11" t="n">
        <f aca="false">IF(Z27="","",IF(LEFT($X27,1)="H",SQRT(Z27*(IFERROR(INDEX(Calc!$AP$2:$AP$105,MATCH($W27,Calc!$A$2:$A$105,0)),0.5)*Config!$B$5+1-IFERROR(INDEX(Calc!$AP$2:$AP$105,MATCH($W27,Calc!$A$2:$A$105,0)),0.5))),SQRT(Z27*Config!$B$5)))</f>
        <v>3.15124824612538</v>
      </c>
      <c r="AB27" s="10" t="n">
        <f aca="false">IF(OR(F27="",Z27="",N(AA27)&lt;=0),"",1-NORMDIST(FLOOR(F27,1)+0.5,Z27,AA27,TRUE()))</f>
        <v>0.417989657110766</v>
      </c>
      <c r="AC27" s="10" t="n">
        <f aca="false">IF(AB27="","",NORMDIST(CEILING(F27,1)-0.5,Z27,AA27,TRUE()))</f>
        <v>0.582010342889234</v>
      </c>
      <c r="AD27" s="0" t="str">
        <f aca="false">IF(AB27="","",IF(AB27&gt;=0.5+Config!$B$6,"OVER",IF(AC27&gt;=0.5+Config!$B$6,"UNDER","—")))</f>
        <v>UNDER</v>
      </c>
      <c r="AE27" s="13" t="n">
        <f aca="false">IFERROR(Z27/G27,"")</f>
        <v>1</v>
      </c>
    </row>
    <row r="28" customFormat="false" ht="15" hidden="false" customHeight="false" outlineLevel="0" collapsed="false">
      <c r="A28" s="0" t="s">
        <v>775</v>
      </c>
      <c r="B28" s="0" t="s">
        <v>850</v>
      </c>
      <c r="C28" s="0" t="s">
        <v>924</v>
      </c>
      <c r="D28" s="0" t="s">
        <v>855</v>
      </c>
      <c r="E28" s="0" t="s">
        <v>888</v>
      </c>
      <c r="F28" s="0" t="n">
        <v>30.5</v>
      </c>
      <c r="G28" s="11" t="n">
        <f aca="false">IFERROR(INDEX(CHOOSE(MATCH($X28,{"K1","K2","K3","K12","K13","H1","H2","H3","H12","H13"},0),Calc!$V$2:$V$105,Calc!$AC$2:$AC$105,Calc!$AJ$2:$AJ$105,Calc!$AL$2:$AL$105,Calc!$AM$2:$AM$105,Calc!$W$2:$W$105,Calc!$AD$2:$AD$105,Calc!$AK$2:$AK$105,Calc!$AN$2:$AN$105,Calc!$AO$2:$AO$105),MATCH($W28,Calc!$A$2:$A$105,0)),"")</f>
        <v>28.9175</v>
      </c>
      <c r="H28" s="11" t="n">
        <f aca="false">IF(G28="","",IF(LEFT($X28,1)="H",SQRT(G28*(IFERROR(INDEX(Calc!$AP$2:$AP$105,MATCH($W28,Calc!$A$2:$A$105,0)),0.5)*Config!$B$5+1-IFERROR(INDEX(Calc!$AP$2:$AP$105,MATCH($W28,Calc!$A$2:$A$105,0)),0.5))),SQRT(G28*Config!$B$5)))</f>
        <v>6.36274311912716</v>
      </c>
      <c r="I28" s="10" t="n">
        <f aca="false">IF(OR(F28="",G28="",N(H28)&lt;=0),"",1-NORMDIST(FLOOR(F28,1)+0.5,G28,H28,TRUE()))</f>
        <v>0.401791209449669</v>
      </c>
      <c r="J28" s="10" t="n">
        <f aca="false">IF(I28="","",NORMDIST(CEILING(F28,1)-0.5,G28,H28,TRUE()))</f>
        <v>0.598208790550331</v>
      </c>
      <c r="K28" s="10" t="n">
        <f aca="false">IF(I28="","",MAX(0,1-I28-J28))</f>
        <v>0</v>
      </c>
      <c r="L28" s="0" t="str">
        <f aca="false">IF(I28="","",IF(I28&gt;=0.5+Config!$B$6,"OVER",IF(J28&gt;=0.5+Config!$B$6,"UNDER","—")))</f>
        <v>UNDER</v>
      </c>
      <c r="N28" s="0" t="n">
        <v>28.4</v>
      </c>
      <c r="O28" s="10" t="n">
        <v>0.4</v>
      </c>
      <c r="P28" s="10" t="n">
        <v>0.5</v>
      </c>
      <c r="Q28" s="10" t="n">
        <v>0.4</v>
      </c>
      <c r="R28" s="9" t="s">
        <v>889</v>
      </c>
      <c r="S28" s="0" t="n">
        <v>-2</v>
      </c>
      <c r="T28" s="0" t="str">
        <f aca="false">INDEX(Calc!$G$2:$G$105,MATCH($W28,Calc!$A$2:$A$105,0))&amp;" / "&amp;INDEX(Calc!$H$2:$H$105,MATCH($W28,Calc!$A$2:$A$105,0))</f>
        <v>Cache / Dust2</v>
      </c>
      <c r="U28" s="0" t="str">
        <f aca="false">TEXT(INDEX(Calc!$J$2:$J$105,MATCH($W28,Calc!$A$2:$A$105,0)),"0.0")&amp;" / "&amp;TEXT(INDEX(Calc!$K$2:$K$105,MATCH($W28,Calc!$A$2:$A$105,0)),"0.0")</f>
        <v>21.5 / 21.5</v>
      </c>
      <c r="V28" s="0" t="str">
        <f aca="false">IFERROR(INDEX(Calc!$AQ$2:$AQ$105,MATCH($W28,Calc!$A$2:$A$105,0)),"")</f>
        <v/>
      </c>
      <c r="W28" s="9" t="s">
        <v>925</v>
      </c>
      <c r="X28" s="9" t="s">
        <v>891</v>
      </c>
      <c r="Y28" s="0" t="str">
        <f aca="false">W28&amp;"|"&amp;X28</f>
        <v>86isvekrtorp4vs|CS2 [NO MARKET] · FOKUS vs ex-ZT|K12</v>
      </c>
      <c r="Z28" s="11" t="n">
        <f aca="false">IFERROR(INDEX(CHOOSE(MATCH($X28,{"K1","K2","K3","K12","K13","H1","H2","H3","H12","H13"},0),Calc!$BA$2:$BA$105,Calc!$BB$2:$BB$105,Calc!$BC$2:$BC$105,Calc!$BD$2:$BD$105,Calc!$BE$2:$BE$105,Calc!$BF$2:$BF$105,Calc!$BG$2:$BG$105,Calc!$BH$2:$BH$105,Calc!$BI$2:$BI$105,Calc!$BJ$2:$BJ$105),MATCH($W28,Calc!$A$2:$A$105,0)),"")</f>
        <v>28.9175</v>
      </c>
      <c r="AA28" s="11" t="n">
        <f aca="false">IF(Z28="","",IF(LEFT($X28,1)="H",SQRT(Z28*(IFERROR(INDEX(Calc!$AP$2:$AP$105,MATCH($W28,Calc!$A$2:$A$105,0)),0.5)*Config!$B$5+1-IFERROR(INDEX(Calc!$AP$2:$AP$105,MATCH($W28,Calc!$A$2:$A$105,0)),0.5))),SQRT(Z28*Config!$B$5)))</f>
        <v>6.36274311912716</v>
      </c>
      <c r="AB28" s="10" t="n">
        <f aca="false">IF(OR(F28="",Z28="",N(AA28)&lt;=0),"",1-NORMDIST(FLOOR(F28,1)+0.5,Z28,AA28,TRUE()))</f>
        <v>0.401791209449669</v>
      </c>
      <c r="AC28" s="10" t="n">
        <f aca="false">IF(AB28="","",NORMDIST(CEILING(F28,1)-0.5,Z28,AA28,TRUE()))</f>
        <v>0.598208790550331</v>
      </c>
      <c r="AD28" s="0" t="str">
        <f aca="false">IF(AB28="","",IF(AB28&gt;=0.5+Config!$B$6,"OVER",IF(AC28&gt;=0.5+Config!$B$6,"UNDER","—")))</f>
        <v>UNDER</v>
      </c>
      <c r="AE28" s="13" t="n">
        <f aca="false">IFERROR(Z28/G28,"")</f>
        <v>1</v>
      </c>
    </row>
    <row r="29" customFormat="false" ht="15" hidden="false" customHeight="false" outlineLevel="0" collapsed="false">
      <c r="A29" s="0" t="s">
        <v>775</v>
      </c>
      <c r="B29" s="0" t="s">
        <v>850</v>
      </c>
      <c r="C29" s="0" t="s">
        <v>926</v>
      </c>
      <c r="D29" s="0" t="s">
        <v>855</v>
      </c>
      <c r="E29" s="0" t="s">
        <v>893</v>
      </c>
      <c r="F29" s="0" t="n">
        <v>12.5</v>
      </c>
      <c r="G29" s="11" t="n">
        <f aca="false">IFERROR(INDEX(CHOOSE(MATCH($X29,{"K1","K2","K3","K12","K13","H1","H2","H3","H12","H13"},0),Calc!$V$2:$V$105,Calc!$AC$2:$AC$105,Calc!$AJ$2:$AJ$105,Calc!$AL$2:$AL$105,Calc!$AM$2:$AM$105,Calc!$W$2:$W$105,Calc!$AD$2:$AD$105,Calc!$AK$2:$AK$105,Calc!$AN$2:$AN$105,Calc!$AO$2:$AO$105),MATCH($W29,Calc!$A$2:$A$105,0)),"")</f>
        <v>12.928457285503</v>
      </c>
      <c r="H29" s="11" t="n">
        <f aca="false">IF(G29="","",IF(LEFT($X29,1)="H",SQRT(G29*(IFERROR(INDEX(Calc!$AP$2:$AP$105,MATCH($W29,Calc!$A$2:$A$105,0)),0.5)*Config!$B$5+1-IFERROR(INDEX(Calc!$AP$2:$AP$105,MATCH($W29,Calc!$A$2:$A$105,0)),0.5))),SQRT(G29*Config!$B$5)))</f>
        <v>3.92979384172894</v>
      </c>
      <c r="I29" s="10" t="n">
        <f aca="false">IF(OR(F29="",G29="",N(H29)&lt;=0),"",1-NORMDIST(FLOOR(F29,1)+0.5,G29,H29,TRUE()))</f>
        <v>0.543409831036628</v>
      </c>
      <c r="J29" s="10" t="n">
        <f aca="false">IF(I29="","",NORMDIST(CEILING(F29,1)-0.5,G29,H29,TRUE()))</f>
        <v>0.456590168963372</v>
      </c>
      <c r="K29" s="10" t="n">
        <f aca="false">IF(I29="","",MAX(0,1-I29-J29))</f>
        <v>0</v>
      </c>
      <c r="L29" s="0" t="str">
        <f aca="false">IF(I29="","",IF(I29&gt;=0.5+Config!$B$6,"OVER",IF(J29&gt;=0.5+Config!$B$6,"UNDER","—")))</f>
        <v>OVER</v>
      </c>
      <c r="N29" s="0" t="n">
        <v>14.7</v>
      </c>
      <c r="O29" s="10" t="n">
        <v>0.8</v>
      </c>
      <c r="P29" s="10" t="n">
        <v>0.6</v>
      </c>
      <c r="Q29" s="10" t="n">
        <v>0.6</v>
      </c>
      <c r="R29" s="9" t="s">
        <v>894</v>
      </c>
      <c r="S29" s="0" t="n">
        <v>-1</v>
      </c>
      <c r="T29" s="0" t="str">
        <f aca="false">INDEX(Calc!$G$2:$G$105,MATCH($W29,Calc!$A$2:$A$105,0))&amp;" / "&amp;INDEX(Calc!$H$2:$H$105,MATCH($W29,Calc!$A$2:$A$105,0))</f>
        <v>Cache / Dust2</v>
      </c>
      <c r="U29" s="0" t="str">
        <f aca="false">TEXT(INDEX(Calc!$J$2:$J$105,MATCH($W29,Calc!$A$2:$A$105,0)),"0.0")&amp;" / "&amp;TEXT(INDEX(Calc!$K$2:$K$105,MATCH($W29,Calc!$A$2:$A$105,0)),"0.0")</f>
        <v>21.5 / 21.5</v>
      </c>
      <c r="V29" s="0" t="str">
        <f aca="false">IFERROR(INDEX(Calc!$AQ$2:$AQ$105,MATCH($W29,Calc!$A$2:$A$105,0)),"")</f>
        <v/>
      </c>
      <c r="W29" s="9" t="s">
        <v>927</v>
      </c>
      <c r="X29" s="9" t="s">
        <v>896</v>
      </c>
      <c r="Y29" s="0" t="str">
        <f aca="false">W29&amp;"|"&amp;X29</f>
        <v>6pbbnemawwfgnr5|CS2 [NO MARKET] · FOKUS vs ex-ZT|H12</v>
      </c>
      <c r="Z29" s="11" t="n">
        <f aca="false">IFERROR(INDEX(CHOOSE(MATCH($X29,{"K1","K2","K3","K12","K13","H1","H2","H3","H12","H13"},0),Calc!$BA$2:$BA$105,Calc!$BB$2:$BB$105,Calc!$BC$2:$BC$105,Calc!$BD$2:$BD$105,Calc!$BE$2:$BE$105,Calc!$BF$2:$BF$105,Calc!$BG$2:$BG$105,Calc!$BH$2:$BH$105,Calc!$BI$2:$BI$105,Calc!$BJ$2:$BJ$105),MATCH($W29,Calc!$A$2:$A$105,0)),"")</f>
        <v>12.928457285503</v>
      </c>
      <c r="AA29" s="11" t="n">
        <f aca="false">IF(Z29="","",IF(LEFT($X29,1)="H",SQRT(Z29*(IFERROR(INDEX(Calc!$AP$2:$AP$105,MATCH($W29,Calc!$A$2:$A$105,0)),0.5)*Config!$B$5+1-IFERROR(INDEX(Calc!$AP$2:$AP$105,MATCH($W29,Calc!$A$2:$A$105,0)),0.5))),SQRT(Z29*Config!$B$5)))</f>
        <v>3.92979384172894</v>
      </c>
      <c r="AB29" s="10" t="n">
        <f aca="false">IF(OR(F29="",Z29="",N(AA29)&lt;=0),"",1-NORMDIST(FLOOR(F29,1)+0.5,Z29,AA29,TRUE()))</f>
        <v>0.543409831036628</v>
      </c>
      <c r="AC29" s="10" t="n">
        <f aca="false">IF(AB29="","",NORMDIST(CEILING(F29,1)-0.5,Z29,AA29,TRUE()))</f>
        <v>0.456590168963372</v>
      </c>
      <c r="AD29" s="0" t="str">
        <f aca="false">IF(AB29="","",IF(AB29&gt;=0.5+Config!$B$6,"OVER",IF(AC29&gt;=0.5+Config!$B$6,"UNDER","—")))</f>
        <v>OVER</v>
      </c>
      <c r="AE29" s="13" t="n">
        <f aca="false">IFERROR(Z29/G29,"")</f>
        <v>1</v>
      </c>
    </row>
    <row r="30" customFormat="false" ht="15" hidden="false" customHeight="false" outlineLevel="0" collapsed="false">
      <c r="A30" s="0" t="s">
        <v>775</v>
      </c>
      <c r="B30" s="0" t="s">
        <v>850</v>
      </c>
      <c r="C30" s="0" t="s">
        <v>926</v>
      </c>
      <c r="D30" s="0" t="s">
        <v>855</v>
      </c>
      <c r="E30" s="0" t="s">
        <v>888</v>
      </c>
      <c r="F30" s="0" t="n">
        <v>26.5</v>
      </c>
      <c r="G30" s="11" t="n">
        <f aca="false">IFERROR(INDEX(CHOOSE(MATCH($X30,{"K1","K2","K3","K12","K13","H1","H2","H3","H12","H13"},0),Calc!$V$2:$V$105,Calc!$AC$2:$AC$105,Calc!$AJ$2:$AJ$105,Calc!$AL$2:$AL$105,Calc!$AM$2:$AM$105,Calc!$W$2:$W$105,Calc!$AD$2:$AD$105,Calc!$AK$2:$AK$105,Calc!$AN$2:$AN$105,Calc!$AO$2:$AO$105),MATCH($W30,Calc!$A$2:$A$105,0)),"")</f>
        <v>26.5855769230769</v>
      </c>
      <c r="H30" s="11" t="n">
        <f aca="false">IF(G30="","",IF(LEFT($X30,1)="H",SQRT(G30*(IFERROR(INDEX(Calc!$AP$2:$AP$105,MATCH($W30,Calc!$A$2:$A$105,0)),0.5)*Config!$B$5+1-IFERROR(INDEX(Calc!$AP$2:$AP$105,MATCH($W30,Calc!$A$2:$A$105,0)),0.5))),SQRT(G30*Config!$B$5)))</f>
        <v>6.10080385623958</v>
      </c>
      <c r="I30" s="10" t="n">
        <f aca="false">IF(OR(F30="",G30="",N(H30)&lt;=0),"",1-NORMDIST(FLOOR(F30,1)+0.5,G30,H30,TRUE()))</f>
        <v>0.50559584181047</v>
      </c>
      <c r="J30" s="10" t="n">
        <f aca="false">IF(I30="","",NORMDIST(CEILING(F30,1)-0.5,G30,H30,TRUE()))</f>
        <v>0.49440415818953</v>
      </c>
      <c r="K30" s="10" t="n">
        <f aca="false">IF(I30="","",MAX(0,1-I30-J30))</f>
        <v>0</v>
      </c>
      <c r="L30" s="0" t="str">
        <f aca="false">IF(I30="","",IF(I30&gt;=0.5+Config!$B$6,"OVER",IF(J30&gt;=0.5+Config!$B$6,"UNDER","—")))</f>
        <v>—</v>
      </c>
      <c r="N30" s="0" t="n">
        <v>28.6</v>
      </c>
      <c r="O30" s="10" t="n">
        <v>0.8</v>
      </c>
      <c r="P30" s="10" t="n">
        <v>0.7</v>
      </c>
      <c r="Q30" s="10" t="n">
        <v>0.73</v>
      </c>
      <c r="R30" s="9" t="s">
        <v>889</v>
      </c>
      <c r="S30" s="0" t="n">
        <v>3</v>
      </c>
      <c r="T30" s="0" t="str">
        <f aca="false">INDEX(Calc!$G$2:$G$105,MATCH($W30,Calc!$A$2:$A$105,0))&amp;" / "&amp;INDEX(Calc!$H$2:$H$105,MATCH($W30,Calc!$A$2:$A$105,0))</f>
        <v>Cache / Dust2</v>
      </c>
      <c r="U30" s="0" t="str">
        <f aca="false">TEXT(INDEX(Calc!$J$2:$J$105,MATCH($W30,Calc!$A$2:$A$105,0)),"0.0")&amp;" / "&amp;TEXT(INDEX(Calc!$K$2:$K$105,MATCH($W30,Calc!$A$2:$A$105,0)),"0.0")</f>
        <v>21.5 / 21.5</v>
      </c>
      <c r="V30" s="0" t="str">
        <f aca="false">IFERROR(INDEX(Calc!$AQ$2:$AQ$105,MATCH($W30,Calc!$A$2:$A$105,0)),"")</f>
        <v/>
      </c>
      <c r="W30" s="9" t="s">
        <v>927</v>
      </c>
      <c r="X30" s="9" t="s">
        <v>891</v>
      </c>
      <c r="Y30" s="0" t="str">
        <f aca="false">W30&amp;"|"&amp;X30</f>
        <v>6pbbnemawwfgnr5|CS2 [NO MARKET] · FOKUS vs ex-ZT|K12</v>
      </c>
      <c r="Z30" s="11" t="n">
        <f aca="false">IFERROR(INDEX(CHOOSE(MATCH($X30,{"K1","K2","K3","K12","K13","H1","H2","H3","H12","H13"},0),Calc!$BA$2:$BA$105,Calc!$BB$2:$BB$105,Calc!$BC$2:$BC$105,Calc!$BD$2:$BD$105,Calc!$BE$2:$BE$105,Calc!$BF$2:$BF$105,Calc!$BG$2:$BG$105,Calc!$BH$2:$BH$105,Calc!$BI$2:$BI$105,Calc!$BJ$2:$BJ$105),MATCH($W30,Calc!$A$2:$A$105,0)),"")</f>
        <v>26.5855769230769</v>
      </c>
      <c r="AA30" s="11" t="n">
        <f aca="false">IF(Z30="","",IF(LEFT($X30,1)="H",SQRT(Z30*(IFERROR(INDEX(Calc!$AP$2:$AP$105,MATCH($W30,Calc!$A$2:$A$105,0)),0.5)*Config!$B$5+1-IFERROR(INDEX(Calc!$AP$2:$AP$105,MATCH($W30,Calc!$A$2:$A$105,0)),0.5))),SQRT(Z30*Config!$B$5)))</f>
        <v>6.10080385623958</v>
      </c>
      <c r="AB30" s="10" t="n">
        <f aca="false">IF(OR(F30="",Z30="",N(AA30)&lt;=0),"",1-NORMDIST(FLOOR(F30,1)+0.5,Z30,AA30,TRUE()))</f>
        <v>0.50559584181047</v>
      </c>
      <c r="AC30" s="10" t="n">
        <f aca="false">IF(AB30="","",NORMDIST(CEILING(F30,1)-0.5,Z30,AA30,TRUE()))</f>
        <v>0.49440415818953</v>
      </c>
      <c r="AD30" s="0" t="str">
        <f aca="false">IF(AB30="","",IF(AB30&gt;=0.5+Config!$B$6,"OVER",IF(AC30&gt;=0.5+Config!$B$6,"UNDER","—")))</f>
        <v>—</v>
      </c>
      <c r="AE30" s="13" t="n">
        <f aca="false">IFERROR(Z30/G30,"")</f>
        <v>1</v>
      </c>
    </row>
    <row r="31" customFormat="false" ht="15" hidden="false" customHeight="false" outlineLevel="0" collapsed="false">
      <c r="A31" s="0" t="s">
        <v>775</v>
      </c>
      <c r="B31" s="0" t="s">
        <v>792</v>
      </c>
      <c r="C31" s="0" t="s">
        <v>928</v>
      </c>
      <c r="D31" s="0" t="s">
        <v>798</v>
      </c>
      <c r="E31" s="0" t="s">
        <v>893</v>
      </c>
      <c r="F31" s="0" t="n">
        <v>18</v>
      </c>
      <c r="G31" s="11" t="n">
        <f aca="false">IFERROR(INDEX(CHOOSE(MATCH($X31,{"K1","K2","K3","K12","K13","H1","H2","H3","H12","H13"},0),Calc!$V$2:$V$105,Calc!$AC$2:$AC$105,Calc!$AJ$2:$AJ$105,Calc!$AL$2:$AL$105,Calc!$AM$2:$AM$105,Calc!$W$2:$W$105,Calc!$AD$2:$AD$105,Calc!$AK$2:$AK$105,Calc!$AN$2:$AN$105,Calc!$AO$2:$AO$105),MATCH($W31,Calc!$A$2:$A$105,0)),"")</f>
        <v>15.223925127551</v>
      </c>
      <c r="H31" s="11" t="n">
        <f aca="false">IF(G31="","",IF(LEFT($X31,1)="H",SQRT(G31*(IFERROR(INDEX(Calc!$AP$2:$AP$105,MATCH($W31,Calc!$A$2:$A$105,0)),0.5)*Config!$B$5+1-IFERROR(INDEX(Calc!$AP$2:$AP$105,MATCH($W31,Calc!$A$2:$A$105,0)),0.5))),SQRT(G31*Config!$B$5)))</f>
        <v>4.33324841057465</v>
      </c>
      <c r="I31" s="10" t="n">
        <f aca="false">IF(OR(F31="",G31="",N(H31)&lt;=0),"",1-NORMDIST(FLOOR(F31,1)+0.5,G31,H31,TRUE()))</f>
        <v>0.224814976638755</v>
      </c>
      <c r="J31" s="10" t="n">
        <f aca="false">IF(I31="","",NORMDIST(CEILING(F31,1)-0.5,G31,H31,TRUE()))</f>
        <v>0.700298193543065</v>
      </c>
      <c r="K31" s="10" t="n">
        <f aca="false">IF(I31="","",MAX(0,1-I31-J31))</f>
        <v>0.0748868298181794</v>
      </c>
      <c r="L31" s="0" t="str">
        <f aca="false">IF(I31="","",IF(I31&gt;=0.5+Config!$B$6,"OVER",IF(J31&gt;=0.5+Config!$B$6,"UNDER","—")))</f>
        <v>UNDER</v>
      </c>
      <c r="N31" s="0" t="n">
        <v>19.1</v>
      </c>
      <c r="O31" s="10" t="n">
        <v>0.4</v>
      </c>
      <c r="P31" s="10" t="n">
        <v>0.7</v>
      </c>
      <c r="Q31" s="10" t="n">
        <v>0.47</v>
      </c>
      <c r="R31" s="9" t="s">
        <v>907</v>
      </c>
      <c r="S31" s="0" t="n">
        <v>2</v>
      </c>
      <c r="T31" s="0" t="str">
        <f aca="false">INDEX(Calc!$G$2:$G$105,MATCH($W31,Calc!$A$2:$A$105,0))&amp;" / "&amp;INDEX(Calc!$H$2:$H$105,MATCH($W31,Calc!$A$2:$A$105,0))</f>
        <v>Nuke / Inferno</v>
      </c>
      <c r="U31" s="0" t="str">
        <f aca="false">TEXT(INDEX(Calc!$J$2:$J$105,MATCH($W31,Calc!$A$2:$A$105,0)),"0.0")&amp;" / "&amp;TEXT(INDEX(Calc!$K$2:$K$105,MATCH($W31,Calc!$A$2:$A$105,0)),"0.0")</f>
        <v>21.5 / 21.5</v>
      </c>
      <c r="V31" s="0" t="str">
        <f aca="false">IFERROR(INDEX(Calc!$AQ$2:$AQ$105,MATCH($W31,Calc!$A$2:$A$105,0)),"")</f>
        <v/>
      </c>
      <c r="W31" s="9" t="s">
        <v>929</v>
      </c>
      <c r="X31" s="9" t="s">
        <v>896</v>
      </c>
      <c r="Y31" s="0" t="str">
        <f aca="false">W31&amp;"|"&amp;X31</f>
        <v>h2c84157n2ymvv2|CS2 [NO MARKET] · MZP vs ex-RUSTEC|H12</v>
      </c>
      <c r="Z31" s="11" t="n">
        <f aca="false">IFERROR(INDEX(CHOOSE(MATCH($X31,{"K1","K2","K3","K12","K13","H1","H2","H3","H12","H13"},0),Calc!$BA$2:$BA$105,Calc!$BB$2:$BB$105,Calc!$BC$2:$BC$105,Calc!$BD$2:$BD$105,Calc!$BE$2:$BE$105,Calc!$BF$2:$BF$105,Calc!$BG$2:$BG$105,Calc!$BH$2:$BH$105,Calc!$BI$2:$BI$105,Calc!$BJ$2:$BJ$105),MATCH($W31,Calc!$A$2:$A$105,0)),"")</f>
        <v>15.223925127551</v>
      </c>
      <c r="AA31" s="11" t="n">
        <f aca="false">IF(Z31="","",IF(LEFT($X31,1)="H",SQRT(Z31*(IFERROR(INDEX(Calc!$AP$2:$AP$105,MATCH($W31,Calc!$A$2:$A$105,0)),0.5)*Config!$B$5+1-IFERROR(INDEX(Calc!$AP$2:$AP$105,MATCH($W31,Calc!$A$2:$A$105,0)),0.5))),SQRT(Z31*Config!$B$5)))</f>
        <v>4.33324841057465</v>
      </c>
      <c r="AB31" s="10" t="n">
        <f aca="false">IF(OR(F31="",Z31="",N(AA31)&lt;=0),"",1-NORMDIST(FLOOR(F31,1)+0.5,Z31,AA31,TRUE()))</f>
        <v>0.224814976638755</v>
      </c>
      <c r="AC31" s="10" t="n">
        <f aca="false">IF(AB31="","",NORMDIST(CEILING(F31,1)-0.5,Z31,AA31,TRUE()))</f>
        <v>0.700298193543065</v>
      </c>
      <c r="AD31" s="0" t="str">
        <f aca="false">IF(AB31="","",IF(AB31&gt;=0.5+Config!$B$6,"OVER",IF(AC31&gt;=0.5+Config!$B$6,"UNDER","—")))</f>
        <v>UNDER</v>
      </c>
      <c r="AE31" s="13" t="n">
        <f aca="false">IFERROR(Z31/G31,"")</f>
        <v>1</v>
      </c>
    </row>
    <row r="32" customFormat="false" ht="15" hidden="false" customHeight="false" outlineLevel="0" collapsed="false">
      <c r="A32" s="0" t="s">
        <v>775</v>
      </c>
      <c r="B32" s="0" t="s">
        <v>792</v>
      </c>
      <c r="C32" s="0" t="s">
        <v>928</v>
      </c>
      <c r="D32" s="0" t="s">
        <v>798</v>
      </c>
      <c r="E32" s="0" t="s">
        <v>888</v>
      </c>
      <c r="F32" s="0" t="n">
        <v>30.5</v>
      </c>
      <c r="G32" s="11" t="n">
        <f aca="false">IFERROR(INDEX(CHOOSE(MATCH($X32,{"K1","K2","K3","K12","K13","H1","H2","H3","H12","H13"},0),Calc!$V$2:$V$105,Calc!$AC$2:$AC$105,Calc!$AJ$2:$AJ$105,Calc!$AL$2:$AL$105,Calc!$AM$2:$AM$105,Calc!$W$2:$W$105,Calc!$AD$2:$AD$105,Calc!$AK$2:$AK$105,Calc!$AN$2:$AN$105,Calc!$AO$2:$AO$105),MATCH($W32,Calc!$A$2:$A$105,0)),"")</f>
        <v>26.0917857142857</v>
      </c>
      <c r="H32" s="11" t="n">
        <f aca="false">IF(G32="","",IF(LEFT($X32,1)="H",SQRT(G32*(IFERROR(INDEX(Calc!$AP$2:$AP$105,MATCH($W32,Calc!$A$2:$A$105,0)),0.5)*Config!$B$5+1-IFERROR(INDEX(Calc!$AP$2:$AP$105,MATCH($W32,Calc!$A$2:$A$105,0)),0.5))),SQRT(G32*Config!$B$5)))</f>
        <v>6.04388120333284</v>
      </c>
      <c r="I32" s="10" t="n">
        <f aca="false">IF(OR(F32="",G32="",N(H32)&lt;=0),"",1-NORMDIST(FLOOR(F32,1)+0.5,G32,H32,TRUE()))</f>
        <v>0.232888255927532</v>
      </c>
      <c r="J32" s="10" t="n">
        <f aca="false">IF(I32="","",NORMDIST(CEILING(F32,1)-0.5,G32,H32,TRUE()))</f>
        <v>0.767111744072468</v>
      </c>
      <c r="K32" s="10" t="n">
        <f aca="false">IF(I32="","",MAX(0,1-I32-J32))</f>
        <v>0</v>
      </c>
      <c r="L32" s="0" t="str">
        <f aca="false">IF(I32="","",IF(I32&gt;=0.5+Config!$B$6,"OVER",IF(J32&gt;=0.5+Config!$B$6,"UNDER","—")))</f>
        <v>UNDER</v>
      </c>
      <c r="N32" s="0" t="n">
        <v>32.1</v>
      </c>
      <c r="O32" s="10" t="n">
        <v>0.4</v>
      </c>
      <c r="P32" s="10" t="n">
        <v>0.7</v>
      </c>
      <c r="Q32" s="10" t="n">
        <v>0.47</v>
      </c>
      <c r="R32" s="9" t="s">
        <v>907</v>
      </c>
      <c r="S32" s="0" t="n">
        <v>2</v>
      </c>
      <c r="T32" s="0" t="str">
        <f aca="false">INDEX(Calc!$G$2:$G$105,MATCH($W32,Calc!$A$2:$A$105,0))&amp;" / "&amp;INDEX(Calc!$H$2:$H$105,MATCH($W32,Calc!$A$2:$A$105,0))</f>
        <v>Nuke / Inferno</v>
      </c>
      <c r="U32" s="0" t="str">
        <f aca="false">TEXT(INDEX(Calc!$J$2:$J$105,MATCH($W32,Calc!$A$2:$A$105,0)),"0.0")&amp;" / "&amp;TEXT(INDEX(Calc!$K$2:$K$105,MATCH($W32,Calc!$A$2:$A$105,0)),"0.0")</f>
        <v>21.5 / 21.5</v>
      </c>
      <c r="V32" s="0" t="str">
        <f aca="false">IFERROR(INDEX(Calc!$AQ$2:$AQ$105,MATCH($W32,Calc!$A$2:$A$105,0)),"")</f>
        <v/>
      </c>
      <c r="W32" s="9" t="s">
        <v>929</v>
      </c>
      <c r="X32" s="9" t="s">
        <v>891</v>
      </c>
      <c r="Y32" s="0" t="str">
        <f aca="false">W32&amp;"|"&amp;X32</f>
        <v>h2c84157n2ymvv2|CS2 [NO MARKET] · MZP vs ex-RUSTEC|K12</v>
      </c>
      <c r="Z32" s="11" t="n">
        <f aca="false">IFERROR(INDEX(CHOOSE(MATCH($X32,{"K1","K2","K3","K12","K13","H1","H2","H3","H12","H13"},0),Calc!$BA$2:$BA$105,Calc!$BB$2:$BB$105,Calc!$BC$2:$BC$105,Calc!$BD$2:$BD$105,Calc!$BE$2:$BE$105,Calc!$BF$2:$BF$105,Calc!$BG$2:$BG$105,Calc!$BH$2:$BH$105,Calc!$BI$2:$BI$105,Calc!$BJ$2:$BJ$105),MATCH($W32,Calc!$A$2:$A$105,0)),"")</f>
        <v>26.0917857142857</v>
      </c>
      <c r="AA32" s="11" t="n">
        <f aca="false">IF(Z32="","",IF(LEFT($X32,1)="H",SQRT(Z32*(IFERROR(INDEX(Calc!$AP$2:$AP$105,MATCH($W32,Calc!$A$2:$A$105,0)),0.5)*Config!$B$5+1-IFERROR(INDEX(Calc!$AP$2:$AP$105,MATCH($W32,Calc!$A$2:$A$105,0)),0.5))),SQRT(Z32*Config!$B$5)))</f>
        <v>6.04388120333284</v>
      </c>
      <c r="AB32" s="10" t="n">
        <f aca="false">IF(OR(F32="",Z32="",N(AA32)&lt;=0),"",1-NORMDIST(FLOOR(F32,1)+0.5,Z32,AA32,TRUE()))</f>
        <v>0.232888255927532</v>
      </c>
      <c r="AC32" s="10" t="n">
        <f aca="false">IF(AB32="","",NORMDIST(CEILING(F32,1)-0.5,Z32,AA32,TRUE()))</f>
        <v>0.767111744072468</v>
      </c>
      <c r="AD32" s="0" t="str">
        <f aca="false">IF(AB32="","",IF(AB32&gt;=0.5+Config!$B$6,"OVER",IF(AC32&gt;=0.5+Config!$B$6,"UNDER","—")))</f>
        <v>UNDER</v>
      </c>
      <c r="AE32" s="13" t="n">
        <f aca="false">IFERROR(Z32/G32,"")</f>
        <v>1</v>
      </c>
    </row>
    <row r="33" customFormat="false" ht="15" hidden="false" customHeight="false" outlineLevel="0" collapsed="false">
      <c r="A33" s="0" t="s">
        <v>775</v>
      </c>
      <c r="B33" s="0" t="s">
        <v>792</v>
      </c>
      <c r="C33" s="0" t="s">
        <v>930</v>
      </c>
      <c r="D33" s="0" t="s">
        <v>798</v>
      </c>
      <c r="E33" s="0" t="s">
        <v>893</v>
      </c>
      <c r="F33" s="0" t="n">
        <v>9.5</v>
      </c>
      <c r="G33" s="11" t="n">
        <f aca="false">IFERROR(INDEX(CHOOSE(MATCH($X33,{"K1","K2","K3","K12","K13","H1","H2","H3","H12","H13"},0),Calc!$V$2:$V$105,Calc!$AC$2:$AC$105,Calc!$AJ$2:$AJ$105,Calc!$AL$2:$AL$105,Calc!$AM$2:$AM$105,Calc!$W$2:$W$105,Calc!$AD$2:$AD$105,Calc!$AK$2:$AK$105,Calc!$AN$2:$AN$105,Calc!$AO$2:$AO$105),MATCH($W33,Calc!$A$2:$A$105,0)),"")</f>
        <v>11.5795105867347</v>
      </c>
      <c r="H33" s="11" t="n">
        <f aca="false">IF(G33="","",IF(LEFT($X33,1)="H",SQRT(G33*(IFERROR(INDEX(Calc!$AP$2:$AP$105,MATCH($W33,Calc!$A$2:$A$105,0)),0.5)*Config!$B$5+1-IFERROR(INDEX(Calc!$AP$2:$AP$105,MATCH($W33,Calc!$A$2:$A$105,0)),0.5))),SQRT(G33*Config!$B$5)))</f>
        <v>3.6379526267676</v>
      </c>
      <c r="I33" s="10" t="n">
        <f aca="false">IF(OR(F33="",G33="",N(H33)&lt;=0),"",1-NORMDIST(FLOOR(F33,1)+0.5,G33,H33,TRUE()))</f>
        <v>0.716208798303764</v>
      </c>
      <c r="J33" s="10" t="n">
        <f aca="false">IF(I33="","",NORMDIST(CEILING(F33,1)-0.5,G33,H33,TRUE()))</f>
        <v>0.283791201696236</v>
      </c>
      <c r="K33" s="10" t="n">
        <f aca="false">IF(I33="","",MAX(0,1-I33-J33))</f>
        <v>0</v>
      </c>
      <c r="L33" s="0" t="str">
        <f aca="false">IF(I33="","",IF(I33&gt;=0.5+Config!$B$6,"OVER",IF(J33&gt;=0.5+Config!$B$6,"UNDER","—")))</f>
        <v>OVER</v>
      </c>
      <c r="N33" s="0" t="n">
        <v>12.6</v>
      </c>
      <c r="O33" s="10" t="n">
        <v>1</v>
      </c>
      <c r="P33" s="10" t="n">
        <v>0.9</v>
      </c>
      <c r="Q33" s="10" t="n">
        <v>0.67</v>
      </c>
      <c r="R33" s="9" t="s">
        <v>907</v>
      </c>
      <c r="S33" s="0" t="n">
        <v>6</v>
      </c>
      <c r="T33" s="0" t="str">
        <f aca="false">INDEX(Calc!$G$2:$G$105,MATCH($W33,Calc!$A$2:$A$105,0))&amp;" / "&amp;INDEX(Calc!$H$2:$H$105,MATCH($W33,Calc!$A$2:$A$105,0))</f>
        <v>Nuke / Inferno</v>
      </c>
      <c r="U33" s="0" t="str">
        <f aca="false">TEXT(INDEX(Calc!$J$2:$J$105,MATCH($W33,Calc!$A$2:$A$105,0)),"0.0")&amp;" / "&amp;TEXT(INDEX(Calc!$K$2:$K$105,MATCH($W33,Calc!$A$2:$A$105,0)),"0.0")</f>
        <v>21.5 / 21.5</v>
      </c>
      <c r="V33" s="0" t="str">
        <f aca="false">IFERROR(INDEX(Calc!$AQ$2:$AQ$105,MATCH($W33,Calc!$A$2:$A$105,0)),"")</f>
        <v/>
      </c>
      <c r="W33" s="9" t="s">
        <v>931</v>
      </c>
      <c r="X33" s="9" t="s">
        <v>896</v>
      </c>
      <c r="Y33" s="0" t="str">
        <f aca="false">W33&amp;"|"&amp;X33</f>
        <v>4bqrch5n45sx5u9|CS2 [NO MARKET] · MZP vs ex-RUSTEC|H12</v>
      </c>
      <c r="Z33" s="11" t="n">
        <f aca="false">IFERROR(INDEX(CHOOSE(MATCH($X33,{"K1","K2","K3","K12","K13","H1","H2","H3","H12","H13"},0),Calc!$BA$2:$BA$105,Calc!$BB$2:$BB$105,Calc!$BC$2:$BC$105,Calc!$BD$2:$BD$105,Calc!$BE$2:$BE$105,Calc!$BF$2:$BF$105,Calc!$BG$2:$BG$105,Calc!$BH$2:$BH$105,Calc!$BI$2:$BI$105,Calc!$BJ$2:$BJ$105),MATCH($W33,Calc!$A$2:$A$105,0)),"")</f>
        <v>11.5795105867347</v>
      </c>
      <c r="AA33" s="11" t="n">
        <f aca="false">IF(Z33="","",IF(LEFT($X33,1)="H",SQRT(Z33*(IFERROR(INDEX(Calc!$AP$2:$AP$105,MATCH($W33,Calc!$A$2:$A$105,0)),0.5)*Config!$B$5+1-IFERROR(INDEX(Calc!$AP$2:$AP$105,MATCH($W33,Calc!$A$2:$A$105,0)),0.5))),SQRT(Z33*Config!$B$5)))</f>
        <v>3.6379526267676</v>
      </c>
      <c r="AB33" s="10" t="n">
        <f aca="false">IF(OR(F33="",Z33="",N(AA33)&lt;=0),"",1-NORMDIST(FLOOR(F33,1)+0.5,Z33,AA33,TRUE()))</f>
        <v>0.716208798303764</v>
      </c>
      <c r="AC33" s="10" t="n">
        <f aca="false">IF(AB33="","",NORMDIST(CEILING(F33,1)-0.5,Z33,AA33,TRUE()))</f>
        <v>0.283791201696236</v>
      </c>
      <c r="AD33" s="0" t="str">
        <f aca="false">IF(AB33="","",IF(AB33&gt;=0.5+Config!$B$6,"OVER",IF(AC33&gt;=0.5+Config!$B$6,"UNDER","—")))</f>
        <v>OVER</v>
      </c>
      <c r="AE33" s="13" t="n">
        <f aca="false">IFERROR(Z33/G33,"")</f>
        <v>1</v>
      </c>
    </row>
    <row r="34" customFormat="false" ht="15" hidden="false" customHeight="false" outlineLevel="0" collapsed="false">
      <c r="A34" s="0" t="s">
        <v>775</v>
      </c>
      <c r="B34" s="0" t="s">
        <v>792</v>
      </c>
      <c r="C34" s="0" t="s">
        <v>930</v>
      </c>
      <c r="D34" s="0" t="s">
        <v>798</v>
      </c>
      <c r="E34" s="0" t="s">
        <v>888</v>
      </c>
      <c r="F34" s="0" t="n">
        <v>32.5</v>
      </c>
      <c r="G34" s="11" t="n">
        <f aca="false">IFERROR(INDEX(CHOOSE(MATCH($X34,{"K1","K2","K3","K12","K13","H1","H2","H3","H12","H13"},0),Calc!$V$2:$V$105,Calc!$AC$2:$AC$105,Calc!$AJ$2:$AJ$105,Calc!$AL$2:$AL$105,Calc!$AM$2:$AM$105,Calc!$W$2:$W$105,Calc!$AD$2:$AD$105,Calc!$AK$2:$AK$105,Calc!$AN$2:$AN$105,Calc!$AO$2:$AO$105),MATCH($W34,Calc!$A$2:$A$105,0)),"")</f>
        <v>32.4035714285714</v>
      </c>
      <c r="H34" s="11" t="n">
        <f aca="false">IF(G34="","",IF(LEFT($X34,1)="H",SQRT(G34*(IFERROR(INDEX(Calc!$AP$2:$AP$105,MATCH($W34,Calc!$A$2:$A$105,0)),0.5)*Config!$B$5+1-IFERROR(INDEX(Calc!$AP$2:$AP$105,MATCH($W34,Calc!$A$2:$A$105,0)),0.5))),SQRT(G34*Config!$B$5)))</f>
        <v>6.73535448213381</v>
      </c>
      <c r="I34" s="10" t="n">
        <f aca="false">IF(OR(F34="",G34="",N(H34)&lt;=0),"",1-NORMDIST(FLOOR(F34,1)+0.5,G34,H34,TRUE()))</f>
        <v>0.494288627251428</v>
      </c>
      <c r="J34" s="10" t="n">
        <f aca="false">IF(I34="","",NORMDIST(CEILING(F34,1)-0.5,G34,H34,TRUE()))</f>
        <v>0.505711372748572</v>
      </c>
      <c r="K34" s="10" t="n">
        <f aca="false">IF(I34="","",MAX(0,1-I34-J34))</f>
        <v>0</v>
      </c>
      <c r="L34" s="0" t="str">
        <f aca="false">IF(I34="","",IF(I34&gt;=0.5+Config!$B$6,"OVER",IF(J34&gt;=0.5+Config!$B$6,"UNDER","—")))</f>
        <v>—</v>
      </c>
      <c r="N34" s="0" t="n">
        <v>37.2</v>
      </c>
      <c r="O34" s="10" t="n">
        <v>0.4</v>
      </c>
      <c r="P34" s="10" t="n">
        <v>0.6</v>
      </c>
      <c r="Q34" s="10" t="n">
        <v>0.47</v>
      </c>
      <c r="R34" s="9" t="s">
        <v>907</v>
      </c>
      <c r="S34" s="0" t="n">
        <v>1</v>
      </c>
      <c r="T34" s="0" t="str">
        <f aca="false">INDEX(Calc!$G$2:$G$105,MATCH($W34,Calc!$A$2:$A$105,0))&amp;" / "&amp;INDEX(Calc!$H$2:$H$105,MATCH($W34,Calc!$A$2:$A$105,0))</f>
        <v>Nuke / Inferno</v>
      </c>
      <c r="U34" s="0" t="str">
        <f aca="false">TEXT(INDEX(Calc!$J$2:$J$105,MATCH($W34,Calc!$A$2:$A$105,0)),"0.0")&amp;" / "&amp;TEXT(INDEX(Calc!$K$2:$K$105,MATCH($W34,Calc!$A$2:$A$105,0)),"0.0")</f>
        <v>21.5 / 21.5</v>
      </c>
      <c r="V34" s="0" t="str">
        <f aca="false">IFERROR(INDEX(Calc!$AQ$2:$AQ$105,MATCH($W34,Calc!$A$2:$A$105,0)),"")</f>
        <v/>
      </c>
      <c r="W34" s="9" t="s">
        <v>931</v>
      </c>
      <c r="X34" s="9" t="s">
        <v>891</v>
      </c>
      <c r="Y34" s="0" t="str">
        <f aca="false">W34&amp;"|"&amp;X34</f>
        <v>4bqrch5n45sx5u9|CS2 [NO MARKET] · MZP vs ex-RUSTEC|K12</v>
      </c>
      <c r="Z34" s="11" t="n">
        <f aca="false">IFERROR(INDEX(CHOOSE(MATCH($X34,{"K1","K2","K3","K12","K13","H1","H2","H3","H12","H13"},0),Calc!$BA$2:$BA$105,Calc!$BB$2:$BB$105,Calc!$BC$2:$BC$105,Calc!$BD$2:$BD$105,Calc!$BE$2:$BE$105,Calc!$BF$2:$BF$105,Calc!$BG$2:$BG$105,Calc!$BH$2:$BH$105,Calc!$BI$2:$BI$105,Calc!$BJ$2:$BJ$105),MATCH($W34,Calc!$A$2:$A$105,0)),"")</f>
        <v>32.4035714285714</v>
      </c>
      <c r="AA34" s="11" t="n">
        <f aca="false">IF(Z34="","",IF(LEFT($X34,1)="H",SQRT(Z34*(IFERROR(INDEX(Calc!$AP$2:$AP$105,MATCH($W34,Calc!$A$2:$A$105,0)),0.5)*Config!$B$5+1-IFERROR(INDEX(Calc!$AP$2:$AP$105,MATCH($W34,Calc!$A$2:$A$105,0)),0.5))),SQRT(Z34*Config!$B$5)))</f>
        <v>6.73535448213381</v>
      </c>
      <c r="AB34" s="10" t="n">
        <f aca="false">IF(OR(F34="",Z34="",N(AA34)&lt;=0),"",1-NORMDIST(FLOOR(F34,1)+0.5,Z34,AA34,TRUE()))</f>
        <v>0.494288627251428</v>
      </c>
      <c r="AC34" s="10" t="n">
        <f aca="false">IF(AB34="","",NORMDIST(CEILING(F34,1)-0.5,Z34,AA34,TRUE()))</f>
        <v>0.505711372748572</v>
      </c>
      <c r="AD34" s="0" t="str">
        <f aca="false">IF(AB34="","",IF(AB34&gt;=0.5+Config!$B$6,"OVER",IF(AC34&gt;=0.5+Config!$B$6,"UNDER","—")))</f>
        <v>—</v>
      </c>
      <c r="AE34" s="13" t="n">
        <f aca="false">IFERROR(Z34/G34,"")</f>
        <v>1</v>
      </c>
    </row>
    <row r="35" customFormat="false" ht="15" hidden="false" customHeight="false" outlineLevel="0" collapsed="false">
      <c r="A35" s="0" t="s">
        <v>775</v>
      </c>
      <c r="B35" s="0" t="s">
        <v>792</v>
      </c>
      <c r="C35" s="0" t="s">
        <v>932</v>
      </c>
      <c r="D35" s="0" t="s">
        <v>798</v>
      </c>
      <c r="E35" s="0" t="s">
        <v>893</v>
      </c>
      <c r="F35" s="0" t="n">
        <v>19.5</v>
      </c>
      <c r="G35" s="11" t="n">
        <f aca="false">IFERROR(INDEX(CHOOSE(MATCH($X35,{"K1","K2","K3","K12","K13","H1","H2","H3","H12","H13"},0),Calc!$V$2:$V$105,Calc!$AC$2:$AC$105,Calc!$AJ$2:$AJ$105,Calc!$AL$2:$AL$105,Calc!$AM$2:$AM$105,Calc!$W$2:$W$105,Calc!$AD$2:$AD$105,Calc!$AK$2:$AK$105,Calc!$AN$2:$AN$105,Calc!$AO$2:$AO$105),MATCH($W35,Calc!$A$2:$A$105,0)),"")</f>
        <v>19.6162500765306</v>
      </c>
      <c r="H35" s="11" t="n">
        <f aca="false">IF(G35="","",IF(LEFT($X35,1)="H",SQRT(G35*(IFERROR(INDEX(Calc!$AP$2:$AP$105,MATCH($W35,Calc!$A$2:$A$105,0)),0.5)*Config!$B$5+1-IFERROR(INDEX(Calc!$AP$2:$AP$105,MATCH($W35,Calc!$A$2:$A$105,0)),0.5))),SQRT(G35*Config!$B$5)))</f>
        <v>4.97820774892697</v>
      </c>
      <c r="I35" s="10" t="n">
        <f aca="false">IF(OR(F35="",G35="",N(H35)&lt;=0),"",1-NORMDIST(FLOOR(F35,1)+0.5,G35,H35,TRUE()))</f>
        <v>0.509315170913017</v>
      </c>
      <c r="J35" s="10" t="n">
        <f aca="false">IF(I35="","",NORMDIST(CEILING(F35,1)-0.5,G35,H35,TRUE()))</f>
        <v>0.490684829086983</v>
      </c>
      <c r="K35" s="10" t="n">
        <f aca="false">IF(I35="","",MAX(0,1-I35-J35))</f>
        <v>0</v>
      </c>
      <c r="L35" s="0" t="str">
        <f aca="false">IF(I35="","",IF(I35&gt;=0.5+Config!$B$6,"OVER",IF(J35&gt;=0.5+Config!$B$6,"UNDER","—")))</f>
        <v>—</v>
      </c>
      <c r="N35" s="0" t="n">
        <v>22.7</v>
      </c>
      <c r="O35" s="10" t="n">
        <v>0.6</v>
      </c>
      <c r="P35" s="10" t="n">
        <v>0.8</v>
      </c>
      <c r="Q35" s="10" t="n">
        <v>0.67</v>
      </c>
      <c r="R35" s="9" t="s">
        <v>907</v>
      </c>
      <c r="S35" s="0" t="n">
        <v>-1</v>
      </c>
      <c r="T35" s="0" t="str">
        <f aca="false">INDEX(Calc!$G$2:$G$105,MATCH($W35,Calc!$A$2:$A$105,0))&amp;" / "&amp;INDEX(Calc!$H$2:$H$105,MATCH($W35,Calc!$A$2:$A$105,0))</f>
        <v>Nuke / Inferno</v>
      </c>
      <c r="U35" s="0" t="str">
        <f aca="false">TEXT(INDEX(Calc!$J$2:$J$105,MATCH($W35,Calc!$A$2:$A$105,0)),"0.0")&amp;" / "&amp;TEXT(INDEX(Calc!$K$2:$K$105,MATCH($W35,Calc!$A$2:$A$105,0)),"0.0")</f>
        <v>21.5 / 21.5</v>
      </c>
      <c r="V35" s="0" t="str">
        <f aca="false">IFERROR(INDEX(Calc!$AQ$2:$AQ$105,MATCH($W35,Calc!$A$2:$A$105,0)),"")</f>
        <v/>
      </c>
      <c r="W35" s="9" t="s">
        <v>933</v>
      </c>
      <c r="X35" s="9" t="s">
        <v>896</v>
      </c>
      <c r="Y35" s="0" t="str">
        <f aca="false">W35&amp;"|"&amp;X35</f>
        <v>cenz32hm5akyeqy|CS2 [NO MARKET] · MZP vs ex-RUSTEC|H12</v>
      </c>
      <c r="Z35" s="11" t="n">
        <f aca="false">IFERROR(INDEX(CHOOSE(MATCH($X35,{"K1","K2","K3","K12","K13","H1","H2","H3","H12","H13"},0),Calc!$BA$2:$BA$105,Calc!$BB$2:$BB$105,Calc!$BC$2:$BC$105,Calc!$BD$2:$BD$105,Calc!$BE$2:$BE$105,Calc!$BF$2:$BF$105,Calc!$BG$2:$BG$105,Calc!$BH$2:$BH$105,Calc!$BI$2:$BI$105,Calc!$BJ$2:$BJ$105),MATCH($W35,Calc!$A$2:$A$105,0)),"")</f>
        <v>19.6162500765306</v>
      </c>
      <c r="AA35" s="11" t="n">
        <f aca="false">IF(Z35="","",IF(LEFT($X35,1)="H",SQRT(Z35*(IFERROR(INDEX(Calc!$AP$2:$AP$105,MATCH($W35,Calc!$A$2:$A$105,0)),0.5)*Config!$B$5+1-IFERROR(INDEX(Calc!$AP$2:$AP$105,MATCH($W35,Calc!$A$2:$A$105,0)),0.5))),SQRT(Z35*Config!$B$5)))</f>
        <v>4.97820774892697</v>
      </c>
      <c r="AB35" s="10" t="n">
        <f aca="false">IF(OR(F35="",Z35="",N(AA35)&lt;=0),"",1-NORMDIST(FLOOR(F35,1)+0.5,Z35,AA35,TRUE()))</f>
        <v>0.509315170913017</v>
      </c>
      <c r="AC35" s="10" t="n">
        <f aca="false">IF(AB35="","",NORMDIST(CEILING(F35,1)-0.5,Z35,AA35,TRUE()))</f>
        <v>0.490684829086983</v>
      </c>
      <c r="AD35" s="0" t="str">
        <f aca="false">IF(AB35="","",IF(AB35&gt;=0.5+Config!$B$6,"OVER",IF(AC35&gt;=0.5+Config!$B$6,"UNDER","—")))</f>
        <v>—</v>
      </c>
      <c r="AE35" s="13" t="n">
        <f aca="false">IFERROR(Z35/G35,"")</f>
        <v>1</v>
      </c>
    </row>
    <row r="36" customFormat="false" ht="15" hidden="false" customHeight="false" outlineLevel="0" collapsed="false">
      <c r="A36" s="0" t="s">
        <v>775</v>
      </c>
      <c r="B36" s="0" t="s">
        <v>792</v>
      </c>
      <c r="C36" s="0" t="s">
        <v>932</v>
      </c>
      <c r="D36" s="0" t="s">
        <v>798</v>
      </c>
      <c r="E36" s="0" t="s">
        <v>888</v>
      </c>
      <c r="F36" s="0" t="n">
        <v>30.5</v>
      </c>
      <c r="G36" s="11" t="n">
        <f aca="false">IFERROR(INDEX(CHOOSE(MATCH($X36,{"K1","K2","K3","K12","K13","H1","H2","H3","H12","H13"},0),Calc!$V$2:$V$105,Calc!$AC$2:$AC$105,Calc!$AJ$2:$AJ$105,Calc!$AL$2:$AL$105,Calc!$AM$2:$AM$105,Calc!$W$2:$W$105,Calc!$AD$2:$AD$105,Calc!$AK$2:$AK$105,Calc!$AN$2:$AN$105,Calc!$AO$2:$AO$105),MATCH($W36,Calc!$A$2:$A$105,0)),"")</f>
        <v>29.7928571428571</v>
      </c>
      <c r="H36" s="11" t="n">
        <f aca="false">IF(G36="","",IF(LEFT($X36,1)="H",SQRT(G36*(IFERROR(INDEX(Calc!$AP$2:$AP$105,MATCH($W36,Calc!$A$2:$A$105,0)),0.5)*Config!$B$5+1-IFERROR(INDEX(Calc!$AP$2:$AP$105,MATCH($W36,Calc!$A$2:$A$105,0)),0.5))),SQRT(G36*Config!$B$5)))</f>
        <v>6.45832795698701</v>
      </c>
      <c r="I36" s="10" t="n">
        <f aca="false">IF(OR(F36="",G36="",N(H36)&lt;=0),"",1-NORMDIST(FLOOR(F36,1)+0.5,G36,H36,TRUE()))</f>
        <v>0.456405665922365</v>
      </c>
      <c r="J36" s="10" t="n">
        <f aca="false">IF(I36="","",NORMDIST(CEILING(F36,1)-0.5,G36,H36,TRUE()))</f>
        <v>0.543594334077635</v>
      </c>
      <c r="K36" s="10" t="n">
        <f aca="false">IF(I36="","",MAX(0,1-I36-J36))</f>
        <v>0</v>
      </c>
      <c r="L36" s="0" t="str">
        <f aca="false">IF(I36="","",IF(I36&gt;=0.5+Config!$B$6,"OVER",IF(J36&gt;=0.5+Config!$B$6,"UNDER","—")))</f>
        <v>UNDER</v>
      </c>
      <c r="N36" s="0" t="n">
        <v>34.3</v>
      </c>
      <c r="O36" s="10" t="n">
        <v>0.4</v>
      </c>
      <c r="P36" s="10" t="n">
        <v>0.7</v>
      </c>
      <c r="Q36" s="10" t="n">
        <v>0.6</v>
      </c>
      <c r="R36" s="9" t="s">
        <v>907</v>
      </c>
      <c r="S36" s="0" t="n">
        <v>-2</v>
      </c>
      <c r="T36" s="0" t="str">
        <f aca="false">INDEX(Calc!$G$2:$G$105,MATCH($W36,Calc!$A$2:$A$105,0))&amp;" / "&amp;INDEX(Calc!$H$2:$H$105,MATCH($W36,Calc!$A$2:$A$105,0))</f>
        <v>Nuke / Inferno</v>
      </c>
      <c r="U36" s="0" t="str">
        <f aca="false">TEXT(INDEX(Calc!$J$2:$J$105,MATCH($W36,Calc!$A$2:$A$105,0)),"0.0")&amp;" / "&amp;TEXT(INDEX(Calc!$K$2:$K$105,MATCH($W36,Calc!$A$2:$A$105,0)),"0.0")</f>
        <v>21.5 / 21.5</v>
      </c>
      <c r="V36" s="0" t="str">
        <f aca="false">IFERROR(INDEX(Calc!$AQ$2:$AQ$105,MATCH($W36,Calc!$A$2:$A$105,0)),"")</f>
        <v/>
      </c>
      <c r="W36" s="9" t="s">
        <v>933</v>
      </c>
      <c r="X36" s="9" t="s">
        <v>891</v>
      </c>
      <c r="Y36" s="0" t="str">
        <f aca="false">W36&amp;"|"&amp;X36</f>
        <v>cenz32hm5akyeqy|CS2 [NO MARKET] · MZP vs ex-RUSTEC|K12</v>
      </c>
      <c r="Z36" s="11" t="n">
        <f aca="false">IFERROR(INDEX(CHOOSE(MATCH($X36,{"K1","K2","K3","K12","K13","H1","H2","H3","H12","H13"},0),Calc!$BA$2:$BA$105,Calc!$BB$2:$BB$105,Calc!$BC$2:$BC$105,Calc!$BD$2:$BD$105,Calc!$BE$2:$BE$105,Calc!$BF$2:$BF$105,Calc!$BG$2:$BG$105,Calc!$BH$2:$BH$105,Calc!$BI$2:$BI$105,Calc!$BJ$2:$BJ$105),MATCH($W36,Calc!$A$2:$A$105,0)),"")</f>
        <v>29.7928571428571</v>
      </c>
      <c r="AA36" s="11" t="n">
        <f aca="false">IF(Z36="","",IF(LEFT($X36,1)="H",SQRT(Z36*(IFERROR(INDEX(Calc!$AP$2:$AP$105,MATCH($W36,Calc!$A$2:$A$105,0)),0.5)*Config!$B$5+1-IFERROR(INDEX(Calc!$AP$2:$AP$105,MATCH($W36,Calc!$A$2:$A$105,0)),0.5))),SQRT(Z36*Config!$B$5)))</f>
        <v>6.45832795698701</v>
      </c>
      <c r="AB36" s="10" t="n">
        <f aca="false">IF(OR(F36="",Z36="",N(AA36)&lt;=0),"",1-NORMDIST(FLOOR(F36,1)+0.5,Z36,AA36,TRUE()))</f>
        <v>0.456405665922365</v>
      </c>
      <c r="AC36" s="10" t="n">
        <f aca="false">IF(AB36="","",NORMDIST(CEILING(F36,1)-0.5,Z36,AA36,TRUE()))</f>
        <v>0.543594334077635</v>
      </c>
      <c r="AD36" s="0" t="str">
        <f aca="false">IF(AB36="","",IF(AB36&gt;=0.5+Config!$B$6,"OVER",IF(AC36&gt;=0.5+Config!$B$6,"UNDER","—")))</f>
        <v>UNDER</v>
      </c>
      <c r="AE36" s="13" t="n">
        <f aca="false">IFERROR(Z36/G36,"")</f>
        <v>1</v>
      </c>
    </row>
    <row r="37" customFormat="false" ht="15" hidden="false" customHeight="false" outlineLevel="0" collapsed="false">
      <c r="A37" s="0" t="s">
        <v>775</v>
      </c>
      <c r="B37" s="0" t="s">
        <v>792</v>
      </c>
      <c r="C37" s="0" t="s">
        <v>934</v>
      </c>
      <c r="D37" s="0" t="s">
        <v>798</v>
      </c>
      <c r="E37" s="0" t="s">
        <v>893</v>
      </c>
      <c r="F37" s="0" t="n">
        <v>14.5</v>
      </c>
      <c r="G37" s="11" t="n">
        <f aca="false">IFERROR(INDEX(CHOOSE(MATCH($X37,{"K1","K2","K3","K12","K13","H1","H2","H3","H12","H13"},0),Calc!$V$2:$V$105,Calc!$AC$2:$AC$105,Calc!$AJ$2:$AJ$105,Calc!$AL$2:$AL$105,Calc!$AM$2:$AM$105,Calc!$W$2:$W$105,Calc!$AD$2:$AD$105,Calc!$AK$2:$AK$105,Calc!$AN$2:$AN$105,Calc!$AO$2:$AO$105),MATCH($W37,Calc!$A$2:$A$105,0)),"")</f>
        <v>15.2631725</v>
      </c>
      <c r="H37" s="11" t="n">
        <f aca="false">IF(G37="","",IF(LEFT($X37,1)="H",SQRT(G37*(IFERROR(INDEX(Calc!$AP$2:$AP$105,MATCH($W37,Calc!$A$2:$A$105,0)),0.5)*Config!$B$5+1-IFERROR(INDEX(Calc!$AP$2:$AP$105,MATCH($W37,Calc!$A$2:$A$105,0)),0.5))),SQRT(G37*Config!$B$5)))</f>
        <v>4.28734391599904</v>
      </c>
      <c r="I37" s="10" t="n">
        <f aca="false">IF(OR(F37="",G37="",N(H37)&lt;=0),"",1-NORMDIST(FLOOR(F37,1)+0.5,G37,H37,TRUE()))</f>
        <v>0.570640827760085</v>
      </c>
      <c r="J37" s="10" t="n">
        <f aca="false">IF(I37="","",NORMDIST(CEILING(F37,1)-0.5,G37,H37,TRUE()))</f>
        <v>0.429359172239915</v>
      </c>
      <c r="K37" s="10" t="n">
        <f aca="false">IF(I37="","",MAX(0,1-I37-J37))</f>
        <v>0</v>
      </c>
      <c r="L37" s="0" t="str">
        <f aca="false">IF(I37="","",IF(I37&gt;=0.5+Config!$B$6,"OVER",IF(J37&gt;=0.5+Config!$B$6,"UNDER","—")))</f>
        <v>OVER</v>
      </c>
      <c r="N37" s="0" t="n">
        <v>17.9</v>
      </c>
      <c r="O37" s="10" t="n">
        <v>0.6</v>
      </c>
      <c r="P37" s="10" t="n">
        <v>0.8</v>
      </c>
      <c r="Q37" s="10" t="n">
        <v>0.67</v>
      </c>
      <c r="R37" s="9" t="s">
        <v>907</v>
      </c>
      <c r="S37" s="0" t="n">
        <v>1</v>
      </c>
      <c r="T37" s="0" t="str">
        <f aca="false">INDEX(Calc!$G$2:$G$105,MATCH($W37,Calc!$A$2:$A$105,0))&amp;" / "&amp;INDEX(Calc!$H$2:$H$105,MATCH($W37,Calc!$A$2:$A$105,0))</f>
        <v>Nuke / Inferno</v>
      </c>
      <c r="U37" s="0" t="str">
        <f aca="false">TEXT(INDEX(Calc!$J$2:$J$105,MATCH($W37,Calc!$A$2:$A$105,0)),"0.0")&amp;" / "&amp;TEXT(INDEX(Calc!$K$2:$K$105,MATCH($W37,Calc!$A$2:$A$105,0)),"0.0")</f>
        <v>21.5 / 21.5</v>
      </c>
      <c r="V37" s="0" t="str">
        <f aca="false">IFERROR(INDEX(Calc!$AQ$2:$AQ$105,MATCH($W37,Calc!$A$2:$A$105,0)),"")</f>
        <v/>
      </c>
      <c r="W37" s="9" t="s">
        <v>935</v>
      </c>
      <c r="X37" s="9" t="s">
        <v>896</v>
      </c>
      <c r="Y37" s="0" t="str">
        <f aca="false">W37&amp;"|"&amp;X37</f>
        <v>vwa09ypl40r89pt|CS2 [NO MARKET] · MZP vs ex-RUSTEC|H12</v>
      </c>
      <c r="Z37" s="11" t="n">
        <f aca="false">IFERROR(INDEX(CHOOSE(MATCH($X37,{"K1","K2","K3","K12","K13","H1","H2","H3","H12","H13"},0),Calc!$BA$2:$BA$105,Calc!$BB$2:$BB$105,Calc!$BC$2:$BC$105,Calc!$BD$2:$BD$105,Calc!$BE$2:$BE$105,Calc!$BF$2:$BF$105,Calc!$BG$2:$BG$105,Calc!$BH$2:$BH$105,Calc!$BI$2:$BI$105,Calc!$BJ$2:$BJ$105),MATCH($W37,Calc!$A$2:$A$105,0)),"")</f>
        <v>15.2631725</v>
      </c>
      <c r="AA37" s="11" t="n">
        <f aca="false">IF(Z37="","",IF(LEFT($X37,1)="H",SQRT(Z37*(IFERROR(INDEX(Calc!$AP$2:$AP$105,MATCH($W37,Calc!$A$2:$A$105,0)),0.5)*Config!$B$5+1-IFERROR(INDEX(Calc!$AP$2:$AP$105,MATCH($W37,Calc!$A$2:$A$105,0)),0.5))),SQRT(Z37*Config!$B$5)))</f>
        <v>4.28734391599904</v>
      </c>
      <c r="AB37" s="10" t="n">
        <f aca="false">IF(OR(F37="",Z37="",N(AA37)&lt;=0),"",1-NORMDIST(FLOOR(F37,1)+0.5,Z37,AA37,TRUE()))</f>
        <v>0.570640827760085</v>
      </c>
      <c r="AC37" s="10" t="n">
        <f aca="false">IF(AB37="","",NORMDIST(CEILING(F37,1)-0.5,Z37,AA37,TRUE()))</f>
        <v>0.429359172239915</v>
      </c>
      <c r="AD37" s="0" t="str">
        <f aca="false">IF(AB37="","",IF(AB37&gt;=0.5+Config!$B$6,"OVER",IF(AC37&gt;=0.5+Config!$B$6,"UNDER","—")))</f>
        <v>OVER</v>
      </c>
      <c r="AE37" s="13" t="n">
        <f aca="false">IFERROR(Z37/G37,"")</f>
        <v>1</v>
      </c>
    </row>
    <row r="38" customFormat="false" ht="15" hidden="false" customHeight="false" outlineLevel="0" collapsed="false">
      <c r="A38" s="0" t="s">
        <v>775</v>
      </c>
      <c r="B38" s="0" t="s">
        <v>792</v>
      </c>
      <c r="C38" s="0" t="s">
        <v>934</v>
      </c>
      <c r="D38" s="0" t="s">
        <v>798</v>
      </c>
      <c r="E38" s="0" t="s">
        <v>888</v>
      </c>
      <c r="F38" s="0" t="n">
        <v>28.5</v>
      </c>
      <c r="G38" s="11" t="n">
        <f aca="false">IFERROR(INDEX(CHOOSE(MATCH($X38,{"K1","K2","K3","K12","K13","H1","H2","H3","H12","H13"},0),Calc!$V$2:$V$105,Calc!$AC$2:$AC$105,Calc!$AJ$2:$AJ$105,Calc!$AL$2:$AL$105,Calc!$AM$2:$AM$105,Calc!$W$2:$W$105,Calc!$AD$2:$AD$105,Calc!$AK$2:$AK$105,Calc!$AN$2:$AN$105,Calc!$AO$2:$AO$105),MATCH($W38,Calc!$A$2:$A$105,0)),"")</f>
        <v>29.885</v>
      </c>
      <c r="H38" s="11" t="n">
        <f aca="false">IF(G38="","",IF(LEFT($X38,1)="H",SQRT(G38*(IFERROR(INDEX(Calc!$AP$2:$AP$105,MATCH($W38,Calc!$A$2:$A$105,0)),0.5)*Config!$B$5+1-IFERROR(INDEX(Calc!$AP$2:$AP$105,MATCH($W38,Calc!$A$2:$A$105,0)),0.5))),SQRT(G38*Config!$B$5)))</f>
        <v>6.46830735200485</v>
      </c>
      <c r="I38" s="10" t="n">
        <f aca="false">IF(OR(F38="",G38="",N(H38)&lt;=0),"",1-NORMDIST(FLOOR(F38,1)+0.5,G38,H38,TRUE()))</f>
        <v>0.58477362360791</v>
      </c>
      <c r="J38" s="10" t="n">
        <f aca="false">IF(I38="","",NORMDIST(CEILING(F38,1)-0.5,G38,H38,TRUE()))</f>
        <v>0.41522637639209</v>
      </c>
      <c r="K38" s="10" t="n">
        <f aca="false">IF(I38="","",MAX(0,1-I38-J38))</f>
        <v>0</v>
      </c>
      <c r="L38" s="0" t="str">
        <f aca="false">IF(I38="","",IF(I38&gt;=0.5+Config!$B$6,"OVER",IF(J38&gt;=0.5+Config!$B$6,"UNDER","—")))</f>
        <v>OVER</v>
      </c>
      <c r="N38" s="0" t="n">
        <v>33.8</v>
      </c>
      <c r="O38" s="10" t="n">
        <v>0.6</v>
      </c>
      <c r="P38" s="10" t="n">
        <v>0.7</v>
      </c>
      <c r="Q38" s="10" t="n">
        <v>0.73</v>
      </c>
      <c r="R38" s="9" t="s">
        <v>907</v>
      </c>
      <c r="S38" s="0" t="n">
        <v>-1</v>
      </c>
      <c r="T38" s="0" t="str">
        <f aca="false">INDEX(Calc!$G$2:$G$105,MATCH($W38,Calc!$A$2:$A$105,0))&amp;" / "&amp;INDEX(Calc!$H$2:$H$105,MATCH($W38,Calc!$A$2:$A$105,0))</f>
        <v>Nuke / Inferno</v>
      </c>
      <c r="U38" s="0" t="str">
        <f aca="false">TEXT(INDEX(Calc!$J$2:$J$105,MATCH($W38,Calc!$A$2:$A$105,0)),"0.0")&amp;" / "&amp;TEXT(INDEX(Calc!$K$2:$K$105,MATCH($W38,Calc!$A$2:$A$105,0)),"0.0")</f>
        <v>21.5 / 21.5</v>
      </c>
      <c r="V38" s="0" t="str">
        <f aca="false">IFERROR(INDEX(Calc!$AQ$2:$AQ$105,MATCH($W38,Calc!$A$2:$A$105,0)),"")</f>
        <v/>
      </c>
      <c r="W38" s="9" t="s">
        <v>935</v>
      </c>
      <c r="X38" s="9" t="s">
        <v>891</v>
      </c>
      <c r="Y38" s="0" t="str">
        <f aca="false">W38&amp;"|"&amp;X38</f>
        <v>vwa09ypl40r89pt|CS2 [NO MARKET] · MZP vs ex-RUSTEC|K12</v>
      </c>
      <c r="Z38" s="11" t="n">
        <f aca="false">IFERROR(INDEX(CHOOSE(MATCH($X38,{"K1","K2","K3","K12","K13","H1","H2","H3","H12","H13"},0),Calc!$BA$2:$BA$105,Calc!$BB$2:$BB$105,Calc!$BC$2:$BC$105,Calc!$BD$2:$BD$105,Calc!$BE$2:$BE$105,Calc!$BF$2:$BF$105,Calc!$BG$2:$BG$105,Calc!$BH$2:$BH$105,Calc!$BI$2:$BI$105,Calc!$BJ$2:$BJ$105),MATCH($W38,Calc!$A$2:$A$105,0)),"")</f>
        <v>29.885</v>
      </c>
      <c r="AA38" s="11" t="n">
        <f aca="false">IF(Z38="","",IF(LEFT($X38,1)="H",SQRT(Z38*(IFERROR(INDEX(Calc!$AP$2:$AP$105,MATCH($W38,Calc!$A$2:$A$105,0)),0.5)*Config!$B$5+1-IFERROR(INDEX(Calc!$AP$2:$AP$105,MATCH($W38,Calc!$A$2:$A$105,0)),0.5))),SQRT(Z38*Config!$B$5)))</f>
        <v>6.46830735200485</v>
      </c>
      <c r="AB38" s="10" t="n">
        <f aca="false">IF(OR(F38="",Z38="",N(AA38)&lt;=0),"",1-NORMDIST(FLOOR(F38,1)+0.5,Z38,AA38,TRUE()))</f>
        <v>0.58477362360791</v>
      </c>
      <c r="AC38" s="10" t="n">
        <f aca="false">IF(AB38="","",NORMDIST(CEILING(F38,1)-0.5,Z38,AA38,TRUE()))</f>
        <v>0.41522637639209</v>
      </c>
      <c r="AD38" s="0" t="str">
        <f aca="false">IF(AB38="","",IF(AB38&gt;=0.5+Config!$B$6,"OVER",IF(AC38&gt;=0.5+Config!$B$6,"UNDER","—")))</f>
        <v>OVER</v>
      </c>
      <c r="AE38" s="13" t="n">
        <f aca="false">IFERROR(Z38/G38,"")</f>
        <v>1</v>
      </c>
    </row>
    <row r="39" customFormat="false" ht="15" hidden="false" customHeight="false" outlineLevel="0" collapsed="false">
      <c r="A39" s="0" t="s">
        <v>775</v>
      </c>
      <c r="B39" s="0" t="s">
        <v>792</v>
      </c>
      <c r="C39" s="0" t="s">
        <v>936</v>
      </c>
      <c r="D39" s="0" t="s">
        <v>798</v>
      </c>
      <c r="E39" s="0" t="s">
        <v>893</v>
      </c>
      <c r="F39" s="0" t="n">
        <v>12</v>
      </c>
      <c r="G39" s="11" t="n">
        <f aca="false">IFERROR(INDEX(CHOOSE(MATCH($X39,{"K1","K2","K3","K12","K13","H1","H2","H3","H12","H13"},0),Calc!$V$2:$V$105,Calc!$AC$2:$AC$105,Calc!$AJ$2:$AJ$105,Calc!$AL$2:$AL$105,Calc!$AM$2:$AM$105,Calc!$W$2:$W$105,Calc!$AD$2:$AD$105,Calc!$AK$2:$AK$105,Calc!$AN$2:$AN$105,Calc!$AO$2:$AO$105),MATCH($W39,Calc!$A$2:$A$105,0)),"")</f>
        <v>10.7906898469388</v>
      </c>
      <c r="H39" s="11" t="n">
        <f aca="false">IF(G39="","",IF(LEFT($X39,1)="H",SQRT(G39*(IFERROR(INDEX(Calc!$AP$2:$AP$105,MATCH($W39,Calc!$A$2:$A$105,0)),0.5)*Config!$B$5+1-IFERROR(INDEX(Calc!$AP$2:$AP$105,MATCH($W39,Calc!$A$2:$A$105,0)),0.5))),SQRT(G39*Config!$B$5)))</f>
        <v>3.58581347033562</v>
      </c>
      <c r="I39" s="10" t="n">
        <f aca="false">IF(OR(F39="",G39="",N(H39)&lt;=0),"",1-NORMDIST(FLOOR(F39,1)+0.5,G39,H39,TRUE()))</f>
        <v>0.316792561589866</v>
      </c>
      <c r="J39" s="10" t="n">
        <f aca="false">IF(I39="","",NORMDIST(CEILING(F39,1)-0.5,G39,H39,TRUE()))</f>
        <v>0.578403181651699</v>
      </c>
      <c r="K39" s="10" t="n">
        <f aca="false">IF(I39="","",MAX(0,1-I39-J39))</f>
        <v>0.104804256758436</v>
      </c>
      <c r="L39" s="0" t="str">
        <f aca="false">IF(I39="","",IF(I39&gt;=0.5+Config!$B$6,"OVER",IF(J39&gt;=0.5+Config!$B$6,"UNDER","—")))</f>
        <v>UNDER</v>
      </c>
      <c r="N39" s="0" t="n">
        <v>12.7</v>
      </c>
      <c r="O39" s="10" t="n">
        <v>0.6</v>
      </c>
      <c r="P39" s="10" t="n">
        <v>0.8</v>
      </c>
      <c r="Q39" s="10" t="n">
        <v>0.8</v>
      </c>
      <c r="R39" s="9" t="s">
        <v>907</v>
      </c>
      <c r="S39" s="0" t="n">
        <v>2</v>
      </c>
      <c r="T39" s="0" t="str">
        <f aca="false">INDEX(Calc!$G$2:$G$105,MATCH($W39,Calc!$A$2:$A$105,0))&amp;" / "&amp;INDEX(Calc!$H$2:$H$105,MATCH($W39,Calc!$A$2:$A$105,0))</f>
        <v>Nuke / Inferno</v>
      </c>
      <c r="U39" s="0" t="str">
        <f aca="false">TEXT(INDEX(Calc!$J$2:$J$105,MATCH($W39,Calc!$A$2:$A$105,0)),"0.0")&amp;" / "&amp;TEXT(INDEX(Calc!$K$2:$K$105,MATCH($W39,Calc!$A$2:$A$105,0)),"0.0")</f>
        <v>21.5 / 21.5</v>
      </c>
      <c r="V39" s="0" t="str">
        <f aca="false">IFERROR(INDEX(Calc!$AQ$2:$AQ$105,MATCH($W39,Calc!$A$2:$A$105,0)),"")</f>
        <v/>
      </c>
      <c r="W39" s="9" t="s">
        <v>937</v>
      </c>
      <c r="X39" s="9" t="s">
        <v>896</v>
      </c>
      <c r="Y39" s="0" t="str">
        <f aca="false">W39&amp;"|"&amp;X39</f>
        <v>vl85mzwiy0ds144|CS2 [NO MARKET] · MZP vs ex-RUSTEC|H12</v>
      </c>
      <c r="Z39" s="11" t="n">
        <f aca="false">IFERROR(INDEX(CHOOSE(MATCH($X39,{"K1","K2","K3","K12","K13","H1","H2","H3","H12","H13"},0),Calc!$BA$2:$BA$105,Calc!$BB$2:$BB$105,Calc!$BC$2:$BC$105,Calc!$BD$2:$BD$105,Calc!$BE$2:$BE$105,Calc!$BF$2:$BF$105,Calc!$BG$2:$BG$105,Calc!$BH$2:$BH$105,Calc!$BI$2:$BI$105,Calc!$BJ$2:$BJ$105),MATCH($W39,Calc!$A$2:$A$105,0)),"")</f>
        <v>10.7906898469388</v>
      </c>
      <c r="AA39" s="11" t="n">
        <f aca="false">IF(Z39="","",IF(LEFT($X39,1)="H",SQRT(Z39*(IFERROR(INDEX(Calc!$AP$2:$AP$105,MATCH($W39,Calc!$A$2:$A$105,0)),0.5)*Config!$B$5+1-IFERROR(INDEX(Calc!$AP$2:$AP$105,MATCH($W39,Calc!$A$2:$A$105,0)),0.5))),SQRT(Z39*Config!$B$5)))</f>
        <v>3.58581347033562</v>
      </c>
      <c r="AB39" s="10" t="n">
        <f aca="false">IF(OR(F39="",Z39="",N(AA39)&lt;=0),"",1-NORMDIST(FLOOR(F39,1)+0.5,Z39,AA39,TRUE()))</f>
        <v>0.316792561589866</v>
      </c>
      <c r="AC39" s="10" t="n">
        <f aca="false">IF(AB39="","",NORMDIST(CEILING(F39,1)-0.5,Z39,AA39,TRUE()))</f>
        <v>0.578403181651699</v>
      </c>
      <c r="AD39" s="0" t="str">
        <f aca="false">IF(AB39="","",IF(AB39&gt;=0.5+Config!$B$6,"OVER",IF(AC39&gt;=0.5+Config!$B$6,"UNDER","—")))</f>
        <v>UNDER</v>
      </c>
      <c r="AE39" s="13" t="n">
        <f aca="false">IFERROR(Z39/G39,"")</f>
        <v>1</v>
      </c>
    </row>
    <row r="40" customFormat="false" ht="15" hidden="false" customHeight="false" outlineLevel="0" collapsed="false">
      <c r="A40" s="0" t="s">
        <v>775</v>
      </c>
      <c r="B40" s="0" t="s">
        <v>792</v>
      </c>
      <c r="C40" s="0" t="s">
        <v>936</v>
      </c>
      <c r="D40" s="0" t="s">
        <v>798</v>
      </c>
      <c r="E40" s="0" t="s">
        <v>888</v>
      </c>
      <c r="F40" s="0" t="n">
        <v>24.5</v>
      </c>
      <c r="G40" s="11" t="n">
        <f aca="false">IFERROR(INDEX(CHOOSE(MATCH($X40,{"K1","K2","K3","K12","K13","H1","H2","H3","H12","H13"},0),Calc!$V$2:$V$105,Calc!$AC$2:$AC$105,Calc!$AJ$2:$AJ$105,Calc!$AL$2:$AL$105,Calc!$AM$2:$AM$105,Calc!$W$2:$W$105,Calc!$AD$2:$AD$105,Calc!$AK$2:$AK$105,Calc!$AN$2:$AN$105,Calc!$AO$2:$AO$105),MATCH($W40,Calc!$A$2:$A$105,0)),"")</f>
        <v>22.5289285714286</v>
      </c>
      <c r="H40" s="11" t="n">
        <f aca="false">IF(G40="","",IF(LEFT($X40,1)="H",SQRT(G40*(IFERROR(INDEX(Calc!$AP$2:$AP$105,MATCH($W40,Calc!$A$2:$A$105,0)),0.5)*Config!$B$5+1-IFERROR(INDEX(Calc!$AP$2:$AP$105,MATCH($W40,Calc!$A$2:$A$105,0)),0.5))),SQRT(G40*Config!$B$5)))</f>
        <v>5.61609294794878</v>
      </c>
      <c r="I40" s="10" t="n">
        <f aca="false">IF(OR(F40="",G40="",N(H40)&lt;=0),"",1-NORMDIST(FLOOR(F40,1)+0.5,G40,H40,TRUE()))</f>
        <v>0.362806009511876</v>
      </c>
      <c r="J40" s="10" t="n">
        <f aca="false">IF(I40="","",NORMDIST(CEILING(F40,1)-0.5,G40,H40,TRUE()))</f>
        <v>0.637193990488124</v>
      </c>
      <c r="K40" s="10" t="n">
        <f aca="false">IF(I40="","",MAX(0,1-I40-J40))</f>
        <v>0</v>
      </c>
      <c r="L40" s="0" t="str">
        <f aca="false">IF(I40="","",IF(I40&gt;=0.5+Config!$B$6,"OVER",IF(J40&gt;=0.5+Config!$B$6,"UNDER","—")))</f>
        <v>UNDER</v>
      </c>
      <c r="N40" s="0" t="n">
        <v>25.9</v>
      </c>
      <c r="O40" s="10" t="n">
        <v>0.4</v>
      </c>
      <c r="P40" s="10" t="n">
        <v>0.5</v>
      </c>
      <c r="Q40" s="10" t="n">
        <v>0.47</v>
      </c>
      <c r="R40" s="9" t="s">
        <v>907</v>
      </c>
      <c r="S40" s="0" t="n">
        <v>1</v>
      </c>
      <c r="T40" s="0" t="str">
        <f aca="false">INDEX(Calc!$G$2:$G$105,MATCH($W40,Calc!$A$2:$A$105,0))&amp;" / "&amp;INDEX(Calc!$H$2:$H$105,MATCH($W40,Calc!$A$2:$A$105,0))</f>
        <v>Nuke / Inferno</v>
      </c>
      <c r="U40" s="0" t="str">
        <f aca="false">TEXT(INDEX(Calc!$J$2:$J$105,MATCH($W40,Calc!$A$2:$A$105,0)),"0.0")&amp;" / "&amp;TEXT(INDEX(Calc!$K$2:$K$105,MATCH($W40,Calc!$A$2:$A$105,0)),"0.0")</f>
        <v>21.5 / 21.5</v>
      </c>
      <c r="V40" s="0" t="str">
        <f aca="false">IFERROR(INDEX(Calc!$AQ$2:$AQ$105,MATCH($W40,Calc!$A$2:$A$105,0)),"")</f>
        <v/>
      </c>
      <c r="W40" s="9" t="s">
        <v>937</v>
      </c>
      <c r="X40" s="9" t="s">
        <v>891</v>
      </c>
      <c r="Y40" s="0" t="str">
        <f aca="false">W40&amp;"|"&amp;X40</f>
        <v>vl85mzwiy0ds144|CS2 [NO MARKET] · MZP vs ex-RUSTEC|K12</v>
      </c>
      <c r="Z40" s="11" t="n">
        <f aca="false">IFERROR(INDEX(CHOOSE(MATCH($X40,{"K1","K2","K3","K12","K13","H1","H2","H3","H12","H13"},0),Calc!$BA$2:$BA$105,Calc!$BB$2:$BB$105,Calc!$BC$2:$BC$105,Calc!$BD$2:$BD$105,Calc!$BE$2:$BE$105,Calc!$BF$2:$BF$105,Calc!$BG$2:$BG$105,Calc!$BH$2:$BH$105,Calc!$BI$2:$BI$105,Calc!$BJ$2:$BJ$105),MATCH($W40,Calc!$A$2:$A$105,0)),"")</f>
        <v>22.5289285714286</v>
      </c>
      <c r="AA40" s="11" t="n">
        <f aca="false">IF(Z40="","",IF(LEFT($X40,1)="H",SQRT(Z40*(IFERROR(INDEX(Calc!$AP$2:$AP$105,MATCH($W40,Calc!$A$2:$A$105,0)),0.5)*Config!$B$5+1-IFERROR(INDEX(Calc!$AP$2:$AP$105,MATCH($W40,Calc!$A$2:$A$105,0)),0.5))),SQRT(Z40*Config!$B$5)))</f>
        <v>5.61609294794878</v>
      </c>
      <c r="AB40" s="10" t="n">
        <f aca="false">IF(OR(F40="",Z40="",N(AA40)&lt;=0),"",1-NORMDIST(FLOOR(F40,1)+0.5,Z40,AA40,TRUE()))</f>
        <v>0.362806009511876</v>
      </c>
      <c r="AC40" s="10" t="n">
        <f aca="false">IF(AB40="","",NORMDIST(CEILING(F40,1)-0.5,Z40,AA40,TRUE()))</f>
        <v>0.637193990488124</v>
      </c>
      <c r="AD40" s="0" t="str">
        <f aca="false">IF(AB40="","",IF(AB40&gt;=0.5+Config!$B$6,"OVER",IF(AC40&gt;=0.5+Config!$B$6,"UNDER","—")))</f>
        <v>UNDER</v>
      </c>
      <c r="AE40" s="13" t="n">
        <f aca="false">IFERROR(Z40/G40,"")</f>
        <v>1</v>
      </c>
    </row>
    <row r="41" customFormat="false" ht="15" hidden="false" customHeight="false" outlineLevel="0" collapsed="false">
      <c r="A41" s="0" t="s">
        <v>775</v>
      </c>
      <c r="B41" s="0" t="s">
        <v>792</v>
      </c>
      <c r="C41" s="0" t="s">
        <v>938</v>
      </c>
      <c r="D41" s="0" t="s">
        <v>799</v>
      </c>
      <c r="E41" s="0" t="s">
        <v>893</v>
      </c>
      <c r="F41" s="0" t="n">
        <v>18.5</v>
      </c>
      <c r="G41" s="11" t="n">
        <f aca="false">IFERROR(INDEX(CHOOSE(MATCH($X41,{"K1","K2","K3","K12","K13","H1","H2","H3","H12","H13"},0),Calc!$V$2:$V$105,Calc!$AC$2:$AC$105,Calc!$AJ$2:$AJ$105,Calc!$AL$2:$AL$105,Calc!$AM$2:$AM$105,Calc!$W$2:$W$105,Calc!$AD$2:$AD$105,Calc!$AK$2:$AK$105,Calc!$AN$2:$AN$105,Calc!$AO$2:$AO$105),MATCH($W41,Calc!$A$2:$A$105,0)),"")</f>
        <v>19.7223508298898</v>
      </c>
      <c r="H41" s="11" t="n">
        <f aca="false">IF(G41="","",IF(LEFT($X41,1)="H",SQRT(G41*(IFERROR(INDEX(Calc!$AP$2:$AP$105,MATCH($W41,Calc!$A$2:$A$105,0)),0.5)*Config!$B$5+1-IFERROR(INDEX(Calc!$AP$2:$AP$105,MATCH($W41,Calc!$A$2:$A$105,0)),0.5))),SQRT(G41*Config!$B$5)))</f>
        <v>4.95999037503887</v>
      </c>
      <c r="I41" s="10" t="n">
        <f aca="false">IF(OR(F41="",G41="",N(H41)&lt;=0),"",1-NORMDIST(FLOOR(F41,1)+0.5,G41,H41,TRUE()))</f>
        <v>0.597330020185168</v>
      </c>
      <c r="J41" s="10" t="n">
        <f aca="false">IF(I41="","",NORMDIST(CEILING(F41,1)-0.5,G41,H41,TRUE()))</f>
        <v>0.402669979814833</v>
      </c>
      <c r="K41" s="10" t="n">
        <f aca="false">IF(I41="","",MAX(0,1-I41-J41))</f>
        <v>0</v>
      </c>
      <c r="L41" s="0" t="str">
        <f aca="false">IF(I41="","",IF(I41&gt;=0.5+Config!$B$6,"OVER",IF(J41&gt;=0.5+Config!$B$6,"UNDER","—")))</f>
        <v>OVER</v>
      </c>
      <c r="N41" s="0" t="n">
        <v>21.1</v>
      </c>
      <c r="O41" s="10" t="n">
        <v>0.6</v>
      </c>
      <c r="P41" s="10" t="n">
        <v>0.6</v>
      </c>
      <c r="Q41" s="10" t="n">
        <v>0.47</v>
      </c>
      <c r="R41" s="9" t="s">
        <v>939</v>
      </c>
      <c r="S41" s="0" t="n">
        <v>-1</v>
      </c>
      <c r="T41" s="0" t="str">
        <f aca="false">INDEX(Calc!$G$2:$G$105,MATCH($W41,Calc!$A$2:$A$105,0))&amp;" / "&amp;INDEX(Calc!$H$2:$H$105,MATCH($W41,Calc!$A$2:$A$105,0))</f>
        <v>Nuke / Inferno</v>
      </c>
      <c r="U41" s="0" t="str">
        <f aca="false">TEXT(INDEX(Calc!$J$2:$J$105,MATCH($W41,Calc!$A$2:$A$105,0)),"0.0")&amp;" / "&amp;TEXT(INDEX(Calc!$K$2:$K$105,MATCH($W41,Calc!$A$2:$A$105,0)),"0.0")</f>
        <v>21.5 / 21.5</v>
      </c>
      <c r="V41" s="0" t="str">
        <f aca="false">IFERROR(INDEX(Calc!$AQ$2:$AQ$105,MATCH($W41,Calc!$A$2:$A$105,0)),"")</f>
        <v/>
      </c>
      <c r="W41" s="9" t="s">
        <v>940</v>
      </c>
      <c r="X41" s="9" t="s">
        <v>896</v>
      </c>
      <c r="Y41" s="0" t="str">
        <f aca="false">W41&amp;"|"&amp;X41</f>
        <v>u2qbkafgxd78s8o|CS2 [NO MARKET] · MZP vs ex-RUSTEC|H12</v>
      </c>
      <c r="Z41" s="11" t="n">
        <f aca="false">IFERROR(INDEX(CHOOSE(MATCH($X41,{"K1","K2","K3","K12","K13","H1","H2","H3","H12","H13"},0),Calc!$BA$2:$BA$105,Calc!$BB$2:$BB$105,Calc!$BC$2:$BC$105,Calc!$BD$2:$BD$105,Calc!$BE$2:$BE$105,Calc!$BF$2:$BF$105,Calc!$BG$2:$BG$105,Calc!$BH$2:$BH$105,Calc!$BI$2:$BI$105,Calc!$BJ$2:$BJ$105),MATCH($W41,Calc!$A$2:$A$105,0)),"")</f>
        <v>19.7223508298898</v>
      </c>
      <c r="AA41" s="11" t="n">
        <f aca="false">IF(Z41="","",IF(LEFT($X41,1)="H",SQRT(Z41*(IFERROR(INDEX(Calc!$AP$2:$AP$105,MATCH($W41,Calc!$A$2:$A$105,0)),0.5)*Config!$B$5+1-IFERROR(INDEX(Calc!$AP$2:$AP$105,MATCH($W41,Calc!$A$2:$A$105,0)),0.5))),SQRT(Z41*Config!$B$5)))</f>
        <v>4.95999037503887</v>
      </c>
      <c r="AB41" s="10" t="n">
        <f aca="false">IF(OR(F41="",Z41="",N(AA41)&lt;=0),"",1-NORMDIST(FLOOR(F41,1)+0.5,Z41,AA41,TRUE()))</f>
        <v>0.597330020185168</v>
      </c>
      <c r="AC41" s="10" t="n">
        <f aca="false">IF(AB41="","",NORMDIST(CEILING(F41,1)-0.5,Z41,AA41,TRUE()))</f>
        <v>0.402669979814833</v>
      </c>
      <c r="AD41" s="0" t="str">
        <f aca="false">IF(AB41="","",IF(AB41&gt;=0.5+Config!$B$6,"OVER",IF(AC41&gt;=0.5+Config!$B$6,"UNDER","—")))</f>
        <v>OVER</v>
      </c>
      <c r="AE41" s="13" t="n">
        <f aca="false">IFERROR(Z41/G41,"")</f>
        <v>1</v>
      </c>
    </row>
    <row r="42" customFormat="false" ht="15" hidden="false" customHeight="false" outlineLevel="0" collapsed="false">
      <c r="A42" s="0" t="s">
        <v>775</v>
      </c>
      <c r="B42" s="0" t="s">
        <v>792</v>
      </c>
      <c r="C42" s="0" t="s">
        <v>938</v>
      </c>
      <c r="D42" s="0" t="s">
        <v>799</v>
      </c>
      <c r="E42" s="0" t="s">
        <v>888</v>
      </c>
      <c r="F42" s="0" t="n">
        <v>29.5</v>
      </c>
      <c r="G42" s="11" t="n">
        <f aca="false">IFERROR(INDEX(CHOOSE(MATCH($X42,{"K1","K2","K3","K12","K13","H1","H2","H3","H12","H13"},0),Calc!$V$2:$V$105,Calc!$AC$2:$AC$105,Calc!$AJ$2:$AJ$105,Calc!$AL$2:$AL$105,Calc!$AM$2:$AM$105,Calc!$W$2:$W$105,Calc!$AD$2:$AD$105,Calc!$AK$2:$AK$105,Calc!$AN$2:$AN$105,Calc!$AO$2:$AO$105),MATCH($W42,Calc!$A$2:$A$105,0)),"")</f>
        <v>31.8884090909091</v>
      </c>
      <c r="H42" s="11" t="n">
        <f aca="false">IF(G42="","",IF(LEFT($X42,1)="H",SQRT(G42*(IFERROR(INDEX(Calc!$AP$2:$AP$105,MATCH($W42,Calc!$A$2:$A$105,0)),0.5)*Config!$B$5+1-IFERROR(INDEX(Calc!$AP$2:$AP$105,MATCH($W42,Calc!$A$2:$A$105,0)),0.5))),SQRT(G42*Config!$B$5)))</f>
        <v>6.68159956352315</v>
      </c>
      <c r="I42" s="10" t="n">
        <f aca="false">IF(OR(F42="",G42="",N(H42)&lt;=0),"",1-NORMDIST(FLOOR(F42,1)+0.5,G42,H42,TRUE()))</f>
        <v>0.639626519619429</v>
      </c>
      <c r="J42" s="10" t="n">
        <f aca="false">IF(I42="","",NORMDIST(CEILING(F42,1)-0.5,G42,H42,TRUE()))</f>
        <v>0.360373480380571</v>
      </c>
      <c r="K42" s="10" t="n">
        <f aca="false">IF(I42="","",MAX(0,1-I42-J42))</f>
        <v>0</v>
      </c>
      <c r="L42" s="0" t="str">
        <f aca="false">IF(I42="","",IF(I42&gt;=0.5+Config!$B$6,"OVER",IF(J42&gt;=0.5+Config!$B$6,"UNDER","—")))</f>
        <v>OVER</v>
      </c>
      <c r="N42" s="0" t="n">
        <v>31.5</v>
      </c>
      <c r="O42" s="10" t="n">
        <v>0.6</v>
      </c>
      <c r="P42" s="10" t="n">
        <v>0.6</v>
      </c>
      <c r="Q42" s="10" t="n">
        <v>0.47</v>
      </c>
      <c r="R42" s="9" t="s">
        <v>939</v>
      </c>
      <c r="S42" s="0" t="n">
        <v>-1</v>
      </c>
      <c r="T42" s="0" t="str">
        <f aca="false">INDEX(Calc!$G$2:$G$105,MATCH($W42,Calc!$A$2:$A$105,0))&amp;" / "&amp;INDEX(Calc!$H$2:$H$105,MATCH($W42,Calc!$A$2:$A$105,0))</f>
        <v>Nuke / Inferno</v>
      </c>
      <c r="U42" s="0" t="str">
        <f aca="false">TEXT(INDEX(Calc!$J$2:$J$105,MATCH($W42,Calc!$A$2:$A$105,0)),"0.0")&amp;" / "&amp;TEXT(INDEX(Calc!$K$2:$K$105,MATCH($W42,Calc!$A$2:$A$105,0)),"0.0")</f>
        <v>21.5 / 21.5</v>
      </c>
      <c r="V42" s="0" t="str">
        <f aca="false">IFERROR(INDEX(Calc!$AQ$2:$AQ$105,MATCH($W42,Calc!$A$2:$A$105,0)),"")</f>
        <v/>
      </c>
      <c r="W42" s="9" t="s">
        <v>940</v>
      </c>
      <c r="X42" s="9" t="s">
        <v>891</v>
      </c>
      <c r="Y42" s="0" t="str">
        <f aca="false">W42&amp;"|"&amp;X42</f>
        <v>u2qbkafgxd78s8o|CS2 [NO MARKET] · MZP vs ex-RUSTEC|K12</v>
      </c>
      <c r="Z42" s="11" t="n">
        <f aca="false">IFERROR(INDEX(CHOOSE(MATCH($X42,{"K1","K2","K3","K12","K13","H1","H2","H3","H12","H13"},0),Calc!$BA$2:$BA$105,Calc!$BB$2:$BB$105,Calc!$BC$2:$BC$105,Calc!$BD$2:$BD$105,Calc!$BE$2:$BE$105,Calc!$BF$2:$BF$105,Calc!$BG$2:$BG$105,Calc!$BH$2:$BH$105,Calc!$BI$2:$BI$105,Calc!$BJ$2:$BJ$105),MATCH($W42,Calc!$A$2:$A$105,0)),"")</f>
        <v>31.8884090909091</v>
      </c>
      <c r="AA42" s="11" t="n">
        <f aca="false">IF(Z42="","",IF(LEFT($X42,1)="H",SQRT(Z42*(IFERROR(INDEX(Calc!$AP$2:$AP$105,MATCH($W42,Calc!$A$2:$A$105,0)),0.5)*Config!$B$5+1-IFERROR(INDEX(Calc!$AP$2:$AP$105,MATCH($W42,Calc!$A$2:$A$105,0)),0.5))),SQRT(Z42*Config!$B$5)))</f>
        <v>6.68159956352315</v>
      </c>
      <c r="AB42" s="10" t="n">
        <f aca="false">IF(OR(F42="",Z42="",N(AA42)&lt;=0),"",1-NORMDIST(FLOOR(F42,1)+0.5,Z42,AA42,TRUE()))</f>
        <v>0.639626519619429</v>
      </c>
      <c r="AC42" s="10" t="n">
        <f aca="false">IF(AB42="","",NORMDIST(CEILING(F42,1)-0.5,Z42,AA42,TRUE()))</f>
        <v>0.360373480380571</v>
      </c>
      <c r="AD42" s="0" t="str">
        <f aca="false">IF(AB42="","",IF(AB42&gt;=0.5+Config!$B$6,"OVER",IF(AC42&gt;=0.5+Config!$B$6,"UNDER","—")))</f>
        <v>OVER</v>
      </c>
      <c r="AE42" s="13" t="n">
        <f aca="false">IFERROR(Z42/G42,"")</f>
        <v>1</v>
      </c>
    </row>
    <row r="43" customFormat="false" ht="15" hidden="false" customHeight="false" outlineLevel="0" collapsed="false">
      <c r="A43" s="0" t="s">
        <v>775</v>
      </c>
      <c r="B43" s="0" t="s">
        <v>792</v>
      </c>
      <c r="C43" s="0" t="s">
        <v>941</v>
      </c>
      <c r="D43" s="0" t="s">
        <v>799</v>
      </c>
      <c r="E43" s="0" t="s">
        <v>893</v>
      </c>
      <c r="F43" s="0" t="n">
        <v>15.5</v>
      </c>
      <c r="G43" s="11" t="n">
        <f aca="false">IFERROR(INDEX(CHOOSE(MATCH($X43,{"K1","K2","K3","K12","K13","H1","H2","H3","H12","H13"},0),Calc!$V$2:$V$105,Calc!$AC$2:$AC$105,Calc!$AJ$2:$AJ$105,Calc!$AL$2:$AL$105,Calc!$AM$2:$AM$105,Calc!$W$2:$W$105,Calc!$AD$2:$AD$105,Calc!$AK$2:$AK$105,Calc!$AN$2:$AN$105,Calc!$AO$2:$AO$105),MATCH($W43,Calc!$A$2:$A$105,0)),"")</f>
        <v>14.2833878420858</v>
      </c>
      <c r="H43" s="11" t="n">
        <f aca="false">IF(G43="","",IF(LEFT($X43,1)="H",SQRT(G43*(IFERROR(INDEX(Calc!$AP$2:$AP$105,MATCH($W43,Calc!$A$2:$A$105,0)),0.5)*Config!$B$5+1-IFERROR(INDEX(Calc!$AP$2:$AP$105,MATCH($W43,Calc!$A$2:$A$105,0)),0.5))),SQRT(G43*Config!$B$5)))</f>
        <v>4.20454195881565</v>
      </c>
      <c r="I43" s="10" t="n">
        <f aca="false">IF(OR(F43="",G43="",N(H43)&lt;=0),"",1-NORMDIST(FLOOR(F43,1)+0.5,G43,H43,TRUE()))</f>
        <v>0.386154234135905</v>
      </c>
      <c r="J43" s="10" t="n">
        <f aca="false">IF(I43="","",NORMDIST(CEILING(F43,1)-0.5,G43,H43,TRUE()))</f>
        <v>0.613845765864095</v>
      </c>
      <c r="K43" s="10" t="n">
        <f aca="false">IF(I43="","",MAX(0,1-I43-J43))</f>
        <v>0</v>
      </c>
      <c r="L43" s="0" t="str">
        <f aca="false">IF(I43="","",IF(I43&gt;=0.5+Config!$B$6,"OVER",IF(J43&gt;=0.5+Config!$B$6,"UNDER","—")))</f>
        <v>UNDER</v>
      </c>
      <c r="N43" s="0" t="n">
        <v>15</v>
      </c>
      <c r="O43" s="10" t="n">
        <v>0.4</v>
      </c>
      <c r="P43" s="10" t="n">
        <v>0.4</v>
      </c>
      <c r="Q43" s="10" t="n">
        <v>0.27</v>
      </c>
      <c r="R43" s="9" t="s">
        <v>894</v>
      </c>
      <c r="S43" s="0" t="n">
        <v>-2</v>
      </c>
      <c r="T43" s="0" t="str">
        <f aca="false">INDEX(Calc!$G$2:$G$105,MATCH($W43,Calc!$A$2:$A$105,0))&amp;" / "&amp;INDEX(Calc!$H$2:$H$105,MATCH($W43,Calc!$A$2:$A$105,0))</f>
        <v>Nuke / Inferno</v>
      </c>
      <c r="U43" s="0" t="str">
        <f aca="false">TEXT(INDEX(Calc!$J$2:$J$105,MATCH($W43,Calc!$A$2:$A$105,0)),"0.0")&amp;" / "&amp;TEXT(INDEX(Calc!$K$2:$K$105,MATCH($W43,Calc!$A$2:$A$105,0)),"0.0")</f>
        <v>21.5 / 21.5</v>
      </c>
      <c r="V43" s="0" t="str">
        <f aca="false">IFERROR(INDEX(Calc!$AQ$2:$AQ$105,MATCH($W43,Calc!$A$2:$A$105,0)),"")</f>
        <v/>
      </c>
      <c r="W43" s="9" t="s">
        <v>942</v>
      </c>
      <c r="X43" s="9" t="s">
        <v>896</v>
      </c>
      <c r="Y43" s="0" t="str">
        <f aca="false">W43&amp;"|"&amp;X43</f>
        <v>ib0ui40iou8m5h8|CS2 [NO MARKET] · MZP vs ex-RUSTEC|H12</v>
      </c>
      <c r="Z43" s="11" t="n">
        <f aca="false">IFERROR(INDEX(CHOOSE(MATCH($X43,{"K1","K2","K3","K12","K13","H1","H2","H3","H12","H13"},0),Calc!$BA$2:$BA$105,Calc!$BB$2:$BB$105,Calc!$BC$2:$BC$105,Calc!$BD$2:$BD$105,Calc!$BE$2:$BE$105,Calc!$BF$2:$BF$105,Calc!$BG$2:$BG$105,Calc!$BH$2:$BH$105,Calc!$BI$2:$BI$105,Calc!$BJ$2:$BJ$105),MATCH($W43,Calc!$A$2:$A$105,0)),"")</f>
        <v>14.2833878420858</v>
      </c>
      <c r="AA43" s="11" t="n">
        <f aca="false">IF(Z43="","",IF(LEFT($X43,1)="H",SQRT(Z43*(IFERROR(INDEX(Calc!$AP$2:$AP$105,MATCH($W43,Calc!$A$2:$A$105,0)),0.5)*Config!$B$5+1-IFERROR(INDEX(Calc!$AP$2:$AP$105,MATCH($W43,Calc!$A$2:$A$105,0)),0.5))),SQRT(Z43*Config!$B$5)))</f>
        <v>4.20454195881565</v>
      </c>
      <c r="AB43" s="10" t="n">
        <f aca="false">IF(OR(F43="",Z43="",N(AA43)&lt;=0),"",1-NORMDIST(FLOOR(F43,1)+0.5,Z43,AA43,TRUE()))</f>
        <v>0.386154234135905</v>
      </c>
      <c r="AC43" s="10" t="n">
        <f aca="false">IF(AB43="","",NORMDIST(CEILING(F43,1)-0.5,Z43,AA43,TRUE()))</f>
        <v>0.613845765864095</v>
      </c>
      <c r="AD43" s="0" t="str">
        <f aca="false">IF(AB43="","",IF(AB43&gt;=0.5+Config!$B$6,"OVER",IF(AC43&gt;=0.5+Config!$B$6,"UNDER","—")))</f>
        <v>UNDER</v>
      </c>
      <c r="AE43" s="13" t="n">
        <f aca="false">IFERROR(Z43/G43,"")</f>
        <v>1</v>
      </c>
    </row>
    <row r="44" customFormat="false" ht="15" hidden="false" customHeight="false" outlineLevel="0" collapsed="false">
      <c r="A44" s="0" t="s">
        <v>775</v>
      </c>
      <c r="B44" s="0" t="s">
        <v>792</v>
      </c>
      <c r="C44" s="0" t="s">
        <v>941</v>
      </c>
      <c r="D44" s="0" t="s">
        <v>799</v>
      </c>
      <c r="E44" s="0" t="s">
        <v>888</v>
      </c>
      <c r="F44" s="0" t="n">
        <v>27.5</v>
      </c>
      <c r="G44" s="11" t="n">
        <f aca="false">IFERROR(INDEX(CHOOSE(MATCH($X44,{"K1","K2","K3","K12","K13","H1","H2","H3","H12","H13"},0),Calc!$V$2:$V$105,Calc!$AC$2:$AC$105,Calc!$AJ$2:$AJ$105,Calc!$AL$2:$AL$105,Calc!$AM$2:$AM$105,Calc!$W$2:$W$105,Calc!$AD$2:$AD$105,Calc!$AK$2:$AK$105,Calc!$AN$2:$AN$105,Calc!$AO$2:$AO$105),MATCH($W44,Calc!$A$2:$A$105,0)),"")</f>
        <v>24.0386538461539</v>
      </c>
      <c r="H44" s="11" t="n">
        <f aca="false">IF(G44="","",IF(LEFT($X44,1)="H",SQRT(G44*(IFERROR(INDEX(Calc!$AP$2:$AP$105,MATCH($W44,Calc!$A$2:$A$105,0)),0.5)*Config!$B$5+1-IFERROR(INDEX(Calc!$AP$2:$AP$105,MATCH($W44,Calc!$A$2:$A$105,0)),0.5))),SQRT(G44*Config!$B$5)))</f>
        <v>5.80121671588085</v>
      </c>
      <c r="I44" s="10" t="n">
        <f aca="false">IF(OR(F44="",G44="",N(H44)&lt;=0),"",1-NORMDIST(FLOOR(F44,1)+0.5,G44,H44,TRUE()))</f>
        <v>0.27536765140695</v>
      </c>
      <c r="J44" s="10" t="n">
        <f aca="false">IF(I44="","",NORMDIST(CEILING(F44,1)-0.5,G44,H44,TRUE()))</f>
        <v>0.72463234859305</v>
      </c>
      <c r="K44" s="10" t="n">
        <f aca="false">IF(I44="","",MAX(0,1-I44-J44))</f>
        <v>0</v>
      </c>
      <c r="L44" s="0" t="str">
        <f aca="false">IF(I44="","",IF(I44&gt;=0.5+Config!$B$6,"OVER",IF(J44&gt;=0.5+Config!$B$6,"UNDER","—")))</f>
        <v>UNDER</v>
      </c>
      <c r="N44" s="0" t="n">
        <v>26.6</v>
      </c>
      <c r="O44" s="10" t="n">
        <v>0.4</v>
      </c>
      <c r="P44" s="10" t="n">
        <v>0.4</v>
      </c>
      <c r="Q44" s="10" t="n">
        <v>0.33</v>
      </c>
      <c r="R44" s="9" t="s">
        <v>894</v>
      </c>
      <c r="S44" s="0" t="n">
        <v>-2</v>
      </c>
      <c r="T44" s="0" t="str">
        <f aca="false">INDEX(Calc!$G$2:$G$105,MATCH($W44,Calc!$A$2:$A$105,0))&amp;" / "&amp;INDEX(Calc!$H$2:$H$105,MATCH($W44,Calc!$A$2:$A$105,0))</f>
        <v>Nuke / Inferno</v>
      </c>
      <c r="U44" s="0" t="str">
        <f aca="false">TEXT(INDEX(Calc!$J$2:$J$105,MATCH($W44,Calc!$A$2:$A$105,0)),"0.0")&amp;" / "&amp;TEXT(INDEX(Calc!$K$2:$K$105,MATCH($W44,Calc!$A$2:$A$105,0)),"0.0")</f>
        <v>21.5 / 21.5</v>
      </c>
      <c r="V44" s="0" t="str">
        <f aca="false">IFERROR(INDEX(Calc!$AQ$2:$AQ$105,MATCH($W44,Calc!$A$2:$A$105,0)),"")</f>
        <v/>
      </c>
      <c r="W44" s="9" t="s">
        <v>942</v>
      </c>
      <c r="X44" s="9" t="s">
        <v>891</v>
      </c>
      <c r="Y44" s="0" t="str">
        <f aca="false">W44&amp;"|"&amp;X44</f>
        <v>ib0ui40iou8m5h8|CS2 [NO MARKET] · MZP vs ex-RUSTEC|K12</v>
      </c>
      <c r="Z44" s="11" t="n">
        <f aca="false">IFERROR(INDEX(CHOOSE(MATCH($X44,{"K1","K2","K3","K12","K13","H1","H2","H3","H12","H13"},0),Calc!$BA$2:$BA$105,Calc!$BB$2:$BB$105,Calc!$BC$2:$BC$105,Calc!$BD$2:$BD$105,Calc!$BE$2:$BE$105,Calc!$BF$2:$BF$105,Calc!$BG$2:$BG$105,Calc!$BH$2:$BH$105,Calc!$BI$2:$BI$105,Calc!$BJ$2:$BJ$105),MATCH($W44,Calc!$A$2:$A$105,0)),"")</f>
        <v>24.0386538461539</v>
      </c>
      <c r="AA44" s="11" t="n">
        <f aca="false">IF(Z44="","",IF(LEFT($X44,1)="H",SQRT(Z44*(IFERROR(INDEX(Calc!$AP$2:$AP$105,MATCH($W44,Calc!$A$2:$A$105,0)),0.5)*Config!$B$5+1-IFERROR(INDEX(Calc!$AP$2:$AP$105,MATCH($W44,Calc!$A$2:$A$105,0)),0.5))),SQRT(Z44*Config!$B$5)))</f>
        <v>5.80121671588085</v>
      </c>
      <c r="AB44" s="10" t="n">
        <f aca="false">IF(OR(F44="",Z44="",N(AA44)&lt;=0),"",1-NORMDIST(FLOOR(F44,1)+0.5,Z44,AA44,TRUE()))</f>
        <v>0.27536765140695</v>
      </c>
      <c r="AC44" s="10" t="n">
        <f aca="false">IF(AB44="","",NORMDIST(CEILING(F44,1)-0.5,Z44,AA44,TRUE()))</f>
        <v>0.72463234859305</v>
      </c>
      <c r="AD44" s="0" t="str">
        <f aca="false">IF(AB44="","",IF(AB44&gt;=0.5+Config!$B$6,"OVER",IF(AC44&gt;=0.5+Config!$B$6,"UNDER","—")))</f>
        <v>UNDER</v>
      </c>
      <c r="AE44" s="13" t="n">
        <f aca="false">IFERROR(Z44/G44,"")</f>
        <v>1</v>
      </c>
    </row>
    <row r="45" customFormat="false" ht="15" hidden="false" customHeight="false" outlineLevel="0" collapsed="false">
      <c r="A45" s="0" t="s">
        <v>775</v>
      </c>
      <c r="B45" s="0" t="s">
        <v>792</v>
      </c>
      <c r="C45" s="0" t="s">
        <v>943</v>
      </c>
      <c r="D45" s="0" t="s">
        <v>799</v>
      </c>
      <c r="E45" s="0" t="s">
        <v>893</v>
      </c>
      <c r="F45" s="0" t="n">
        <v>16</v>
      </c>
      <c r="G45" s="11" t="n">
        <f aca="false">IFERROR(INDEX(CHOOSE(MATCH($X45,{"K1","K2","K3","K12","K13","H1","H2","H3","H12","H13"},0),Calc!$V$2:$V$105,Calc!$AC$2:$AC$105,Calc!$AJ$2:$AJ$105,Calc!$AL$2:$AL$105,Calc!$AM$2:$AM$105,Calc!$W$2:$W$105,Calc!$AD$2:$AD$105,Calc!$AK$2:$AK$105,Calc!$AN$2:$AN$105,Calc!$AO$2:$AO$105),MATCH($W45,Calc!$A$2:$A$105,0)),"")</f>
        <v>15.9294311432507</v>
      </c>
      <c r="H45" s="11" t="n">
        <f aca="false">IF(G45="","",IF(LEFT($X45,1)="H",SQRT(G45*(IFERROR(INDEX(Calc!$AP$2:$AP$105,MATCH($W45,Calc!$A$2:$A$105,0)),0.5)*Config!$B$5+1-IFERROR(INDEX(Calc!$AP$2:$AP$105,MATCH($W45,Calc!$A$2:$A$105,0)),0.5))),SQRT(G45*Config!$B$5)))</f>
        <v>4.37405123507691</v>
      </c>
      <c r="I45" s="10" t="n">
        <f aca="false">IF(OR(F45="",G45="",N(H45)&lt;=0),"",1-NORMDIST(FLOOR(F45,1)+0.5,G45,H45,TRUE()))</f>
        <v>0.448107567872585</v>
      </c>
      <c r="J45" s="10" t="n">
        <f aca="false">IF(I45="","",NORMDIST(CEILING(F45,1)-0.5,G45,H45,TRUE()))</f>
        <v>0.46089588048252</v>
      </c>
      <c r="K45" s="10" t="n">
        <f aca="false">IF(I45="","",MAX(0,1-I45-J45))</f>
        <v>0.0909965516448946</v>
      </c>
      <c r="L45" s="0" t="str">
        <f aca="false">IF(I45="","",IF(I45&gt;=0.5+Config!$B$6,"OVER",IF(J45&gt;=0.5+Config!$B$6,"UNDER","—")))</f>
        <v>—</v>
      </c>
      <c r="N45" s="0" t="n">
        <v>17.4</v>
      </c>
      <c r="O45" s="10" t="n">
        <v>0.6</v>
      </c>
      <c r="P45" s="10" t="n">
        <v>0.7</v>
      </c>
      <c r="Q45" s="10" t="n">
        <v>0.6</v>
      </c>
      <c r="R45" s="9" t="s">
        <v>894</v>
      </c>
      <c r="S45" s="0" t="n">
        <v>1</v>
      </c>
      <c r="T45" s="0" t="str">
        <f aca="false">INDEX(Calc!$G$2:$G$105,MATCH($W45,Calc!$A$2:$A$105,0))&amp;" / "&amp;INDEX(Calc!$H$2:$H$105,MATCH($W45,Calc!$A$2:$A$105,0))</f>
        <v>Nuke / Inferno</v>
      </c>
      <c r="U45" s="0" t="str">
        <f aca="false">TEXT(INDEX(Calc!$J$2:$J$105,MATCH($W45,Calc!$A$2:$A$105,0)),"0.0")&amp;" / "&amp;TEXT(INDEX(Calc!$K$2:$K$105,MATCH($W45,Calc!$A$2:$A$105,0)),"0.0")</f>
        <v>21.5 / 21.5</v>
      </c>
      <c r="V45" s="0" t="str">
        <f aca="false">IFERROR(INDEX(Calc!$AQ$2:$AQ$105,MATCH($W45,Calc!$A$2:$A$105,0)),"")</f>
        <v/>
      </c>
      <c r="W45" s="9" t="s">
        <v>944</v>
      </c>
      <c r="X45" s="9" t="s">
        <v>896</v>
      </c>
      <c r="Y45" s="0" t="str">
        <f aca="false">W45&amp;"|"&amp;X45</f>
        <v>vv1atvr3j4yt4h1|CS2 [NO MARKET] · MZP vs ex-RUSTEC|H12</v>
      </c>
      <c r="Z45" s="11" t="n">
        <f aca="false">IFERROR(INDEX(CHOOSE(MATCH($X45,{"K1","K2","K3","K12","K13","H1","H2","H3","H12","H13"},0),Calc!$BA$2:$BA$105,Calc!$BB$2:$BB$105,Calc!$BC$2:$BC$105,Calc!$BD$2:$BD$105,Calc!$BE$2:$BE$105,Calc!$BF$2:$BF$105,Calc!$BG$2:$BG$105,Calc!$BH$2:$BH$105,Calc!$BI$2:$BI$105,Calc!$BJ$2:$BJ$105),MATCH($W45,Calc!$A$2:$A$105,0)),"")</f>
        <v>15.9294311432507</v>
      </c>
      <c r="AA45" s="11" t="n">
        <f aca="false">IF(Z45="","",IF(LEFT($X45,1)="H",SQRT(Z45*(IFERROR(INDEX(Calc!$AP$2:$AP$105,MATCH($W45,Calc!$A$2:$A$105,0)),0.5)*Config!$B$5+1-IFERROR(INDEX(Calc!$AP$2:$AP$105,MATCH($W45,Calc!$A$2:$A$105,0)),0.5))),SQRT(Z45*Config!$B$5)))</f>
        <v>4.37405123507691</v>
      </c>
      <c r="AB45" s="10" t="n">
        <f aca="false">IF(OR(F45="",Z45="",N(AA45)&lt;=0),"",1-NORMDIST(FLOOR(F45,1)+0.5,Z45,AA45,TRUE()))</f>
        <v>0.448107567872585</v>
      </c>
      <c r="AC45" s="10" t="n">
        <f aca="false">IF(AB45="","",NORMDIST(CEILING(F45,1)-0.5,Z45,AA45,TRUE()))</f>
        <v>0.46089588048252</v>
      </c>
      <c r="AD45" s="0" t="str">
        <f aca="false">IF(AB45="","",IF(AB45&gt;=0.5+Config!$B$6,"OVER",IF(AC45&gt;=0.5+Config!$B$6,"UNDER","—")))</f>
        <v>—</v>
      </c>
      <c r="AE45" s="13" t="n">
        <f aca="false">IFERROR(Z45/G45,"")</f>
        <v>1</v>
      </c>
    </row>
    <row r="46" customFormat="false" ht="15" hidden="false" customHeight="false" outlineLevel="0" collapsed="false">
      <c r="A46" s="0" t="s">
        <v>775</v>
      </c>
      <c r="B46" s="0" t="s">
        <v>792</v>
      </c>
      <c r="C46" s="0" t="s">
        <v>943</v>
      </c>
      <c r="D46" s="0" t="s">
        <v>799</v>
      </c>
      <c r="E46" s="0" t="s">
        <v>888</v>
      </c>
      <c r="F46" s="0" t="n">
        <v>32</v>
      </c>
      <c r="G46" s="11" t="n">
        <f aca="false">IFERROR(INDEX(CHOOSE(MATCH($X46,{"K1","K2","K3","K12","K13","H1","H2","H3","H12","H13"},0),Calc!$V$2:$V$105,Calc!$AC$2:$AC$105,Calc!$AJ$2:$AJ$105,Calc!$AL$2:$AL$105,Calc!$AM$2:$AM$105,Calc!$W$2:$W$105,Calc!$AD$2:$AD$105,Calc!$AK$2:$AK$105,Calc!$AN$2:$AN$105,Calc!$AO$2:$AO$105),MATCH($W46,Calc!$A$2:$A$105,0)),"")</f>
        <v>31.689696969697</v>
      </c>
      <c r="H46" s="11" t="n">
        <f aca="false">IF(G46="","",IF(LEFT($X46,1)="H",SQRT(G46*(IFERROR(INDEX(Calc!$AP$2:$AP$105,MATCH($W46,Calc!$A$2:$A$105,0)),0.5)*Config!$B$5+1-IFERROR(INDEX(Calc!$AP$2:$AP$105,MATCH($W46,Calc!$A$2:$A$105,0)),0.5))),SQRT(G46*Config!$B$5)))</f>
        <v>6.66074888864426</v>
      </c>
      <c r="I46" s="10" t="n">
        <f aca="false">IF(OR(F46="",G46="",N(H46)&lt;=0),"",1-NORMDIST(FLOOR(F46,1)+0.5,G46,H46,TRUE()))</f>
        <v>0.45158674348467</v>
      </c>
      <c r="J46" s="10" t="n">
        <f aca="false">IF(I46="","",NORMDIST(CEILING(F46,1)-0.5,G46,H46,TRUE()))</f>
        <v>0.488639728992026</v>
      </c>
      <c r="K46" s="10" t="n">
        <f aca="false">IF(I46="","",MAX(0,1-I46-J46))</f>
        <v>0.0597735275233047</v>
      </c>
      <c r="L46" s="0" t="str">
        <f aca="false">IF(I46="","",IF(I46&gt;=0.5+Config!$B$6,"OVER",IF(J46&gt;=0.5+Config!$B$6,"UNDER","—")))</f>
        <v>—</v>
      </c>
      <c r="N46" s="0" t="n">
        <v>32</v>
      </c>
      <c r="O46" s="10" t="n">
        <v>0.4</v>
      </c>
      <c r="P46" s="10" t="n">
        <v>0.5</v>
      </c>
      <c r="Q46" s="10" t="n">
        <v>0.53</v>
      </c>
      <c r="R46" s="9" t="s">
        <v>894</v>
      </c>
      <c r="S46" s="0" t="n">
        <v>1</v>
      </c>
      <c r="T46" s="0" t="str">
        <f aca="false">INDEX(Calc!$G$2:$G$105,MATCH($W46,Calc!$A$2:$A$105,0))&amp;" / "&amp;INDEX(Calc!$H$2:$H$105,MATCH($W46,Calc!$A$2:$A$105,0))</f>
        <v>Nuke / Inferno</v>
      </c>
      <c r="U46" s="0" t="str">
        <f aca="false">TEXT(INDEX(Calc!$J$2:$J$105,MATCH($W46,Calc!$A$2:$A$105,0)),"0.0")&amp;" / "&amp;TEXT(INDEX(Calc!$K$2:$K$105,MATCH($W46,Calc!$A$2:$A$105,0)),"0.0")</f>
        <v>21.5 / 21.5</v>
      </c>
      <c r="V46" s="0" t="str">
        <f aca="false">IFERROR(INDEX(Calc!$AQ$2:$AQ$105,MATCH($W46,Calc!$A$2:$A$105,0)),"")</f>
        <v/>
      </c>
      <c r="W46" s="9" t="s">
        <v>944</v>
      </c>
      <c r="X46" s="9" t="s">
        <v>891</v>
      </c>
      <c r="Y46" s="0" t="str">
        <f aca="false">W46&amp;"|"&amp;X46</f>
        <v>vv1atvr3j4yt4h1|CS2 [NO MARKET] · MZP vs ex-RUSTEC|K12</v>
      </c>
      <c r="Z46" s="11" t="n">
        <f aca="false">IFERROR(INDEX(CHOOSE(MATCH($X46,{"K1","K2","K3","K12","K13","H1","H2","H3","H12","H13"},0),Calc!$BA$2:$BA$105,Calc!$BB$2:$BB$105,Calc!$BC$2:$BC$105,Calc!$BD$2:$BD$105,Calc!$BE$2:$BE$105,Calc!$BF$2:$BF$105,Calc!$BG$2:$BG$105,Calc!$BH$2:$BH$105,Calc!$BI$2:$BI$105,Calc!$BJ$2:$BJ$105),MATCH($W46,Calc!$A$2:$A$105,0)),"")</f>
        <v>31.689696969697</v>
      </c>
      <c r="AA46" s="11" t="n">
        <f aca="false">IF(Z46="","",IF(LEFT($X46,1)="H",SQRT(Z46*(IFERROR(INDEX(Calc!$AP$2:$AP$105,MATCH($W46,Calc!$A$2:$A$105,0)),0.5)*Config!$B$5+1-IFERROR(INDEX(Calc!$AP$2:$AP$105,MATCH($W46,Calc!$A$2:$A$105,0)),0.5))),SQRT(Z46*Config!$B$5)))</f>
        <v>6.66074888864426</v>
      </c>
      <c r="AB46" s="10" t="n">
        <f aca="false">IF(OR(F46="",Z46="",N(AA46)&lt;=0),"",1-NORMDIST(FLOOR(F46,1)+0.5,Z46,AA46,TRUE()))</f>
        <v>0.45158674348467</v>
      </c>
      <c r="AC46" s="10" t="n">
        <f aca="false">IF(AB46="","",NORMDIST(CEILING(F46,1)-0.5,Z46,AA46,TRUE()))</f>
        <v>0.488639728992026</v>
      </c>
      <c r="AD46" s="0" t="str">
        <f aca="false">IF(AB46="","",IF(AB46&gt;=0.5+Config!$B$6,"OVER",IF(AC46&gt;=0.5+Config!$B$6,"UNDER","—")))</f>
        <v>—</v>
      </c>
      <c r="AE46" s="13" t="n">
        <f aca="false">IFERROR(Z46/G46,"")</f>
        <v>1</v>
      </c>
    </row>
    <row r="47" customFormat="false" ht="15" hidden="false" customHeight="false" outlineLevel="0" collapsed="false">
      <c r="A47" s="0" t="s">
        <v>775</v>
      </c>
      <c r="B47" s="0" t="s">
        <v>792</v>
      </c>
      <c r="C47" s="0" t="s">
        <v>945</v>
      </c>
      <c r="D47" s="0" t="s">
        <v>799</v>
      </c>
      <c r="E47" s="0" t="s">
        <v>893</v>
      </c>
      <c r="F47" s="0" t="n">
        <v>20</v>
      </c>
      <c r="G47" s="11" t="n">
        <f aca="false">IFERROR(INDEX(CHOOSE(MATCH($X47,{"K1","K2","K3","K12","K13","H1","H2","H3","H12","H13"},0),Calc!$V$2:$V$105,Calc!$AC$2:$AC$105,Calc!$AJ$2:$AJ$105,Calc!$AL$2:$AL$105,Calc!$AM$2:$AM$105,Calc!$W$2:$W$105,Calc!$AD$2:$AD$105,Calc!$AK$2:$AK$105,Calc!$AN$2:$AN$105,Calc!$AO$2:$AO$105),MATCH($W47,Calc!$A$2:$A$105,0)),"")</f>
        <v>18.8112073347107</v>
      </c>
      <c r="H47" s="11" t="n">
        <f aca="false">IF(G47="","",IF(LEFT($X47,1)="H",SQRT(G47*(IFERROR(INDEX(Calc!$AP$2:$AP$105,MATCH($W47,Calc!$A$2:$A$105,0)),0.5)*Config!$B$5+1-IFERROR(INDEX(Calc!$AP$2:$AP$105,MATCH($W47,Calc!$A$2:$A$105,0)),0.5))),SQRT(G47*Config!$B$5)))</f>
        <v>4.85871513398383</v>
      </c>
      <c r="I47" s="10" t="n">
        <f aca="false">IF(OR(F47="",G47="",N(H47)&lt;=0),"",1-NORMDIST(FLOOR(F47,1)+0.5,G47,H47,TRUE()))</f>
        <v>0.364077778778032</v>
      </c>
      <c r="J47" s="10" t="n">
        <f aca="false">IF(I47="","",NORMDIST(CEILING(F47,1)-0.5,G47,H47,TRUE()))</f>
        <v>0.55636693379869</v>
      </c>
      <c r="K47" s="10" t="n">
        <f aca="false">IF(I47="","",MAX(0,1-I47-J47))</f>
        <v>0.079555287423278</v>
      </c>
      <c r="L47" s="0" t="str">
        <f aca="false">IF(I47="","",IF(I47&gt;=0.5+Config!$B$6,"OVER",IF(J47&gt;=0.5+Config!$B$6,"UNDER","—")))</f>
        <v>UNDER</v>
      </c>
      <c r="N47" s="0" t="n">
        <v>18.5</v>
      </c>
      <c r="O47" s="10" t="n">
        <v>0.4</v>
      </c>
      <c r="P47" s="10" t="n">
        <v>0.4</v>
      </c>
      <c r="Q47" s="10" t="n">
        <v>0.53</v>
      </c>
      <c r="R47" s="9" t="s">
        <v>907</v>
      </c>
      <c r="S47" s="0" t="n">
        <v>1</v>
      </c>
      <c r="T47" s="0" t="str">
        <f aca="false">INDEX(Calc!$G$2:$G$105,MATCH($W47,Calc!$A$2:$A$105,0))&amp;" / "&amp;INDEX(Calc!$H$2:$H$105,MATCH($W47,Calc!$A$2:$A$105,0))</f>
        <v>Nuke / Inferno</v>
      </c>
      <c r="U47" s="0" t="str">
        <f aca="false">TEXT(INDEX(Calc!$J$2:$J$105,MATCH($W47,Calc!$A$2:$A$105,0)),"0.0")&amp;" / "&amp;TEXT(INDEX(Calc!$K$2:$K$105,MATCH($W47,Calc!$A$2:$A$105,0)),"0.0")</f>
        <v>21.5 / 21.5</v>
      </c>
      <c r="V47" s="0" t="str">
        <f aca="false">IFERROR(INDEX(Calc!$AQ$2:$AQ$105,MATCH($W47,Calc!$A$2:$A$105,0)),"")</f>
        <v/>
      </c>
      <c r="W47" s="9" t="s">
        <v>946</v>
      </c>
      <c r="X47" s="9" t="s">
        <v>896</v>
      </c>
      <c r="Y47" s="0" t="str">
        <f aca="false">W47&amp;"|"&amp;X47</f>
        <v>dvwiagwt3fsxpwe|CS2 [NO MARKET] · MZP vs ex-RUSTEC|H12</v>
      </c>
      <c r="Z47" s="11" t="n">
        <f aca="false">IFERROR(INDEX(CHOOSE(MATCH($X47,{"K1","K2","K3","K12","K13","H1","H2","H3","H12","H13"},0),Calc!$BA$2:$BA$105,Calc!$BB$2:$BB$105,Calc!$BC$2:$BC$105,Calc!$BD$2:$BD$105,Calc!$BE$2:$BE$105,Calc!$BF$2:$BF$105,Calc!$BG$2:$BG$105,Calc!$BH$2:$BH$105,Calc!$BI$2:$BI$105,Calc!$BJ$2:$BJ$105),MATCH($W47,Calc!$A$2:$A$105,0)),"")</f>
        <v>18.8112073347107</v>
      </c>
      <c r="AA47" s="11" t="n">
        <f aca="false">IF(Z47="","",IF(LEFT($X47,1)="H",SQRT(Z47*(IFERROR(INDEX(Calc!$AP$2:$AP$105,MATCH($W47,Calc!$A$2:$A$105,0)),0.5)*Config!$B$5+1-IFERROR(INDEX(Calc!$AP$2:$AP$105,MATCH($W47,Calc!$A$2:$A$105,0)),0.5))),SQRT(Z47*Config!$B$5)))</f>
        <v>4.85871513398383</v>
      </c>
      <c r="AB47" s="10" t="n">
        <f aca="false">IF(OR(F47="",Z47="",N(AA47)&lt;=0),"",1-NORMDIST(FLOOR(F47,1)+0.5,Z47,AA47,TRUE()))</f>
        <v>0.364077778778032</v>
      </c>
      <c r="AC47" s="10" t="n">
        <f aca="false">IF(AB47="","",NORMDIST(CEILING(F47,1)-0.5,Z47,AA47,TRUE()))</f>
        <v>0.55636693379869</v>
      </c>
      <c r="AD47" s="0" t="str">
        <f aca="false">IF(AB47="","",IF(AB47&gt;=0.5+Config!$B$6,"OVER",IF(AC47&gt;=0.5+Config!$B$6,"UNDER","—")))</f>
        <v>UNDER</v>
      </c>
      <c r="AE47" s="13" t="n">
        <f aca="false">IFERROR(Z47/G47,"")</f>
        <v>1</v>
      </c>
    </row>
    <row r="48" customFormat="false" ht="15" hidden="false" customHeight="false" outlineLevel="0" collapsed="false">
      <c r="A48" s="0" t="s">
        <v>775</v>
      </c>
      <c r="B48" s="0" t="s">
        <v>792</v>
      </c>
      <c r="C48" s="0" t="s">
        <v>945</v>
      </c>
      <c r="D48" s="0" t="s">
        <v>799</v>
      </c>
      <c r="E48" s="0" t="s">
        <v>888</v>
      </c>
      <c r="F48" s="0" t="n">
        <v>31</v>
      </c>
      <c r="G48" s="11" t="n">
        <f aca="false">IFERROR(INDEX(CHOOSE(MATCH($X48,{"K1","K2","K3","K12","K13","H1","H2","H3","H12","H13"},0),Calc!$V$2:$V$105,Calc!$AC$2:$AC$105,Calc!$AJ$2:$AJ$105,Calc!$AL$2:$AL$105,Calc!$AM$2:$AM$105,Calc!$W$2:$W$105,Calc!$AD$2:$AD$105,Calc!$AK$2:$AK$105,Calc!$AN$2:$AN$105,Calc!$AO$2:$AO$105),MATCH($W48,Calc!$A$2:$A$105,0)),"")</f>
        <v>29.5136363636364</v>
      </c>
      <c r="H48" s="11" t="n">
        <f aca="false">IF(G48="","",IF(LEFT($X48,1)="H",SQRT(G48*(IFERROR(INDEX(Calc!$AP$2:$AP$105,MATCH($W48,Calc!$A$2:$A$105,0)),0.5)*Config!$B$5+1-IFERROR(INDEX(Calc!$AP$2:$AP$105,MATCH($W48,Calc!$A$2:$A$105,0)),0.5))),SQRT(G48*Config!$B$5)))</f>
        <v>6.42799275894823</v>
      </c>
      <c r="I48" s="10" t="n">
        <f aca="false">IF(OR(F48="",G48="",N(H48)&lt;=0),"",1-NORMDIST(FLOOR(F48,1)+0.5,G48,H48,TRUE()))</f>
        <v>0.378654025518274</v>
      </c>
      <c r="J48" s="10" t="n">
        <f aca="false">IF(I48="","",NORMDIST(CEILING(F48,1)-0.5,G48,H48,TRUE()))</f>
        <v>0.560977564282051</v>
      </c>
      <c r="K48" s="10" t="n">
        <f aca="false">IF(I48="","",MAX(0,1-I48-J48))</f>
        <v>0.060368410199675</v>
      </c>
      <c r="L48" s="0" t="str">
        <f aca="false">IF(I48="","",IF(I48&gt;=0.5+Config!$B$6,"OVER",IF(J48&gt;=0.5+Config!$B$6,"UNDER","—")))</f>
        <v>UNDER</v>
      </c>
      <c r="N48" s="0" t="n">
        <v>29.3</v>
      </c>
      <c r="O48" s="10" t="n">
        <v>0.6</v>
      </c>
      <c r="P48" s="10" t="n">
        <v>0.5</v>
      </c>
      <c r="Q48" s="10" t="n">
        <v>0.47</v>
      </c>
      <c r="R48" s="9" t="s">
        <v>907</v>
      </c>
      <c r="S48" s="0" t="n">
        <v>2</v>
      </c>
      <c r="T48" s="0" t="str">
        <f aca="false">INDEX(Calc!$G$2:$G$105,MATCH($W48,Calc!$A$2:$A$105,0))&amp;" / "&amp;INDEX(Calc!$H$2:$H$105,MATCH($W48,Calc!$A$2:$A$105,0))</f>
        <v>Nuke / Inferno</v>
      </c>
      <c r="U48" s="0" t="str">
        <f aca="false">TEXT(INDEX(Calc!$J$2:$J$105,MATCH($W48,Calc!$A$2:$A$105,0)),"0.0")&amp;" / "&amp;TEXT(INDEX(Calc!$K$2:$K$105,MATCH($W48,Calc!$A$2:$A$105,0)),"0.0")</f>
        <v>21.5 / 21.5</v>
      </c>
      <c r="V48" s="0" t="str">
        <f aca="false">IFERROR(INDEX(Calc!$AQ$2:$AQ$105,MATCH($W48,Calc!$A$2:$A$105,0)),"")</f>
        <v/>
      </c>
      <c r="W48" s="9" t="s">
        <v>946</v>
      </c>
      <c r="X48" s="9" t="s">
        <v>891</v>
      </c>
      <c r="Y48" s="0" t="str">
        <f aca="false">W48&amp;"|"&amp;X48</f>
        <v>dvwiagwt3fsxpwe|CS2 [NO MARKET] · MZP vs ex-RUSTEC|K12</v>
      </c>
      <c r="Z48" s="11" t="n">
        <f aca="false">IFERROR(INDEX(CHOOSE(MATCH($X48,{"K1","K2","K3","K12","K13","H1","H2","H3","H12","H13"},0),Calc!$BA$2:$BA$105,Calc!$BB$2:$BB$105,Calc!$BC$2:$BC$105,Calc!$BD$2:$BD$105,Calc!$BE$2:$BE$105,Calc!$BF$2:$BF$105,Calc!$BG$2:$BG$105,Calc!$BH$2:$BH$105,Calc!$BI$2:$BI$105,Calc!$BJ$2:$BJ$105),MATCH($W48,Calc!$A$2:$A$105,0)),"")</f>
        <v>29.5136363636364</v>
      </c>
      <c r="AA48" s="11" t="n">
        <f aca="false">IF(Z48="","",IF(LEFT($X48,1)="H",SQRT(Z48*(IFERROR(INDEX(Calc!$AP$2:$AP$105,MATCH($W48,Calc!$A$2:$A$105,0)),0.5)*Config!$B$5+1-IFERROR(INDEX(Calc!$AP$2:$AP$105,MATCH($W48,Calc!$A$2:$A$105,0)),0.5))),SQRT(Z48*Config!$B$5)))</f>
        <v>6.42799275894823</v>
      </c>
      <c r="AB48" s="10" t="n">
        <f aca="false">IF(OR(F48="",Z48="",N(AA48)&lt;=0),"",1-NORMDIST(FLOOR(F48,1)+0.5,Z48,AA48,TRUE()))</f>
        <v>0.378654025518274</v>
      </c>
      <c r="AC48" s="10" t="n">
        <f aca="false">IF(AB48="","",NORMDIST(CEILING(F48,1)-0.5,Z48,AA48,TRUE()))</f>
        <v>0.560977564282051</v>
      </c>
      <c r="AD48" s="0" t="str">
        <f aca="false">IF(AB48="","",IF(AB48&gt;=0.5+Config!$B$6,"OVER",IF(AC48&gt;=0.5+Config!$B$6,"UNDER","—")))</f>
        <v>UNDER</v>
      </c>
      <c r="AE48" s="13" t="n">
        <f aca="false">IFERROR(Z48/G48,"")</f>
        <v>1</v>
      </c>
    </row>
    <row r="49" customFormat="false" ht="15" hidden="false" customHeight="false" outlineLevel="0" collapsed="false">
      <c r="A49" s="0" t="s">
        <v>775</v>
      </c>
      <c r="B49" s="0" t="s">
        <v>792</v>
      </c>
      <c r="C49" s="0" t="s">
        <v>947</v>
      </c>
      <c r="D49" s="0" t="s">
        <v>799</v>
      </c>
      <c r="E49" s="0" t="s">
        <v>893</v>
      </c>
      <c r="F49" s="0" t="n">
        <v>11.5</v>
      </c>
      <c r="G49" s="11" t="n">
        <f aca="false">IFERROR(INDEX(CHOOSE(MATCH($X49,{"K1","K2","K3","K12","K13","H1","H2","H3","H12","H13"},0),Calc!$V$2:$V$105,Calc!$AC$2:$AC$105,Calc!$AJ$2:$AJ$105,Calc!$AL$2:$AL$105,Calc!$AM$2:$AM$105,Calc!$W$2:$W$105,Calc!$AD$2:$AD$105,Calc!$AK$2:$AK$105,Calc!$AN$2:$AN$105,Calc!$AO$2:$AO$105),MATCH($W49,Calc!$A$2:$A$105,0)),"")</f>
        <v>12.2285591346154</v>
      </c>
      <c r="H49" s="11" t="n">
        <f aca="false">IF(G49="","",IF(LEFT($X49,1)="H",SQRT(G49*(IFERROR(INDEX(Calc!$AP$2:$AP$105,MATCH($W49,Calc!$A$2:$A$105,0)),0.5)*Config!$B$5+1-IFERROR(INDEX(Calc!$AP$2:$AP$105,MATCH($W49,Calc!$A$2:$A$105,0)),0.5))),SQRT(G49*Config!$B$5)))</f>
        <v>3.77038068944901</v>
      </c>
      <c r="I49" s="10" t="n">
        <f aca="false">IF(OR(F49="",G49="",N(H49)&lt;=0),"",1-NORMDIST(FLOOR(F49,1)+0.5,G49,H49,TRUE()))</f>
        <v>0.576611457618123</v>
      </c>
      <c r="J49" s="10" t="n">
        <f aca="false">IF(I49="","",NORMDIST(CEILING(F49,1)-0.5,G49,H49,TRUE()))</f>
        <v>0.423388542381877</v>
      </c>
      <c r="K49" s="10" t="n">
        <f aca="false">IF(I49="","",MAX(0,1-I49-J49))</f>
        <v>0</v>
      </c>
      <c r="L49" s="0" t="str">
        <f aca="false">IF(I49="","",IF(I49&gt;=0.5+Config!$B$6,"OVER",IF(J49&gt;=0.5+Config!$B$6,"UNDER","—")))</f>
        <v>OVER</v>
      </c>
      <c r="N49" s="0" t="n">
        <v>13.2</v>
      </c>
      <c r="O49" s="10" t="n">
        <v>0.6</v>
      </c>
      <c r="P49" s="10" t="n">
        <v>0.6</v>
      </c>
      <c r="Q49" s="10" t="n">
        <v>0.53</v>
      </c>
      <c r="R49" s="9" t="s">
        <v>889</v>
      </c>
      <c r="S49" s="0" t="n">
        <v>-2</v>
      </c>
      <c r="T49" s="0" t="str">
        <f aca="false">INDEX(Calc!$G$2:$G$105,MATCH($W49,Calc!$A$2:$A$105,0))&amp;" / "&amp;INDEX(Calc!$H$2:$H$105,MATCH($W49,Calc!$A$2:$A$105,0))</f>
        <v>Nuke / Inferno</v>
      </c>
      <c r="U49" s="0" t="str">
        <f aca="false">TEXT(INDEX(Calc!$J$2:$J$105,MATCH($W49,Calc!$A$2:$A$105,0)),"0.0")&amp;" / "&amp;TEXT(INDEX(Calc!$K$2:$K$105,MATCH($W49,Calc!$A$2:$A$105,0)),"0.0")</f>
        <v>21.5 / 21.5</v>
      </c>
      <c r="V49" s="0" t="str">
        <f aca="false">IFERROR(INDEX(Calc!$AQ$2:$AQ$105,MATCH($W49,Calc!$A$2:$A$105,0)),"")</f>
        <v/>
      </c>
      <c r="W49" s="9" t="s">
        <v>948</v>
      </c>
      <c r="X49" s="9" t="s">
        <v>896</v>
      </c>
      <c r="Y49" s="0" t="str">
        <f aca="false">W49&amp;"|"&amp;X49</f>
        <v>41ry45brll61gbm|CS2 [NO MARKET] · MZP vs ex-RUSTEC|H12</v>
      </c>
      <c r="Z49" s="11" t="n">
        <f aca="false">IFERROR(INDEX(CHOOSE(MATCH($X49,{"K1","K2","K3","K12","K13","H1","H2","H3","H12","H13"},0),Calc!$BA$2:$BA$105,Calc!$BB$2:$BB$105,Calc!$BC$2:$BC$105,Calc!$BD$2:$BD$105,Calc!$BE$2:$BE$105,Calc!$BF$2:$BF$105,Calc!$BG$2:$BG$105,Calc!$BH$2:$BH$105,Calc!$BI$2:$BI$105,Calc!$BJ$2:$BJ$105),MATCH($W49,Calc!$A$2:$A$105,0)),"")</f>
        <v>12.2285591346154</v>
      </c>
      <c r="AA49" s="11" t="n">
        <f aca="false">IF(Z49="","",IF(LEFT($X49,1)="H",SQRT(Z49*(IFERROR(INDEX(Calc!$AP$2:$AP$105,MATCH($W49,Calc!$A$2:$A$105,0)),0.5)*Config!$B$5+1-IFERROR(INDEX(Calc!$AP$2:$AP$105,MATCH($W49,Calc!$A$2:$A$105,0)),0.5))),SQRT(Z49*Config!$B$5)))</f>
        <v>3.77038068944901</v>
      </c>
      <c r="AB49" s="10" t="n">
        <f aca="false">IF(OR(F49="",Z49="",N(AA49)&lt;=0),"",1-NORMDIST(FLOOR(F49,1)+0.5,Z49,AA49,TRUE()))</f>
        <v>0.576611457618123</v>
      </c>
      <c r="AC49" s="10" t="n">
        <f aca="false">IF(AB49="","",NORMDIST(CEILING(F49,1)-0.5,Z49,AA49,TRUE()))</f>
        <v>0.423388542381877</v>
      </c>
      <c r="AD49" s="0" t="str">
        <f aca="false">IF(AB49="","",IF(AB49&gt;=0.5+Config!$B$6,"OVER",IF(AC49&gt;=0.5+Config!$B$6,"UNDER","—")))</f>
        <v>OVER</v>
      </c>
      <c r="AE49" s="13" t="n">
        <f aca="false">IFERROR(Z49/G49,"")</f>
        <v>1</v>
      </c>
    </row>
    <row r="50" customFormat="false" ht="15" hidden="false" customHeight="false" outlineLevel="0" collapsed="false">
      <c r="A50" s="0" t="s">
        <v>775</v>
      </c>
      <c r="B50" s="0" t="s">
        <v>792</v>
      </c>
      <c r="C50" s="0" t="s">
        <v>947</v>
      </c>
      <c r="D50" s="0" t="s">
        <v>799</v>
      </c>
      <c r="E50" s="0" t="s">
        <v>888</v>
      </c>
      <c r="F50" s="0" t="n">
        <v>31.5</v>
      </c>
      <c r="G50" s="11" t="n">
        <f aca="false">IFERROR(INDEX(CHOOSE(MATCH($X50,{"K1","K2","K3","K12","K13","H1","H2","H3","H12","H13"},0),Calc!$V$2:$V$105,Calc!$AC$2:$AC$105,Calc!$AJ$2:$AJ$105,Calc!$AL$2:$AL$105,Calc!$AM$2:$AM$105,Calc!$W$2:$W$105,Calc!$AD$2:$AD$105,Calc!$AK$2:$AK$105,Calc!$AN$2:$AN$105,Calc!$AO$2:$AO$105),MATCH($W50,Calc!$A$2:$A$105,0)),"")</f>
        <v>30.1</v>
      </c>
      <c r="H50" s="11" t="n">
        <f aca="false">IF(G50="","",IF(LEFT($X50,1)="H",SQRT(G50*(IFERROR(INDEX(Calc!$AP$2:$AP$105,MATCH($W50,Calc!$A$2:$A$105,0)),0.5)*Config!$B$5+1-IFERROR(INDEX(Calc!$AP$2:$AP$105,MATCH($W50,Calc!$A$2:$A$105,0)),0.5))),SQRT(G50*Config!$B$5)))</f>
        <v>6.49153294684699</v>
      </c>
      <c r="I50" s="10" t="n">
        <f aca="false">IF(OR(F50="",G50="",N(H50)&lt;=0),"",1-NORMDIST(FLOOR(F50,1)+0.5,G50,H50,TRUE()))</f>
        <v>0.414624229591473</v>
      </c>
      <c r="J50" s="10" t="n">
        <f aca="false">IF(I50="","",NORMDIST(CEILING(F50,1)-0.5,G50,H50,TRUE()))</f>
        <v>0.585375770408527</v>
      </c>
      <c r="K50" s="10" t="n">
        <f aca="false">IF(I50="","",MAX(0,1-I50-J50))</f>
        <v>0</v>
      </c>
      <c r="L50" s="0" t="str">
        <f aca="false">IF(I50="","",IF(I50&gt;=0.5+Config!$B$6,"OVER",IF(J50&gt;=0.5+Config!$B$6,"UNDER","—")))</f>
        <v>UNDER</v>
      </c>
      <c r="N50" s="0" t="n">
        <v>32.1</v>
      </c>
      <c r="O50" s="10" t="n">
        <v>0.2</v>
      </c>
      <c r="P50" s="10" t="n">
        <v>0.5</v>
      </c>
      <c r="Q50" s="10" t="n">
        <v>0.4</v>
      </c>
      <c r="R50" s="9" t="s">
        <v>894</v>
      </c>
      <c r="S50" s="0" t="n">
        <v>-3</v>
      </c>
      <c r="T50" s="0" t="str">
        <f aca="false">INDEX(Calc!$G$2:$G$105,MATCH($W50,Calc!$A$2:$A$105,0))&amp;" / "&amp;INDEX(Calc!$H$2:$H$105,MATCH($W50,Calc!$A$2:$A$105,0))</f>
        <v>Nuke / Inferno</v>
      </c>
      <c r="U50" s="0" t="str">
        <f aca="false">TEXT(INDEX(Calc!$J$2:$J$105,MATCH($W50,Calc!$A$2:$A$105,0)),"0.0")&amp;" / "&amp;TEXT(INDEX(Calc!$K$2:$K$105,MATCH($W50,Calc!$A$2:$A$105,0)),"0.0")</f>
        <v>21.5 / 21.5</v>
      </c>
      <c r="V50" s="0" t="str">
        <f aca="false">IFERROR(INDEX(Calc!$AQ$2:$AQ$105,MATCH($W50,Calc!$A$2:$A$105,0)),"")</f>
        <v/>
      </c>
      <c r="W50" s="9" t="s">
        <v>948</v>
      </c>
      <c r="X50" s="9" t="s">
        <v>891</v>
      </c>
      <c r="Y50" s="0" t="str">
        <f aca="false">W50&amp;"|"&amp;X50</f>
        <v>41ry45brll61gbm|CS2 [NO MARKET] · MZP vs ex-RUSTEC|K12</v>
      </c>
      <c r="Z50" s="11" t="n">
        <f aca="false">IFERROR(INDEX(CHOOSE(MATCH($X50,{"K1","K2","K3","K12","K13","H1","H2","H3","H12","H13"},0),Calc!$BA$2:$BA$105,Calc!$BB$2:$BB$105,Calc!$BC$2:$BC$105,Calc!$BD$2:$BD$105,Calc!$BE$2:$BE$105,Calc!$BF$2:$BF$105,Calc!$BG$2:$BG$105,Calc!$BH$2:$BH$105,Calc!$BI$2:$BI$105,Calc!$BJ$2:$BJ$105),MATCH($W50,Calc!$A$2:$A$105,0)),"")</f>
        <v>30.1</v>
      </c>
      <c r="AA50" s="11" t="n">
        <f aca="false">IF(Z50="","",IF(LEFT($X50,1)="H",SQRT(Z50*(IFERROR(INDEX(Calc!$AP$2:$AP$105,MATCH($W50,Calc!$A$2:$A$105,0)),0.5)*Config!$B$5+1-IFERROR(INDEX(Calc!$AP$2:$AP$105,MATCH($W50,Calc!$A$2:$A$105,0)),0.5))),SQRT(Z50*Config!$B$5)))</f>
        <v>6.49153294684699</v>
      </c>
      <c r="AB50" s="10" t="n">
        <f aca="false">IF(OR(F50="",Z50="",N(AA50)&lt;=0),"",1-NORMDIST(FLOOR(F50,1)+0.5,Z50,AA50,TRUE()))</f>
        <v>0.414624229591473</v>
      </c>
      <c r="AC50" s="10" t="n">
        <f aca="false">IF(AB50="","",NORMDIST(CEILING(F50,1)-0.5,Z50,AA50,TRUE()))</f>
        <v>0.585375770408527</v>
      </c>
      <c r="AD50" s="0" t="str">
        <f aca="false">IF(AB50="","",IF(AB50&gt;=0.5+Config!$B$6,"OVER",IF(AC50&gt;=0.5+Config!$B$6,"UNDER","—")))</f>
        <v>UNDER</v>
      </c>
      <c r="AE50" s="13" t="n">
        <f aca="false">IFERROR(Z50/G50,"")</f>
        <v>1</v>
      </c>
    </row>
    <row r="51" customFormat="false" ht="15" hidden="false" customHeight="false" outlineLevel="0" collapsed="false">
      <c r="A51" s="0" t="s">
        <v>775</v>
      </c>
      <c r="B51" s="0" t="s">
        <v>800</v>
      </c>
      <c r="C51" s="0" t="s">
        <v>949</v>
      </c>
      <c r="D51" s="0" t="s">
        <v>805</v>
      </c>
      <c r="E51" s="0" t="s">
        <v>893</v>
      </c>
      <c r="F51" s="0" t="n">
        <v>17.5</v>
      </c>
      <c r="G51" s="11" t="n">
        <f aca="false">IFERROR(INDEX(CHOOSE(MATCH($X51,{"K1","K2","K3","K12","K13","H1","H2","H3","H12","H13"},0),Calc!$V$2:$V$105,Calc!$AC$2:$AC$105,Calc!$AJ$2:$AJ$105,Calc!$AL$2:$AL$105,Calc!$AM$2:$AM$105,Calc!$W$2:$W$105,Calc!$AD$2:$AD$105,Calc!$AK$2:$AK$105,Calc!$AN$2:$AN$105,Calc!$AO$2:$AO$105),MATCH($W51,Calc!$A$2:$A$105,0)),"")</f>
        <v>17.1150833538462</v>
      </c>
      <c r="H51" s="11" t="n">
        <f aca="false">IF(G51="","",IF(LEFT($X51,1)="H",SQRT(G51*(IFERROR(INDEX(Calc!$AP$2:$AP$105,MATCH($W51,Calc!$A$2:$A$105,0)),0.5)*Config!$B$5+1-IFERROR(INDEX(Calc!$AP$2:$AP$105,MATCH($W51,Calc!$A$2:$A$105,0)),0.5))),SQRT(G51*Config!$B$5)))</f>
        <v>4.57124137895351</v>
      </c>
      <c r="I51" s="10" t="n">
        <f aca="false">IF(OR(F51="",G51="",N(H51)&lt;=0),"",1-NORMDIST(FLOOR(F51,1)+0.5,G51,H51,TRUE()))</f>
        <v>0.4664471331408</v>
      </c>
      <c r="J51" s="10" t="n">
        <f aca="false">IF(I51="","",NORMDIST(CEILING(F51,1)-0.5,G51,H51,TRUE()))</f>
        <v>0.5335528668592</v>
      </c>
      <c r="K51" s="10" t="n">
        <f aca="false">IF(I51="","",MAX(0,1-I51-J51))</f>
        <v>0</v>
      </c>
      <c r="L51" s="0" t="str">
        <f aca="false">IF(I51="","",IF(I51&gt;=0.5+Config!$B$6,"OVER",IF(J51&gt;=0.5+Config!$B$6,"UNDER","—")))</f>
        <v>—</v>
      </c>
      <c r="N51" s="0" t="n">
        <v>16.7</v>
      </c>
      <c r="O51" s="10" t="n">
        <v>1</v>
      </c>
      <c r="P51" s="10" t="n">
        <v>0.5</v>
      </c>
      <c r="Q51" s="10" t="n">
        <v>0.53</v>
      </c>
      <c r="R51" s="9" t="s">
        <v>950</v>
      </c>
      <c r="S51" s="0" t="n">
        <v>5</v>
      </c>
      <c r="T51" s="0" t="str">
        <f aca="false">INDEX(Calc!$G$2:$G$105,MATCH($W51,Calc!$A$2:$A$105,0))&amp;" / "&amp;INDEX(Calc!$H$2:$H$105,MATCH($W51,Calc!$A$2:$A$105,0))</f>
        <v>Cache / Nuke</v>
      </c>
      <c r="U51" s="0" t="str">
        <f aca="false">TEXT(INDEX(Calc!$J$2:$J$105,MATCH($W51,Calc!$A$2:$A$105,0)),"0.0")&amp;" / "&amp;TEXT(INDEX(Calc!$K$2:$K$105,MATCH($W51,Calc!$A$2:$A$105,0)),"0.0")</f>
        <v>21.1 / 21.1</v>
      </c>
      <c r="V51" s="0" t="str">
        <f aca="false">IFERROR(INDEX(Calc!$AQ$2:$AQ$105,MATCH($W51,Calc!$A$2:$A$105,0)),"")</f>
        <v/>
      </c>
      <c r="W51" s="9" t="s">
        <v>951</v>
      </c>
      <c r="X51" s="9" t="s">
        <v>896</v>
      </c>
      <c r="Y51" s="0" t="str">
        <f aca="false">W51&amp;"|"&amp;X51</f>
        <v>aulcxwhkh0pxo6k|CS2 · BBL vs BCG|H12</v>
      </c>
      <c r="Z51" s="11" t="n">
        <f aca="false">IFERROR(INDEX(CHOOSE(MATCH($X51,{"K1","K2","K3","K12","K13","H1","H2","H3","H12","H13"},0),Calc!$BA$2:$BA$105,Calc!$BB$2:$BB$105,Calc!$BC$2:$BC$105,Calc!$BD$2:$BD$105,Calc!$BE$2:$BE$105,Calc!$BF$2:$BF$105,Calc!$BG$2:$BG$105,Calc!$BH$2:$BH$105,Calc!$BI$2:$BI$105,Calc!$BJ$2:$BJ$105),MATCH($W51,Calc!$A$2:$A$105,0)),"")</f>
        <v>16.8654897726705</v>
      </c>
      <c r="AA51" s="11" t="n">
        <f aca="false">IF(Z51="","",IF(LEFT($X51,1)="H",SQRT(Z51*(IFERROR(INDEX(Calc!$AP$2:$AP$105,MATCH($W51,Calc!$A$2:$A$105,0)),0.5)*Config!$B$5+1-IFERROR(INDEX(Calc!$AP$2:$AP$105,MATCH($W51,Calc!$A$2:$A$105,0)),0.5))),SQRT(Z51*Config!$B$5)))</f>
        <v>4.53778717974211</v>
      </c>
      <c r="AB51" s="10" t="n">
        <f aca="false">IF(OR(F51="",Z51="",N(AA51)&lt;=0),"",1-NORMDIST(FLOOR(F51,1)+0.5,Z51,AA51,TRUE()))</f>
        <v>0.444397899504064</v>
      </c>
      <c r="AC51" s="10" t="n">
        <f aca="false">IF(AB51="","",NORMDIST(CEILING(F51,1)-0.5,Z51,AA51,TRUE()))</f>
        <v>0.555602100495936</v>
      </c>
      <c r="AD51" s="0" t="str">
        <f aca="false">IF(AB51="","",IF(AB51&gt;=0.5+Config!$B$6,"OVER",IF(AC51&gt;=0.5+Config!$B$6,"UNDER","—")))</f>
        <v>UNDER</v>
      </c>
      <c r="AE51" s="13" t="n">
        <f aca="false">IFERROR(Z51/G51,"")</f>
        <v>0.985416747554458</v>
      </c>
    </row>
    <row r="52" customFormat="false" ht="15" hidden="false" customHeight="false" outlineLevel="0" collapsed="false">
      <c r="A52" s="0" t="s">
        <v>775</v>
      </c>
      <c r="B52" s="0" t="s">
        <v>800</v>
      </c>
      <c r="C52" s="0" t="s">
        <v>949</v>
      </c>
      <c r="D52" s="0" t="s">
        <v>805</v>
      </c>
      <c r="E52" s="0" t="s">
        <v>888</v>
      </c>
      <c r="F52" s="0" t="n">
        <v>32.5</v>
      </c>
      <c r="G52" s="11" t="n">
        <f aca="false">IFERROR(INDEX(CHOOSE(MATCH($X52,{"K1","K2","K3","K12","K13","H1","H2","H3","H12","H13"},0),Calc!$V$2:$V$105,Calc!$AC$2:$AC$105,Calc!$AJ$2:$AJ$105,Calc!$AL$2:$AL$105,Calc!$AM$2:$AM$105,Calc!$W$2:$W$105,Calc!$AD$2:$AD$105,Calc!$AK$2:$AK$105,Calc!$AN$2:$AN$105,Calc!$AO$2:$AO$105),MATCH($W52,Calc!$A$2:$A$105,0)),"")</f>
        <v>30.9879230769231</v>
      </c>
      <c r="H52" s="11" t="n">
        <f aca="false">IF(G52="","",IF(LEFT($X52,1)="H",SQRT(G52*(IFERROR(INDEX(Calc!$AP$2:$AP$105,MATCH($W52,Calc!$A$2:$A$105,0)),0.5)*Config!$B$5+1-IFERROR(INDEX(Calc!$AP$2:$AP$105,MATCH($W52,Calc!$A$2:$A$105,0)),0.5))),SQRT(G52*Config!$B$5)))</f>
        <v>6.58658426710631</v>
      </c>
      <c r="I52" s="10" t="n">
        <f aca="false">IF(OR(F52="",G52="",N(H52)&lt;=0),"",1-NORMDIST(FLOOR(F52,1)+0.5,G52,H52,TRUE()))</f>
        <v>0.409213268773616</v>
      </c>
      <c r="J52" s="10" t="n">
        <f aca="false">IF(I52="","",NORMDIST(CEILING(F52,1)-0.5,G52,H52,TRUE()))</f>
        <v>0.590786731226384</v>
      </c>
      <c r="K52" s="10" t="n">
        <f aca="false">IF(I52="","",MAX(0,1-I52-J52))</f>
        <v>0</v>
      </c>
      <c r="L52" s="0" t="str">
        <f aca="false">IF(I52="","",IF(I52&gt;=0.5+Config!$B$6,"OVER",IF(J52&gt;=0.5+Config!$B$6,"UNDER","—")))</f>
        <v>UNDER</v>
      </c>
      <c r="M52" s="0" t="n">
        <v>32.33</v>
      </c>
      <c r="N52" s="0" t="n">
        <v>30.5</v>
      </c>
      <c r="O52" s="10" t="n">
        <v>0.8</v>
      </c>
      <c r="P52" s="10" t="n">
        <v>0.5</v>
      </c>
      <c r="Q52" s="10" t="n">
        <v>0.47</v>
      </c>
      <c r="R52" s="9" t="s">
        <v>950</v>
      </c>
      <c r="S52" s="0" t="n">
        <v>3</v>
      </c>
      <c r="T52" s="0" t="str">
        <f aca="false">INDEX(Calc!$G$2:$G$105,MATCH($W52,Calc!$A$2:$A$105,0))&amp;" / "&amp;INDEX(Calc!$H$2:$H$105,MATCH($W52,Calc!$A$2:$A$105,0))</f>
        <v>Cache / Nuke</v>
      </c>
      <c r="U52" s="0" t="str">
        <f aca="false">TEXT(INDEX(Calc!$J$2:$J$105,MATCH($W52,Calc!$A$2:$A$105,0)),"0.0")&amp;" / "&amp;TEXT(INDEX(Calc!$K$2:$K$105,MATCH($W52,Calc!$A$2:$A$105,0)),"0.0")</f>
        <v>21.1 / 21.1</v>
      </c>
      <c r="V52" s="0" t="str">
        <f aca="false">IFERROR(INDEX(Calc!$AQ$2:$AQ$105,MATCH($W52,Calc!$A$2:$A$105,0)),"")</f>
        <v/>
      </c>
      <c r="W52" s="9" t="s">
        <v>951</v>
      </c>
      <c r="X52" s="9" t="s">
        <v>891</v>
      </c>
      <c r="Y52" s="0" t="str">
        <f aca="false">W52&amp;"|"&amp;X52</f>
        <v>aulcxwhkh0pxo6k|CS2 · BBL vs BCG|K12</v>
      </c>
      <c r="Z52" s="11" t="n">
        <f aca="false">IFERROR(INDEX(CHOOSE(MATCH($X52,{"K1","K2","K3","K12","K13","H1","H2","H3","H12","H13"},0),Calc!$BA$2:$BA$105,Calc!$BB$2:$BB$105,Calc!$BC$2:$BC$105,Calc!$BD$2:$BD$105,Calc!$BE$2:$BE$105,Calc!$BF$2:$BF$105,Calc!$BG$2:$BG$105,Calc!$BH$2:$BH$105,Calc!$BI$2:$BI$105,Calc!$BJ$2:$BJ$105),MATCH($W52,Calc!$A$2:$A$105,0)),"")</f>
        <v>30.5754676848271</v>
      </c>
      <c r="AA52" s="11" t="n">
        <f aca="false">IF(Z52="","",IF(LEFT($X52,1)="H",SQRT(Z52*(IFERROR(INDEX(Calc!$AP$2:$AP$105,MATCH($W52,Calc!$A$2:$A$105,0)),0.5)*Config!$B$5+1-IFERROR(INDEX(Calc!$AP$2:$AP$105,MATCH($W52,Calc!$A$2:$A$105,0)),0.5))),SQRT(Z52*Config!$B$5)))</f>
        <v>6.54260305679306</v>
      </c>
      <c r="AB52" s="10" t="n">
        <f aca="false">IF(OR(F52="",Z52="",N(AA52)&lt;=0),"",1-NORMDIST(FLOOR(F52,1)+0.5,Z52,AA52,TRUE()))</f>
        <v>0.384320146327207</v>
      </c>
      <c r="AC52" s="10" t="n">
        <f aca="false">IF(AB52="","",NORMDIST(CEILING(F52,1)-0.5,Z52,AA52,TRUE()))</f>
        <v>0.615679853672793</v>
      </c>
      <c r="AD52" s="0" t="str">
        <f aca="false">IF(AB52="","",IF(AB52&gt;=0.5+Config!$B$6,"OVER",IF(AC52&gt;=0.5+Config!$B$6,"UNDER","—")))</f>
        <v>UNDER</v>
      </c>
      <c r="AE52" s="13" t="n">
        <f aca="false">IFERROR(Z52/G52,"")</f>
        <v>0.986689801989241</v>
      </c>
    </row>
    <row r="53" customFormat="false" ht="15" hidden="false" customHeight="false" outlineLevel="0" collapsed="false">
      <c r="A53" s="0" t="s">
        <v>775</v>
      </c>
      <c r="B53" s="0" t="s">
        <v>800</v>
      </c>
      <c r="C53" s="0" t="s">
        <v>952</v>
      </c>
      <c r="D53" s="0" t="s">
        <v>805</v>
      </c>
      <c r="E53" s="0" t="s">
        <v>893</v>
      </c>
      <c r="F53" s="0" t="n">
        <v>14.5</v>
      </c>
      <c r="G53" s="11" t="n">
        <f aca="false">IFERROR(INDEX(CHOOSE(MATCH($X53,{"K1","K2","K3","K12","K13","H1","H2","H3","H12","H13"},0),Calc!$V$2:$V$105,Calc!$AC$2:$AC$105,Calc!$AJ$2:$AJ$105,Calc!$AL$2:$AL$105,Calc!$AM$2:$AM$105,Calc!$W$2:$W$105,Calc!$AD$2:$AD$105,Calc!$AK$2:$AK$105,Calc!$AN$2:$AN$105,Calc!$AO$2:$AO$105),MATCH($W53,Calc!$A$2:$A$105,0)),"")</f>
        <v>13.3800467573965</v>
      </c>
      <c r="H53" s="11" t="n">
        <f aca="false">IF(G53="","",IF(LEFT($X53,1)="H",SQRT(G53*(IFERROR(INDEX(Calc!$AP$2:$AP$105,MATCH($W53,Calc!$A$2:$A$105,0)),0.5)*Config!$B$5+1-IFERROR(INDEX(Calc!$AP$2:$AP$105,MATCH($W53,Calc!$A$2:$A$105,0)),0.5))),SQRT(G53*Config!$B$5)))</f>
        <v>4.02100626287842</v>
      </c>
      <c r="I53" s="10" t="n">
        <f aca="false">IF(OR(F53="",G53="",N(H53)&lt;=0),"",1-NORMDIST(FLOOR(F53,1)+0.5,G53,H53,TRUE()))</f>
        <v>0.390304452332413</v>
      </c>
      <c r="J53" s="10" t="n">
        <f aca="false">IF(I53="","",NORMDIST(CEILING(F53,1)-0.5,G53,H53,TRUE()))</f>
        <v>0.609695547667587</v>
      </c>
      <c r="K53" s="10" t="n">
        <f aca="false">IF(I53="","",MAX(0,1-I53-J53))</f>
        <v>0</v>
      </c>
      <c r="L53" s="0" t="str">
        <f aca="false">IF(I53="","",IF(I53&gt;=0.5+Config!$B$6,"OVER",IF(J53&gt;=0.5+Config!$B$6,"UNDER","—")))</f>
        <v>UNDER</v>
      </c>
      <c r="N53" s="0" t="n">
        <v>14.6</v>
      </c>
      <c r="O53" s="10" t="n">
        <v>0.4</v>
      </c>
      <c r="P53" s="10" t="n">
        <v>0.4</v>
      </c>
      <c r="Q53" s="10" t="n">
        <v>0.6</v>
      </c>
      <c r="R53" s="9" t="s">
        <v>920</v>
      </c>
      <c r="S53" s="0" t="n">
        <v>1</v>
      </c>
      <c r="T53" s="0" t="str">
        <f aca="false">INDEX(Calc!$G$2:$G$105,MATCH($W53,Calc!$A$2:$A$105,0))&amp;" / "&amp;INDEX(Calc!$H$2:$H$105,MATCH($W53,Calc!$A$2:$A$105,0))</f>
        <v>Cache / Nuke</v>
      </c>
      <c r="U53" s="0" t="str">
        <f aca="false">TEXT(INDEX(Calc!$J$2:$J$105,MATCH($W53,Calc!$A$2:$A$105,0)),"0.0")&amp;" / "&amp;TEXT(INDEX(Calc!$K$2:$K$105,MATCH($W53,Calc!$A$2:$A$105,0)),"0.0")</f>
        <v>21.1 / 21.1</v>
      </c>
      <c r="V53" s="0" t="str">
        <f aca="false">IFERROR(INDEX(Calc!$AQ$2:$AQ$105,MATCH($W53,Calc!$A$2:$A$105,0)),"")</f>
        <v/>
      </c>
      <c r="W53" s="9" t="s">
        <v>953</v>
      </c>
      <c r="X53" s="9" t="s">
        <v>896</v>
      </c>
      <c r="Y53" s="0" t="str">
        <f aca="false">W53&amp;"|"&amp;X53</f>
        <v>8n1op8gu0s0g5np|CS2 · BBL vs BCG|H12</v>
      </c>
      <c r="Z53" s="11" t="n">
        <f aca="false">IFERROR(INDEX(CHOOSE(MATCH($X53,{"K1","K2","K3","K12","K13","H1","H2","H3","H12","H13"},0),Calc!$BA$2:$BA$105,Calc!$BB$2:$BB$105,Calc!$BC$2:$BC$105,Calc!$BD$2:$BD$105,Calc!$BE$2:$BE$105,Calc!$BF$2:$BF$105,Calc!$BG$2:$BG$105,Calc!$BH$2:$BH$105,Calc!$BI$2:$BI$105,Calc!$BJ$2:$BJ$105),MATCH($W53,Calc!$A$2:$A$105,0)),"")</f>
        <v>13.2115261310667</v>
      </c>
      <c r="AA53" s="11" t="n">
        <f aca="false">IF(Z53="","",IF(LEFT($X53,1)="H",SQRT(Z53*(IFERROR(INDEX(Calc!$AP$2:$AP$105,MATCH($W53,Calc!$A$2:$A$105,0)),0.5)*Config!$B$5+1-IFERROR(INDEX(Calc!$AP$2:$AP$105,MATCH($W53,Calc!$A$2:$A$105,0)),0.5))),SQRT(Z53*Config!$B$5)))</f>
        <v>3.99560389695676</v>
      </c>
      <c r="AB53" s="10" t="n">
        <f aca="false">IF(OR(F53="",Z53="",N(AA53)&lt;=0),"",1-NORMDIST(FLOOR(F53,1)+0.5,Z53,AA53,TRUE()))</f>
        <v>0.373547242542461</v>
      </c>
      <c r="AC53" s="10" t="n">
        <f aca="false">IF(AB53="","",NORMDIST(CEILING(F53,1)-0.5,Z53,AA53,TRUE()))</f>
        <v>0.626452757457539</v>
      </c>
      <c r="AD53" s="0" t="str">
        <f aca="false">IF(AB53="","",IF(AB53&gt;=0.5+Config!$B$6,"OVER",IF(AC53&gt;=0.5+Config!$B$6,"UNDER","—")))</f>
        <v>UNDER</v>
      </c>
      <c r="AE53" s="13" t="n">
        <f aca="false">IFERROR(Z53/G53,"")</f>
        <v>0.987405079415244</v>
      </c>
    </row>
    <row r="54" customFormat="false" ht="15" hidden="false" customHeight="false" outlineLevel="0" collapsed="false">
      <c r="A54" s="0" t="s">
        <v>775</v>
      </c>
      <c r="B54" s="0" t="s">
        <v>800</v>
      </c>
      <c r="C54" s="0" t="s">
        <v>952</v>
      </c>
      <c r="D54" s="0" t="s">
        <v>805</v>
      </c>
      <c r="E54" s="0" t="s">
        <v>888</v>
      </c>
      <c r="F54" s="0" t="n">
        <v>26.5</v>
      </c>
      <c r="G54" s="11" t="n">
        <f aca="false">IFERROR(INDEX(CHOOSE(MATCH($X54,{"K1","K2","K3","K12","K13","H1","H2","H3","H12","H13"},0),Calc!$V$2:$V$105,Calc!$AC$2:$AC$105,Calc!$AJ$2:$AJ$105,Calc!$AL$2:$AL$105,Calc!$AM$2:$AM$105,Calc!$W$2:$W$105,Calc!$AD$2:$AD$105,Calc!$AK$2:$AK$105,Calc!$AN$2:$AN$105,Calc!$AO$2:$AO$105),MATCH($W54,Calc!$A$2:$A$105,0)),"")</f>
        <v>25.6810769230769</v>
      </c>
      <c r="H54" s="11" t="n">
        <f aca="false">IF(G54="","",IF(LEFT($X54,1)="H",SQRT(G54*(IFERROR(INDEX(Calc!$AP$2:$AP$105,MATCH($W54,Calc!$A$2:$A$105,0)),0.5)*Config!$B$5+1-IFERROR(INDEX(Calc!$AP$2:$AP$105,MATCH($W54,Calc!$A$2:$A$105,0)),0.5))),SQRT(G54*Config!$B$5)))</f>
        <v>5.99612438932914</v>
      </c>
      <c r="I54" s="10" t="n">
        <f aca="false">IF(OR(F54="",G54="",N(H54)&lt;=0),"",1-NORMDIST(FLOOR(F54,1)+0.5,G54,H54,TRUE()))</f>
        <v>0.445683211769828</v>
      </c>
      <c r="J54" s="10" t="n">
        <f aca="false">IF(I54="","",NORMDIST(CEILING(F54,1)-0.5,G54,H54,TRUE()))</f>
        <v>0.554316788230172</v>
      </c>
      <c r="K54" s="10" t="n">
        <f aca="false">IF(I54="","",MAX(0,1-I54-J54))</f>
        <v>0</v>
      </c>
      <c r="L54" s="0" t="str">
        <f aca="false">IF(I54="","",IF(I54&gt;=0.5+Config!$B$6,"OVER",IF(J54&gt;=0.5+Config!$B$6,"UNDER","—")))</f>
        <v>UNDER</v>
      </c>
      <c r="M54" s="0" t="n">
        <v>26.82</v>
      </c>
      <c r="N54" s="0" t="n">
        <v>27.8</v>
      </c>
      <c r="O54" s="10" t="n">
        <v>0.8</v>
      </c>
      <c r="P54" s="10" t="n">
        <v>0.7</v>
      </c>
      <c r="Q54" s="10" t="n">
        <v>0.73</v>
      </c>
      <c r="R54" s="9" t="s">
        <v>950</v>
      </c>
      <c r="S54" s="0" t="n">
        <v>4</v>
      </c>
      <c r="T54" s="0" t="str">
        <f aca="false">INDEX(Calc!$G$2:$G$105,MATCH($W54,Calc!$A$2:$A$105,0))&amp;" / "&amp;INDEX(Calc!$H$2:$H$105,MATCH($W54,Calc!$A$2:$A$105,0))</f>
        <v>Cache / Nuke</v>
      </c>
      <c r="U54" s="0" t="str">
        <f aca="false">TEXT(INDEX(Calc!$J$2:$J$105,MATCH($W54,Calc!$A$2:$A$105,0)),"0.0")&amp;" / "&amp;TEXT(INDEX(Calc!$K$2:$K$105,MATCH($W54,Calc!$A$2:$A$105,0)),"0.0")</f>
        <v>21.1 / 21.1</v>
      </c>
      <c r="V54" s="0" t="str">
        <f aca="false">IFERROR(INDEX(Calc!$AQ$2:$AQ$105,MATCH($W54,Calc!$A$2:$A$105,0)),"")</f>
        <v/>
      </c>
      <c r="W54" s="9" t="s">
        <v>953</v>
      </c>
      <c r="X54" s="9" t="s">
        <v>891</v>
      </c>
      <c r="Y54" s="0" t="str">
        <f aca="false">W54&amp;"|"&amp;X54</f>
        <v>8n1op8gu0s0g5np|CS2 · BBL vs BCG|K12</v>
      </c>
      <c r="Z54" s="11" t="n">
        <f aca="false">IFERROR(INDEX(CHOOSE(MATCH($X54,{"K1","K2","K3","K12","K13","H1","H2","H3","H12","H13"},0),Calc!$BA$2:$BA$105,Calc!$BB$2:$BB$105,Calc!$BC$2:$BC$105,Calc!$BD$2:$BD$105,Calc!$BE$2:$BE$105,Calc!$BF$2:$BF$105,Calc!$BG$2:$BG$105,Calc!$BH$2:$BH$105,Calc!$BI$2:$BI$105,Calc!$BJ$2:$BJ$105),MATCH($W54,Calc!$A$2:$A$105,0)),"")</f>
        <v>25.340501115034</v>
      </c>
      <c r="AA54" s="11" t="n">
        <f aca="false">IF(Z54="","",IF(LEFT($X54,1)="H",SQRT(Z54*(IFERROR(INDEX(Calc!$AP$2:$AP$105,MATCH($W54,Calc!$A$2:$A$105,0)),0.5)*Config!$B$5+1-IFERROR(INDEX(Calc!$AP$2:$AP$105,MATCH($W54,Calc!$A$2:$A$105,0)),0.5))),SQRT(Z54*Config!$B$5)))</f>
        <v>5.95623216144633</v>
      </c>
      <c r="AB54" s="10" t="n">
        <f aca="false">IF(OR(F54="",Z54="",N(AA54)&lt;=0),"",1-NORMDIST(FLOOR(F54,1)+0.5,Z54,AA54,TRUE()))</f>
        <v>0.422825704090178</v>
      </c>
      <c r="AC54" s="10" t="n">
        <f aca="false">IF(AB54="","",NORMDIST(CEILING(F54,1)-0.5,Z54,AA54,TRUE()))</f>
        <v>0.577174295909822</v>
      </c>
      <c r="AD54" s="0" t="str">
        <f aca="false">IF(AB54="","",IF(AB54&gt;=0.5+Config!$B$6,"OVER",IF(AC54&gt;=0.5+Config!$B$6,"UNDER","—")))</f>
        <v>UNDER</v>
      </c>
      <c r="AE54" s="13" t="n">
        <f aca="false">IFERROR(Z54/G54,"")</f>
        <v>0.98673825832682</v>
      </c>
    </row>
    <row r="55" customFormat="false" ht="15" hidden="false" customHeight="false" outlineLevel="0" collapsed="false">
      <c r="A55" s="0" t="s">
        <v>775</v>
      </c>
      <c r="B55" s="0" t="s">
        <v>800</v>
      </c>
      <c r="C55" s="0" t="s">
        <v>954</v>
      </c>
      <c r="D55" s="0" t="s">
        <v>805</v>
      </c>
      <c r="E55" s="0" t="s">
        <v>893</v>
      </c>
      <c r="F55" s="0" t="n">
        <v>14.5</v>
      </c>
      <c r="G55" s="11" t="n">
        <f aca="false">IFERROR(INDEX(CHOOSE(MATCH($X55,{"K1","K2","K3","K12","K13","H1","H2","H3","H12","H13"},0),Calc!$V$2:$V$105,Calc!$AC$2:$AC$105,Calc!$AJ$2:$AJ$105,Calc!$AL$2:$AL$105,Calc!$AM$2:$AM$105,Calc!$W$2:$W$105,Calc!$AD$2:$AD$105,Calc!$AK$2:$AK$105,Calc!$AN$2:$AN$105,Calc!$AO$2:$AO$105),MATCH($W55,Calc!$A$2:$A$105,0)),"")</f>
        <v>15.8455700733728</v>
      </c>
      <c r="H55" s="11" t="n">
        <f aca="false">IF(G55="","",IF(LEFT($X55,1)="H",SQRT(G55*(IFERROR(INDEX(Calc!$AP$2:$AP$105,MATCH($W55,Calc!$A$2:$A$105,0)),0.5)*Config!$B$5+1-IFERROR(INDEX(Calc!$AP$2:$AP$105,MATCH($W55,Calc!$A$2:$A$105,0)),0.5))),SQRT(G55*Config!$B$5)))</f>
        <v>4.38115781344019</v>
      </c>
      <c r="I55" s="10" t="n">
        <f aca="false">IF(OR(F55="",G55="",N(H55)&lt;=0),"",1-NORMDIST(FLOOR(F55,1)+0.5,G55,H55,TRUE()))</f>
        <v>0.620626491580874</v>
      </c>
      <c r="J55" s="10" t="n">
        <f aca="false">IF(I55="","",NORMDIST(CEILING(F55,1)-0.5,G55,H55,TRUE()))</f>
        <v>0.379373508419126</v>
      </c>
      <c r="K55" s="10" t="n">
        <f aca="false">IF(I55="","",MAX(0,1-I55-J55))</f>
        <v>0</v>
      </c>
      <c r="L55" s="0" t="str">
        <f aca="false">IF(I55="","",IF(I55&gt;=0.5+Config!$B$6,"OVER",IF(J55&gt;=0.5+Config!$B$6,"UNDER","—")))</f>
        <v>OVER</v>
      </c>
      <c r="N55" s="0" t="n">
        <v>14.7</v>
      </c>
      <c r="O55" s="10" t="n">
        <v>0.2</v>
      </c>
      <c r="P55" s="10" t="n">
        <v>0.3</v>
      </c>
      <c r="Q55" s="10" t="n">
        <v>0.4</v>
      </c>
      <c r="R55" s="9" t="s">
        <v>889</v>
      </c>
      <c r="S55" s="0" t="n">
        <v>-2</v>
      </c>
      <c r="T55" s="0" t="str">
        <f aca="false">INDEX(Calc!$G$2:$G$105,MATCH($W55,Calc!$A$2:$A$105,0))&amp;" / "&amp;INDEX(Calc!$H$2:$H$105,MATCH($W55,Calc!$A$2:$A$105,0))</f>
        <v>Cache / Nuke</v>
      </c>
      <c r="U55" s="0" t="str">
        <f aca="false">TEXT(INDEX(Calc!$J$2:$J$105,MATCH($W55,Calc!$A$2:$A$105,0)),"0.0")&amp;" / "&amp;TEXT(INDEX(Calc!$K$2:$K$105,MATCH($W55,Calc!$A$2:$A$105,0)),"0.0")</f>
        <v>21.1 / 21.1</v>
      </c>
      <c r="V55" s="0" t="str">
        <f aca="false">IFERROR(INDEX(Calc!$AQ$2:$AQ$105,MATCH($W55,Calc!$A$2:$A$105,0)),"")</f>
        <v/>
      </c>
      <c r="W55" s="9" t="s">
        <v>955</v>
      </c>
      <c r="X55" s="9" t="s">
        <v>896</v>
      </c>
      <c r="Y55" s="0" t="str">
        <f aca="false">W55&amp;"|"&amp;X55</f>
        <v>4u8b77givp2ury3|CS2 · BBL vs BCG|H12</v>
      </c>
      <c r="Z55" s="11" t="n">
        <f aca="false">IFERROR(INDEX(CHOOSE(MATCH($X55,{"K1","K2","K3","K12","K13","H1","H2","H3","H12","H13"},0),Calc!$BA$2:$BA$105,Calc!$BB$2:$BB$105,Calc!$BC$2:$BC$105,Calc!$BD$2:$BD$105,Calc!$BE$2:$BE$105,Calc!$BF$2:$BF$105,Calc!$BG$2:$BG$105,Calc!$BH$2:$BH$105,Calc!$BI$2:$BI$105,Calc!$BJ$2:$BJ$105),MATCH($W55,Calc!$A$2:$A$105,0)),"")</f>
        <v>15.6587475248744</v>
      </c>
      <c r="AA55" s="11" t="n">
        <f aca="false">IF(Z55="","",IF(LEFT($X55,1)="H",SQRT(Z55*(IFERROR(INDEX(Calc!$AP$2:$AP$105,MATCH($W55,Calc!$A$2:$A$105,0)),0.5)*Config!$B$5+1-IFERROR(INDEX(Calc!$AP$2:$AP$105,MATCH($W55,Calc!$A$2:$A$105,0)),0.5))),SQRT(Z55*Config!$B$5)))</f>
        <v>4.35525385540586</v>
      </c>
      <c r="AB55" s="10" t="n">
        <f aca="false">IF(OR(F55="",Z55="",N(AA55)&lt;=0),"",1-NORMDIST(FLOOR(F55,1)+0.5,Z55,AA55,TRUE()))</f>
        <v>0.604902499325307</v>
      </c>
      <c r="AC55" s="10" t="n">
        <f aca="false">IF(AB55="","",NORMDIST(CEILING(F55,1)-0.5,Z55,AA55,TRUE()))</f>
        <v>0.395097500674693</v>
      </c>
      <c r="AD55" s="0" t="str">
        <f aca="false">IF(AB55="","",IF(AB55&gt;=0.5+Config!$B$6,"OVER",IF(AC55&gt;=0.5+Config!$B$6,"UNDER","—")))</f>
        <v>OVER</v>
      </c>
      <c r="AE55" s="13" t="n">
        <f aca="false">IFERROR(Z55/G55,"")</f>
        <v>0.988209793170374</v>
      </c>
    </row>
    <row r="56" customFormat="false" ht="15" hidden="false" customHeight="false" outlineLevel="0" collapsed="false">
      <c r="A56" s="0" t="s">
        <v>775</v>
      </c>
      <c r="B56" s="0" t="s">
        <v>800</v>
      </c>
      <c r="C56" s="0" t="s">
        <v>954</v>
      </c>
      <c r="D56" s="0" t="s">
        <v>805</v>
      </c>
      <c r="E56" s="0" t="s">
        <v>888</v>
      </c>
      <c r="F56" s="0" t="n">
        <v>28.5</v>
      </c>
      <c r="G56" s="11" t="n">
        <f aca="false">IFERROR(INDEX(CHOOSE(MATCH($X56,{"K1","K2","K3","K12","K13","H1","H2","H3","H12","H13"},0),Calc!$V$2:$V$105,Calc!$AC$2:$AC$105,Calc!$AJ$2:$AJ$105,Calc!$AL$2:$AL$105,Calc!$AM$2:$AM$105,Calc!$W$2:$W$105,Calc!$AD$2:$AD$105,Calc!$AK$2:$AK$105,Calc!$AN$2:$AN$105,Calc!$AO$2:$AO$105),MATCH($W56,Calc!$A$2:$A$105,0)),"")</f>
        <v>29.9891384615385</v>
      </c>
      <c r="H56" s="11" t="n">
        <f aca="false">IF(G56="","",IF(LEFT($X56,1)="H",SQRT(G56*(IFERROR(INDEX(Calc!$AP$2:$AP$105,MATCH($W56,Calc!$A$2:$A$105,0)),0.5)*Config!$B$5+1-IFERROR(INDEX(Calc!$AP$2:$AP$105,MATCH($W56,Calc!$A$2:$A$105,0)),0.5))),SQRT(G56*Config!$B$5)))</f>
        <v>6.47956741196153</v>
      </c>
      <c r="I56" s="10" t="n">
        <f aca="false">IF(OR(F56="",G56="",N(H56)&lt;=0),"",1-NORMDIST(FLOOR(F56,1)+0.5,G56,H56,TRUE()))</f>
        <v>0.590884435133141</v>
      </c>
      <c r="J56" s="10" t="n">
        <f aca="false">IF(I56="","",NORMDIST(CEILING(F56,1)-0.5,G56,H56,TRUE()))</f>
        <v>0.409115564866859</v>
      </c>
      <c r="K56" s="10" t="n">
        <f aca="false">IF(I56="","",MAX(0,1-I56-J56))</f>
        <v>0</v>
      </c>
      <c r="L56" s="0" t="str">
        <f aca="false">IF(I56="","",IF(I56&gt;=0.5+Config!$B$6,"OVER",IF(J56&gt;=0.5+Config!$B$6,"UNDER","—")))</f>
        <v>OVER</v>
      </c>
      <c r="M56" s="0" t="n">
        <v>28.52</v>
      </c>
      <c r="N56" s="0" t="n">
        <v>29</v>
      </c>
      <c r="O56" s="10" t="n">
        <v>0.4</v>
      </c>
      <c r="P56" s="10" t="n">
        <v>0.4</v>
      </c>
      <c r="Q56" s="10" t="n">
        <v>0.4</v>
      </c>
      <c r="R56" s="9" t="s">
        <v>889</v>
      </c>
      <c r="S56" s="0" t="n">
        <v>-1</v>
      </c>
      <c r="T56" s="0" t="str">
        <f aca="false">INDEX(Calc!$G$2:$G$105,MATCH($W56,Calc!$A$2:$A$105,0))&amp;" / "&amp;INDEX(Calc!$H$2:$H$105,MATCH($W56,Calc!$A$2:$A$105,0))</f>
        <v>Cache / Nuke</v>
      </c>
      <c r="U56" s="0" t="str">
        <f aca="false">TEXT(INDEX(Calc!$J$2:$J$105,MATCH($W56,Calc!$A$2:$A$105,0)),"0.0")&amp;" / "&amp;TEXT(INDEX(Calc!$K$2:$K$105,MATCH($W56,Calc!$A$2:$A$105,0)),"0.0")</f>
        <v>21.1 / 21.1</v>
      </c>
      <c r="V56" s="0" t="str">
        <f aca="false">IFERROR(INDEX(Calc!$AQ$2:$AQ$105,MATCH($W56,Calc!$A$2:$A$105,0)),"")</f>
        <v/>
      </c>
      <c r="W56" s="9" t="s">
        <v>955</v>
      </c>
      <c r="X56" s="9" t="s">
        <v>891</v>
      </c>
      <c r="Y56" s="0" t="str">
        <f aca="false">W56&amp;"|"&amp;X56</f>
        <v>4u8b77givp2ury3|CS2 · BBL vs BCG|K12</v>
      </c>
      <c r="Z56" s="11" t="n">
        <f aca="false">IFERROR(INDEX(CHOOSE(MATCH($X56,{"K1","K2","K3","K12","K13","H1","H2","H3","H12","H13"},0),Calc!$BA$2:$BA$105,Calc!$BB$2:$BB$105,Calc!$BC$2:$BC$105,Calc!$BD$2:$BD$105,Calc!$BE$2:$BE$105,Calc!$BF$2:$BF$105,Calc!$BG$2:$BG$105,Calc!$BH$2:$BH$105,Calc!$BI$2:$BI$105,Calc!$BJ$2:$BJ$105),MATCH($W56,Calc!$A$2:$A$105,0)),"")</f>
        <v>29.625799323135</v>
      </c>
      <c r="AA56" s="11" t="n">
        <f aca="false">IF(Z56="","",IF(LEFT($X56,1)="H",SQRT(Z56*(IFERROR(INDEX(Calc!$AP$2:$AP$105,MATCH($W56,Calc!$A$2:$A$105,0)),0.5)*Config!$B$5+1-IFERROR(INDEX(Calc!$AP$2:$AP$105,MATCH($W56,Calc!$A$2:$A$105,0)),0.5))),SQRT(Z56*Config!$B$5)))</f>
        <v>6.44019557563193</v>
      </c>
      <c r="AB56" s="10" t="n">
        <f aca="false">IF(OR(F56="",Z56="",N(AA56)&lt;=0),"",1-NORMDIST(FLOOR(F56,1)+0.5,Z56,AA56,TRUE()))</f>
        <v>0.56938484750133</v>
      </c>
      <c r="AC56" s="10" t="n">
        <f aca="false">IF(AB56="","",NORMDIST(CEILING(F56,1)-0.5,Z56,AA56,TRUE()))</f>
        <v>0.43061515249867</v>
      </c>
      <c r="AD56" s="0" t="str">
        <f aca="false">IF(AB56="","",IF(AB56&gt;=0.5+Config!$B$6,"OVER",IF(AC56&gt;=0.5+Config!$B$6,"UNDER","—")))</f>
        <v>OVER</v>
      </c>
      <c r="AE56" s="13" t="n">
        <f aca="false">IFERROR(Z56/G56,"")</f>
        <v>0.987884308885051</v>
      </c>
    </row>
    <row r="57" customFormat="false" ht="15" hidden="false" customHeight="false" outlineLevel="0" collapsed="false">
      <c r="A57" s="0" t="s">
        <v>775</v>
      </c>
      <c r="B57" s="0" t="s">
        <v>800</v>
      </c>
      <c r="C57" s="0" t="s">
        <v>956</v>
      </c>
      <c r="D57" s="0" t="s">
        <v>805</v>
      </c>
      <c r="E57" s="0" t="s">
        <v>893</v>
      </c>
      <c r="F57" s="0" t="n">
        <v>10.5</v>
      </c>
      <c r="G57" s="11" t="n">
        <f aca="false">IFERROR(INDEX(CHOOSE(MATCH($X57,{"K1","K2","K3","K12","K13","H1","H2","H3","H12","H13"},0),Calc!$V$2:$V$105,Calc!$AC$2:$AC$105,Calc!$AJ$2:$AJ$105,Calc!$AL$2:$AL$105,Calc!$AM$2:$AM$105,Calc!$W$2:$W$105,Calc!$AD$2:$AD$105,Calc!$AK$2:$AK$105,Calc!$AN$2:$AN$105,Calc!$AO$2:$AO$105),MATCH($W57,Calc!$A$2:$A$105,0)),"")</f>
        <v>10.2136174260355</v>
      </c>
      <c r="H57" s="11" t="n">
        <f aca="false">IF(G57="","",IF(LEFT($X57,1)="H",SQRT(G57*(IFERROR(INDEX(Calc!$AP$2:$AP$105,MATCH($W57,Calc!$A$2:$A$105,0)),0.5)*Config!$B$5+1-IFERROR(INDEX(Calc!$AP$2:$AP$105,MATCH($W57,Calc!$A$2:$A$105,0)),0.5))),SQRT(G57*Config!$B$5)))</f>
        <v>3.43951355400194</v>
      </c>
      <c r="I57" s="10" t="n">
        <f aca="false">IF(OR(F57="",G57="",N(H57)&lt;=0),"",1-NORMDIST(FLOOR(F57,1)+0.5,G57,H57,TRUE()))</f>
        <v>0.466821399830123</v>
      </c>
      <c r="J57" s="10" t="n">
        <f aca="false">IF(I57="","",NORMDIST(CEILING(F57,1)-0.5,G57,H57,TRUE()))</f>
        <v>0.533178600169878</v>
      </c>
      <c r="K57" s="10" t="n">
        <f aca="false">IF(I57="","",MAX(0,1-I57-J57))</f>
        <v>0</v>
      </c>
      <c r="L57" s="0" t="str">
        <f aca="false">IF(I57="","",IF(I57&gt;=0.5+Config!$B$6,"OVER",IF(J57&gt;=0.5+Config!$B$6,"UNDER","—")))</f>
        <v>—</v>
      </c>
      <c r="N57" s="0" t="n">
        <v>10</v>
      </c>
      <c r="O57" s="10" t="n">
        <v>0.4</v>
      </c>
      <c r="P57" s="10" t="n">
        <v>0.4</v>
      </c>
      <c r="Q57" s="10" t="n">
        <v>0.4</v>
      </c>
      <c r="R57" s="9" t="s">
        <v>894</v>
      </c>
      <c r="S57" s="0" t="n">
        <v>-1</v>
      </c>
      <c r="T57" s="0" t="str">
        <f aca="false">INDEX(Calc!$G$2:$G$105,MATCH($W57,Calc!$A$2:$A$105,0))&amp;" / "&amp;INDEX(Calc!$H$2:$H$105,MATCH($W57,Calc!$A$2:$A$105,0))</f>
        <v>Cache / Nuke</v>
      </c>
      <c r="U57" s="0" t="str">
        <f aca="false">TEXT(INDEX(Calc!$J$2:$J$105,MATCH($W57,Calc!$A$2:$A$105,0)),"0.0")&amp;" / "&amp;TEXT(INDEX(Calc!$K$2:$K$105,MATCH($W57,Calc!$A$2:$A$105,0)),"0.0")</f>
        <v>21.1 / 21.1</v>
      </c>
      <c r="V57" s="0" t="str">
        <f aca="false">IFERROR(INDEX(Calc!$AQ$2:$AQ$105,MATCH($W57,Calc!$A$2:$A$105,0)),"")</f>
        <v/>
      </c>
      <c r="W57" s="9" t="s">
        <v>957</v>
      </c>
      <c r="X57" s="9" t="s">
        <v>896</v>
      </c>
      <c r="Y57" s="0" t="str">
        <f aca="false">W57&amp;"|"&amp;X57</f>
        <v>n7dezrlm3ggjepw|CS2 · BBL vs BCG|H12</v>
      </c>
      <c r="Z57" s="11" t="n">
        <f aca="false">IFERROR(INDEX(CHOOSE(MATCH($X57,{"K1","K2","K3","K12","K13","H1","H2","H3","H12","H13"},0),Calc!$BA$2:$BA$105,Calc!$BB$2:$BB$105,Calc!$BC$2:$BC$105,Calc!$BD$2:$BD$105,Calc!$BE$2:$BE$105,Calc!$BF$2:$BF$105,Calc!$BG$2:$BG$105,Calc!$BH$2:$BH$105,Calc!$BI$2:$BI$105,Calc!$BJ$2:$BJ$105),MATCH($W57,Calc!$A$2:$A$105,0)),"")</f>
        <v>10.0708701241446</v>
      </c>
      <c r="AA57" s="11" t="n">
        <f aca="false">IF(Z57="","",IF(LEFT($X57,1)="H",SQRT(Z57*(IFERROR(INDEX(Calc!$AP$2:$AP$105,MATCH($W57,Calc!$A$2:$A$105,0)),0.5)*Config!$B$5+1-IFERROR(INDEX(Calc!$AP$2:$AP$105,MATCH($W57,Calc!$A$2:$A$105,0)),0.5))),SQRT(Z57*Config!$B$5)))</f>
        <v>3.41539335921562</v>
      </c>
      <c r="AB57" s="10" t="n">
        <f aca="false">IF(OR(F57="",Z57="",N(AA57)&lt;=0),"",1-NORMDIST(FLOOR(F57,1)+0.5,Z57,AA57,TRUE()))</f>
        <v>0.450006148321134</v>
      </c>
      <c r="AC57" s="10" t="n">
        <f aca="false">IF(AB57="","",NORMDIST(CEILING(F57,1)-0.5,Z57,AA57,TRUE()))</f>
        <v>0.549993851678866</v>
      </c>
      <c r="AD57" s="0" t="str">
        <f aca="false">IF(AB57="","",IF(AB57&gt;=0.5+Config!$B$6,"OVER",IF(AC57&gt;=0.5+Config!$B$6,"UNDER","—")))</f>
        <v>UNDER</v>
      </c>
      <c r="AE57" s="13" t="n">
        <f aca="false">IFERROR(Z57/G57,"")</f>
        <v>0.986023825258325</v>
      </c>
    </row>
    <row r="58" customFormat="false" ht="15" hidden="false" customHeight="false" outlineLevel="0" collapsed="false">
      <c r="A58" s="0" t="s">
        <v>775</v>
      </c>
      <c r="B58" s="0" t="s">
        <v>800</v>
      </c>
      <c r="C58" s="0" t="s">
        <v>956</v>
      </c>
      <c r="D58" s="0" t="s">
        <v>805</v>
      </c>
      <c r="E58" s="0" t="s">
        <v>888</v>
      </c>
      <c r="F58" s="0" t="n">
        <v>26.5</v>
      </c>
      <c r="G58" s="11" t="n">
        <f aca="false">IFERROR(INDEX(CHOOSE(MATCH($X58,{"K1","K2","K3","K12","K13","H1","H2","H3","H12","H13"},0),Calc!$V$2:$V$105,Calc!$AC$2:$AC$105,Calc!$AJ$2:$AJ$105,Calc!$AL$2:$AL$105,Calc!$AM$2:$AM$105,Calc!$W$2:$W$105,Calc!$AD$2:$AD$105,Calc!$AK$2:$AK$105,Calc!$AN$2:$AN$105,Calc!$AO$2:$AO$105),MATCH($W58,Calc!$A$2:$A$105,0)),"")</f>
        <v>25.8111230769231</v>
      </c>
      <c r="H58" s="11" t="n">
        <f aca="false">IF(G58="","",IF(LEFT($X58,1)="H",SQRT(G58*(IFERROR(INDEX(Calc!$AP$2:$AP$105,MATCH($W58,Calc!$A$2:$A$105,0)),0.5)*Config!$B$5+1-IFERROR(INDEX(Calc!$AP$2:$AP$105,MATCH($W58,Calc!$A$2:$A$105,0)),0.5))),SQRT(G58*Config!$B$5)))</f>
        <v>6.01128707580101</v>
      </c>
      <c r="I58" s="10" t="n">
        <f aca="false">IF(OR(F58="",G58="",N(H58)&lt;=0),"",1-NORMDIST(FLOOR(F58,1)+0.5,G58,H58,TRUE()))</f>
        <v>0.454382182717685</v>
      </c>
      <c r="J58" s="10" t="n">
        <f aca="false">IF(I58="","",NORMDIST(CEILING(F58,1)-0.5,G58,H58,TRUE()))</f>
        <v>0.545617817282315</v>
      </c>
      <c r="K58" s="10" t="n">
        <f aca="false">IF(I58="","",MAX(0,1-I58-J58))</f>
        <v>0</v>
      </c>
      <c r="L58" s="0" t="str">
        <f aca="false">IF(I58="","",IF(I58&gt;=0.5+Config!$B$6,"OVER",IF(J58&gt;=0.5+Config!$B$6,"UNDER","—")))</f>
        <v>UNDER</v>
      </c>
      <c r="M58" s="0" t="n">
        <v>26.41</v>
      </c>
      <c r="N58" s="0" t="n">
        <v>26.8</v>
      </c>
      <c r="O58" s="10" t="n">
        <v>0.8</v>
      </c>
      <c r="P58" s="10" t="n">
        <v>0.5</v>
      </c>
      <c r="Q58" s="10" t="n">
        <v>0.6</v>
      </c>
      <c r="R58" s="9" t="s">
        <v>894</v>
      </c>
      <c r="S58" s="0" t="n">
        <v>-1</v>
      </c>
      <c r="T58" s="0" t="str">
        <f aca="false">INDEX(Calc!$G$2:$G$105,MATCH($W58,Calc!$A$2:$A$105,0))&amp;" / "&amp;INDEX(Calc!$H$2:$H$105,MATCH($W58,Calc!$A$2:$A$105,0))</f>
        <v>Cache / Nuke</v>
      </c>
      <c r="U58" s="0" t="str">
        <f aca="false">TEXT(INDEX(Calc!$J$2:$J$105,MATCH($W58,Calc!$A$2:$A$105,0)),"0.0")&amp;" / "&amp;TEXT(INDEX(Calc!$K$2:$K$105,MATCH($W58,Calc!$A$2:$A$105,0)),"0.0")</f>
        <v>21.1 / 21.1</v>
      </c>
      <c r="V58" s="0" t="str">
        <f aca="false">IFERROR(INDEX(Calc!$AQ$2:$AQ$105,MATCH($W58,Calc!$A$2:$A$105,0)),"")</f>
        <v/>
      </c>
      <c r="W58" s="9" t="s">
        <v>957</v>
      </c>
      <c r="X58" s="9" t="s">
        <v>891</v>
      </c>
      <c r="Y58" s="0" t="str">
        <f aca="false">W58&amp;"|"&amp;X58</f>
        <v>n7dezrlm3ggjepw|CS2 · BBL vs BCG|K12</v>
      </c>
      <c r="Z58" s="11" t="n">
        <f aca="false">IFERROR(INDEX(CHOOSE(MATCH($X58,{"K1","K2","K3","K12","K13","H1","H2","H3","H12","H13"},0),Calc!$BA$2:$BA$105,Calc!$BB$2:$BB$105,Calc!$BC$2:$BC$105,Calc!$BD$2:$BD$105,Calc!$BE$2:$BE$105,Calc!$BF$2:$BF$105,Calc!$BG$2:$BG$105,Calc!$BH$2:$BH$105,Calc!$BI$2:$BI$105,Calc!$BJ$2:$BJ$105),MATCH($W58,Calc!$A$2:$A$105,0)),"")</f>
        <v>25.469489990943</v>
      </c>
      <c r="AA58" s="11" t="n">
        <f aca="false">IF(Z58="","",IF(LEFT($X58,1)="H",SQRT(Z58*(IFERROR(INDEX(Calc!$AP$2:$AP$105,MATCH($W58,Calc!$A$2:$A$105,0)),0.5)*Config!$B$5+1-IFERROR(INDEX(Calc!$AP$2:$AP$105,MATCH($W58,Calc!$A$2:$A$105,0)),0.5))),SQRT(Z58*Config!$B$5)))</f>
        <v>5.97137220304681</v>
      </c>
      <c r="AB58" s="10" t="n">
        <f aca="false">IF(OR(F58="",Z58="",N(AA58)&lt;=0),"",1-NORMDIST(FLOOR(F58,1)+0.5,Z58,AA58,TRUE()))</f>
        <v>0.431492722374793</v>
      </c>
      <c r="AC58" s="10" t="n">
        <f aca="false">IF(AB58="","",NORMDIST(CEILING(F58,1)-0.5,Z58,AA58,TRUE()))</f>
        <v>0.568507277625207</v>
      </c>
      <c r="AD58" s="0" t="str">
        <f aca="false">IF(AB58="","",IF(AB58&gt;=0.5+Config!$B$6,"OVER",IF(AC58&gt;=0.5+Config!$B$6,"UNDER","—")))</f>
        <v>UNDER</v>
      </c>
      <c r="AE58" s="13" t="n">
        <f aca="false">IFERROR(Z58/G58,"")</f>
        <v>0.986764113868196</v>
      </c>
    </row>
    <row r="59" customFormat="false" ht="15" hidden="false" customHeight="false" outlineLevel="0" collapsed="false">
      <c r="A59" s="0" t="s">
        <v>775</v>
      </c>
      <c r="B59" s="0" t="s">
        <v>800</v>
      </c>
      <c r="C59" s="0" t="s">
        <v>958</v>
      </c>
      <c r="D59" s="0" t="s">
        <v>806</v>
      </c>
      <c r="E59" s="0" t="s">
        <v>893</v>
      </c>
      <c r="F59" s="0" t="n">
        <v>14.5</v>
      </c>
      <c r="G59" s="11" t="n">
        <f aca="false">IFERROR(INDEX(CHOOSE(MATCH($X59,{"K1","K2","K3","K12","K13","H1","H2","H3","H12","H13"},0),Calc!$V$2:$V$105,Calc!$AC$2:$AC$105,Calc!$AJ$2:$AJ$105,Calc!$AL$2:$AL$105,Calc!$AM$2:$AM$105,Calc!$W$2:$W$105,Calc!$AD$2:$AD$105,Calc!$AK$2:$AK$105,Calc!$AN$2:$AN$105,Calc!$AO$2:$AO$105),MATCH($W59,Calc!$A$2:$A$105,0)),"")</f>
        <v>13.7506626</v>
      </c>
      <c r="H59" s="11" t="n">
        <f aca="false">IF(G59="","",IF(LEFT($X59,1)="H",SQRT(G59*(IFERROR(INDEX(Calc!$AP$2:$AP$105,MATCH($W59,Calc!$A$2:$A$105,0)),0.5)*Config!$B$5+1-IFERROR(INDEX(Calc!$AP$2:$AP$105,MATCH($W59,Calc!$A$2:$A$105,0)),0.5))),SQRT(G59*Config!$B$5)))</f>
        <v>4.08176364024762</v>
      </c>
      <c r="I59" s="10" t="n">
        <f aca="false">IF(OR(F59="",G59="",N(H59)&lt;=0),"",1-NORMDIST(FLOOR(F59,1)+0.5,G59,H59,TRUE()))</f>
        <v>0.42717078214361</v>
      </c>
      <c r="J59" s="10" t="n">
        <f aca="false">IF(I59="","",NORMDIST(CEILING(F59,1)-0.5,G59,H59,TRUE()))</f>
        <v>0.57282921785639</v>
      </c>
      <c r="K59" s="10" t="n">
        <f aca="false">IF(I59="","",MAX(0,1-I59-J59))</f>
        <v>0</v>
      </c>
      <c r="L59" s="0" t="str">
        <f aca="false">IF(I59="","",IF(I59&gt;=0.5+Config!$B$6,"OVER",IF(J59&gt;=0.5+Config!$B$6,"UNDER","—")))</f>
        <v>UNDER</v>
      </c>
      <c r="N59" s="0" t="n">
        <v>13.1</v>
      </c>
      <c r="O59" s="10" t="n">
        <v>0.2</v>
      </c>
      <c r="P59" s="10" t="n">
        <v>0.4</v>
      </c>
      <c r="Q59" s="10" t="n">
        <v>0.47</v>
      </c>
      <c r="R59" s="9" t="s">
        <v>894</v>
      </c>
      <c r="S59" s="0" t="n">
        <v>-4</v>
      </c>
      <c r="T59" s="0" t="str">
        <f aca="false">INDEX(Calc!$G$2:$G$105,MATCH($W59,Calc!$A$2:$A$105,0))&amp;" / "&amp;INDEX(Calc!$H$2:$H$105,MATCH($W59,Calc!$A$2:$A$105,0))</f>
        <v>Cache / Nuke</v>
      </c>
      <c r="U59" s="0" t="str">
        <f aca="false">TEXT(INDEX(Calc!$J$2:$J$105,MATCH($W59,Calc!$A$2:$A$105,0)),"0.0")&amp;" / "&amp;TEXT(INDEX(Calc!$K$2:$K$105,MATCH($W59,Calc!$A$2:$A$105,0)),"0.0")</f>
        <v>21.1 / 21.1</v>
      </c>
      <c r="V59" s="0" t="str">
        <f aca="false">IFERROR(INDEX(Calc!$AQ$2:$AQ$105,MATCH($W59,Calc!$A$2:$A$105,0)),"")</f>
        <v/>
      </c>
      <c r="W59" s="9" t="s">
        <v>959</v>
      </c>
      <c r="X59" s="9" t="s">
        <v>896</v>
      </c>
      <c r="Y59" s="0" t="str">
        <f aca="false">W59&amp;"|"&amp;X59</f>
        <v>sr5c0xeb12zshv5|CS2 · BBL vs BCG|H12</v>
      </c>
      <c r="Z59" s="11" t="n">
        <f aca="false">IFERROR(INDEX(CHOOSE(MATCH($X59,{"K1","K2","K3","K12","K13","H1","H2","H3","H12","H13"},0),Calc!$BA$2:$BA$105,Calc!$BB$2:$BB$105,Calc!$BC$2:$BC$105,Calc!$BD$2:$BD$105,Calc!$BE$2:$BE$105,Calc!$BF$2:$BF$105,Calc!$BG$2:$BG$105,Calc!$BH$2:$BH$105,Calc!$BI$2:$BI$105,Calc!$BJ$2:$BJ$105),MATCH($W59,Calc!$A$2:$A$105,0)),"")</f>
        <v>13.4027828471538</v>
      </c>
      <c r="AA59" s="11" t="n">
        <f aca="false">IF(Z59="","",IF(LEFT($X59,1)="H",SQRT(Z59*(IFERROR(INDEX(Calc!$AP$2:$AP$105,MATCH($W59,Calc!$A$2:$A$105,0)),0.5)*Config!$B$5+1-IFERROR(INDEX(Calc!$AP$2:$AP$105,MATCH($W59,Calc!$A$2:$A$105,0)),0.5))),SQRT(Z59*Config!$B$5)))</f>
        <v>4.02980035101351</v>
      </c>
      <c r="AB59" s="10" t="n">
        <f aca="false">IF(OR(F59="",Z59="",N(AA59)&lt;=0),"",1-NORMDIST(FLOOR(F59,1)+0.5,Z59,AA59,TRUE()))</f>
        <v>0.39270497750767</v>
      </c>
      <c r="AC59" s="10" t="n">
        <f aca="false">IF(AB59="","",NORMDIST(CEILING(F59,1)-0.5,Z59,AA59,TRUE()))</f>
        <v>0.60729502249233</v>
      </c>
      <c r="AD59" s="0" t="str">
        <f aca="false">IF(AB59="","",IF(AB59&gt;=0.5+Config!$B$6,"OVER",IF(AC59&gt;=0.5+Config!$B$6,"UNDER","—")))</f>
        <v>UNDER</v>
      </c>
      <c r="AE59" s="13" t="n">
        <f aca="false">IFERROR(Z59/G59,"")</f>
        <v>0.974700873480365</v>
      </c>
    </row>
    <row r="60" customFormat="false" ht="15" hidden="false" customHeight="false" outlineLevel="0" collapsed="false">
      <c r="A60" s="0" t="s">
        <v>775</v>
      </c>
      <c r="B60" s="0" t="s">
        <v>800</v>
      </c>
      <c r="C60" s="0" t="s">
        <v>958</v>
      </c>
      <c r="D60" s="0" t="s">
        <v>806</v>
      </c>
      <c r="E60" s="0" t="s">
        <v>888</v>
      </c>
      <c r="F60" s="0" t="n">
        <v>26.5</v>
      </c>
      <c r="G60" s="11" t="n">
        <f aca="false">IFERROR(INDEX(CHOOSE(MATCH($X60,{"K1","K2","K3","K12","K13","H1","H2","H3","H12","H13"},0),Calc!$V$2:$V$105,Calc!$AC$2:$AC$105,Calc!$AJ$2:$AJ$105,Calc!$AL$2:$AL$105,Calc!$AM$2:$AM$105,Calc!$W$2:$W$105,Calc!$AD$2:$AD$105,Calc!$AK$2:$AK$105,Calc!$AN$2:$AN$105,Calc!$AO$2:$AO$105),MATCH($W60,Calc!$A$2:$A$105,0)),"")</f>
        <v>25.9893</v>
      </c>
      <c r="H60" s="11" t="n">
        <f aca="false">IF(G60="","",IF(LEFT($X60,1)="H",SQRT(G60*(IFERROR(INDEX(Calc!$AP$2:$AP$105,MATCH($W60,Calc!$A$2:$A$105,0)),0.5)*Config!$B$5+1-IFERROR(INDEX(Calc!$AP$2:$AP$105,MATCH($W60,Calc!$A$2:$A$105,0)),0.5))),SQRT(G60*Config!$B$5)))</f>
        <v>6.031999668435</v>
      </c>
      <c r="I60" s="10" t="n">
        <f aca="false">IF(OR(F60="",G60="",N(H60)&lt;=0),"",1-NORMDIST(FLOOR(F60,1)+0.5,G60,H60,TRUE()))</f>
        <v>0.466263811690077</v>
      </c>
      <c r="J60" s="10" t="n">
        <f aca="false">IF(I60="","",NORMDIST(CEILING(F60,1)-0.5,G60,H60,TRUE()))</f>
        <v>0.533736188309923</v>
      </c>
      <c r="K60" s="10" t="n">
        <f aca="false">IF(I60="","",MAX(0,1-I60-J60))</f>
        <v>0</v>
      </c>
      <c r="L60" s="0" t="str">
        <f aca="false">IF(I60="","",IF(I60&gt;=0.5+Config!$B$6,"OVER",IF(J60&gt;=0.5+Config!$B$6,"UNDER","—")))</f>
        <v>—</v>
      </c>
      <c r="M60" s="0" t="n">
        <v>28.8</v>
      </c>
      <c r="N60" s="0" t="n">
        <v>25.7</v>
      </c>
      <c r="O60" s="10" t="n">
        <v>0.2</v>
      </c>
      <c r="P60" s="10" t="n">
        <v>0.5</v>
      </c>
      <c r="Q60" s="10" t="n">
        <v>0.6</v>
      </c>
      <c r="R60" s="9" t="s">
        <v>894</v>
      </c>
      <c r="S60" s="0" t="n">
        <v>-4</v>
      </c>
      <c r="T60" s="0" t="str">
        <f aca="false">INDEX(Calc!$G$2:$G$105,MATCH($W60,Calc!$A$2:$A$105,0))&amp;" / "&amp;INDEX(Calc!$H$2:$H$105,MATCH($W60,Calc!$A$2:$A$105,0))</f>
        <v>Cache / Nuke</v>
      </c>
      <c r="U60" s="0" t="str">
        <f aca="false">TEXT(INDEX(Calc!$J$2:$J$105,MATCH($W60,Calc!$A$2:$A$105,0)),"0.0")&amp;" / "&amp;TEXT(INDEX(Calc!$K$2:$K$105,MATCH($W60,Calc!$A$2:$A$105,0)),"0.0")</f>
        <v>21.1 / 21.1</v>
      </c>
      <c r="V60" s="0" t="str">
        <f aca="false">IFERROR(INDEX(Calc!$AQ$2:$AQ$105,MATCH($W60,Calc!$A$2:$A$105,0)),"")</f>
        <v/>
      </c>
      <c r="W60" s="9" t="s">
        <v>959</v>
      </c>
      <c r="X60" s="9" t="s">
        <v>891</v>
      </c>
      <c r="Y60" s="0" t="str">
        <f aca="false">W60&amp;"|"&amp;X60</f>
        <v>sr5c0xeb12zshv5|CS2 · BBL vs BCG|K12</v>
      </c>
      <c r="Z60" s="11" t="n">
        <f aca="false">IFERROR(INDEX(CHOOSE(MATCH($X60,{"K1","K2","K3","K12","K13","H1","H2","H3","H12","H13"},0),Calc!$BA$2:$BA$105,Calc!$BB$2:$BB$105,Calc!$BC$2:$BC$105,Calc!$BD$2:$BD$105,Calc!$BE$2:$BE$105,Calc!$BF$2:$BF$105,Calc!$BG$2:$BG$105,Calc!$BH$2:$BH$105,Calc!$BI$2:$BI$105,Calc!$BJ$2:$BJ$105),MATCH($W60,Calc!$A$2:$A$105,0)),"")</f>
        <v>25.3401379918303</v>
      </c>
      <c r="AA60" s="11" t="n">
        <f aca="false">IF(Z60="","",IF(LEFT($X60,1)="H",SQRT(Z60*(IFERROR(INDEX(Calc!$AP$2:$AP$105,MATCH($W60,Calc!$A$2:$A$105,0)),0.5)*Config!$B$5+1-IFERROR(INDEX(Calc!$AP$2:$AP$105,MATCH($W60,Calc!$A$2:$A$105,0)),0.5))),SQRT(Z60*Config!$B$5)))</f>
        <v>5.95618948561599</v>
      </c>
      <c r="AB60" s="10" t="n">
        <f aca="false">IF(OR(F60="",Z60="",N(AA60)&lt;=0),"",1-NORMDIST(FLOOR(F60,1)+0.5,Z60,AA60,TRUE()))</f>
        <v>0.422801292961075</v>
      </c>
      <c r="AC60" s="10" t="n">
        <f aca="false">IF(AB60="","",NORMDIST(CEILING(F60,1)-0.5,Z60,AA60,TRUE()))</f>
        <v>0.577198707038925</v>
      </c>
      <c r="AD60" s="0" t="str">
        <f aca="false">IF(AB60="","",IF(AB60&gt;=0.5+Config!$B$6,"OVER",IF(AC60&gt;=0.5+Config!$B$6,"UNDER","—")))</f>
        <v>UNDER</v>
      </c>
      <c r="AE60" s="13" t="n">
        <f aca="false">IFERROR(Z60/G60,"")</f>
        <v>0.975021951027165</v>
      </c>
    </row>
    <row r="61" customFormat="false" ht="15" hidden="false" customHeight="false" outlineLevel="0" collapsed="false">
      <c r="A61" s="0" t="s">
        <v>775</v>
      </c>
      <c r="B61" s="0" t="s">
        <v>800</v>
      </c>
      <c r="C61" s="0" t="s">
        <v>960</v>
      </c>
      <c r="D61" s="0" t="s">
        <v>806</v>
      </c>
      <c r="E61" s="0" t="s">
        <v>893</v>
      </c>
      <c r="F61" s="0" t="n">
        <v>14.5</v>
      </c>
      <c r="G61" s="11" t="n">
        <f aca="false">IFERROR(INDEX(CHOOSE(MATCH($X61,{"K1","K2","K3","K12","K13","H1","H2","H3","H12","H13"},0),Calc!$V$2:$V$105,Calc!$AC$2:$AC$105,Calc!$AJ$2:$AJ$105,Calc!$AL$2:$AL$105,Calc!$AM$2:$AM$105,Calc!$W$2:$W$105,Calc!$AD$2:$AD$105,Calc!$AK$2:$AK$105,Calc!$AN$2:$AN$105,Calc!$AO$2:$AO$105),MATCH($W61,Calc!$A$2:$A$105,0)),"")</f>
        <v>14.7815672595041</v>
      </c>
      <c r="H61" s="11" t="n">
        <f aca="false">IF(G61="","",IF(LEFT($X61,1)="H",SQRT(G61*(IFERROR(INDEX(Calc!$AP$2:$AP$105,MATCH($W61,Calc!$A$2:$A$105,0)),0.5)*Config!$B$5+1-IFERROR(INDEX(Calc!$AP$2:$AP$105,MATCH($W61,Calc!$A$2:$A$105,0)),0.5))),SQRT(G61*Config!$B$5)))</f>
        <v>4.26524228319133</v>
      </c>
      <c r="I61" s="10" t="n">
        <f aca="false">IF(OR(F61="",G61="",N(H61)&lt;=0),"",1-NORMDIST(FLOOR(F61,1)+0.5,G61,H61,TRUE()))</f>
        <v>0.526316805477052</v>
      </c>
      <c r="J61" s="10" t="n">
        <f aca="false">IF(I61="","",NORMDIST(CEILING(F61,1)-0.5,G61,H61,TRUE()))</f>
        <v>0.473683194522948</v>
      </c>
      <c r="K61" s="10" t="n">
        <f aca="false">IF(I61="","",MAX(0,1-I61-J61))</f>
        <v>0</v>
      </c>
      <c r="L61" s="0" t="str">
        <f aca="false">IF(I61="","",IF(I61&gt;=0.5+Config!$B$6,"OVER",IF(J61&gt;=0.5+Config!$B$6,"UNDER","—")))</f>
        <v>—</v>
      </c>
      <c r="N61" s="0" t="n">
        <v>15</v>
      </c>
      <c r="O61" s="10" t="n">
        <v>0.4</v>
      </c>
      <c r="P61" s="10" t="n">
        <v>0.6</v>
      </c>
      <c r="Q61" s="10" t="n">
        <v>0.53</v>
      </c>
      <c r="R61" s="9" t="s">
        <v>889</v>
      </c>
      <c r="S61" s="0" t="n">
        <v>-3</v>
      </c>
      <c r="T61" s="0" t="str">
        <f aca="false">INDEX(Calc!$G$2:$G$105,MATCH($W61,Calc!$A$2:$A$105,0))&amp;" / "&amp;INDEX(Calc!$H$2:$H$105,MATCH($W61,Calc!$A$2:$A$105,0))</f>
        <v>Cache / Nuke</v>
      </c>
      <c r="U61" s="0" t="str">
        <f aca="false">TEXT(INDEX(Calc!$J$2:$J$105,MATCH($W61,Calc!$A$2:$A$105,0)),"0.0")&amp;" / "&amp;TEXT(INDEX(Calc!$K$2:$K$105,MATCH($W61,Calc!$A$2:$A$105,0)),"0.0")</f>
        <v>21.1 / 21.1</v>
      </c>
      <c r="V61" s="0" t="str">
        <f aca="false">IFERROR(INDEX(Calc!$AQ$2:$AQ$105,MATCH($W61,Calc!$A$2:$A$105,0)),"")</f>
        <v/>
      </c>
      <c r="W61" s="9" t="s">
        <v>961</v>
      </c>
      <c r="X61" s="9" t="s">
        <v>896</v>
      </c>
      <c r="Y61" s="0" t="str">
        <f aca="false">W61&amp;"|"&amp;X61</f>
        <v>1d7bsesjr3mn3m2|CS2 · BBL vs BCG|H12</v>
      </c>
      <c r="Z61" s="11" t="n">
        <f aca="false">IFERROR(INDEX(CHOOSE(MATCH($X61,{"K1","K2","K3","K12","K13","H1","H2","H3","H12","H13"},0),Calc!$BA$2:$BA$105,Calc!$BB$2:$BB$105,Calc!$BC$2:$BC$105,Calc!$BD$2:$BD$105,Calc!$BE$2:$BE$105,Calc!$BF$2:$BF$105,Calc!$BG$2:$BG$105,Calc!$BH$2:$BH$105,Calc!$BI$2:$BI$105,Calc!$BJ$2:$BJ$105),MATCH($W61,Calc!$A$2:$A$105,0)),"")</f>
        <v>14.3952183844491</v>
      </c>
      <c r="AA61" s="11" t="n">
        <f aca="false">IF(Z61="","",IF(LEFT($X61,1)="H",SQRT(Z61*(IFERROR(INDEX(Calc!$AP$2:$AP$105,MATCH($W61,Calc!$A$2:$A$105,0)),0.5)*Config!$B$5+1-IFERROR(INDEX(Calc!$AP$2:$AP$105,MATCH($W61,Calc!$A$2:$A$105,0)),0.5))),SQRT(Z61*Config!$B$5)))</f>
        <v>4.20913245806543</v>
      </c>
      <c r="AB61" s="10" t="n">
        <f aca="false">IF(OR(F61="",Z61="",N(AA61)&lt;=0),"",1-NORMDIST(FLOOR(F61,1)+0.5,Z61,AA61,TRUE()))</f>
        <v>0.490069806544701</v>
      </c>
      <c r="AC61" s="10" t="n">
        <f aca="false">IF(AB61="","",NORMDIST(CEILING(F61,1)-0.5,Z61,AA61,TRUE()))</f>
        <v>0.509930193455299</v>
      </c>
      <c r="AD61" s="0" t="str">
        <f aca="false">IF(AB61="","",IF(AB61&gt;=0.5+Config!$B$6,"OVER",IF(AC61&gt;=0.5+Config!$B$6,"UNDER","—")))</f>
        <v>—</v>
      </c>
      <c r="AE61" s="13" t="n">
        <f aca="false">IFERROR(Z61/G61,"")</f>
        <v>0.973862793554142</v>
      </c>
    </row>
    <row r="62" customFormat="false" ht="15" hidden="false" customHeight="false" outlineLevel="0" collapsed="false">
      <c r="A62" s="0" t="s">
        <v>775</v>
      </c>
      <c r="B62" s="0" t="s">
        <v>800</v>
      </c>
      <c r="C62" s="0" t="s">
        <v>960</v>
      </c>
      <c r="D62" s="0" t="s">
        <v>806</v>
      </c>
      <c r="E62" s="0" t="s">
        <v>888</v>
      </c>
      <c r="F62" s="0" t="n">
        <v>27.5</v>
      </c>
      <c r="G62" s="11" t="n">
        <f aca="false">IFERROR(INDEX(CHOOSE(MATCH($X62,{"K1","K2","K3","K12","K13","H1","H2","H3","H12","H13"},0),Calc!$V$2:$V$105,Calc!$AC$2:$AC$105,Calc!$AJ$2:$AJ$105,Calc!$AL$2:$AL$105,Calc!$AM$2:$AM$105,Calc!$W$2:$W$105,Calc!$AD$2:$AD$105,Calc!$AK$2:$AK$105,Calc!$AN$2:$AN$105,Calc!$AO$2:$AO$105),MATCH($W62,Calc!$A$2:$A$105,0)),"")</f>
        <v>25.6244363636364</v>
      </c>
      <c r="H62" s="11" t="n">
        <f aca="false">IF(G62="","",IF(LEFT($X62,1)="H",SQRT(G62*(IFERROR(INDEX(Calc!$AP$2:$AP$105,MATCH($W62,Calc!$A$2:$A$105,0)),0.5)*Config!$B$5+1-IFERROR(INDEX(Calc!$AP$2:$AP$105,MATCH($W62,Calc!$A$2:$A$105,0)),0.5))),SQRT(G62*Config!$B$5)))</f>
        <v>5.98950840295687</v>
      </c>
      <c r="I62" s="10" t="n">
        <f aca="false">IF(OR(F62="",G62="",N(H62)&lt;=0),"",1-NORMDIST(FLOOR(F62,1)+0.5,G62,H62,TRUE()))</f>
        <v>0.377086581074239</v>
      </c>
      <c r="J62" s="10" t="n">
        <f aca="false">IF(I62="","",NORMDIST(CEILING(F62,1)-0.5,G62,H62,TRUE()))</f>
        <v>0.622913418925761</v>
      </c>
      <c r="K62" s="10" t="n">
        <f aca="false">IF(I62="","",MAX(0,1-I62-J62))</f>
        <v>0</v>
      </c>
      <c r="L62" s="0" t="str">
        <f aca="false">IF(I62="","",IF(I62&gt;=0.5+Config!$B$6,"OVER",IF(J62&gt;=0.5+Config!$B$6,"UNDER","—")))</f>
        <v>UNDER</v>
      </c>
      <c r="M62" s="0" t="n">
        <v>25.58</v>
      </c>
      <c r="N62" s="0" t="n">
        <v>28.1</v>
      </c>
      <c r="O62" s="10" t="n">
        <v>0.4</v>
      </c>
      <c r="P62" s="10" t="n">
        <v>0.5</v>
      </c>
      <c r="Q62" s="10" t="n">
        <v>0.47</v>
      </c>
      <c r="R62" s="9" t="s">
        <v>889</v>
      </c>
      <c r="S62" s="0" t="n">
        <v>-3</v>
      </c>
      <c r="T62" s="0" t="str">
        <f aca="false">INDEX(Calc!$G$2:$G$105,MATCH($W62,Calc!$A$2:$A$105,0))&amp;" / "&amp;INDEX(Calc!$H$2:$H$105,MATCH($W62,Calc!$A$2:$A$105,0))</f>
        <v>Cache / Nuke</v>
      </c>
      <c r="U62" s="0" t="str">
        <f aca="false">TEXT(INDEX(Calc!$J$2:$J$105,MATCH($W62,Calc!$A$2:$A$105,0)),"0.0")&amp;" / "&amp;TEXT(INDEX(Calc!$K$2:$K$105,MATCH($W62,Calc!$A$2:$A$105,0)),"0.0")</f>
        <v>21.1 / 21.1</v>
      </c>
      <c r="V62" s="0" t="str">
        <f aca="false">IFERROR(INDEX(Calc!$AQ$2:$AQ$105,MATCH($W62,Calc!$A$2:$A$105,0)),"")</f>
        <v/>
      </c>
      <c r="W62" s="9" t="s">
        <v>961</v>
      </c>
      <c r="X62" s="9" t="s">
        <v>891</v>
      </c>
      <c r="Y62" s="0" t="str">
        <f aca="false">W62&amp;"|"&amp;X62</f>
        <v>1d7bsesjr3mn3m2|CS2 · BBL vs BCG|K12</v>
      </c>
      <c r="Z62" s="11" t="n">
        <f aca="false">IFERROR(INDEX(CHOOSE(MATCH($X62,{"K1","K2","K3","K12","K13","H1","H2","H3","H12","H13"},0),Calc!$BA$2:$BA$105,Calc!$BB$2:$BB$105,Calc!$BC$2:$BC$105,Calc!$BD$2:$BD$105,Calc!$BE$2:$BE$105,Calc!$BF$2:$BF$105,Calc!$BG$2:$BG$105,Calc!$BH$2:$BH$105,Calc!$BI$2:$BI$105,Calc!$BJ$2:$BJ$105),MATCH($W62,Calc!$A$2:$A$105,0)),"")</f>
        <v>24.9801268199732</v>
      </c>
      <c r="AA62" s="11" t="n">
        <f aca="false">IF(Z62="","",IF(LEFT($X62,1)="H",SQRT(Z62*(IFERROR(INDEX(Calc!$AP$2:$AP$105,MATCH($W62,Calc!$A$2:$A$105,0)),0.5)*Config!$B$5+1-IFERROR(INDEX(Calc!$AP$2:$AP$105,MATCH($W62,Calc!$A$2:$A$105,0)),0.5))),SQRT(Z62*Config!$B$5)))</f>
        <v>5.91372788923895</v>
      </c>
      <c r="AB62" s="10" t="n">
        <f aca="false">IF(OR(F62="",Z62="",N(AA62)&lt;=0),"",1-NORMDIST(FLOOR(F62,1)+0.5,Z62,AA62,TRUE()))</f>
        <v>0.33501541235133</v>
      </c>
      <c r="AC62" s="10" t="n">
        <f aca="false">IF(AB62="","",NORMDIST(CEILING(F62,1)-0.5,Z62,AA62,TRUE()))</f>
        <v>0.66498458764867</v>
      </c>
      <c r="AD62" s="0" t="str">
        <f aca="false">IF(AB62="","",IF(AB62&gt;=0.5+Config!$B$6,"OVER",IF(AC62&gt;=0.5+Config!$B$6,"UNDER","—")))</f>
        <v>UNDER</v>
      </c>
      <c r="AE62" s="13" t="n">
        <f aca="false">IFERROR(Z62/G62,"")</f>
        <v>0.974855659866241</v>
      </c>
    </row>
    <row r="63" customFormat="false" ht="15" hidden="false" customHeight="false" outlineLevel="0" collapsed="false">
      <c r="A63" s="0" t="s">
        <v>775</v>
      </c>
      <c r="B63" s="0" t="s">
        <v>800</v>
      </c>
      <c r="C63" s="0" t="s">
        <v>962</v>
      </c>
      <c r="D63" s="0" t="s">
        <v>806</v>
      </c>
      <c r="E63" s="0" t="s">
        <v>893</v>
      </c>
      <c r="F63" s="0" t="n">
        <v>19.5</v>
      </c>
      <c r="G63" s="11" t="n">
        <f aca="false">IFERROR(INDEX(CHOOSE(MATCH($X63,{"K1","K2","K3","K12","K13","H1","H2","H3","H12","H13"},0),Calc!$V$2:$V$105,Calc!$AC$2:$AC$105,Calc!$AJ$2:$AJ$105,Calc!$AL$2:$AL$105,Calc!$AM$2:$AM$105,Calc!$W$2:$W$105,Calc!$AD$2:$AD$105,Calc!$AK$2:$AK$105,Calc!$AN$2:$AN$105,Calc!$AO$2:$AO$105),MATCH($W63,Calc!$A$2:$A$105,0)),"")</f>
        <v>19.4155613421488</v>
      </c>
      <c r="H63" s="11" t="n">
        <f aca="false">IF(G63="","",IF(LEFT($X63,1)="H",SQRT(G63*(IFERROR(INDEX(Calc!$AP$2:$AP$105,MATCH($W63,Calc!$A$2:$A$105,0)),0.5)*Config!$B$5+1-IFERROR(INDEX(Calc!$AP$2:$AP$105,MATCH($W63,Calc!$A$2:$A$105,0)),0.5))),SQRT(G63*Config!$B$5)))</f>
        <v>4.99985066611891</v>
      </c>
      <c r="I63" s="10" t="n">
        <f aca="false">IF(OR(F63="",G63="",N(H63)&lt;=0),"",1-NORMDIST(FLOOR(F63,1)+0.5,G63,H63,TRUE()))</f>
        <v>0.493262888884125</v>
      </c>
      <c r="J63" s="10" t="n">
        <f aca="false">IF(I63="","",NORMDIST(CEILING(F63,1)-0.5,G63,H63,TRUE()))</f>
        <v>0.506737111115875</v>
      </c>
      <c r="K63" s="10" t="n">
        <f aca="false">IF(I63="","",MAX(0,1-I63-J63))</f>
        <v>0</v>
      </c>
      <c r="L63" s="0" t="str">
        <f aca="false">IF(I63="","",IF(I63&gt;=0.5+Config!$B$6,"OVER",IF(J63&gt;=0.5+Config!$B$6,"UNDER","—")))</f>
        <v>—</v>
      </c>
      <c r="N63" s="0" t="n">
        <v>20</v>
      </c>
      <c r="O63" s="10" t="n">
        <v>0.6</v>
      </c>
      <c r="P63" s="10" t="n">
        <v>0.6</v>
      </c>
      <c r="Q63" s="10" t="n">
        <v>0.67</v>
      </c>
      <c r="R63" s="9" t="s">
        <v>894</v>
      </c>
      <c r="S63" s="0" t="n">
        <v>1</v>
      </c>
      <c r="T63" s="0" t="str">
        <f aca="false">INDEX(Calc!$G$2:$G$105,MATCH($W63,Calc!$A$2:$A$105,0))&amp;" / "&amp;INDEX(Calc!$H$2:$H$105,MATCH($W63,Calc!$A$2:$A$105,0))</f>
        <v>Cache / Nuke</v>
      </c>
      <c r="U63" s="0" t="str">
        <f aca="false">TEXT(INDEX(Calc!$J$2:$J$105,MATCH($W63,Calc!$A$2:$A$105,0)),"0.0")&amp;" / "&amp;TEXT(INDEX(Calc!$K$2:$K$105,MATCH($W63,Calc!$A$2:$A$105,0)),"0.0")</f>
        <v>21.1 / 21.1</v>
      </c>
      <c r="V63" s="0" t="str">
        <f aca="false">IFERROR(INDEX(Calc!$AQ$2:$AQ$105,MATCH($W63,Calc!$A$2:$A$105,0)),"")</f>
        <v/>
      </c>
      <c r="W63" s="9" t="s">
        <v>963</v>
      </c>
      <c r="X63" s="9" t="s">
        <v>896</v>
      </c>
      <c r="Y63" s="0" t="str">
        <f aca="false">W63&amp;"|"&amp;X63</f>
        <v>d5pdwo5hc84he1g|CS2 · BBL vs BCG|H12</v>
      </c>
      <c r="Z63" s="11" t="n">
        <f aca="false">IFERROR(INDEX(CHOOSE(MATCH($X63,{"K1","K2","K3","K12","K13","H1","H2","H3","H12","H13"},0),Calc!$BA$2:$BA$105,Calc!$BB$2:$BB$105,Calc!$BC$2:$BC$105,Calc!$BD$2:$BD$105,Calc!$BE$2:$BE$105,Calc!$BF$2:$BF$105,Calc!$BG$2:$BG$105,Calc!$BH$2:$BH$105,Calc!$BI$2:$BI$105,Calc!$BJ$2:$BJ$105),MATCH($W63,Calc!$A$2:$A$105,0)),"")</f>
        <v>18.9064236988875</v>
      </c>
      <c r="AA63" s="11" t="n">
        <f aca="false">IF(Z63="","",IF(LEFT($X63,1)="H",SQRT(Z63*(IFERROR(INDEX(Calc!$AP$2:$AP$105,MATCH($W63,Calc!$A$2:$A$105,0)),0.5)*Config!$B$5+1-IFERROR(INDEX(Calc!$AP$2:$AP$105,MATCH($W63,Calc!$A$2:$A$105,0)),0.5))),SQRT(Z63*Config!$B$5)))</f>
        <v>4.93385918862151</v>
      </c>
      <c r="AB63" s="10" t="n">
        <f aca="false">IF(OR(F63="",Z63="",N(AA63)&lt;=0),"",1-NORMDIST(FLOOR(F63,1)+0.5,Z63,AA63,TRUE()))</f>
        <v>0.452120099711025</v>
      </c>
      <c r="AC63" s="10" t="n">
        <f aca="false">IF(AB63="","",NORMDIST(CEILING(F63,1)-0.5,Z63,AA63,TRUE()))</f>
        <v>0.547879900288975</v>
      </c>
      <c r="AD63" s="0" t="str">
        <f aca="false">IF(AB63="","",IF(AB63&gt;=0.5+Config!$B$6,"OVER",IF(AC63&gt;=0.5+Config!$B$6,"UNDER","—")))</f>
        <v>UNDER</v>
      </c>
      <c r="AE63" s="13" t="n">
        <f aca="false">IFERROR(Z63/G63,"")</f>
        <v>0.973776826006261</v>
      </c>
    </row>
    <row r="64" customFormat="false" ht="15" hidden="false" customHeight="false" outlineLevel="0" collapsed="false">
      <c r="A64" s="0" t="s">
        <v>775</v>
      </c>
      <c r="B64" s="0" t="s">
        <v>800</v>
      </c>
      <c r="C64" s="0" t="s">
        <v>962</v>
      </c>
      <c r="D64" s="0" t="s">
        <v>806</v>
      </c>
      <c r="E64" s="0" t="s">
        <v>888</v>
      </c>
      <c r="F64" s="0" t="n">
        <v>29.5</v>
      </c>
      <c r="G64" s="11" t="n">
        <f aca="false">IFERROR(INDEX(CHOOSE(MATCH($X64,{"K1","K2","K3","K12","K13","H1","H2","H3","H12","H13"},0),Calc!$V$2:$V$105,Calc!$AC$2:$AC$105,Calc!$AJ$2:$AJ$105,Calc!$AL$2:$AL$105,Calc!$AM$2:$AM$105,Calc!$W$2:$W$105,Calc!$AD$2:$AD$105,Calc!$AK$2:$AK$105,Calc!$AN$2:$AN$105,Calc!$AO$2:$AO$105),MATCH($W64,Calc!$A$2:$A$105,0)),"")</f>
        <v>27.0082545454545</v>
      </c>
      <c r="H64" s="11" t="n">
        <f aca="false">IF(G64="","",IF(LEFT($X64,1)="H",SQRT(G64*(IFERROR(INDEX(Calc!$AP$2:$AP$105,MATCH($W64,Calc!$A$2:$A$105,0)),0.5)*Config!$B$5+1-IFERROR(INDEX(Calc!$AP$2:$AP$105,MATCH($W64,Calc!$A$2:$A$105,0)),0.5))),SQRT(G64*Config!$B$5)))</f>
        <v>6.14911020909825</v>
      </c>
      <c r="I64" s="10" t="n">
        <f aca="false">IF(OR(F64="",G64="",N(H64)&lt;=0),"",1-NORMDIST(FLOOR(F64,1)+0.5,G64,H64,TRUE()))</f>
        <v>0.342657722306211</v>
      </c>
      <c r="J64" s="10" t="n">
        <f aca="false">IF(I64="","",NORMDIST(CEILING(F64,1)-0.5,G64,H64,TRUE()))</f>
        <v>0.657342277693789</v>
      </c>
      <c r="K64" s="10" t="n">
        <f aca="false">IF(I64="","",MAX(0,1-I64-J64))</f>
        <v>0</v>
      </c>
      <c r="L64" s="0" t="str">
        <f aca="false">IF(I64="","",IF(I64&gt;=0.5+Config!$B$6,"OVER",IF(J64&gt;=0.5+Config!$B$6,"UNDER","—")))</f>
        <v>UNDER</v>
      </c>
      <c r="M64" s="0" t="n">
        <v>26.4</v>
      </c>
      <c r="N64" s="0" t="n">
        <v>29.3</v>
      </c>
      <c r="O64" s="10" t="n">
        <v>0.4</v>
      </c>
      <c r="P64" s="10" t="n">
        <v>0.3</v>
      </c>
      <c r="Q64" s="10" t="n">
        <v>0.4</v>
      </c>
      <c r="R64" s="9" t="s">
        <v>894</v>
      </c>
      <c r="S64" s="0" t="n">
        <v>-2</v>
      </c>
      <c r="T64" s="0" t="str">
        <f aca="false">INDEX(Calc!$G$2:$G$105,MATCH($W64,Calc!$A$2:$A$105,0))&amp;" / "&amp;INDEX(Calc!$H$2:$H$105,MATCH($W64,Calc!$A$2:$A$105,0))</f>
        <v>Cache / Nuke</v>
      </c>
      <c r="U64" s="0" t="str">
        <f aca="false">TEXT(INDEX(Calc!$J$2:$J$105,MATCH($W64,Calc!$A$2:$A$105,0)),"0.0")&amp;" / "&amp;TEXT(INDEX(Calc!$K$2:$K$105,MATCH($W64,Calc!$A$2:$A$105,0)),"0.0")</f>
        <v>21.1 / 21.1</v>
      </c>
      <c r="V64" s="0" t="str">
        <f aca="false">IFERROR(INDEX(Calc!$AQ$2:$AQ$105,MATCH($W64,Calc!$A$2:$A$105,0)),"")</f>
        <v/>
      </c>
      <c r="W64" s="9" t="s">
        <v>963</v>
      </c>
      <c r="X64" s="9" t="s">
        <v>891</v>
      </c>
      <c r="Y64" s="0" t="str">
        <f aca="false">W64&amp;"|"&amp;X64</f>
        <v>d5pdwo5hc84he1g|CS2 · BBL vs BCG|K12</v>
      </c>
      <c r="Z64" s="11" t="n">
        <f aca="false">IFERROR(INDEX(CHOOSE(MATCH($X64,{"K1","K2","K3","K12","K13","H1","H2","H3","H12","H13"},0),Calc!$BA$2:$BA$105,Calc!$BB$2:$BB$105,Calc!$BC$2:$BC$105,Calc!$BD$2:$BD$105,Calc!$BE$2:$BE$105,Calc!$BF$2:$BF$105,Calc!$BG$2:$BG$105,Calc!$BH$2:$BH$105,Calc!$BI$2:$BI$105,Calc!$BJ$2:$BJ$105),MATCH($W64,Calc!$A$2:$A$105,0)),"")</f>
        <v>26.2957039570267</v>
      </c>
      <c r="AA64" s="11" t="n">
        <f aca="false">IF(Z64="","",IF(LEFT($X64,1)="H",SQRT(Z64*(IFERROR(INDEX(Calc!$AP$2:$AP$105,MATCH($W64,Calc!$A$2:$A$105,0)),0.5)*Config!$B$5+1-IFERROR(INDEX(Calc!$AP$2:$AP$105,MATCH($W64,Calc!$A$2:$A$105,0)),0.5))),SQRT(Z64*Config!$B$5)))</f>
        <v>6.06745296972604</v>
      </c>
      <c r="AB64" s="10" t="n">
        <f aca="false">IF(OR(F64="",Z64="",N(AA64)&lt;=0),"",1-NORMDIST(FLOOR(F64,1)+0.5,Z64,AA64,TRUE()))</f>
        <v>0.298710725729374</v>
      </c>
      <c r="AC64" s="10" t="n">
        <f aca="false">IF(AB64="","",NORMDIST(CEILING(F64,1)-0.5,Z64,AA64,TRUE()))</f>
        <v>0.701289274270627</v>
      </c>
      <c r="AD64" s="0" t="str">
        <f aca="false">IF(AB64="","",IF(AB64&gt;=0.5+Config!$B$6,"OVER",IF(AC64&gt;=0.5+Config!$B$6,"UNDER","—")))</f>
        <v>UNDER</v>
      </c>
      <c r="AE64" s="13" t="n">
        <f aca="false">IFERROR(Z64/G64,"")</f>
        <v>0.973617303286718</v>
      </c>
    </row>
    <row r="65" customFormat="false" ht="15" hidden="false" customHeight="false" outlineLevel="0" collapsed="false">
      <c r="A65" s="0" t="s">
        <v>775</v>
      </c>
      <c r="B65" s="0" t="s">
        <v>800</v>
      </c>
      <c r="C65" s="0" t="s">
        <v>964</v>
      </c>
      <c r="D65" s="0" t="s">
        <v>806</v>
      </c>
      <c r="E65" s="0" t="s">
        <v>893</v>
      </c>
      <c r="F65" s="0" t="n">
        <v>13</v>
      </c>
      <c r="G65" s="11" t="n">
        <f aca="false">IFERROR(INDEX(CHOOSE(MATCH($X65,{"K1","K2","K3","K12","K13","H1","H2","H3","H12","H13"},0),Calc!$V$2:$V$105,Calc!$AC$2:$AC$105,Calc!$AJ$2:$AJ$105,Calc!$AL$2:$AL$105,Calc!$AM$2:$AM$105,Calc!$W$2:$W$105,Calc!$AD$2:$AD$105,Calc!$AK$2:$AK$105,Calc!$AN$2:$AN$105,Calc!$AO$2:$AO$105),MATCH($W65,Calc!$A$2:$A$105,0)),"")</f>
        <v>13.5088214545455</v>
      </c>
      <c r="H65" s="11" t="n">
        <f aca="false">IF(G65="","",IF(LEFT($X65,1)="H",SQRT(G65*(IFERROR(INDEX(Calc!$AP$2:$AP$105,MATCH($W65,Calc!$A$2:$A$105,0)),0.5)*Config!$B$5+1-IFERROR(INDEX(Calc!$AP$2:$AP$105,MATCH($W65,Calc!$A$2:$A$105,0)),0.5))),SQRT(G65*Config!$B$5)))</f>
        <v>3.96173000211315</v>
      </c>
      <c r="I65" s="10" t="n">
        <f aca="false">IF(OR(F65="",G65="",N(H65)&lt;=0),"",1-NORMDIST(FLOOR(F65,1)+0.5,G65,H65,TRUE()))</f>
        <v>0.50088831098607</v>
      </c>
      <c r="J65" s="10" t="n">
        <f aca="false">IF(I65="","",NORMDIST(CEILING(F65,1)-0.5,G65,H65,TRUE()))</f>
        <v>0.399499944610048</v>
      </c>
      <c r="K65" s="10" t="n">
        <f aca="false">IF(I65="","",MAX(0,1-I65-J65))</f>
        <v>0.0996117444038819</v>
      </c>
      <c r="L65" s="0" t="str">
        <f aca="false">IF(I65="","",IF(I65&gt;=0.5+Config!$B$6,"OVER",IF(J65&gt;=0.5+Config!$B$6,"UNDER","—")))</f>
        <v>—</v>
      </c>
      <c r="N65" s="0" t="n">
        <v>13.4</v>
      </c>
      <c r="O65" s="10" t="n">
        <v>0.4</v>
      </c>
      <c r="P65" s="10" t="n">
        <v>0.5</v>
      </c>
      <c r="Q65" s="10" t="n">
        <v>0.47</v>
      </c>
      <c r="R65" s="9" t="s">
        <v>894</v>
      </c>
      <c r="S65" s="0" t="n">
        <v>2</v>
      </c>
      <c r="T65" s="0" t="str">
        <f aca="false">INDEX(Calc!$G$2:$G$105,MATCH($W65,Calc!$A$2:$A$105,0))&amp;" / "&amp;INDEX(Calc!$H$2:$H$105,MATCH($W65,Calc!$A$2:$A$105,0))</f>
        <v>Cache / Nuke</v>
      </c>
      <c r="U65" s="0" t="str">
        <f aca="false">TEXT(INDEX(Calc!$J$2:$J$105,MATCH($W65,Calc!$A$2:$A$105,0)),"0.0")&amp;" / "&amp;TEXT(INDEX(Calc!$K$2:$K$105,MATCH($W65,Calc!$A$2:$A$105,0)),"0.0")</f>
        <v>21.1 / 21.1</v>
      </c>
      <c r="V65" s="0" t="str">
        <f aca="false">IFERROR(INDEX(Calc!$AQ$2:$AQ$105,MATCH($W65,Calc!$A$2:$A$105,0)),"")</f>
        <v/>
      </c>
      <c r="W65" s="9" t="s">
        <v>965</v>
      </c>
      <c r="X65" s="9" t="s">
        <v>896</v>
      </c>
      <c r="Y65" s="0" t="str">
        <f aca="false">W65&amp;"|"&amp;X65</f>
        <v>wmdnx0gqjw734wn|CS2 · BBL vs BCG|H12</v>
      </c>
      <c r="Z65" s="11" t="n">
        <f aca="false">IFERROR(INDEX(CHOOSE(MATCH($X65,{"K1","K2","K3","K12","K13","H1","H2","H3","H12","H13"},0),Calc!$BA$2:$BA$105,Calc!$BB$2:$BB$105,Calc!$BC$2:$BC$105,Calc!$BD$2:$BD$105,Calc!$BE$2:$BE$105,Calc!$BF$2:$BF$105,Calc!$BG$2:$BG$105,Calc!$BH$2:$BH$105,Calc!$BI$2:$BI$105,Calc!$BJ$2:$BJ$105),MATCH($W65,Calc!$A$2:$A$105,0)),"")</f>
        <v>13.2025329465299</v>
      </c>
      <c r="AA65" s="11" t="n">
        <f aca="false">IF(Z65="","",IF(LEFT($X65,1)="H",SQRT(Z65*(IFERROR(INDEX(Calc!$AP$2:$AP$105,MATCH($W65,Calc!$A$2:$A$105,0)),0.5)*Config!$B$5+1-IFERROR(INDEX(Calc!$AP$2:$AP$105,MATCH($W65,Calc!$A$2:$A$105,0)),0.5))),SQRT(Z65*Config!$B$5)))</f>
        <v>3.91655990425498</v>
      </c>
      <c r="AB65" s="10" t="n">
        <f aca="false">IF(OR(F65="",Z65="",N(AA65)&lt;=0),"",1-NORMDIST(FLOOR(F65,1)+0.5,Z65,AA65,TRUE()))</f>
        <v>0.469728999069997</v>
      </c>
      <c r="AC65" s="10" t="n">
        <f aca="false">IF(AB65="","",NORMDIST(CEILING(F65,1)-0.5,Z65,AA65,TRUE()))</f>
        <v>0.428821628686893</v>
      </c>
      <c r="AD65" s="0" t="str">
        <f aca="false">IF(AB65="","",IF(AB65&gt;=0.5+Config!$B$6,"OVER",IF(AC65&gt;=0.5+Config!$B$6,"UNDER","—")))</f>
        <v>—</v>
      </c>
      <c r="AE65" s="13" t="n">
        <f aca="false">IFERROR(Z65/G65,"")</f>
        <v>0.977326777983843</v>
      </c>
    </row>
    <row r="66" customFormat="false" ht="15" hidden="false" customHeight="false" outlineLevel="0" collapsed="false">
      <c r="A66" s="0" t="s">
        <v>775</v>
      </c>
      <c r="B66" s="0" t="s">
        <v>800</v>
      </c>
      <c r="C66" s="0" t="s">
        <v>964</v>
      </c>
      <c r="D66" s="0" t="s">
        <v>806</v>
      </c>
      <c r="E66" s="0" t="s">
        <v>888</v>
      </c>
      <c r="F66" s="0" t="n">
        <v>32.5</v>
      </c>
      <c r="G66" s="11" t="n">
        <f aca="false">IFERROR(INDEX(CHOOSE(MATCH($X66,{"K1","K2","K3","K12","K13","H1","H2","H3","H12","H13"},0),Calc!$V$2:$V$105,Calc!$AC$2:$AC$105,Calc!$AJ$2:$AJ$105,Calc!$AL$2:$AL$105,Calc!$AM$2:$AM$105,Calc!$W$2:$W$105,Calc!$AD$2:$AD$105,Calc!$AK$2:$AK$105,Calc!$AN$2:$AN$105,Calc!$AO$2:$AO$105),MATCH($W66,Calc!$A$2:$A$105,0)),"")</f>
        <v>33.3848</v>
      </c>
      <c r="H66" s="11" t="n">
        <f aca="false">IF(G66="","",IF(LEFT($X66,1)="H",SQRT(G66*(IFERROR(INDEX(Calc!$AP$2:$AP$105,MATCH($W66,Calc!$A$2:$A$105,0)),0.5)*Config!$B$5+1-IFERROR(INDEX(Calc!$AP$2:$AP$105,MATCH($W66,Calc!$A$2:$A$105,0)),0.5))),SQRT(G66*Config!$B$5)))</f>
        <v>6.83657224053107</v>
      </c>
      <c r="I66" s="10" t="n">
        <f aca="false">IF(OR(F66="",G66="",N(H66)&lt;=0),"",1-NORMDIST(FLOOR(F66,1)+0.5,G66,H66,TRUE()))</f>
        <v>0.551487964635765</v>
      </c>
      <c r="J66" s="10" t="n">
        <f aca="false">IF(I66="","",NORMDIST(CEILING(F66,1)-0.5,G66,H66,TRUE()))</f>
        <v>0.448512035364235</v>
      </c>
      <c r="K66" s="10" t="n">
        <f aca="false">IF(I66="","",MAX(0,1-I66-J66))</f>
        <v>0</v>
      </c>
      <c r="L66" s="0" t="str">
        <f aca="false">IF(I66="","",IF(I66&gt;=0.5+Config!$B$6,"OVER",IF(J66&gt;=0.5+Config!$B$6,"UNDER","—")))</f>
        <v>OVER</v>
      </c>
      <c r="M66" s="0" t="n">
        <v>31.22</v>
      </c>
      <c r="N66" s="0" t="n">
        <v>32.4</v>
      </c>
      <c r="O66" s="10" t="n">
        <v>0.4</v>
      </c>
      <c r="P66" s="10" t="n">
        <v>0.4</v>
      </c>
      <c r="Q66" s="10" t="n">
        <v>0.4</v>
      </c>
      <c r="R66" s="9" t="s">
        <v>894</v>
      </c>
      <c r="S66" s="0" t="n">
        <v>-2</v>
      </c>
      <c r="T66" s="0" t="str">
        <f aca="false">INDEX(Calc!$G$2:$G$105,MATCH($W66,Calc!$A$2:$A$105,0))&amp;" / "&amp;INDEX(Calc!$H$2:$H$105,MATCH($W66,Calc!$A$2:$A$105,0))</f>
        <v>Cache / Nuke</v>
      </c>
      <c r="U66" s="0" t="str">
        <f aca="false">TEXT(INDEX(Calc!$J$2:$J$105,MATCH($W66,Calc!$A$2:$A$105,0)),"0.0")&amp;" / "&amp;TEXT(INDEX(Calc!$K$2:$K$105,MATCH($W66,Calc!$A$2:$A$105,0)),"0.0")</f>
        <v>21.1 / 21.1</v>
      </c>
      <c r="V66" s="0" t="str">
        <f aca="false">IFERROR(INDEX(Calc!$AQ$2:$AQ$105,MATCH($W66,Calc!$A$2:$A$105,0)),"")</f>
        <v/>
      </c>
      <c r="W66" s="9" t="s">
        <v>965</v>
      </c>
      <c r="X66" s="9" t="s">
        <v>891</v>
      </c>
      <c r="Y66" s="0" t="str">
        <f aca="false">W66&amp;"|"&amp;X66</f>
        <v>wmdnx0gqjw734wn|CS2 · BBL vs BCG|K12</v>
      </c>
      <c r="Z66" s="11" t="n">
        <f aca="false">IFERROR(INDEX(CHOOSE(MATCH($X66,{"K1","K2","K3","K12","K13","H1","H2","H3","H12","H13"},0),Calc!$BA$2:$BA$105,Calc!$BB$2:$BB$105,Calc!$BC$2:$BC$105,Calc!$BD$2:$BD$105,Calc!$BE$2:$BE$105,Calc!$BF$2:$BF$105,Calc!$BG$2:$BG$105,Calc!$BH$2:$BH$105,Calc!$BI$2:$BI$105,Calc!$BJ$2:$BJ$105),MATCH($W66,Calc!$A$2:$A$105,0)),"")</f>
        <v>32.5436858255886</v>
      </c>
      <c r="AA66" s="11" t="n">
        <f aca="false">IF(Z66="","",IF(LEFT($X66,1)="H",SQRT(Z66*(IFERROR(INDEX(Calc!$AP$2:$AP$105,MATCH($W66,Calc!$A$2:$A$105,0)),0.5)*Config!$B$5+1-IFERROR(INDEX(Calc!$AP$2:$AP$105,MATCH($W66,Calc!$A$2:$A$105,0)),0.5))),SQRT(Z66*Config!$B$5)))</f>
        <v>6.74990075155362</v>
      </c>
      <c r="AB66" s="10" t="n">
        <f aca="false">IF(OR(F66="",Z66="",N(AA66)&lt;=0),"",1-NORMDIST(FLOOR(F66,1)+0.5,Z66,AA66,TRUE()))</f>
        <v>0.502581964069278</v>
      </c>
      <c r="AC66" s="10" t="n">
        <f aca="false">IF(AB66="","",NORMDIST(CEILING(F66,1)-0.5,Z66,AA66,TRUE()))</f>
        <v>0.497418035930722</v>
      </c>
      <c r="AD66" s="0" t="str">
        <f aca="false">IF(AB66="","",IF(AB66&gt;=0.5+Config!$B$6,"OVER",IF(AC66&gt;=0.5+Config!$B$6,"UNDER","—")))</f>
        <v>—</v>
      </c>
      <c r="AE66" s="13" t="n">
        <f aca="false">IFERROR(Z66/G66,"")</f>
        <v>0.974805475114083</v>
      </c>
    </row>
    <row r="67" customFormat="false" ht="15" hidden="false" customHeight="false" outlineLevel="0" collapsed="false">
      <c r="A67" s="0" t="s">
        <v>775</v>
      </c>
      <c r="B67" s="0" t="s">
        <v>800</v>
      </c>
      <c r="C67" s="0" t="s">
        <v>966</v>
      </c>
      <c r="D67" s="0" t="s">
        <v>806</v>
      </c>
      <c r="E67" s="0" t="s">
        <v>893</v>
      </c>
      <c r="F67" s="0" t="n">
        <v>18.5</v>
      </c>
      <c r="G67" s="11" t="n">
        <f aca="false">IFERROR(INDEX(CHOOSE(MATCH($X67,{"K1","K2","K3","K12","K13","H1","H2","H3","H12","H13"},0),Calc!$V$2:$V$105,Calc!$AC$2:$AC$105,Calc!$AJ$2:$AJ$105,Calc!$AL$2:$AL$105,Calc!$AM$2:$AM$105,Calc!$W$2:$W$105,Calc!$AD$2:$AD$105,Calc!$AK$2:$AK$105,Calc!$AN$2:$AN$105,Calc!$AO$2:$AO$105),MATCH($W67,Calc!$A$2:$A$105,0)),"")</f>
        <v>20.6613328264463</v>
      </c>
      <c r="H67" s="11" t="n">
        <f aca="false">IF(G67="","",IF(LEFT($X67,1)="H",SQRT(G67*(IFERROR(INDEX(Calc!$AP$2:$AP$105,MATCH($W67,Calc!$A$2:$A$105,0)),0.5)*Config!$B$5+1-IFERROR(INDEX(Calc!$AP$2:$AP$105,MATCH($W67,Calc!$A$2:$A$105,0)),0.5))),SQRT(G67*Config!$B$5)))</f>
        <v>5.08643343197041</v>
      </c>
      <c r="I67" s="10" t="n">
        <f aca="false">IF(OR(F67="",G67="",N(H67)&lt;=0),"",1-NORMDIST(FLOOR(F67,1)+0.5,G67,H67,TRUE()))</f>
        <v>0.664552899257183</v>
      </c>
      <c r="J67" s="10" t="n">
        <f aca="false">IF(I67="","",NORMDIST(CEILING(F67,1)-0.5,G67,H67,TRUE()))</f>
        <v>0.335447100742817</v>
      </c>
      <c r="K67" s="10" t="n">
        <f aca="false">IF(I67="","",MAX(0,1-I67-J67))</f>
        <v>0</v>
      </c>
      <c r="L67" s="0" t="str">
        <f aca="false">IF(I67="","",IF(I67&gt;=0.5+Config!$B$6,"OVER",IF(J67&gt;=0.5+Config!$B$6,"UNDER","—")))</f>
        <v>OVER</v>
      </c>
      <c r="N67" s="0" t="n">
        <v>18.7</v>
      </c>
      <c r="O67" s="10" t="n">
        <v>0.2</v>
      </c>
      <c r="P67" s="10" t="n">
        <v>0.4</v>
      </c>
      <c r="Q67" s="10" t="n">
        <v>0.47</v>
      </c>
      <c r="R67" s="9" t="s">
        <v>894</v>
      </c>
      <c r="S67" s="0" t="n">
        <v>-4</v>
      </c>
      <c r="T67" s="0" t="str">
        <f aca="false">INDEX(Calc!$G$2:$G$105,MATCH($W67,Calc!$A$2:$A$105,0))&amp;" / "&amp;INDEX(Calc!$H$2:$H$105,MATCH($W67,Calc!$A$2:$A$105,0))</f>
        <v>Cache / Nuke</v>
      </c>
      <c r="U67" s="0" t="str">
        <f aca="false">TEXT(INDEX(Calc!$J$2:$J$105,MATCH($W67,Calc!$A$2:$A$105,0)),"0.0")&amp;" / "&amp;TEXT(INDEX(Calc!$K$2:$K$105,MATCH($W67,Calc!$A$2:$A$105,0)),"0.0")</f>
        <v>21.1 / 21.1</v>
      </c>
      <c r="V67" s="0" t="str">
        <f aca="false">IFERROR(INDEX(Calc!$AQ$2:$AQ$105,MATCH($W67,Calc!$A$2:$A$105,0)),"")</f>
        <v/>
      </c>
      <c r="W67" s="9" t="s">
        <v>967</v>
      </c>
      <c r="X67" s="9" t="s">
        <v>896</v>
      </c>
      <c r="Y67" s="0" t="str">
        <f aca="false">W67&amp;"|"&amp;X67</f>
        <v>5mlzxv2cg2u3emi|CS2 · BBL vs BCG|H12</v>
      </c>
      <c r="Z67" s="11" t="n">
        <f aca="false">IFERROR(INDEX(CHOOSE(MATCH($X67,{"K1","K2","K3","K12","K13","H1","H2","H3","H12","H13"},0),Calc!$BA$2:$BA$105,Calc!$BB$2:$BB$105,Calc!$BC$2:$BC$105,Calc!$BD$2:$BD$105,Calc!$BE$2:$BE$105,Calc!$BF$2:$BF$105,Calc!$BG$2:$BG$105,Calc!$BH$2:$BH$105,Calc!$BI$2:$BI$105,Calc!$BJ$2:$BJ$105),MATCH($W67,Calc!$A$2:$A$105,0)),"")</f>
        <v>20.1088124530066</v>
      </c>
      <c r="AA67" s="11" t="n">
        <f aca="false">IF(Z67="","",IF(LEFT($X67,1)="H",SQRT(Z67*(IFERROR(INDEX(Calc!$AP$2:$AP$105,MATCH($W67,Calc!$A$2:$A$105,0)),0.5)*Config!$B$5+1-IFERROR(INDEX(Calc!$AP$2:$AP$105,MATCH($W67,Calc!$A$2:$A$105,0)),0.5))),SQRT(Z67*Config!$B$5)))</f>
        <v>5.01796248433214</v>
      </c>
      <c r="AB67" s="10" t="n">
        <f aca="false">IF(OR(F67="",Z67="",N(AA67)&lt;=0),"",1-NORMDIST(FLOOR(F67,1)+0.5,Z67,AA67,TRUE()))</f>
        <v>0.625747285153712</v>
      </c>
      <c r="AC67" s="10" t="n">
        <f aca="false">IF(AB67="","",NORMDIST(CEILING(F67,1)-0.5,Z67,AA67,TRUE()))</f>
        <v>0.374252714846288</v>
      </c>
      <c r="AD67" s="0" t="str">
        <f aca="false">IF(AB67="","",IF(AB67&gt;=0.5+Config!$B$6,"OVER",IF(AC67&gt;=0.5+Config!$B$6,"UNDER","—")))</f>
        <v>OVER</v>
      </c>
      <c r="AE67" s="13" t="n">
        <f aca="false">IFERROR(Z67/G67,"")</f>
        <v>0.973258241465793</v>
      </c>
    </row>
    <row r="68" customFormat="false" ht="15" hidden="false" customHeight="false" outlineLevel="0" collapsed="false">
      <c r="A68" s="0" t="s">
        <v>775</v>
      </c>
      <c r="B68" s="0" t="s">
        <v>800</v>
      </c>
      <c r="C68" s="0" t="s">
        <v>966</v>
      </c>
      <c r="D68" s="0" t="s">
        <v>806</v>
      </c>
      <c r="E68" s="0" t="s">
        <v>888</v>
      </c>
      <c r="F68" s="0" t="n">
        <v>31.5</v>
      </c>
      <c r="G68" s="11" t="n">
        <f aca="false">IFERROR(INDEX(CHOOSE(MATCH($X68,{"K1","K2","K3","K12","K13","H1","H2","H3","H12","H13"},0),Calc!$V$2:$V$105,Calc!$AC$2:$AC$105,Calc!$AJ$2:$AJ$105,Calc!$AL$2:$AL$105,Calc!$AM$2:$AM$105,Calc!$W$2:$W$105,Calc!$AD$2:$AD$105,Calc!$AK$2:$AK$105,Calc!$AN$2:$AN$105,Calc!$AO$2:$AO$105),MATCH($W68,Calc!$A$2:$A$105,0)),"")</f>
        <v>32.7717454545455</v>
      </c>
      <c r="H68" s="11" t="n">
        <f aca="false">IF(G68="","",IF(LEFT($X68,1)="H",SQRT(G68*(IFERROR(INDEX(Calc!$AP$2:$AP$105,MATCH($W68,Calc!$A$2:$A$105,0)),0.5)*Config!$B$5+1-IFERROR(INDEX(Calc!$AP$2:$AP$105,MATCH($W68,Calc!$A$2:$A$105,0)),0.5))),SQRT(G68*Config!$B$5)))</f>
        <v>6.77351043672065</v>
      </c>
      <c r="I68" s="10" t="n">
        <f aca="false">IF(OR(F68="",G68="",N(H68)&lt;=0),"",1-NORMDIST(FLOOR(F68,1)+0.5,G68,H68,TRUE()))</f>
        <v>0.574464775562873</v>
      </c>
      <c r="J68" s="10" t="n">
        <f aca="false">IF(I68="","",NORMDIST(CEILING(F68,1)-0.5,G68,H68,TRUE()))</f>
        <v>0.425535224437127</v>
      </c>
      <c r="K68" s="10" t="n">
        <f aca="false">IF(I68="","",MAX(0,1-I68-J68))</f>
        <v>0</v>
      </c>
      <c r="L68" s="0" t="str">
        <f aca="false">IF(I68="","",IF(I68&gt;=0.5+Config!$B$6,"OVER",IF(J68&gt;=0.5+Config!$B$6,"UNDER","—")))</f>
        <v>OVER</v>
      </c>
      <c r="M68" s="0" t="n">
        <v>31.62</v>
      </c>
      <c r="N68" s="0" t="n">
        <v>33.4</v>
      </c>
      <c r="O68" s="10" t="n">
        <v>0.6</v>
      </c>
      <c r="P68" s="10" t="n">
        <v>0.6</v>
      </c>
      <c r="Q68" s="10" t="n">
        <v>0.47</v>
      </c>
      <c r="R68" s="9" t="s">
        <v>894</v>
      </c>
      <c r="S68" s="0" t="n">
        <v>-1</v>
      </c>
      <c r="T68" s="0" t="str">
        <f aca="false">INDEX(Calc!$G$2:$G$105,MATCH($W68,Calc!$A$2:$A$105,0))&amp;" / "&amp;INDEX(Calc!$H$2:$H$105,MATCH($W68,Calc!$A$2:$A$105,0))</f>
        <v>Cache / Nuke</v>
      </c>
      <c r="U68" s="0" t="str">
        <f aca="false">TEXT(INDEX(Calc!$J$2:$J$105,MATCH($W68,Calc!$A$2:$A$105,0)),"0.0")&amp;" / "&amp;TEXT(INDEX(Calc!$K$2:$K$105,MATCH($W68,Calc!$A$2:$A$105,0)),"0.0")</f>
        <v>21.1 / 21.1</v>
      </c>
      <c r="V68" s="0" t="str">
        <f aca="false">IFERROR(INDEX(Calc!$AQ$2:$AQ$105,MATCH($W68,Calc!$A$2:$A$105,0)),"")</f>
        <v/>
      </c>
      <c r="W68" s="9" t="s">
        <v>967</v>
      </c>
      <c r="X68" s="9" t="s">
        <v>891</v>
      </c>
      <c r="Y68" s="0" t="str">
        <f aca="false">W68&amp;"|"&amp;X68</f>
        <v>5mlzxv2cg2u3emi|CS2 · BBL vs BCG|K12</v>
      </c>
      <c r="Z68" s="11" t="n">
        <f aca="false">IFERROR(INDEX(CHOOSE(MATCH($X68,{"K1","K2","K3","K12","K13","H1","H2","H3","H12","H13"},0),Calc!$BA$2:$BA$105,Calc!$BB$2:$BB$105,Calc!$BC$2:$BC$105,Calc!$BD$2:$BD$105,Calc!$BE$2:$BE$105,Calc!$BF$2:$BF$105,Calc!$BG$2:$BG$105,Calc!$BH$2:$BH$105,Calc!$BI$2:$BI$105,Calc!$BJ$2:$BJ$105),MATCH($W68,Calc!$A$2:$A$105,0)),"")</f>
        <v>31.8772782527734</v>
      </c>
      <c r="AA68" s="11" t="n">
        <f aca="false">IF(Z68="","",IF(LEFT($X68,1)="H",SQRT(Z68*(IFERROR(INDEX(Calc!$AP$2:$AP$105,MATCH($W68,Calc!$A$2:$A$105,0)),0.5)*Config!$B$5+1-IFERROR(INDEX(Calc!$AP$2:$AP$105,MATCH($W68,Calc!$A$2:$A$105,0)),0.5))),SQRT(Z68*Config!$B$5)))</f>
        <v>6.68043333578615</v>
      </c>
      <c r="AB68" s="10" t="n">
        <f aca="false">IF(OR(F68="",Z68="",N(AA68)&lt;=0),"",1-NORMDIST(FLOOR(F68,1)+0.5,Z68,AA68,TRUE()))</f>
        <v>0.522518341092828</v>
      </c>
      <c r="AC68" s="10" t="n">
        <f aca="false">IF(AB68="","",NORMDIST(CEILING(F68,1)-0.5,Z68,AA68,TRUE()))</f>
        <v>0.477481658907172</v>
      </c>
      <c r="AD68" s="0" t="str">
        <f aca="false">IF(AB68="","",IF(AB68&gt;=0.5+Config!$B$6,"OVER",IF(AC68&gt;=0.5+Config!$B$6,"UNDER","—")))</f>
        <v>—</v>
      </c>
      <c r="AE68" s="13" t="n">
        <f aca="false">IFERROR(Z68/G68,"")</f>
        <v>0.972706147037159</v>
      </c>
    </row>
    <row r="69" customFormat="false" ht="15" hidden="false" customHeight="false" outlineLevel="0" collapsed="false">
      <c r="A69" s="0" t="s">
        <v>775</v>
      </c>
      <c r="B69" s="0" t="s">
        <v>843</v>
      </c>
      <c r="C69" s="0" t="s">
        <v>968</v>
      </c>
      <c r="D69" s="0" t="s">
        <v>848</v>
      </c>
      <c r="E69" s="0" t="s">
        <v>893</v>
      </c>
      <c r="F69" s="0" t="n">
        <v>15.5</v>
      </c>
      <c r="G69" s="11" t="n">
        <f aca="false">IFERROR(INDEX(CHOOSE(MATCH($X69,{"K1","K2","K3","K12","K13","H1","H2","H3","H12","H13"},0),Calc!$V$2:$V$105,Calc!$AC$2:$AC$105,Calc!$AJ$2:$AJ$105,Calc!$AL$2:$AL$105,Calc!$AM$2:$AM$105,Calc!$W$2:$W$105,Calc!$AD$2:$AD$105,Calc!$AK$2:$AK$105,Calc!$AN$2:$AN$105,Calc!$AO$2:$AO$105),MATCH($W69,Calc!$A$2:$A$105,0)),"")</f>
        <v>17.0762197222222</v>
      </c>
      <c r="H69" s="11" t="n">
        <f aca="false">IF(G69="","",IF(LEFT($X69,1)="H",SQRT(G69*(IFERROR(INDEX(Calc!$AP$2:$AP$105,MATCH($W69,Calc!$A$2:$A$105,0)),0.5)*Config!$B$5+1-IFERROR(INDEX(Calc!$AP$2:$AP$105,MATCH($W69,Calc!$A$2:$A$105,0)),0.5))),SQRT(G69*Config!$B$5)))</f>
        <v>4.55341271662452</v>
      </c>
      <c r="I69" s="10" t="n">
        <f aca="false">IF(OR(F69="",G69="",N(H69)&lt;=0),"",1-NORMDIST(FLOOR(F69,1)+0.5,G69,H69,TRUE()))</f>
        <v>0.635389619288437</v>
      </c>
      <c r="J69" s="10" t="n">
        <f aca="false">IF(I69="","",NORMDIST(CEILING(F69,1)-0.5,G69,H69,TRUE()))</f>
        <v>0.364610380711563</v>
      </c>
      <c r="K69" s="10" t="n">
        <f aca="false">IF(I69="","",MAX(0,1-I69-J69))</f>
        <v>0</v>
      </c>
      <c r="L69" s="0" t="str">
        <f aca="false">IF(I69="","",IF(I69&gt;=0.5+Config!$B$6,"OVER",IF(J69&gt;=0.5+Config!$B$6,"UNDER","—")))</f>
        <v>OVER</v>
      </c>
      <c r="N69" s="0" t="n">
        <v>16.2</v>
      </c>
      <c r="O69" s="10" t="n">
        <v>0.2</v>
      </c>
      <c r="P69" s="10" t="n">
        <v>0.6</v>
      </c>
      <c r="Q69" s="10" t="n">
        <v>0.53</v>
      </c>
      <c r="R69" s="9" t="s">
        <v>894</v>
      </c>
      <c r="S69" s="0" t="n">
        <v>-3</v>
      </c>
      <c r="T69" s="0" t="str">
        <f aca="false">INDEX(Calc!$G$2:$G$105,MATCH($W69,Calc!$A$2:$A$105,0))&amp;" / "&amp;INDEX(Calc!$H$2:$H$105,MATCH($W69,Calc!$A$2:$A$105,0))</f>
        <v>Inferno / Dust2</v>
      </c>
      <c r="U69" s="0" t="str">
        <f aca="false">TEXT(INDEX(Calc!$J$2:$J$105,MATCH($W69,Calc!$A$2:$A$105,0)),"0.0")&amp;" / "&amp;TEXT(INDEX(Calc!$K$2:$K$105,MATCH($W69,Calc!$A$2:$A$105,0)),"0.0")</f>
        <v>21.5 / 21.5</v>
      </c>
      <c r="V69" s="0" t="str">
        <f aca="false">IFERROR(INDEX(Calc!$AQ$2:$AQ$105,MATCH($W69,Calc!$A$2:$A$105,0)),"")</f>
        <v/>
      </c>
      <c r="W69" s="9" t="s">
        <v>969</v>
      </c>
      <c r="X69" s="9" t="s">
        <v>896</v>
      </c>
      <c r="Y69" s="0" t="str">
        <f aca="false">W69&amp;"|"&amp;X69</f>
        <v>8trkhn8eds1uu4p|CS2 · BIG vs MGLZ|H12</v>
      </c>
      <c r="Z69" s="11" t="n">
        <f aca="false">IFERROR(INDEX(CHOOSE(MATCH($X69,{"K1","K2","K3","K12","K13","H1","H2","H3","H12","H13"},0),Calc!$BA$2:$BA$105,Calc!$BB$2:$BB$105,Calc!$BC$2:$BC$105,Calc!$BD$2:$BD$105,Calc!$BE$2:$BE$105,Calc!$BF$2:$BF$105,Calc!$BG$2:$BG$105,Calc!$BH$2:$BH$105,Calc!$BI$2:$BI$105,Calc!$BJ$2:$BJ$105),MATCH($W69,Calc!$A$2:$A$105,0)),"")</f>
        <v>16.7562879843147</v>
      </c>
      <c r="AA69" s="11" t="n">
        <f aca="false">IF(Z69="","",IF(LEFT($X69,1)="H",SQRT(Z69*(IFERROR(INDEX(Calc!$AP$2:$AP$105,MATCH($W69,Calc!$A$2:$A$105,0)),0.5)*Config!$B$5+1-IFERROR(INDEX(Calc!$AP$2:$AP$105,MATCH($W69,Calc!$A$2:$A$105,0)),0.5))),SQRT(Z69*Config!$B$5)))</f>
        <v>4.51055576901208</v>
      </c>
      <c r="AB69" s="10" t="n">
        <f aca="false">IF(OR(F69="",Z69="",N(AA69)&lt;=0),"",1-NORMDIST(FLOOR(F69,1)+0.5,Z69,AA69,TRUE()))</f>
        <v>0.6096940727305</v>
      </c>
      <c r="AC69" s="10" t="n">
        <f aca="false">IF(AB69="","",NORMDIST(CEILING(F69,1)-0.5,Z69,AA69,TRUE()))</f>
        <v>0.3903059272695</v>
      </c>
      <c r="AD69" s="0" t="str">
        <f aca="false">IF(AB69="","",IF(AB69&gt;=0.5+Config!$B$6,"OVER",IF(AC69&gt;=0.5+Config!$B$6,"UNDER","—")))</f>
        <v>OVER</v>
      </c>
      <c r="AE69" s="13" t="n">
        <f aca="false">IFERROR(Z69/G69,"")</f>
        <v>0.981264486923231</v>
      </c>
    </row>
    <row r="70" customFormat="false" ht="15" hidden="false" customHeight="false" outlineLevel="0" collapsed="false">
      <c r="A70" s="0" t="s">
        <v>775</v>
      </c>
      <c r="B70" s="0" t="s">
        <v>843</v>
      </c>
      <c r="C70" s="0" t="s">
        <v>968</v>
      </c>
      <c r="D70" s="0" t="s">
        <v>848</v>
      </c>
      <c r="E70" s="0" t="s">
        <v>888</v>
      </c>
      <c r="F70" s="0" t="n">
        <v>32.5</v>
      </c>
      <c r="G70" s="11" t="n">
        <f aca="false">IFERROR(INDEX(CHOOSE(MATCH($X70,{"K1","K2","K3","K12","K13","H1","H2","H3","H12","H13"},0),Calc!$V$2:$V$105,Calc!$AC$2:$AC$105,Calc!$AJ$2:$AJ$105,Calc!$AL$2:$AL$105,Calc!$AM$2:$AM$105,Calc!$W$2:$W$105,Calc!$AD$2:$AD$105,Calc!$AK$2:$AK$105,Calc!$AN$2:$AN$105,Calc!$AO$2:$AO$105),MATCH($W70,Calc!$A$2:$A$105,0)),"")</f>
        <v>31.8916666666667</v>
      </c>
      <c r="H70" s="11" t="n">
        <f aca="false">IF(G70="","",IF(LEFT($X70,1)="H",SQRT(G70*(IFERROR(INDEX(Calc!$AP$2:$AP$105,MATCH($W70,Calc!$A$2:$A$105,0)),0.5)*Config!$B$5+1-IFERROR(INDEX(Calc!$AP$2:$AP$105,MATCH($W70,Calc!$A$2:$A$105,0)),0.5))),SQRT(G70*Config!$B$5)))</f>
        <v>6.6819408358151</v>
      </c>
      <c r="I70" s="10" t="n">
        <f aca="false">IF(OR(F70="",G70="",N(H70)&lt;=0),"",1-NORMDIST(FLOOR(F70,1)+0.5,G70,H70,TRUE()))</f>
        <v>0.463729842543988</v>
      </c>
      <c r="J70" s="10" t="n">
        <f aca="false">IF(I70="","",NORMDIST(CEILING(F70,1)-0.5,G70,H70,TRUE()))</f>
        <v>0.536270157456012</v>
      </c>
      <c r="K70" s="10" t="n">
        <f aca="false">IF(I70="","",MAX(0,1-I70-J70))</f>
        <v>0</v>
      </c>
      <c r="L70" s="0" t="str">
        <f aca="false">IF(I70="","",IF(I70&gt;=0.5+Config!$B$6,"OVER",IF(J70&gt;=0.5+Config!$B$6,"UNDER","—")))</f>
        <v>—</v>
      </c>
      <c r="N70" s="0" t="n">
        <v>34.1</v>
      </c>
      <c r="O70" s="10" t="n">
        <v>0.6</v>
      </c>
      <c r="P70" s="10" t="n">
        <v>0.7</v>
      </c>
      <c r="Q70" s="10" t="n">
        <v>0.53</v>
      </c>
      <c r="R70" s="9" t="s">
        <v>894</v>
      </c>
      <c r="S70" s="0" t="n">
        <v>1</v>
      </c>
      <c r="T70" s="0" t="str">
        <f aca="false">INDEX(Calc!$G$2:$G$105,MATCH($W70,Calc!$A$2:$A$105,0))&amp;" / "&amp;INDEX(Calc!$H$2:$H$105,MATCH($W70,Calc!$A$2:$A$105,0))</f>
        <v>Inferno / Dust2</v>
      </c>
      <c r="U70" s="0" t="str">
        <f aca="false">TEXT(INDEX(Calc!$J$2:$J$105,MATCH($W70,Calc!$A$2:$A$105,0)),"0.0")&amp;" / "&amp;TEXT(INDEX(Calc!$K$2:$K$105,MATCH($W70,Calc!$A$2:$A$105,0)),"0.0")</f>
        <v>21.5 / 21.5</v>
      </c>
      <c r="V70" s="0" t="str">
        <f aca="false">IFERROR(INDEX(Calc!$AQ$2:$AQ$105,MATCH($W70,Calc!$A$2:$A$105,0)),"")</f>
        <v/>
      </c>
      <c r="W70" s="9" t="s">
        <v>969</v>
      </c>
      <c r="X70" s="9" t="s">
        <v>891</v>
      </c>
      <c r="Y70" s="0" t="str">
        <f aca="false">W70&amp;"|"&amp;X70</f>
        <v>8trkhn8eds1uu4p|CS2 · BIG vs MGLZ|K12</v>
      </c>
      <c r="Z70" s="11" t="n">
        <f aca="false">IFERROR(INDEX(CHOOSE(MATCH($X70,{"K1","K2","K3","K12","K13","H1","H2","H3","H12","H13"},0),Calc!$BA$2:$BA$105,Calc!$BB$2:$BB$105,Calc!$BC$2:$BC$105,Calc!$BD$2:$BD$105,Calc!$BE$2:$BE$105,Calc!$BF$2:$BF$105,Calc!$BG$2:$BG$105,Calc!$BH$2:$BH$105,Calc!$BI$2:$BI$105,Calc!$BJ$2:$BJ$105),MATCH($W70,Calc!$A$2:$A$105,0)),"")</f>
        <v>31.2431349260755</v>
      </c>
      <c r="AA70" s="11" t="n">
        <f aca="false">IF(Z70="","",IF(LEFT($X70,1)="H",SQRT(Z70*(IFERROR(INDEX(Calc!$AP$2:$AP$105,MATCH($W70,Calc!$A$2:$A$105,0)),0.5)*Config!$B$5+1-IFERROR(INDEX(Calc!$AP$2:$AP$105,MATCH($W70,Calc!$A$2:$A$105,0)),0.5))),SQRT(Z70*Config!$B$5)))</f>
        <v>6.61365170662212</v>
      </c>
      <c r="AB70" s="10" t="n">
        <f aca="false">IF(OR(F70="",Z70="",N(AA70)&lt;=0),"",1-NORMDIST(FLOOR(F70,1)+0.5,Z70,AA70,TRUE()))</f>
        <v>0.424638495954401</v>
      </c>
      <c r="AC70" s="10" t="n">
        <f aca="false">IF(AB70="","",NORMDIST(CEILING(F70,1)-0.5,Z70,AA70,TRUE()))</f>
        <v>0.575361504045599</v>
      </c>
      <c r="AD70" s="0" t="str">
        <f aca="false">IF(AB70="","",IF(AB70&gt;=0.5+Config!$B$6,"OVER",IF(AC70&gt;=0.5+Config!$B$6,"UNDER","—")))</f>
        <v>UNDER</v>
      </c>
      <c r="AE70" s="13" t="n">
        <f aca="false">IFERROR(Z70/G70,"")</f>
        <v>0.979664539098265</v>
      </c>
    </row>
    <row r="71" customFormat="false" ht="15" hidden="false" customHeight="false" outlineLevel="0" collapsed="false">
      <c r="A71" s="0" t="s">
        <v>775</v>
      </c>
      <c r="B71" s="0" t="s">
        <v>843</v>
      </c>
      <c r="C71" s="0" t="s">
        <v>970</v>
      </c>
      <c r="D71" s="0" t="s">
        <v>848</v>
      </c>
      <c r="E71" s="0" t="s">
        <v>893</v>
      </c>
      <c r="F71" s="0" t="n">
        <v>15.5</v>
      </c>
      <c r="G71" s="11" t="n">
        <f aca="false">IFERROR(INDEX(CHOOSE(MATCH($X71,{"K1","K2","K3","K12","K13","H1","H2","H3","H12","H13"},0),Calc!$V$2:$V$105,Calc!$AC$2:$AC$105,Calc!$AJ$2:$AJ$105,Calc!$AL$2:$AL$105,Calc!$AM$2:$AM$105,Calc!$W$2:$W$105,Calc!$AD$2:$AD$105,Calc!$AK$2:$AK$105,Calc!$AN$2:$AN$105,Calc!$AO$2:$AO$105),MATCH($W71,Calc!$A$2:$A$105,0)),"")</f>
        <v>16.1767060069444</v>
      </c>
      <c r="H71" s="11" t="n">
        <f aca="false">IF(G71="","",IF(LEFT($X71,1)="H",SQRT(G71*(IFERROR(INDEX(Calc!$AP$2:$AP$105,MATCH($W71,Calc!$A$2:$A$105,0)),0.5)*Config!$B$5+1-IFERROR(INDEX(Calc!$AP$2:$AP$105,MATCH($W71,Calc!$A$2:$A$105,0)),0.5))),SQRT(G71*Config!$B$5)))</f>
        <v>4.47187793670373</v>
      </c>
      <c r="I71" s="10" t="n">
        <f aca="false">IF(OR(F71="",G71="",N(H71)&lt;=0),"",1-NORMDIST(FLOOR(F71,1)+0.5,G71,H71,TRUE()))</f>
        <v>0.560140244091147</v>
      </c>
      <c r="J71" s="10" t="n">
        <f aca="false">IF(I71="","",NORMDIST(CEILING(F71,1)-0.5,G71,H71,TRUE()))</f>
        <v>0.439859755908853</v>
      </c>
      <c r="K71" s="10" t="n">
        <f aca="false">IF(I71="","",MAX(0,1-I71-J71))</f>
        <v>0</v>
      </c>
      <c r="L71" s="0" t="str">
        <f aca="false">IF(I71="","",IF(I71&gt;=0.5+Config!$B$6,"OVER",IF(J71&gt;=0.5+Config!$B$6,"UNDER","—")))</f>
        <v>OVER</v>
      </c>
      <c r="N71" s="0" t="n">
        <v>17.8</v>
      </c>
      <c r="O71" s="10" t="n">
        <v>0.8</v>
      </c>
      <c r="P71" s="10" t="n">
        <v>0.7</v>
      </c>
      <c r="Q71" s="10" t="n">
        <v>0.67</v>
      </c>
      <c r="R71" s="9" t="s">
        <v>971</v>
      </c>
      <c r="S71" s="0" t="n">
        <v>2</v>
      </c>
      <c r="T71" s="0" t="str">
        <f aca="false">INDEX(Calc!$G$2:$G$105,MATCH($W71,Calc!$A$2:$A$105,0))&amp;" / "&amp;INDEX(Calc!$H$2:$H$105,MATCH($W71,Calc!$A$2:$A$105,0))</f>
        <v>Inferno / Dust2</v>
      </c>
      <c r="U71" s="0" t="str">
        <f aca="false">TEXT(INDEX(Calc!$J$2:$J$105,MATCH($W71,Calc!$A$2:$A$105,0)),"0.0")&amp;" / "&amp;TEXT(INDEX(Calc!$K$2:$K$105,MATCH($W71,Calc!$A$2:$A$105,0)),"0.0")</f>
        <v>21.5 / 21.5</v>
      </c>
      <c r="V71" s="0" t="str">
        <f aca="false">IFERROR(INDEX(Calc!$AQ$2:$AQ$105,MATCH($W71,Calc!$A$2:$A$105,0)),"")</f>
        <v/>
      </c>
      <c r="W71" s="9" t="s">
        <v>972</v>
      </c>
      <c r="X71" s="9" t="s">
        <v>896</v>
      </c>
      <c r="Y71" s="0" t="str">
        <f aca="false">W71&amp;"|"&amp;X71</f>
        <v>8aq8zm8lnarakek|CS2 · BIG vs MGLZ|H12</v>
      </c>
      <c r="Z71" s="11" t="n">
        <f aca="false">IFERROR(INDEX(CHOOSE(MATCH($X71,{"K1","K2","K3","K12","K13","H1","H2","H3","H12","H13"},0),Calc!$BA$2:$BA$105,Calc!$BB$2:$BB$105,Calc!$BC$2:$BC$105,Calc!$BD$2:$BD$105,Calc!$BE$2:$BE$105,Calc!$BF$2:$BF$105,Calc!$BG$2:$BG$105,Calc!$BH$2:$BH$105,Calc!$BI$2:$BI$105,Calc!$BJ$2:$BJ$105),MATCH($W71,Calc!$A$2:$A$105,0)),"")</f>
        <v>15.813637310422</v>
      </c>
      <c r="AA71" s="11" t="n">
        <f aca="false">IF(Z71="","",IF(LEFT($X71,1)="H",SQRT(Z71*(IFERROR(INDEX(Calc!$AP$2:$AP$105,MATCH($W71,Calc!$A$2:$A$105,0)),0.5)*Config!$B$5+1-IFERROR(INDEX(Calc!$AP$2:$AP$105,MATCH($W71,Calc!$A$2:$A$105,0)),0.5))),SQRT(Z71*Config!$B$5)))</f>
        <v>4.42140991921793</v>
      </c>
      <c r="AB71" s="10" t="n">
        <f aca="false">IF(OR(F71="",Z71="",N(AA71)&lt;=0),"",1-NORMDIST(FLOOR(F71,1)+0.5,Z71,AA71,TRUE()))</f>
        <v>0.528275670039048</v>
      </c>
      <c r="AC71" s="10" t="n">
        <f aca="false">IF(AB71="","",NORMDIST(CEILING(F71,1)-0.5,Z71,AA71,TRUE()))</f>
        <v>0.471724329960952</v>
      </c>
      <c r="AD71" s="0" t="str">
        <f aca="false">IF(AB71="","",IF(AB71&gt;=0.5+Config!$B$6,"OVER",IF(AC71&gt;=0.5+Config!$B$6,"UNDER","—")))</f>
        <v>—</v>
      </c>
      <c r="AE71" s="13" t="n">
        <f aca="false">IFERROR(Z71/G71,"")</f>
        <v>0.977556079935766</v>
      </c>
    </row>
    <row r="72" customFormat="false" ht="15" hidden="false" customHeight="false" outlineLevel="0" collapsed="false">
      <c r="A72" s="0" t="s">
        <v>775</v>
      </c>
      <c r="B72" s="0" t="s">
        <v>843</v>
      </c>
      <c r="C72" s="0" t="s">
        <v>970</v>
      </c>
      <c r="D72" s="0" t="s">
        <v>848</v>
      </c>
      <c r="E72" s="0" t="s">
        <v>888</v>
      </c>
      <c r="F72" s="0" t="n">
        <v>27.5</v>
      </c>
      <c r="G72" s="11" t="n">
        <f aca="false">IFERROR(INDEX(CHOOSE(MATCH($X72,{"K1","K2","K3","K12","K13","H1","H2","H3","H12","H13"},0),Calc!$V$2:$V$105,Calc!$AC$2:$AC$105,Calc!$AJ$2:$AJ$105,Calc!$AL$2:$AL$105,Calc!$AM$2:$AM$105,Calc!$W$2:$W$105,Calc!$AD$2:$AD$105,Calc!$AK$2:$AK$105,Calc!$AN$2:$AN$105,Calc!$AO$2:$AO$105),MATCH($W72,Calc!$A$2:$A$105,0)),"")</f>
        <v>27.3945833333333</v>
      </c>
      <c r="H72" s="11" t="n">
        <f aca="false">IF(G72="","",IF(LEFT($X72,1)="H",SQRT(G72*(IFERROR(INDEX(Calc!$AP$2:$AP$105,MATCH($W72,Calc!$A$2:$A$105,0)),0.5)*Config!$B$5+1-IFERROR(INDEX(Calc!$AP$2:$AP$105,MATCH($W72,Calc!$A$2:$A$105,0)),0.5))),SQRT(G72*Config!$B$5)))</f>
        <v>6.19293280010906</v>
      </c>
      <c r="I72" s="10" t="n">
        <f aca="false">IF(OR(F72="",G72="",N(H72)&lt;=0),"",1-NORMDIST(FLOOR(F72,1)+0.5,G72,H72,TRUE()))</f>
        <v>0.493209496063854</v>
      </c>
      <c r="J72" s="10" t="n">
        <f aca="false">IF(I72="","",NORMDIST(CEILING(F72,1)-0.5,G72,H72,TRUE()))</f>
        <v>0.506790503936146</v>
      </c>
      <c r="K72" s="10" t="n">
        <f aca="false">IF(I72="","",MAX(0,1-I72-J72))</f>
        <v>0</v>
      </c>
      <c r="L72" s="0" t="str">
        <f aca="false">IF(I72="","",IF(I72&gt;=0.5+Config!$B$6,"OVER",IF(J72&gt;=0.5+Config!$B$6,"UNDER","—")))</f>
        <v>—</v>
      </c>
      <c r="N72" s="0" t="n">
        <v>30.5</v>
      </c>
      <c r="O72" s="10" t="n">
        <v>0.6</v>
      </c>
      <c r="P72" s="10" t="n">
        <v>0.6</v>
      </c>
      <c r="Q72" s="10" t="n">
        <v>0.47</v>
      </c>
      <c r="R72" s="9" t="s">
        <v>971</v>
      </c>
      <c r="S72" s="0" t="n">
        <v>2</v>
      </c>
      <c r="T72" s="0" t="str">
        <f aca="false">INDEX(Calc!$G$2:$G$105,MATCH($W72,Calc!$A$2:$A$105,0))&amp;" / "&amp;INDEX(Calc!$H$2:$H$105,MATCH($W72,Calc!$A$2:$A$105,0))</f>
        <v>Inferno / Dust2</v>
      </c>
      <c r="U72" s="0" t="str">
        <f aca="false">TEXT(INDEX(Calc!$J$2:$J$105,MATCH($W72,Calc!$A$2:$A$105,0)),"0.0")&amp;" / "&amp;TEXT(INDEX(Calc!$K$2:$K$105,MATCH($W72,Calc!$A$2:$A$105,0)),"0.0")</f>
        <v>21.5 / 21.5</v>
      </c>
      <c r="V72" s="0" t="str">
        <f aca="false">IFERROR(INDEX(Calc!$AQ$2:$AQ$105,MATCH($W72,Calc!$A$2:$A$105,0)),"")</f>
        <v/>
      </c>
      <c r="W72" s="9" t="s">
        <v>972</v>
      </c>
      <c r="X72" s="9" t="s">
        <v>891</v>
      </c>
      <c r="Y72" s="0" t="str">
        <f aca="false">W72&amp;"|"&amp;X72</f>
        <v>8aq8zm8lnarakek|CS2 · BIG vs MGLZ|K12</v>
      </c>
      <c r="Z72" s="11" t="n">
        <f aca="false">IFERROR(INDEX(CHOOSE(MATCH($X72,{"K1","K2","K3","K12","K13","H1","H2","H3","H12","H13"},0),Calc!$BA$2:$BA$105,Calc!$BB$2:$BB$105,Calc!$BC$2:$BC$105,Calc!$BD$2:$BD$105,Calc!$BE$2:$BE$105,Calc!$BF$2:$BF$105,Calc!$BG$2:$BG$105,Calc!$BH$2:$BH$105,Calc!$BI$2:$BI$105,Calc!$BJ$2:$BJ$105),MATCH($W72,Calc!$A$2:$A$105,0)),"")</f>
        <v>26.7714686075046</v>
      </c>
      <c r="AA72" s="11" t="n">
        <f aca="false">IF(Z72="","",IF(LEFT($X72,1)="H",SQRT(Z72*(IFERROR(INDEX(Calc!$AP$2:$AP$105,MATCH($W72,Calc!$A$2:$A$105,0)),0.5)*Config!$B$5+1-IFERROR(INDEX(Calc!$AP$2:$AP$105,MATCH($W72,Calc!$A$2:$A$105,0)),0.5))),SQRT(Z72*Config!$B$5)))</f>
        <v>6.12209572372945</v>
      </c>
      <c r="AB72" s="10" t="n">
        <f aca="false">IF(OR(F72="",Z72="",N(AA72)&lt;=0),"",1-NORMDIST(FLOOR(F72,1)+0.5,Z72,AA72,TRUE()))</f>
        <v>0.452637548393077</v>
      </c>
      <c r="AC72" s="10" t="n">
        <f aca="false">IF(AB72="","",NORMDIST(CEILING(F72,1)-0.5,Z72,AA72,TRUE()))</f>
        <v>0.547362451606923</v>
      </c>
      <c r="AD72" s="0" t="str">
        <f aca="false">IF(AB72="","",IF(AB72&gt;=0.5+Config!$B$6,"OVER",IF(AC72&gt;=0.5+Config!$B$6,"UNDER","—")))</f>
        <v>UNDER</v>
      </c>
      <c r="AE72" s="13" t="n">
        <f aca="false">IFERROR(Z72/G72,"")</f>
        <v>0.9772540900423</v>
      </c>
    </row>
    <row r="73" customFormat="false" ht="15" hidden="false" customHeight="false" outlineLevel="0" collapsed="false">
      <c r="A73" s="0" t="s">
        <v>775</v>
      </c>
      <c r="B73" s="0" t="s">
        <v>843</v>
      </c>
      <c r="C73" s="0" t="s">
        <v>973</v>
      </c>
      <c r="D73" s="0" t="s">
        <v>848</v>
      </c>
      <c r="E73" s="0" t="s">
        <v>888</v>
      </c>
      <c r="F73" s="0" t="n">
        <v>30.5</v>
      </c>
      <c r="G73" s="11" t="n">
        <f aca="false">IFERROR(INDEX(CHOOSE(MATCH($X73,{"K1","K2","K3","K12","K13","H1","H2","H3","H12","H13"},0),Calc!$V$2:$V$105,Calc!$AC$2:$AC$105,Calc!$AJ$2:$AJ$105,Calc!$AL$2:$AL$105,Calc!$AM$2:$AM$105,Calc!$W$2:$W$105,Calc!$AD$2:$AD$105,Calc!$AK$2:$AK$105,Calc!$AN$2:$AN$105,Calc!$AO$2:$AO$105),MATCH($W73,Calc!$A$2:$A$105,0)),"")</f>
        <v>32.008125</v>
      </c>
      <c r="H73" s="11" t="n">
        <f aca="false">IF(G73="","",IF(LEFT($X73,1)="H",SQRT(G73*(IFERROR(INDEX(Calc!$AP$2:$AP$105,MATCH($W73,Calc!$A$2:$A$105,0)),0.5)*Config!$B$5+1-IFERROR(INDEX(Calc!$AP$2:$AP$105,MATCH($W73,Calc!$A$2:$A$105,0)),0.5))),SQRT(G73*Config!$B$5)))</f>
        <v>6.69412989118078</v>
      </c>
      <c r="I73" s="10" t="n">
        <f aca="false">IF(OR(F73="",G73="",N(H73)&lt;=0),"",1-NORMDIST(FLOOR(F73,1)+0.5,G73,H73,TRUE()))</f>
        <v>0.589123420829591</v>
      </c>
      <c r="J73" s="10" t="n">
        <f aca="false">IF(I73="","",NORMDIST(CEILING(F73,1)-0.5,G73,H73,TRUE()))</f>
        <v>0.410876579170409</v>
      </c>
      <c r="K73" s="10" t="n">
        <f aca="false">IF(I73="","",MAX(0,1-I73-J73))</f>
        <v>0</v>
      </c>
      <c r="L73" s="0" t="str">
        <f aca="false">IF(I73="","",IF(I73&gt;=0.5+Config!$B$6,"OVER",IF(J73&gt;=0.5+Config!$B$6,"UNDER","—")))</f>
        <v>OVER</v>
      </c>
      <c r="N73" s="0" t="n">
        <v>29.4</v>
      </c>
      <c r="O73" s="10" t="n">
        <v>0.2</v>
      </c>
      <c r="P73" s="10" t="n">
        <v>0.4</v>
      </c>
      <c r="Q73" s="10" t="n">
        <v>0.47</v>
      </c>
      <c r="R73" s="9" t="s">
        <v>907</v>
      </c>
      <c r="S73" s="0" t="n">
        <v>1</v>
      </c>
      <c r="T73" s="0" t="str">
        <f aca="false">INDEX(Calc!$G$2:$G$105,MATCH($W73,Calc!$A$2:$A$105,0))&amp;" / "&amp;INDEX(Calc!$H$2:$H$105,MATCH($W73,Calc!$A$2:$A$105,0))</f>
        <v>Inferno / Dust2</v>
      </c>
      <c r="U73" s="0" t="str">
        <f aca="false">TEXT(INDEX(Calc!$J$2:$J$105,MATCH($W73,Calc!$A$2:$A$105,0)),"0.0")&amp;" / "&amp;TEXT(INDEX(Calc!$K$2:$K$105,MATCH($W73,Calc!$A$2:$A$105,0)),"0.0")</f>
        <v>21.5 / 21.5</v>
      </c>
      <c r="V73" s="0" t="str">
        <f aca="false">IFERROR(INDEX(Calc!$AQ$2:$AQ$105,MATCH($W73,Calc!$A$2:$A$105,0)),"")</f>
        <v/>
      </c>
      <c r="W73" s="9" t="s">
        <v>974</v>
      </c>
      <c r="X73" s="9" t="s">
        <v>891</v>
      </c>
      <c r="Y73" s="0" t="str">
        <f aca="false">W73&amp;"|"&amp;X73</f>
        <v>3m04868n6ftaamy|CS2 · BIG vs MGLZ|K12</v>
      </c>
      <c r="Z73" s="11" t="n">
        <f aca="false">IFERROR(INDEX(CHOOSE(MATCH($X73,{"K1","K2","K3","K12","K13","H1","H2","H3","H12","H13"},0),Calc!$BA$2:$BA$105,Calc!$BB$2:$BB$105,Calc!$BC$2:$BC$105,Calc!$BD$2:$BD$105,Calc!$BE$2:$BE$105,Calc!$BF$2:$BF$105,Calc!$BG$2:$BG$105,Calc!$BH$2:$BH$105,Calc!$BI$2:$BI$105,Calc!$BJ$2:$BJ$105),MATCH($W73,Calc!$A$2:$A$105,0)),"")</f>
        <v>31.3733118629423</v>
      </c>
      <c r="AA73" s="11" t="n">
        <f aca="false">IF(Z73="","",IF(LEFT($X73,1)="H",SQRT(Z73*(IFERROR(INDEX(Calc!$AP$2:$AP$105,MATCH($W73,Calc!$A$2:$A$105,0)),0.5)*Config!$B$5+1-IFERROR(INDEX(Calc!$AP$2:$AP$105,MATCH($W73,Calc!$A$2:$A$105,0)),0.5))),SQRT(Z73*Config!$B$5)))</f>
        <v>6.62741553006292</v>
      </c>
      <c r="AB73" s="10" t="n">
        <f aca="false">IF(OR(F73="",Z73="",N(AA73)&lt;=0),"",1-NORMDIST(FLOOR(F73,1)+0.5,Z73,AA73,TRUE()))</f>
        <v>0.552417925424937</v>
      </c>
      <c r="AC73" s="10" t="n">
        <f aca="false">IF(AB73="","",NORMDIST(CEILING(F73,1)-0.5,Z73,AA73,TRUE()))</f>
        <v>0.447582074575063</v>
      </c>
      <c r="AD73" s="0" t="str">
        <f aca="false">IF(AB73="","",IF(AB73&gt;=0.5+Config!$B$6,"OVER",IF(AC73&gt;=0.5+Config!$B$6,"UNDER","—")))</f>
        <v>OVER</v>
      </c>
      <c r="AE73" s="13" t="n">
        <f aca="false">IFERROR(Z73/G73,"")</f>
        <v>0.980167125157824</v>
      </c>
    </row>
    <row r="74" customFormat="false" ht="15" hidden="false" customHeight="false" outlineLevel="0" collapsed="false">
      <c r="A74" s="0" t="s">
        <v>775</v>
      </c>
      <c r="B74" s="0" t="s">
        <v>843</v>
      </c>
      <c r="C74" s="0" t="s">
        <v>975</v>
      </c>
      <c r="D74" s="0" t="s">
        <v>848</v>
      </c>
      <c r="E74" s="0" t="s">
        <v>893</v>
      </c>
      <c r="F74" s="0" t="n">
        <v>15.5</v>
      </c>
      <c r="G74" s="11" t="n">
        <f aca="false">IFERROR(INDEX(CHOOSE(MATCH($X74,{"K1","K2","K3","K12","K13","H1","H2","H3","H12","H13"},0),Calc!$V$2:$V$105,Calc!$AC$2:$AC$105,Calc!$AJ$2:$AJ$105,Calc!$AL$2:$AL$105,Calc!$AM$2:$AM$105,Calc!$W$2:$W$105,Calc!$AD$2:$AD$105,Calc!$AK$2:$AK$105,Calc!$AN$2:$AN$105,Calc!$AO$2:$AO$105),MATCH($W74,Calc!$A$2:$A$105,0)),"")</f>
        <v>15.226061484375</v>
      </c>
      <c r="H74" s="11" t="n">
        <f aca="false">IF(G74="","",IF(LEFT($X74,1)="H",SQRT(G74*(IFERROR(INDEX(Calc!$AP$2:$AP$105,MATCH($W74,Calc!$A$2:$A$105,0)),0.5)*Config!$B$5+1-IFERROR(INDEX(Calc!$AP$2:$AP$105,MATCH($W74,Calc!$A$2:$A$105,0)),0.5))),SQRT(G74*Config!$B$5)))</f>
        <v>4.32689798711227</v>
      </c>
      <c r="I74" s="10" t="n">
        <f aca="false">IF(OR(F74="",G74="",N(H74)&lt;=0),"",1-NORMDIST(FLOOR(F74,1)+0.5,G74,H74,TRUE()))</f>
        <v>0.474759586830468</v>
      </c>
      <c r="J74" s="10" t="n">
        <f aca="false">IF(I74="","",NORMDIST(CEILING(F74,1)-0.5,G74,H74,TRUE()))</f>
        <v>0.525240413169532</v>
      </c>
      <c r="K74" s="10" t="n">
        <f aca="false">IF(I74="","",MAX(0,1-I74-J74))</f>
        <v>0</v>
      </c>
      <c r="L74" s="0" t="str">
        <f aca="false">IF(I74="","",IF(I74&gt;=0.5+Config!$B$6,"OVER",IF(J74&gt;=0.5+Config!$B$6,"UNDER","—")))</f>
        <v>—</v>
      </c>
      <c r="N74" s="0" t="n">
        <v>14.4</v>
      </c>
      <c r="O74" s="10" t="n">
        <v>0.6</v>
      </c>
      <c r="P74" s="10" t="n">
        <v>0.5</v>
      </c>
      <c r="Q74" s="10" t="n">
        <v>0.53</v>
      </c>
      <c r="R74" s="9" t="s">
        <v>889</v>
      </c>
      <c r="S74" s="0" t="n">
        <v>1</v>
      </c>
      <c r="T74" s="0" t="str">
        <f aca="false">INDEX(Calc!$G$2:$G$105,MATCH($W74,Calc!$A$2:$A$105,0))&amp;" / "&amp;INDEX(Calc!$H$2:$H$105,MATCH($W74,Calc!$A$2:$A$105,0))</f>
        <v>Inferno / Dust2</v>
      </c>
      <c r="U74" s="0" t="str">
        <f aca="false">TEXT(INDEX(Calc!$J$2:$J$105,MATCH($W74,Calc!$A$2:$A$105,0)),"0.0")&amp;" / "&amp;TEXT(INDEX(Calc!$K$2:$K$105,MATCH($W74,Calc!$A$2:$A$105,0)),"0.0")</f>
        <v>21.5 / 21.5</v>
      </c>
      <c r="V74" s="0" t="str">
        <f aca="false">IFERROR(INDEX(Calc!$AQ$2:$AQ$105,MATCH($W74,Calc!$A$2:$A$105,0)),"")</f>
        <v/>
      </c>
      <c r="W74" s="9" t="s">
        <v>976</v>
      </c>
      <c r="X74" s="9" t="s">
        <v>896</v>
      </c>
      <c r="Y74" s="0" t="str">
        <f aca="false">W74&amp;"|"&amp;X74</f>
        <v>cbsjkz3yqg99r06|CS2 · BIG vs MGLZ|H12</v>
      </c>
      <c r="Z74" s="11" t="n">
        <f aca="false">IFERROR(INDEX(CHOOSE(MATCH($X74,{"K1","K2","K3","K12","K13","H1","H2","H3","H12","H13"},0),Calc!$BA$2:$BA$105,Calc!$BB$2:$BB$105,Calc!$BC$2:$BC$105,Calc!$BD$2:$BD$105,Calc!$BE$2:$BE$105,Calc!$BF$2:$BF$105,Calc!$BG$2:$BG$105,Calc!$BH$2:$BH$105,Calc!$BI$2:$BI$105,Calc!$BJ$2:$BJ$105),MATCH($W74,Calc!$A$2:$A$105,0)),"")</f>
        <v>14.8856828331756</v>
      </c>
      <c r="AA74" s="11" t="n">
        <f aca="false">IF(Z74="","",IF(LEFT($X74,1)="H",SQRT(Z74*(IFERROR(INDEX(Calc!$AP$2:$AP$105,MATCH($W74,Calc!$A$2:$A$105,0)),0.5)*Config!$B$5+1-IFERROR(INDEX(Calc!$AP$2:$AP$105,MATCH($W74,Calc!$A$2:$A$105,0)),0.5))),SQRT(Z74*Config!$B$5)))</f>
        <v>4.27826072029707</v>
      </c>
      <c r="AB74" s="10" t="n">
        <f aca="false">IF(OR(F74="",Z74="",N(AA74)&lt;=0),"",1-NORMDIST(FLOOR(F74,1)+0.5,Z74,AA74,TRUE()))</f>
        <v>0.442911961013067</v>
      </c>
      <c r="AC74" s="10" t="n">
        <f aca="false">IF(AB74="","",NORMDIST(CEILING(F74,1)-0.5,Z74,AA74,TRUE()))</f>
        <v>0.557088038986933</v>
      </c>
      <c r="AD74" s="0" t="str">
        <f aca="false">IF(AB74="","",IF(AB74&gt;=0.5+Config!$B$6,"OVER",IF(AC74&gt;=0.5+Config!$B$6,"UNDER","—")))</f>
        <v>UNDER</v>
      </c>
      <c r="AE74" s="13" t="n">
        <f aca="false">IFERROR(Z74/G74,"")</f>
        <v>0.977644996931829</v>
      </c>
    </row>
    <row r="75" customFormat="false" ht="15" hidden="false" customHeight="false" outlineLevel="0" collapsed="false">
      <c r="A75" s="0" t="s">
        <v>775</v>
      </c>
      <c r="B75" s="0" t="s">
        <v>843</v>
      </c>
      <c r="C75" s="0" t="s">
        <v>975</v>
      </c>
      <c r="D75" s="0" t="s">
        <v>848</v>
      </c>
      <c r="E75" s="0" t="s">
        <v>888</v>
      </c>
      <c r="F75" s="0" t="n">
        <v>28.5</v>
      </c>
      <c r="G75" s="11" t="n">
        <f aca="false">IFERROR(INDEX(CHOOSE(MATCH($X75,{"K1","K2","K3","K12","K13","H1","H2","H3","H12","H13"},0),Calc!$V$2:$V$105,Calc!$AC$2:$AC$105,Calc!$AJ$2:$AJ$105,Calc!$AL$2:$AL$105,Calc!$AM$2:$AM$105,Calc!$W$2:$W$105,Calc!$AD$2:$AD$105,Calc!$AK$2:$AK$105,Calc!$AN$2:$AN$105,Calc!$AO$2:$AO$105),MATCH($W75,Calc!$A$2:$A$105,0)),"")</f>
        <v>26.525625</v>
      </c>
      <c r="H75" s="11" t="n">
        <f aca="false">IF(G75="","",IF(LEFT($X75,1)="H",SQRT(G75*(IFERROR(INDEX(Calc!$AP$2:$AP$105,MATCH($W75,Calc!$A$2:$A$105,0)),0.5)*Config!$B$5+1-IFERROR(INDEX(Calc!$AP$2:$AP$105,MATCH($W75,Calc!$A$2:$A$105,0)),0.5))),SQRT(G75*Config!$B$5)))</f>
        <v>6.09392115144264</v>
      </c>
      <c r="I75" s="10" t="n">
        <f aca="false">IF(OR(F75="",G75="",N(H75)&lt;=0),"",1-NORMDIST(FLOOR(F75,1)+0.5,G75,H75,TRUE()))</f>
        <v>0.372972461758309</v>
      </c>
      <c r="J75" s="10" t="n">
        <f aca="false">IF(I75="","",NORMDIST(CEILING(F75,1)-0.5,G75,H75,TRUE()))</f>
        <v>0.627027538241691</v>
      </c>
      <c r="K75" s="10" t="n">
        <f aca="false">IF(I75="","",MAX(0,1-I75-J75))</f>
        <v>0</v>
      </c>
      <c r="L75" s="0" t="str">
        <f aca="false">IF(I75="","",IF(I75&gt;=0.5+Config!$B$6,"OVER",IF(J75&gt;=0.5+Config!$B$6,"UNDER","—")))</f>
        <v>UNDER</v>
      </c>
      <c r="N75" s="0" t="n">
        <v>26.2</v>
      </c>
      <c r="O75" s="10" t="n">
        <v>0.4</v>
      </c>
      <c r="P75" s="10" t="n">
        <v>0.4</v>
      </c>
      <c r="Q75" s="10" t="n">
        <v>0.47</v>
      </c>
      <c r="R75" s="9" t="s">
        <v>889</v>
      </c>
      <c r="S75" s="0" t="n">
        <v>1</v>
      </c>
      <c r="T75" s="0" t="str">
        <f aca="false">INDEX(Calc!$G$2:$G$105,MATCH($W75,Calc!$A$2:$A$105,0))&amp;" / "&amp;INDEX(Calc!$H$2:$H$105,MATCH($W75,Calc!$A$2:$A$105,0))</f>
        <v>Inferno / Dust2</v>
      </c>
      <c r="U75" s="0" t="str">
        <f aca="false">TEXT(INDEX(Calc!$J$2:$J$105,MATCH($W75,Calc!$A$2:$A$105,0)),"0.0")&amp;" / "&amp;TEXT(INDEX(Calc!$K$2:$K$105,MATCH($W75,Calc!$A$2:$A$105,0)),"0.0")</f>
        <v>21.5 / 21.5</v>
      </c>
      <c r="V75" s="0" t="str">
        <f aca="false">IFERROR(INDEX(Calc!$AQ$2:$AQ$105,MATCH($W75,Calc!$A$2:$A$105,0)),"")</f>
        <v/>
      </c>
      <c r="W75" s="9" t="s">
        <v>976</v>
      </c>
      <c r="X75" s="9" t="s">
        <v>891</v>
      </c>
      <c r="Y75" s="0" t="str">
        <f aca="false">W75&amp;"|"&amp;X75</f>
        <v>cbsjkz3yqg99r06|CS2 · BIG vs MGLZ|K12</v>
      </c>
      <c r="Z75" s="11" t="n">
        <f aca="false">IFERROR(INDEX(CHOOSE(MATCH($X75,{"K1","K2","K3","K12","K13","H1","H2","H3","H12","H13"},0),Calc!$BA$2:$BA$105,Calc!$BB$2:$BB$105,Calc!$BC$2:$BC$105,Calc!$BD$2:$BD$105,Calc!$BE$2:$BE$105,Calc!$BF$2:$BF$105,Calc!$BG$2:$BG$105,Calc!$BH$2:$BH$105,Calc!$BI$2:$BI$105,Calc!$BJ$2:$BJ$105),MATCH($W75,Calc!$A$2:$A$105,0)),"")</f>
        <v>25.9321879069709</v>
      </c>
      <c r="AA75" s="11" t="n">
        <f aca="false">IF(Z75="","",IF(LEFT($X75,1)="H",SQRT(Z75*(IFERROR(INDEX(Calc!$AP$2:$AP$105,MATCH($W75,Calc!$A$2:$A$105,0)),0.5)*Config!$B$5+1-IFERROR(INDEX(Calc!$AP$2:$AP$105,MATCH($W75,Calc!$A$2:$A$105,0)),0.5))),SQRT(Z75*Config!$B$5)))</f>
        <v>6.02536829328791</v>
      </c>
      <c r="AB75" s="10" t="n">
        <f aca="false">IF(OR(F75="",Z75="",N(AA75)&lt;=0),"",1-NORMDIST(FLOOR(F75,1)+0.5,Z75,AA75,TRUE()))</f>
        <v>0.334993143586491</v>
      </c>
      <c r="AC75" s="10" t="n">
        <f aca="false">IF(AB75="","",NORMDIST(CEILING(F75,1)-0.5,Z75,AA75,TRUE()))</f>
        <v>0.665006856413509</v>
      </c>
      <c r="AD75" s="0" t="str">
        <f aca="false">IF(AB75="","",IF(AB75&gt;=0.5+Config!$B$6,"OVER",IF(AC75&gt;=0.5+Config!$B$6,"UNDER","—")))</f>
        <v>UNDER</v>
      </c>
      <c r="AE75" s="13" t="n">
        <f aca="false">IFERROR(Z75/G75,"")</f>
        <v>0.977627780946573</v>
      </c>
    </row>
    <row r="76" customFormat="false" ht="15" hidden="false" customHeight="false" outlineLevel="0" collapsed="false">
      <c r="A76" s="0" t="s">
        <v>775</v>
      </c>
      <c r="B76" s="0" t="s">
        <v>843</v>
      </c>
      <c r="C76" s="0" t="s">
        <v>977</v>
      </c>
      <c r="D76" s="0" t="s">
        <v>849</v>
      </c>
      <c r="E76" s="0" t="s">
        <v>893</v>
      </c>
      <c r="F76" s="0" t="n">
        <v>11.5</v>
      </c>
      <c r="G76" s="11" t="n">
        <f aca="false">IFERROR(INDEX(CHOOSE(MATCH($X76,{"K1","K2","K3","K12","K13","H1","H2","H3","H12","H13"},0),Calc!$V$2:$V$105,Calc!$AC$2:$AC$105,Calc!$AJ$2:$AJ$105,Calc!$AL$2:$AL$105,Calc!$AM$2:$AM$105,Calc!$W$2:$W$105,Calc!$AD$2:$AD$105,Calc!$AK$2:$AK$105,Calc!$AN$2:$AN$105,Calc!$AO$2:$AO$105),MATCH($W76,Calc!$A$2:$A$105,0)),"")</f>
        <v>11.0278002435065</v>
      </c>
      <c r="H76" s="11" t="n">
        <f aca="false">IF(G76="","",IF(LEFT($X76,1)="H",SQRT(G76*(IFERROR(INDEX(Calc!$AP$2:$AP$105,MATCH($W76,Calc!$A$2:$A$105,0)),0.5)*Config!$B$5+1-IFERROR(INDEX(Calc!$AP$2:$AP$105,MATCH($W76,Calc!$A$2:$A$105,0)),0.5))),SQRT(G76*Config!$B$5)))</f>
        <v>3.53136372467351</v>
      </c>
      <c r="I76" s="10" t="n">
        <f aca="false">IF(OR(F76="",G76="",N(H76)&lt;=0),"",1-NORMDIST(FLOOR(F76,1)+0.5,G76,H76,TRUE()))</f>
        <v>0.446813584741701</v>
      </c>
      <c r="J76" s="10" t="n">
        <f aca="false">IF(I76="","",NORMDIST(CEILING(F76,1)-0.5,G76,H76,TRUE()))</f>
        <v>0.553186415258299</v>
      </c>
      <c r="K76" s="10" t="n">
        <f aca="false">IF(I76="","",MAX(0,1-I76-J76))</f>
        <v>0</v>
      </c>
      <c r="L76" s="0" t="str">
        <f aca="false">IF(I76="","",IF(I76&gt;=0.5+Config!$B$6,"OVER",IF(J76&gt;=0.5+Config!$B$6,"UNDER","—")))</f>
        <v>UNDER</v>
      </c>
      <c r="N76" s="0" t="n">
        <v>12.3</v>
      </c>
      <c r="O76" s="10" t="n">
        <v>0.4</v>
      </c>
      <c r="P76" s="10" t="n">
        <v>0.5</v>
      </c>
      <c r="Q76" s="10" t="n">
        <v>0.53</v>
      </c>
      <c r="R76" s="9" t="s">
        <v>889</v>
      </c>
      <c r="S76" s="0" t="n">
        <v>-2</v>
      </c>
      <c r="T76" s="0" t="str">
        <f aca="false">INDEX(Calc!$G$2:$G$105,MATCH($W76,Calc!$A$2:$A$105,0))&amp;" / "&amp;INDEX(Calc!$H$2:$H$105,MATCH($W76,Calc!$A$2:$A$105,0))</f>
        <v>Inferno / Dust2</v>
      </c>
      <c r="U76" s="0" t="str">
        <f aca="false">TEXT(INDEX(Calc!$J$2:$J$105,MATCH($W76,Calc!$A$2:$A$105,0)),"0.0")&amp;" / "&amp;TEXT(INDEX(Calc!$K$2:$K$105,MATCH($W76,Calc!$A$2:$A$105,0)),"0.0")</f>
        <v>21.5 / 21.5</v>
      </c>
      <c r="V76" s="0" t="str">
        <f aca="false">IFERROR(INDEX(Calc!$AQ$2:$AQ$105,MATCH($W76,Calc!$A$2:$A$105,0)),"")</f>
        <v/>
      </c>
      <c r="W76" s="9" t="s">
        <v>978</v>
      </c>
      <c r="X76" s="9" t="s">
        <v>896</v>
      </c>
      <c r="Y76" s="0" t="str">
        <f aca="false">W76&amp;"|"&amp;X76</f>
        <v>5ttqna5u230tb49|CS2 · BIG vs MGLZ|H12</v>
      </c>
      <c r="Z76" s="11" t="n">
        <f aca="false">IFERROR(INDEX(CHOOSE(MATCH($X76,{"K1","K2","K3","K12","K13","H1","H2","H3","H12","H13"},0),Calc!$BA$2:$BA$105,Calc!$BB$2:$BB$105,Calc!$BC$2:$BC$105,Calc!$BD$2:$BD$105,Calc!$BE$2:$BE$105,Calc!$BF$2:$BF$105,Calc!$BG$2:$BG$105,Calc!$BH$2:$BH$105,Calc!$BI$2:$BI$105,Calc!$BJ$2:$BJ$105),MATCH($W76,Calc!$A$2:$A$105,0)),"")</f>
        <v>11.1008660988011</v>
      </c>
      <c r="AA76" s="11" t="n">
        <f aca="false">IF(Z76="","",IF(LEFT($X76,1)="H",SQRT(Z76*(IFERROR(INDEX(Calc!$AP$2:$AP$105,MATCH($W76,Calc!$A$2:$A$105,0)),0.5)*Config!$B$5+1-IFERROR(INDEX(Calc!$AP$2:$AP$105,MATCH($W76,Calc!$A$2:$A$105,0)),0.5))),SQRT(Z76*Config!$B$5)))</f>
        <v>3.54304312251538</v>
      </c>
      <c r="AB76" s="10" t="n">
        <f aca="false">IF(OR(F76="",Z76="",N(AA76)&lt;=0),"",1-NORMDIST(FLOOR(F76,1)+0.5,Z76,AA76,TRUE()))</f>
        <v>0.455152892198257</v>
      </c>
      <c r="AC76" s="10" t="n">
        <f aca="false">IF(AB76="","",NORMDIST(CEILING(F76,1)-0.5,Z76,AA76,TRUE()))</f>
        <v>0.544847107801744</v>
      </c>
      <c r="AD76" s="0" t="str">
        <f aca="false">IF(AB76="","",IF(AB76&gt;=0.5+Config!$B$6,"OVER",IF(AC76&gt;=0.5+Config!$B$6,"UNDER","—")))</f>
        <v>UNDER</v>
      </c>
      <c r="AE76" s="13" t="n">
        <f aca="false">IFERROR(Z76/G76,"")</f>
        <v>1.00662560562226</v>
      </c>
    </row>
    <row r="77" customFormat="false" ht="15" hidden="false" customHeight="false" outlineLevel="0" collapsed="false">
      <c r="A77" s="0" t="s">
        <v>775</v>
      </c>
      <c r="B77" s="0" t="s">
        <v>843</v>
      </c>
      <c r="C77" s="0" t="s">
        <v>977</v>
      </c>
      <c r="D77" s="0" t="s">
        <v>849</v>
      </c>
      <c r="E77" s="0" t="s">
        <v>888</v>
      </c>
      <c r="F77" s="0" t="n">
        <v>32.5</v>
      </c>
      <c r="G77" s="11" t="n">
        <f aca="false">IFERROR(INDEX(CHOOSE(MATCH($X77,{"K1","K2","K3","K12","K13","H1","H2","H3","H12","H13"},0),Calc!$V$2:$V$105,Calc!$AC$2:$AC$105,Calc!$AJ$2:$AJ$105,Calc!$AL$2:$AL$105,Calc!$AM$2:$AM$105,Calc!$W$2:$W$105,Calc!$AD$2:$AD$105,Calc!$AK$2:$AK$105,Calc!$AN$2:$AN$105,Calc!$AO$2:$AO$105),MATCH($W77,Calc!$A$2:$A$105,0)),"")</f>
        <v>33.7173051948052</v>
      </c>
      <c r="H77" s="11" t="n">
        <f aca="false">IF(G77="","",IF(LEFT($X77,1)="H",SQRT(G77*(IFERROR(INDEX(Calc!$AP$2:$AP$105,MATCH($W77,Calc!$A$2:$A$105,0)),0.5)*Config!$B$5+1-IFERROR(INDEX(Calc!$AP$2:$AP$105,MATCH($W77,Calc!$A$2:$A$105,0)),0.5))),SQRT(G77*Config!$B$5)))</f>
        <v>6.87053325970607</v>
      </c>
      <c r="I77" s="10" t="n">
        <f aca="false">IF(OR(F77="",G77="",N(H77)&lt;=0),"",1-NORMDIST(FLOOR(F77,1)+0.5,G77,H77,TRUE()))</f>
        <v>0.570315589408716</v>
      </c>
      <c r="J77" s="10" t="n">
        <f aca="false">IF(I77="","",NORMDIST(CEILING(F77,1)-0.5,G77,H77,TRUE()))</f>
        <v>0.429684410591284</v>
      </c>
      <c r="K77" s="10" t="n">
        <f aca="false">IF(I77="","",MAX(0,1-I77-J77))</f>
        <v>0</v>
      </c>
      <c r="L77" s="0" t="str">
        <f aca="false">IF(I77="","",IF(I77&gt;=0.5+Config!$B$6,"OVER",IF(J77&gt;=0.5+Config!$B$6,"UNDER","—")))</f>
        <v>OVER</v>
      </c>
      <c r="N77" s="0" t="n">
        <v>33.3</v>
      </c>
      <c r="O77" s="10" t="n">
        <v>0.8</v>
      </c>
      <c r="P77" s="10" t="n">
        <v>0.7</v>
      </c>
      <c r="Q77" s="10" t="n">
        <v>0.6</v>
      </c>
      <c r="R77" s="9" t="s">
        <v>889</v>
      </c>
      <c r="S77" s="0" t="n">
        <v>3</v>
      </c>
      <c r="T77" s="0" t="str">
        <f aca="false">INDEX(Calc!$G$2:$G$105,MATCH($W77,Calc!$A$2:$A$105,0))&amp;" / "&amp;INDEX(Calc!$H$2:$H$105,MATCH($W77,Calc!$A$2:$A$105,0))</f>
        <v>Inferno / Dust2</v>
      </c>
      <c r="U77" s="0" t="str">
        <f aca="false">TEXT(INDEX(Calc!$J$2:$J$105,MATCH($W77,Calc!$A$2:$A$105,0)),"0.0")&amp;" / "&amp;TEXT(INDEX(Calc!$K$2:$K$105,MATCH($W77,Calc!$A$2:$A$105,0)),"0.0")</f>
        <v>21.5 / 21.5</v>
      </c>
      <c r="V77" s="0" t="str">
        <f aca="false">IFERROR(INDEX(Calc!$AQ$2:$AQ$105,MATCH($W77,Calc!$A$2:$A$105,0)),"")</f>
        <v/>
      </c>
      <c r="W77" s="9" t="s">
        <v>978</v>
      </c>
      <c r="X77" s="9" t="s">
        <v>891</v>
      </c>
      <c r="Y77" s="0" t="str">
        <f aca="false">W77&amp;"|"&amp;X77</f>
        <v>5ttqna5u230tb49|CS2 · BIG vs MGLZ|K12</v>
      </c>
      <c r="Z77" s="11" t="n">
        <f aca="false">IFERROR(INDEX(CHOOSE(MATCH($X77,{"K1","K2","K3","K12","K13","H1","H2","H3","H12","H13"},0),Calc!$BA$2:$BA$105,Calc!$BB$2:$BB$105,Calc!$BC$2:$BC$105,Calc!$BD$2:$BD$105,Calc!$BE$2:$BE$105,Calc!$BF$2:$BF$105,Calc!$BG$2:$BG$105,Calc!$BH$2:$BH$105,Calc!$BI$2:$BI$105,Calc!$BJ$2:$BJ$105),MATCH($W77,Calc!$A$2:$A$105,0)),"")</f>
        <v>34.0350244527591</v>
      </c>
      <c r="AA77" s="11" t="n">
        <f aca="false">IF(Z77="","",IF(LEFT($X77,1)="H",SQRT(Z77*(IFERROR(INDEX(Calc!$AP$2:$AP$105,MATCH($W77,Calc!$A$2:$A$105,0)),0.5)*Config!$B$5+1-IFERROR(INDEX(Calc!$AP$2:$AP$105,MATCH($W77,Calc!$A$2:$A$105,0)),0.5))),SQRT(Z77*Config!$B$5)))</f>
        <v>6.902827988141</v>
      </c>
      <c r="AB77" s="10" t="n">
        <f aca="false">IF(OR(F77="",Z77="",N(AA77)&lt;=0),"",1-NORMDIST(FLOOR(F77,1)+0.5,Z77,AA77,TRUE()))</f>
        <v>0.58798946964451</v>
      </c>
      <c r="AC77" s="10" t="n">
        <f aca="false">IF(AB77="","",NORMDIST(CEILING(F77,1)-0.5,Z77,AA77,TRUE()))</f>
        <v>0.41201053035549</v>
      </c>
      <c r="AD77" s="0" t="str">
        <f aca="false">IF(AB77="","",IF(AB77&gt;=0.5+Config!$B$6,"OVER",IF(AC77&gt;=0.5+Config!$B$6,"UNDER","—")))</f>
        <v>OVER</v>
      </c>
      <c r="AE77" s="13" t="n">
        <f aca="false">IFERROR(Z77/G77,"")</f>
        <v>1.00942303236033</v>
      </c>
    </row>
    <row r="78" customFormat="false" ht="15" hidden="false" customHeight="false" outlineLevel="0" collapsed="false">
      <c r="A78" s="0" t="s">
        <v>775</v>
      </c>
      <c r="B78" s="0" t="s">
        <v>843</v>
      </c>
      <c r="C78" s="0" t="s">
        <v>979</v>
      </c>
      <c r="D78" s="0" t="s">
        <v>849</v>
      </c>
      <c r="E78" s="0" t="s">
        <v>893</v>
      </c>
      <c r="F78" s="0" t="n">
        <v>13.5</v>
      </c>
      <c r="G78" s="11" t="n">
        <f aca="false">IFERROR(INDEX(CHOOSE(MATCH($X78,{"K1","K2","K3","K12","K13","H1","H2","H3","H12","H13"},0),Calc!$V$2:$V$105,Calc!$AC$2:$AC$105,Calc!$AJ$2:$AJ$105,Calc!$AL$2:$AL$105,Calc!$AM$2:$AM$105,Calc!$W$2:$W$105,Calc!$AD$2:$AD$105,Calc!$AK$2:$AK$105,Calc!$AN$2:$AN$105,Calc!$AO$2:$AO$105),MATCH($W78,Calc!$A$2:$A$105,0)),"")</f>
        <v>13.8707006679035</v>
      </c>
      <c r="H78" s="11" t="n">
        <f aca="false">IF(G78="","",IF(LEFT($X78,1)="H",SQRT(G78*(IFERROR(INDEX(Calc!$AP$2:$AP$105,MATCH($W78,Calc!$A$2:$A$105,0)),0.5)*Config!$B$5+1-IFERROR(INDEX(Calc!$AP$2:$AP$105,MATCH($W78,Calc!$A$2:$A$105,0)),0.5))),SQRT(G78*Config!$B$5)))</f>
        <v>4.06858507549941</v>
      </c>
      <c r="I78" s="10" t="n">
        <f aca="false">IF(OR(F78="",G78="",N(H78)&lt;=0),"",1-NORMDIST(FLOOR(F78,1)+0.5,G78,H78,TRUE()))</f>
        <v>0.536298566802313</v>
      </c>
      <c r="J78" s="10" t="n">
        <f aca="false">IF(I78="","",NORMDIST(CEILING(F78,1)-0.5,G78,H78,TRUE()))</f>
        <v>0.463701433197687</v>
      </c>
      <c r="K78" s="10" t="n">
        <f aca="false">IF(I78="","",MAX(0,1-I78-J78))</f>
        <v>0</v>
      </c>
      <c r="L78" s="0" t="str">
        <f aca="false">IF(I78="","",IF(I78&gt;=0.5+Config!$B$6,"OVER",IF(J78&gt;=0.5+Config!$B$6,"UNDER","—")))</f>
        <v>—</v>
      </c>
      <c r="N78" s="0" t="n">
        <v>14</v>
      </c>
      <c r="O78" s="10" t="n">
        <v>0.8</v>
      </c>
      <c r="P78" s="10" t="n">
        <v>0.5</v>
      </c>
      <c r="Q78" s="10" t="n">
        <v>0.53</v>
      </c>
      <c r="R78" s="9" t="s">
        <v>894</v>
      </c>
      <c r="S78" s="0" t="n">
        <v>3</v>
      </c>
      <c r="T78" s="0" t="str">
        <f aca="false">INDEX(Calc!$G$2:$G$105,MATCH($W78,Calc!$A$2:$A$105,0))&amp;" / "&amp;INDEX(Calc!$H$2:$H$105,MATCH($W78,Calc!$A$2:$A$105,0))</f>
        <v>Inferno / Dust2</v>
      </c>
      <c r="U78" s="0" t="str">
        <f aca="false">TEXT(INDEX(Calc!$J$2:$J$105,MATCH($W78,Calc!$A$2:$A$105,0)),"0.0")&amp;" / "&amp;TEXT(INDEX(Calc!$K$2:$K$105,MATCH($W78,Calc!$A$2:$A$105,0)),"0.0")</f>
        <v>21.5 / 21.5</v>
      </c>
      <c r="V78" s="0" t="str">
        <f aca="false">IFERROR(INDEX(Calc!$AQ$2:$AQ$105,MATCH($W78,Calc!$A$2:$A$105,0)),"")</f>
        <v/>
      </c>
      <c r="W78" s="9" t="s">
        <v>980</v>
      </c>
      <c r="X78" s="9" t="s">
        <v>896</v>
      </c>
      <c r="Y78" s="0" t="str">
        <f aca="false">W78&amp;"|"&amp;X78</f>
        <v>56bqvguml6vhetk|CS2 · BIG vs MGLZ|H12</v>
      </c>
      <c r="Z78" s="11" t="n">
        <f aca="false">IFERROR(INDEX(CHOOSE(MATCH($X78,{"K1","K2","K3","K12","K13","H1","H2","H3","H12","H13"},0),Calc!$BA$2:$BA$105,Calc!$BB$2:$BB$105,Calc!$BC$2:$BC$105,Calc!$BD$2:$BD$105,Calc!$BE$2:$BE$105,Calc!$BF$2:$BF$105,Calc!$BG$2:$BG$105,Calc!$BH$2:$BH$105,Calc!$BI$2:$BI$105,Calc!$BJ$2:$BJ$105),MATCH($W78,Calc!$A$2:$A$105,0)),"")</f>
        <v>13.9843839404036</v>
      </c>
      <c r="AA78" s="11" t="n">
        <f aca="false">IF(Z78="","",IF(LEFT($X78,1)="H",SQRT(Z78*(IFERROR(INDEX(Calc!$AP$2:$AP$105,MATCH($W78,Calc!$A$2:$A$105,0)),0.5)*Config!$B$5+1-IFERROR(INDEX(Calc!$AP$2:$AP$105,MATCH($W78,Calc!$A$2:$A$105,0)),0.5))),SQRT(Z78*Config!$B$5)))</f>
        <v>4.08522396869428</v>
      </c>
      <c r="AB78" s="10" t="n">
        <f aca="false">IF(OR(F78="",Z78="",N(AA78)&lt;=0),"",1-NORMDIST(FLOOR(F78,1)+0.5,Z78,AA78,TRUE()))</f>
        <v>0.547191879582605</v>
      </c>
      <c r="AC78" s="10" t="n">
        <f aca="false">IF(AB78="","",NORMDIST(CEILING(F78,1)-0.5,Z78,AA78,TRUE()))</f>
        <v>0.452808120417395</v>
      </c>
      <c r="AD78" s="0" t="str">
        <f aca="false">IF(AB78="","",IF(AB78&gt;=0.5+Config!$B$6,"OVER",IF(AC78&gt;=0.5+Config!$B$6,"UNDER","—")))</f>
        <v>OVER</v>
      </c>
      <c r="AE78" s="13" t="n">
        <f aca="false">IFERROR(Z78/G78,"")</f>
        <v>1.00819592861398</v>
      </c>
    </row>
    <row r="79" customFormat="false" ht="15" hidden="false" customHeight="false" outlineLevel="0" collapsed="false">
      <c r="A79" s="0" t="s">
        <v>775</v>
      </c>
      <c r="B79" s="0" t="s">
        <v>843</v>
      </c>
      <c r="C79" s="0" t="s">
        <v>979</v>
      </c>
      <c r="D79" s="0" t="s">
        <v>849</v>
      </c>
      <c r="E79" s="0" t="s">
        <v>888</v>
      </c>
      <c r="F79" s="0" t="n">
        <v>28.5</v>
      </c>
      <c r="G79" s="11" t="n">
        <f aca="false">IFERROR(INDEX(CHOOSE(MATCH($X79,{"K1","K2","K3","K12","K13","H1","H2","H3","H12","H13"},0),Calc!$V$2:$V$105,Calc!$AC$2:$AC$105,Calc!$AJ$2:$AJ$105,Calc!$AL$2:$AL$105,Calc!$AM$2:$AM$105,Calc!$W$2:$W$105,Calc!$AD$2:$AD$105,Calc!$AK$2:$AK$105,Calc!$AN$2:$AN$105,Calc!$AO$2:$AO$105),MATCH($W79,Calc!$A$2:$A$105,0)),"")</f>
        <v>28.6871428571429</v>
      </c>
      <c r="H79" s="11" t="n">
        <f aca="false">IF(G79="","",IF(LEFT($X79,1)="H",SQRT(G79*(IFERROR(INDEX(Calc!$AP$2:$AP$105,MATCH($W79,Calc!$A$2:$A$105,0)),0.5)*Config!$B$5+1-IFERROR(INDEX(Calc!$AP$2:$AP$105,MATCH($W79,Calc!$A$2:$A$105,0)),0.5))),SQRT(G79*Config!$B$5)))</f>
        <v>6.33734960373814</v>
      </c>
      <c r="I79" s="10" t="n">
        <f aca="false">IF(OR(F79="",G79="",N(H79)&lt;=0),"",1-NORMDIST(FLOOR(F79,1)+0.5,G79,H79,TRUE()))</f>
        <v>0.511779111685317</v>
      </c>
      <c r="J79" s="10" t="n">
        <f aca="false">IF(I79="","",NORMDIST(CEILING(F79,1)-0.5,G79,H79,TRUE()))</f>
        <v>0.488220888314683</v>
      </c>
      <c r="K79" s="10" t="n">
        <f aca="false">IF(I79="","",MAX(0,1-I79-J79))</f>
        <v>0</v>
      </c>
      <c r="L79" s="0" t="str">
        <f aca="false">IF(I79="","",IF(I79&gt;=0.5+Config!$B$6,"OVER",IF(J79&gt;=0.5+Config!$B$6,"UNDER","—")))</f>
        <v>—</v>
      </c>
      <c r="N79" s="0" t="n">
        <v>28.4</v>
      </c>
      <c r="O79" s="10" t="n">
        <v>0.6</v>
      </c>
      <c r="P79" s="10" t="n">
        <v>0.5</v>
      </c>
      <c r="Q79" s="10" t="n">
        <v>0.47</v>
      </c>
      <c r="R79" s="9" t="s">
        <v>894</v>
      </c>
      <c r="S79" s="0" t="n">
        <v>1</v>
      </c>
      <c r="T79" s="0" t="str">
        <f aca="false">INDEX(Calc!$G$2:$G$105,MATCH($W79,Calc!$A$2:$A$105,0))&amp;" / "&amp;INDEX(Calc!$H$2:$H$105,MATCH($W79,Calc!$A$2:$A$105,0))</f>
        <v>Inferno / Dust2</v>
      </c>
      <c r="U79" s="0" t="str">
        <f aca="false">TEXT(INDEX(Calc!$J$2:$J$105,MATCH($W79,Calc!$A$2:$A$105,0)),"0.0")&amp;" / "&amp;TEXT(INDEX(Calc!$K$2:$K$105,MATCH($W79,Calc!$A$2:$A$105,0)),"0.0")</f>
        <v>21.5 / 21.5</v>
      </c>
      <c r="V79" s="0" t="str">
        <f aca="false">IFERROR(INDEX(Calc!$AQ$2:$AQ$105,MATCH($W79,Calc!$A$2:$A$105,0)),"")</f>
        <v/>
      </c>
      <c r="W79" s="9" t="s">
        <v>980</v>
      </c>
      <c r="X79" s="9" t="s">
        <v>891</v>
      </c>
      <c r="Y79" s="0" t="str">
        <f aca="false">W79&amp;"|"&amp;X79</f>
        <v>56bqvguml6vhetk|CS2 · BIG vs MGLZ|K12</v>
      </c>
      <c r="Z79" s="11" t="n">
        <f aca="false">IFERROR(INDEX(CHOOSE(MATCH($X79,{"K1","K2","K3","K12","K13","H1","H2","H3","H12","H13"},0),Calc!$BA$2:$BA$105,Calc!$BB$2:$BB$105,Calc!$BC$2:$BC$105,Calc!$BD$2:$BD$105,Calc!$BE$2:$BE$105,Calc!$BF$2:$BF$105,Calc!$BG$2:$BG$105,Calc!$BH$2:$BH$105,Calc!$BI$2:$BI$105,Calc!$BJ$2:$BJ$105),MATCH($W79,Calc!$A$2:$A$105,0)),"")</f>
        <v>28.9497638948884</v>
      </c>
      <c r="AA79" s="11" t="n">
        <f aca="false">IF(Z79="","",IF(LEFT($X79,1)="H",SQRT(Z79*(IFERROR(INDEX(Calc!$AP$2:$AP$105,MATCH($W79,Calc!$A$2:$A$105,0)),0.5)*Config!$B$5+1-IFERROR(INDEX(Calc!$AP$2:$AP$105,MATCH($W79,Calc!$A$2:$A$105,0)),0.5))),SQRT(Z79*Config!$B$5)))</f>
        <v>6.36629165628184</v>
      </c>
      <c r="AB79" s="10" t="n">
        <f aca="false">IF(OR(F79="",Z79="",N(AA79)&lt;=0),"",1-NORMDIST(FLOOR(F79,1)+0.5,Z79,AA79,TRUE()))</f>
        <v>0.528160928932043</v>
      </c>
      <c r="AC79" s="10" t="n">
        <f aca="false">IF(AB79="","",NORMDIST(CEILING(F79,1)-0.5,Z79,AA79,TRUE()))</f>
        <v>0.471839071067957</v>
      </c>
      <c r="AD79" s="0" t="str">
        <f aca="false">IF(AB79="","",IF(AB79&gt;=0.5+Config!$B$6,"OVER",IF(AC79&gt;=0.5+Config!$B$6,"UNDER","—")))</f>
        <v>—</v>
      </c>
      <c r="AE79" s="13" t="n">
        <f aca="false">IFERROR(Z79/G79,"")</f>
        <v>1.0091546599483</v>
      </c>
    </row>
    <row r="80" customFormat="false" ht="15" hidden="false" customHeight="false" outlineLevel="0" collapsed="false">
      <c r="A80" s="0" t="s">
        <v>775</v>
      </c>
      <c r="B80" s="0" t="s">
        <v>843</v>
      </c>
      <c r="C80" s="0" t="s">
        <v>981</v>
      </c>
      <c r="D80" s="0" t="s">
        <v>849</v>
      </c>
      <c r="E80" s="0" t="s">
        <v>893</v>
      </c>
      <c r="F80" s="0" t="n">
        <v>17.5</v>
      </c>
      <c r="G80" s="11" t="n">
        <f aca="false">IFERROR(INDEX(CHOOSE(MATCH($X80,{"K1","K2","K3","K12","K13","H1","H2","H3","H12","H13"},0),Calc!$V$2:$V$105,Calc!$AC$2:$AC$105,Calc!$AJ$2:$AJ$105,Calc!$AL$2:$AL$105,Calc!$AM$2:$AM$105,Calc!$W$2:$W$105,Calc!$AD$2:$AD$105,Calc!$AK$2:$AK$105,Calc!$AN$2:$AN$105,Calc!$AO$2:$AO$105),MATCH($W80,Calc!$A$2:$A$105,0)),"")</f>
        <v>16.8114263017751</v>
      </c>
      <c r="H80" s="11" t="n">
        <f aca="false">IF(G80="","",IF(LEFT($X80,1)="H",SQRT(G80*(IFERROR(INDEX(Calc!$AP$2:$AP$105,MATCH($W80,Calc!$A$2:$A$105,0)),0.5)*Config!$B$5+1-IFERROR(INDEX(Calc!$AP$2:$AP$105,MATCH($W80,Calc!$A$2:$A$105,0)),0.5))),SQRT(G80*Config!$B$5)))</f>
        <v>4.53488315107733</v>
      </c>
      <c r="I80" s="10" t="n">
        <f aca="false">IF(OR(F80="",G80="",N(H80)&lt;=0),"",1-NORMDIST(FLOOR(F80,1)+0.5,G80,H80,TRUE()))</f>
        <v>0.439656823590482</v>
      </c>
      <c r="J80" s="10" t="n">
        <f aca="false">IF(I80="","",NORMDIST(CEILING(F80,1)-0.5,G80,H80,TRUE()))</f>
        <v>0.560343176409518</v>
      </c>
      <c r="K80" s="10" t="n">
        <f aca="false">IF(I80="","",MAX(0,1-I80-J80))</f>
        <v>0</v>
      </c>
      <c r="L80" s="0" t="str">
        <f aca="false">IF(I80="","",IF(I80&gt;=0.5+Config!$B$6,"OVER",IF(J80&gt;=0.5+Config!$B$6,"UNDER","—")))</f>
        <v>UNDER</v>
      </c>
      <c r="N80" s="0" t="n">
        <v>18.7</v>
      </c>
      <c r="O80" s="10" t="n">
        <v>0.6</v>
      </c>
      <c r="P80" s="10" t="n">
        <v>0.6</v>
      </c>
      <c r="Q80" s="10" t="n">
        <v>0.6</v>
      </c>
      <c r="R80" s="9" t="s">
        <v>907</v>
      </c>
      <c r="S80" s="0" t="n">
        <v>3</v>
      </c>
      <c r="T80" s="0" t="str">
        <f aca="false">INDEX(Calc!$G$2:$G$105,MATCH($W80,Calc!$A$2:$A$105,0))&amp;" / "&amp;INDEX(Calc!$H$2:$H$105,MATCH($W80,Calc!$A$2:$A$105,0))</f>
        <v>Inferno / Dust2</v>
      </c>
      <c r="U80" s="0" t="str">
        <f aca="false">TEXT(INDEX(Calc!$J$2:$J$105,MATCH($W80,Calc!$A$2:$A$105,0)),"0.0")&amp;" / "&amp;TEXT(INDEX(Calc!$K$2:$K$105,MATCH($W80,Calc!$A$2:$A$105,0)),"0.0")</f>
        <v>21.5 / 21.5</v>
      </c>
      <c r="V80" s="0" t="str">
        <f aca="false">IFERROR(INDEX(Calc!$AQ$2:$AQ$105,MATCH($W80,Calc!$A$2:$A$105,0)),"")</f>
        <v/>
      </c>
      <c r="W80" s="9" t="s">
        <v>982</v>
      </c>
      <c r="X80" s="9" t="s">
        <v>896</v>
      </c>
      <c r="Y80" s="0" t="str">
        <f aca="false">W80&amp;"|"&amp;X80</f>
        <v>01464eymprqfx0w|CS2 · BIG vs MGLZ|H12</v>
      </c>
      <c r="Z80" s="11" t="n">
        <f aca="false">IFERROR(INDEX(CHOOSE(MATCH($X80,{"K1","K2","K3","K12","K13","H1","H2","H3","H12","H13"},0),Calc!$BA$2:$BA$105,Calc!$BB$2:$BB$105,Calc!$BC$2:$BC$105,Calc!$BD$2:$BD$105,Calc!$BE$2:$BE$105,Calc!$BF$2:$BF$105,Calc!$BG$2:$BG$105,Calc!$BH$2:$BH$105,Calc!$BI$2:$BI$105,Calc!$BJ$2:$BJ$105),MATCH($W80,Calc!$A$2:$A$105,0)),"")</f>
        <v>16.9748919291281</v>
      </c>
      <c r="AA80" s="11" t="n">
        <f aca="false">IF(Z80="","",IF(LEFT($X80,1)="H",SQRT(Z80*(IFERROR(INDEX(Calc!$AP$2:$AP$105,MATCH($W80,Calc!$A$2:$A$105,0)),0.5)*Config!$B$5+1-IFERROR(INDEX(Calc!$AP$2:$AP$105,MATCH($W80,Calc!$A$2:$A$105,0)),0.5))),SQRT(Z80*Config!$B$5)))</f>
        <v>4.55687724650379</v>
      </c>
      <c r="AB80" s="10" t="n">
        <f aca="false">IF(OR(F80="",Z80="",N(AA80)&lt;=0),"",1-NORMDIST(FLOOR(F80,1)+0.5,Z80,AA80,TRUE()))</f>
        <v>0.454129748654666</v>
      </c>
      <c r="AC80" s="10" t="n">
        <f aca="false">IF(AB80="","",NORMDIST(CEILING(F80,1)-0.5,Z80,AA80,TRUE()))</f>
        <v>0.545870251345334</v>
      </c>
      <c r="AD80" s="0" t="str">
        <f aca="false">IF(AB80="","",IF(AB80&gt;=0.5+Config!$B$6,"OVER",IF(AC80&gt;=0.5+Config!$B$6,"UNDER","—")))</f>
        <v>UNDER</v>
      </c>
      <c r="AE80" s="13" t="n">
        <f aca="false">IFERROR(Z80/G80,"")</f>
        <v>1.00972348356521</v>
      </c>
    </row>
    <row r="81" customFormat="false" ht="15" hidden="false" customHeight="false" outlineLevel="0" collapsed="false">
      <c r="A81" s="0" t="s">
        <v>775</v>
      </c>
      <c r="B81" s="0" t="s">
        <v>843</v>
      </c>
      <c r="C81" s="0" t="s">
        <v>981</v>
      </c>
      <c r="D81" s="0" t="s">
        <v>849</v>
      </c>
      <c r="E81" s="0" t="s">
        <v>888</v>
      </c>
      <c r="F81" s="0" t="n">
        <v>30.5</v>
      </c>
      <c r="G81" s="11" t="n">
        <f aca="false">IFERROR(INDEX(CHOOSE(MATCH($X81,{"K1","K2","K3","K12","K13","H1","H2","H3","H12","H13"},0),Calc!$V$2:$V$105,Calc!$AC$2:$AC$105,Calc!$AJ$2:$AJ$105,Calc!$AL$2:$AL$105,Calc!$AM$2:$AM$105,Calc!$W$2:$W$105,Calc!$AD$2:$AD$105,Calc!$AK$2:$AK$105,Calc!$AN$2:$AN$105,Calc!$AO$2:$AO$105),MATCH($W81,Calc!$A$2:$A$105,0)),"")</f>
        <v>30.1165384615385</v>
      </c>
      <c r="H81" s="11" t="n">
        <f aca="false">IF(G81="","",IF(LEFT($X81,1)="H",SQRT(G81*(IFERROR(INDEX(Calc!$AP$2:$AP$105,MATCH($W81,Calc!$A$2:$A$105,0)),0.5)*Config!$B$5+1-IFERROR(INDEX(Calc!$AP$2:$AP$105,MATCH($W81,Calc!$A$2:$A$105,0)),0.5))),SQRT(G81*Config!$B$5)))</f>
        <v>6.49331609011558</v>
      </c>
      <c r="I81" s="10" t="n">
        <f aca="false">IF(OR(F81="",G81="",N(H81)&lt;=0),"",1-NORMDIST(FLOOR(F81,1)+0.5,G81,H81,TRUE()))</f>
        <v>0.47645422667361</v>
      </c>
      <c r="J81" s="10" t="n">
        <f aca="false">IF(I81="","",NORMDIST(CEILING(F81,1)-0.5,G81,H81,TRUE()))</f>
        <v>0.52354577332639</v>
      </c>
      <c r="K81" s="10" t="n">
        <f aca="false">IF(I81="","",MAX(0,1-I81-J81))</f>
        <v>0</v>
      </c>
      <c r="L81" s="0" t="str">
        <f aca="false">IF(I81="","",IF(I81&gt;=0.5+Config!$B$6,"OVER",IF(J81&gt;=0.5+Config!$B$6,"UNDER","—")))</f>
        <v>—</v>
      </c>
      <c r="N81" s="0" t="n">
        <v>31</v>
      </c>
      <c r="O81" s="10" t="n">
        <v>0.6</v>
      </c>
      <c r="P81" s="10" t="n">
        <v>0.6</v>
      </c>
      <c r="Q81" s="10" t="n">
        <v>0.6</v>
      </c>
      <c r="R81" s="9" t="s">
        <v>907</v>
      </c>
      <c r="S81" s="0" t="n">
        <v>-1</v>
      </c>
      <c r="T81" s="0" t="str">
        <f aca="false">INDEX(Calc!$G$2:$G$105,MATCH($W81,Calc!$A$2:$A$105,0))&amp;" / "&amp;INDEX(Calc!$H$2:$H$105,MATCH($W81,Calc!$A$2:$A$105,0))</f>
        <v>Inferno / Dust2</v>
      </c>
      <c r="U81" s="0" t="str">
        <f aca="false">TEXT(INDEX(Calc!$J$2:$J$105,MATCH($W81,Calc!$A$2:$A$105,0)),"0.0")&amp;" / "&amp;TEXT(INDEX(Calc!$K$2:$K$105,MATCH($W81,Calc!$A$2:$A$105,0)),"0.0")</f>
        <v>21.5 / 21.5</v>
      </c>
      <c r="V81" s="0" t="str">
        <f aca="false">IFERROR(INDEX(Calc!$AQ$2:$AQ$105,MATCH($W81,Calc!$A$2:$A$105,0)),"")</f>
        <v/>
      </c>
      <c r="W81" s="9" t="s">
        <v>982</v>
      </c>
      <c r="X81" s="9" t="s">
        <v>891</v>
      </c>
      <c r="Y81" s="0" t="str">
        <f aca="false">W81&amp;"|"&amp;X81</f>
        <v>01464eymprqfx0w|CS2 · BIG vs MGLZ|K12</v>
      </c>
      <c r="Z81" s="11" t="n">
        <f aca="false">IFERROR(INDEX(CHOOSE(MATCH($X81,{"K1","K2","K3","K12","K13","H1","H2","H3","H12","H13"},0),Calc!$BA$2:$BA$105,Calc!$BB$2:$BB$105,Calc!$BC$2:$BC$105,Calc!$BD$2:$BD$105,Calc!$BE$2:$BE$105,Calc!$BF$2:$BF$105,Calc!$BG$2:$BG$105,Calc!$BH$2:$BH$105,Calc!$BI$2:$BI$105,Calc!$BJ$2:$BJ$105),MATCH($W81,Calc!$A$2:$A$105,0)),"")</f>
        <v>30.4335831218283</v>
      </c>
      <c r="AA81" s="11" t="n">
        <f aca="false">IF(Z81="","",IF(LEFT($X81,1)="H",SQRT(Z81*(IFERROR(INDEX(Calc!$AP$2:$AP$105,MATCH($W81,Calc!$A$2:$A$105,0)),0.5)*Config!$B$5+1-IFERROR(INDEX(Calc!$AP$2:$AP$105,MATCH($W81,Calc!$A$2:$A$105,0)),0.5))),SQRT(Z81*Config!$B$5)))</f>
        <v>6.52740502577859</v>
      </c>
      <c r="AB81" s="10" t="n">
        <f aca="false">IF(OR(F81="",Z81="",N(AA81)&lt;=0),"",1-NORMDIST(FLOOR(F81,1)+0.5,Z81,AA81,TRUE()))</f>
        <v>0.495940799823172</v>
      </c>
      <c r="AC81" s="10" t="n">
        <f aca="false">IF(AB81="","",NORMDIST(CEILING(F81,1)-0.5,Z81,AA81,TRUE()))</f>
        <v>0.504059200176828</v>
      </c>
      <c r="AD81" s="0" t="str">
        <f aca="false">IF(AB81="","",IF(AB81&gt;=0.5+Config!$B$6,"OVER",IF(AC81&gt;=0.5+Config!$B$6,"UNDER","—")))</f>
        <v>—</v>
      </c>
      <c r="AE81" s="13" t="n">
        <f aca="false">IFERROR(Z81/G81,"")</f>
        <v>1.01052726098302</v>
      </c>
    </row>
    <row r="82" customFormat="false" ht="15" hidden="false" customHeight="false" outlineLevel="0" collapsed="false">
      <c r="A82" s="0" t="s">
        <v>775</v>
      </c>
      <c r="B82" s="0" t="s">
        <v>843</v>
      </c>
      <c r="C82" s="0" t="s">
        <v>983</v>
      </c>
      <c r="D82" s="0" t="s">
        <v>849</v>
      </c>
      <c r="E82" s="0" t="s">
        <v>893</v>
      </c>
      <c r="F82" s="0" t="n">
        <v>15.5</v>
      </c>
      <c r="G82" s="11" t="n">
        <f aca="false">IFERROR(INDEX(CHOOSE(MATCH($X82,{"K1","K2","K3","K12","K13","H1","H2","H3","H12","H13"},0),Calc!$V$2:$V$105,Calc!$AC$2:$AC$105,Calc!$AJ$2:$AJ$105,Calc!$AL$2:$AL$105,Calc!$AM$2:$AM$105,Calc!$W$2:$W$105,Calc!$AD$2:$AD$105,Calc!$AK$2:$AK$105,Calc!$AN$2:$AN$105,Calc!$AO$2:$AO$105),MATCH($W82,Calc!$A$2:$A$105,0)),"")</f>
        <v>17.2394152040816</v>
      </c>
      <c r="H82" s="11" t="n">
        <f aca="false">IF(G82="","",IF(LEFT($X82,1)="H",SQRT(G82*(IFERROR(INDEX(Calc!$AP$2:$AP$105,MATCH($W82,Calc!$A$2:$A$105,0)),0.5)*Config!$B$5+1-IFERROR(INDEX(Calc!$AP$2:$AP$105,MATCH($W82,Calc!$A$2:$A$105,0)),0.5))),SQRT(G82*Config!$B$5)))</f>
        <v>4.62841319409116</v>
      </c>
      <c r="I82" s="10" t="n">
        <f aca="false">IF(OR(F82="",G82="",N(H82)&lt;=0),"",1-NORMDIST(FLOOR(F82,1)+0.5,G82,H82,TRUE()))</f>
        <v>0.646471826421621</v>
      </c>
      <c r="J82" s="10" t="n">
        <f aca="false">IF(I82="","",NORMDIST(CEILING(F82,1)-0.5,G82,H82,TRUE()))</f>
        <v>0.353528173578379</v>
      </c>
      <c r="K82" s="10" t="n">
        <f aca="false">IF(I82="","",MAX(0,1-I82-J82))</f>
        <v>0</v>
      </c>
      <c r="L82" s="0" t="str">
        <f aca="false">IF(I82="","",IF(I82&gt;=0.5+Config!$B$6,"OVER",IF(J82&gt;=0.5+Config!$B$6,"UNDER","—")))</f>
        <v>OVER</v>
      </c>
      <c r="N82" s="0" t="n">
        <v>17.1</v>
      </c>
      <c r="O82" s="10" t="n">
        <v>0.8</v>
      </c>
      <c r="P82" s="10" t="n">
        <v>0.6</v>
      </c>
      <c r="Q82" s="10" t="n">
        <v>0.53</v>
      </c>
      <c r="R82" s="9" t="s">
        <v>907</v>
      </c>
      <c r="S82" s="0" t="n">
        <v>3</v>
      </c>
      <c r="T82" s="0" t="str">
        <f aca="false">INDEX(Calc!$G$2:$G$105,MATCH($W82,Calc!$A$2:$A$105,0))&amp;" / "&amp;INDEX(Calc!$H$2:$H$105,MATCH($W82,Calc!$A$2:$A$105,0))</f>
        <v>Inferno / Dust2</v>
      </c>
      <c r="U82" s="0" t="str">
        <f aca="false">TEXT(INDEX(Calc!$J$2:$J$105,MATCH($W82,Calc!$A$2:$A$105,0)),"0.0")&amp;" / "&amp;TEXT(INDEX(Calc!$K$2:$K$105,MATCH($W82,Calc!$A$2:$A$105,0)),"0.0")</f>
        <v>21.5 / 21.5</v>
      </c>
      <c r="V82" s="0" t="str">
        <f aca="false">IFERROR(INDEX(Calc!$AQ$2:$AQ$105,MATCH($W82,Calc!$A$2:$A$105,0)),"")</f>
        <v/>
      </c>
      <c r="W82" s="9" t="s">
        <v>984</v>
      </c>
      <c r="X82" s="9" t="s">
        <v>896</v>
      </c>
      <c r="Y82" s="0" t="str">
        <f aca="false">W82&amp;"|"&amp;X82</f>
        <v>dobeml44vsvpy4d|CS2 · BIG vs MGLZ|H12</v>
      </c>
      <c r="Z82" s="11" t="n">
        <f aca="false">IFERROR(INDEX(CHOOSE(MATCH($X82,{"K1","K2","K3","K12","K13","H1","H2","H3","H12","H13"},0),Calc!$BA$2:$BA$105,Calc!$BB$2:$BB$105,Calc!$BC$2:$BC$105,Calc!$BD$2:$BD$105,Calc!$BE$2:$BE$105,Calc!$BF$2:$BF$105,Calc!$BG$2:$BG$105,Calc!$BH$2:$BH$105,Calc!$BI$2:$BI$105,Calc!$BJ$2:$BJ$105),MATCH($W82,Calc!$A$2:$A$105,0)),"")</f>
        <v>17.3631763279356</v>
      </c>
      <c r="AA82" s="11" t="n">
        <f aca="false">IF(Z82="","",IF(LEFT($X82,1)="H",SQRT(Z82*(IFERROR(INDEX(Calc!$AP$2:$AP$105,MATCH($W82,Calc!$A$2:$A$105,0)),0.5)*Config!$B$5+1-IFERROR(INDEX(Calc!$AP$2:$AP$105,MATCH($W82,Calc!$A$2:$A$105,0)),0.5))),SQRT(Z82*Config!$B$5)))</f>
        <v>4.64499708705954</v>
      </c>
      <c r="AB82" s="10" t="n">
        <f aca="false">IF(OR(F82="",Z82="",N(AA82)&lt;=0),"",1-NORMDIST(FLOOR(F82,1)+0.5,Z82,AA82,TRUE()))</f>
        <v>0.655832138148271</v>
      </c>
      <c r="AC82" s="10" t="n">
        <f aca="false">IF(AB82="","",NORMDIST(CEILING(F82,1)-0.5,Z82,AA82,TRUE()))</f>
        <v>0.344167861851729</v>
      </c>
      <c r="AD82" s="0" t="str">
        <f aca="false">IF(AB82="","",IF(AB82&gt;=0.5+Config!$B$6,"OVER",IF(AC82&gt;=0.5+Config!$B$6,"UNDER","—")))</f>
        <v>OVER</v>
      </c>
      <c r="AE82" s="13" t="n">
        <f aca="false">IFERROR(Z82/G82,"")</f>
        <v>1.00717896299781</v>
      </c>
    </row>
    <row r="83" customFormat="false" ht="15" hidden="false" customHeight="false" outlineLevel="0" collapsed="false">
      <c r="A83" s="0" t="s">
        <v>775</v>
      </c>
      <c r="B83" s="0" t="s">
        <v>843</v>
      </c>
      <c r="C83" s="0" t="s">
        <v>983</v>
      </c>
      <c r="D83" s="0" t="s">
        <v>849</v>
      </c>
      <c r="E83" s="0" t="s">
        <v>888</v>
      </c>
      <c r="F83" s="0" t="n">
        <v>28.5</v>
      </c>
      <c r="G83" s="11" t="n">
        <f aca="false">IFERROR(INDEX(CHOOSE(MATCH($X83,{"K1","K2","K3","K12","K13","H1","H2","H3","H12","H13"},0),Calc!$V$2:$V$105,Calc!$AC$2:$AC$105,Calc!$AJ$2:$AJ$105,Calc!$AL$2:$AL$105,Calc!$AM$2:$AM$105,Calc!$W$2:$W$105,Calc!$AD$2:$AD$105,Calc!$AK$2:$AK$105,Calc!$AN$2:$AN$105,Calc!$AO$2:$AO$105),MATCH($W83,Calc!$A$2:$A$105,0)),"")</f>
        <v>28.4209523809524</v>
      </c>
      <c r="H83" s="11" t="n">
        <f aca="false">IF(G83="","",IF(LEFT($X83,1)="H",SQRT(G83*(IFERROR(INDEX(Calc!$AP$2:$AP$105,MATCH($W83,Calc!$A$2:$A$105,0)),0.5)*Config!$B$5+1-IFERROR(INDEX(Calc!$AP$2:$AP$105,MATCH($W83,Calc!$A$2:$A$105,0)),0.5))),SQRT(G83*Config!$B$5)))</f>
        <v>6.30787867141826</v>
      </c>
      <c r="I83" s="10" t="n">
        <f aca="false">IF(OR(F83="",G83="",N(H83)&lt;=0),"",1-NORMDIST(FLOOR(F83,1)+0.5,G83,H83,TRUE()))</f>
        <v>0.495000757992261</v>
      </c>
      <c r="J83" s="10" t="n">
        <f aca="false">IF(I83="","",NORMDIST(CEILING(F83,1)-0.5,G83,H83,TRUE()))</f>
        <v>0.50499924200774</v>
      </c>
      <c r="K83" s="10" t="n">
        <f aca="false">IF(I83="","",MAX(0,1-I83-J83))</f>
        <v>0</v>
      </c>
      <c r="L83" s="0" t="str">
        <f aca="false">IF(I83="","",IF(I83&gt;=0.5+Config!$B$6,"OVER",IF(J83&gt;=0.5+Config!$B$6,"UNDER","—")))</f>
        <v>—</v>
      </c>
      <c r="N83" s="0" t="n">
        <v>30.8</v>
      </c>
      <c r="O83" s="10" t="n">
        <v>0.8</v>
      </c>
      <c r="P83" s="10" t="n">
        <v>0.6</v>
      </c>
      <c r="Q83" s="10" t="n">
        <v>0.4</v>
      </c>
      <c r="R83" s="9" t="s">
        <v>907</v>
      </c>
      <c r="S83" s="0" t="n">
        <v>3</v>
      </c>
      <c r="T83" s="0" t="str">
        <f aca="false">INDEX(Calc!$G$2:$G$105,MATCH($W83,Calc!$A$2:$A$105,0))&amp;" / "&amp;INDEX(Calc!$H$2:$H$105,MATCH($W83,Calc!$A$2:$A$105,0))</f>
        <v>Inferno / Dust2</v>
      </c>
      <c r="U83" s="0" t="str">
        <f aca="false">TEXT(INDEX(Calc!$J$2:$J$105,MATCH($W83,Calc!$A$2:$A$105,0)),"0.0")&amp;" / "&amp;TEXT(INDEX(Calc!$K$2:$K$105,MATCH($W83,Calc!$A$2:$A$105,0)),"0.0")</f>
        <v>21.5 / 21.5</v>
      </c>
      <c r="V83" s="0" t="str">
        <f aca="false">IFERROR(INDEX(Calc!$AQ$2:$AQ$105,MATCH($W83,Calc!$A$2:$A$105,0)),"")</f>
        <v/>
      </c>
      <c r="W83" s="9" t="s">
        <v>984</v>
      </c>
      <c r="X83" s="9" t="s">
        <v>891</v>
      </c>
      <c r="Y83" s="0" t="str">
        <f aca="false">W83&amp;"|"&amp;X83</f>
        <v>dobeml44vsvpy4d|CS2 · BIG vs MGLZ|K12</v>
      </c>
      <c r="Z83" s="11" t="n">
        <f aca="false">IFERROR(INDEX(CHOOSE(MATCH($X83,{"K1","K2","K3","K12","K13","H1","H2","H3","H12","H13"},0),Calc!$BA$2:$BA$105,Calc!$BB$2:$BB$105,Calc!$BC$2:$BC$105,Calc!$BD$2:$BD$105,Calc!$BE$2:$BE$105,Calc!$BF$2:$BF$105,Calc!$BG$2:$BG$105,Calc!$BH$2:$BH$105,Calc!$BI$2:$BI$105,Calc!$BJ$2:$BJ$105),MATCH($W83,Calc!$A$2:$A$105,0)),"")</f>
        <v>28.6327702140997</v>
      </c>
      <c r="AA83" s="11" t="n">
        <f aca="false">IF(Z83="","",IF(LEFT($X83,1)="H",SQRT(Z83*(IFERROR(INDEX(Calc!$AP$2:$AP$105,MATCH($W83,Calc!$A$2:$A$105,0)),0.5)*Config!$B$5+1-IFERROR(INDEX(Calc!$AP$2:$AP$105,MATCH($W83,Calc!$A$2:$A$105,0)),0.5))),SQRT(Z83*Config!$B$5)))</f>
        <v>6.33134095589075</v>
      </c>
      <c r="AB83" s="10" t="n">
        <f aca="false">IF(OR(F83="",Z83="",N(AA83)&lt;=0),"",1-NORMDIST(FLOOR(F83,1)+0.5,Z83,AA83,TRUE()))</f>
        <v>0.508365332160057</v>
      </c>
      <c r="AC83" s="10" t="n">
        <f aca="false">IF(AB83="","",NORMDIST(CEILING(F83,1)-0.5,Z83,AA83,TRUE()))</f>
        <v>0.491634667839943</v>
      </c>
      <c r="AD83" s="0" t="str">
        <f aca="false">IF(AB83="","",IF(AB83&gt;=0.5+Config!$B$6,"OVER",IF(AC83&gt;=0.5+Config!$B$6,"UNDER","—")))</f>
        <v>—</v>
      </c>
      <c r="AE83" s="13" t="n">
        <f aca="false">IFERROR(Z83/G83,"")</f>
        <v>1.00745287597362</v>
      </c>
    </row>
    <row r="84" customFormat="false" ht="15" hidden="false" customHeight="false" outlineLevel="0" collapsed="false">
      <c r="A84" s="0" t="s">
        <v>775</v>
      </c>
      <c r="B84" s="0" t="s">
        <v>843</v>
      </c>
      <c r="C84" s="0" t="s">
        <v>985</v>
      </c>
      <c r="D84" s="0" t="s">
        <v>849</v>
      </c>
      <c r="E84" s="0" t="s">
        <v>893</v>
      </c>
      <c r="F84" s="0" t="n">
        <v>15.5</v>
      </c>
      <c r="G84" s="11" t="n">
        <f aca="false">IFERROR(INDEX(CHOOSE(MATCH($X84,{"K1","K2","K3","K12","K13","H1","H2","H3","H12","H13"},0),Calc!$V$2:$V$105,Calc!$AC$2:$AC$105,Calc!$AJ$2:$AJ$105,Calc!$AL$2:$AL$105,Calc!$AM$2:$AM$105,Calc!$W$2:$W$105,Calc!$AD$2:$AD$105,Calc!$AK$2:$AK$105,Calc!$AN$2:$AN$105,Calc!$AO$2:$AO$105),MATCH($W84,Calc!$A$2:$A$105,0)),"")</f>
        <v>14.627146364645</v>
      </c>
      <c r="H84" s="11" t="n">
        <f aca="false">IF(G84="","",IF(LEFT($X84,1)="H",SQRT(G84*(IFERROR(INDEX(Calc!$AP$2:$AP$105,MATCH($W84,Calc!$A$2:$A$105,0)),0.5)*Config!$B$5+1-IFERROR(INDEX(Calc!$AP$2:$AP$105,MATCH($W84,Calc!$A$2:$A$105,0)),0.5))),SQRT(G84*Config!$B$5)))</f>
        <v>4.26511254643036</v>
      </c>
      <c r="I84" s="10" t="n">
        <f aca="false">IF(OR(F84="",G84="",N(H84)&lt;=0),"",1-NORMDIST(FLOOR(F84,1)+0.5,G84,H84,TRUE()))</f>
        <v>0.418922944738714</v>
      </c>
      <c r="J84" s="10" t="n">
        <f aca="false">IF(I84="","",NORMDIST(CEILING(F84,1)-0.5,G84,H84,TRUE()))</f>
        <v>0.581077055261286</v>
      </c>
      <c r="K84" s="10" t="n">
        <f aca="false">IF(I84="","",MAX(0,1-I84-J84))</f>
        <v>0</v>
      </c>
      <c r="L84" s="0" t="str">
        <f aca="false">IF(I84="","",IF(I84&gt;=0.5+Config!$B$6,"OVER",IF(J84&gt;=0.5+Config!$B$6,"UNDER","—")))</f>
        <v>UNDER</v>
      </c>
      <c r="N84" s="0" t="n">
        <v>13.5</v>
      </c>
      <c r="O84" s="10" t="n">
        <v>0.2</v>
      </c>
      <c r="P84" s="10" t="n">
        <v>0.3</v>
      </c>
      <c r="Q84" s="10" t="n">
        <v>0.27</v>
      </c>
      <c r="R84" s="9" t="s">
        <v>889</v>
      </c>
      <c r="S84" s="0" t="n">
        <v>1</v>
      </c>
      <c r="T84" s="0" t="str">
        <f aca="false">INDEX(Calc!$G$2:$G$105,MATCH($W84,Calc!$A$2:$A$105,0))&amp;" / "&amp;INDEX(Calc!$H$2:$H$105,MATCH($W84,Calc!$A$2:$A$105,0))</f>
        <v>Inferno / Dust2</v>
      </c>
      <c r="U84" s="0" t="str">
        <f aca="false">TEXT(INDEX(Calc!$J$2:$J$105,MATCH($W84,Calc!$A$2:$A$105,0)),"0.0")&amp;" / "&amp;TEXT(INDEX(Calc!$K$2:$K$105,MATCH($W84,Calc!$A$2:$A$105,0)),"0.0")</f>
        <v>21.5 / 21.5</v>
      </c>
      <c r="V84" s="0" t="str">
        <f aca="false">IFERROR(INDEX(Calc!$AQ$2:$AQ$105,MATCH($W84,Calc!$A$2:$A$105,0)),"")</f>
        <v/>
      </c>
      <c r="W84" s="9" t="s">
        <v>986</v>
      </c>
      <c r="X84" s="9" t="s">
        <v>896</v>
      </c>
      <c r="Y84" s="0" t="str">
        <f aca="false">W84&amp;"|"&amp;X84</f>
        <v>f34szm5kcyom32u|CS2 · BIG vs MGLZ|H12</v>
      </c>
      <c r="Z84" s="11" t="n">
        <f aca="false">IFERROR(INDEX(CHOOSE(MATCH($X84,{"K1","K2","K3","K12","K13","H1","H2","H3","H12","H13"},0),Calc!$BA$2:$BA$105,Calc!$BB$2:$BB$105,Calc!$BC$2:$BC$105,Calc!$BD$2:$BD$105,Calc!$BE$2:$BE$105,Calc!$BF$2:$BF$105,Calc!$BG$2:$BG$105,Calc!$BH$2:$BH$105,Calc!$BI$2:$BI$105,Calc!$BJ$2:$BJ$105),MATCH($W84,Calc!$A$2:$A$105,0)),"")</f>
        <v>14.7548039869441</v>
      </c>
      <c r="AA84" s="11" t="n">
        <f aca="false">IF(Z84="","",IF(LEFT($X84,1)="H",SQRT(Z84*(IFERROR(INDEX(Calc!$AP$2:$AP$105,MATCH($W84,Calc!$A$2:$A$105,0)),0.5)*Config!$B$5+1-IFERROR(INDEX(Calc!$AP$2:$AP$105,MATCH($W84,Calc!$A$2:$A$105,0)),0.5))),SQRT(Z84*Config!$B$5)))</f>
        <v>4.28368388296323</v>
      </c>
      <c r="AB84" s="10" t="n">
        <f aca="false">IF(OR(F84="",Z84="",N(AA84)&lt;=0),"",1-NORMDIST(FLOOR(F84,1)+0.5,Z84,AA84,TRUE()))</f>
        <v>0.430947865258763</v>
      </c>
      <c r="AC84" s="10" t="n">
        <f aca="false">IF(AB84="","",NORMDIST(CEILING(F84,1)-0.5,Z84,AA84,TRUE()))</f>
        <v>0.569052134741237</v>
      </c>
      <c r="AD84" s="0" t="str">
        <f aca="false">IF(AB84="","",IF(AB84&gt;=0.5+Config!$B$6,"OVER",IF(AC84&gt;=0.5+Config!$B$6,"UNDER","—")))</f>
        <v>UNDER</v>
      </c>
      <c r="AE84" s="13" t="n">
        <f aca="false">IFERROR(Z84/G84,"")</f>
        <v>1.00872744547137</v>
      </c>
    </row>
    <row r="85" customFormat="false" ht="15" hidden="false" customHeight="false" outlineLevel="0" collapsed="false">
      <c r="A85" s="0" t="s">
        <v>775</v>
      </c>
      <c r="B85" s="0" t="s">
        <v>843</v>
      </c>
      <c r="C85" s="0" t="s">
        <v>985</v>
      </c>
      <c r="D85" s="0" t="s">
        <v>849</v>
      </c>
      <c r="E85" s="0" t="s">
        <v>888</v>
      </c>
      <c r="F85" s="0" t="n">
        <v>25.5</v>
      </c>
      <c r="G85" s="11" t="n">
        <f aca="false">IFERROR(INDEX(CHOOSE(MATCH($X85,{"K1","K2","K3","K12","K13","H1","H2","H3","H12","H13"},0),Calc!$V$2:$V$105,Calc!$AC$2:$AC$105,Calc!$AJ$2:$AJ$105,Calc!$AL$2:$AL$105,Calc!$AM$2:$AM$105,Calc!$W$2:$W$105,Calc!$AD$2:$AD$105,Calc!$AK$2:$AK$105,Calc!$AN$2:$AN$105,Calc!$AO$2:$AO$105),MATCH($W85,Calc!$A$2:$A$105,0)),"")</f>
        <v>24.0124679487179</v>
      </c>
      <c r="H85" s="11" t="n">
        <f aca="false">IF(G85="","",IF(LEFT($X85,1)="H",SQRT(G85*(IFERROR(INDEX(Calc!$AP$2:$AP$105,MATCH($W85,Calc!$A$2:$A$105,0)),0.5)*Config!$B$5+1-IFERROR(INDEX(Calc!$AP$2:$AP$105,MATCH($W85,Calc!$A$2:$A$105,0)),0.5))),SQRT(G85*Config!$B$5)))</f>
        <v>5.79805615083237</v>
      </c>
      <c r="I85" s="10" t="n">
        <f aca="false">IF(OR(F85="",G85="",N(H85)&lt;=0),"",1-NORMDIST(FLOOR(F85,1)+0.5,G85,H85,TRUE()))</f>
        <v>0.398760375936553</v>
      </c>
      <c r="J85" s="10" t="n">
        <f aca="false">IF(I85="","",NORMDIST(CEILING(F85,1)-0.5,G85,H85,TRUE()))</f>
        <v>0.601239624063447</v>
      </c>
      <c r="K85" s="10" t="n">
        <f aca="false">IF(I85="","",MAX(0,1-I85-J85))</f>
        <v>0</v>
      </c>
      <c r="L85" s="0" t="str">
        <f aca="false">IF(I85="","",IF(I85&gt;=0.5+Config!$B$6,"OVER",IF(J85&gt;=0.5+Config!$B$6,"UNDER","—")))</f>
        <v>UNDER</v>
      </c>
      <c r="N85" s="0" t="n">
        <v>22.5</v>
      </c>
      <c r="O85" s="10" t="n">
        <v>0.2</v>
      </c>
      <c r="P85" s="10" t="n">
        <v>0.3</v>
      </c>
      <c r="Q85" s="10" t="n">
        <v>0.47</v>
      </c>
      <c r="R85" s="9" t="s">
        <v>889</v>
      </c>
      <c r="S85" s="0" t="n">
        <v>1</v>
      </c>
      <c r="T85" s="0" t="str">
        <f aca="false">INDEX(Calc!$G$2:$G$105,MATCH($W85,Calc!$A$2:$A$105,0))&amp;" / "&amp;INDEX(Calc!$H$2:$H$105,MATCH($W85,Calc!$A$2:$A$105,0))</f>
        <v>Inferno / Dust2</v>
      </c>
      <c r="U85" s="0" t="str">
        <f aca="false">TEXT(INDEX(Calc!$J$2:$J$105,MATCH($W85,Calc!$A$2:$A$105,0)),"0.0")&amp;" / "&amp;TEXT(INDEX(Calc!$K$2:$K$105,MATCH($W85,Calc!$A$2:$A$105,0)),"0.0")</f>
        <v>21.5 / 21.5</v>
      </c>
      <c r="V85" s="0" t="str">
        <f aca="false">IFERROR(INDEX(Calc!$AQ$2:$AQ$105,MATCH($W85,Calc!$A$2:$A$105,0)),"")</f>
        <v/>
      </c>
      <c r="W85" s="9" t="s">
        <v>986</v>
      </c>
      <c r="X85" s="9" t="s">
        <v>891</v>
      </c>
      <c r="Y85" s="0" t="str">
        <f aca="false">W85&amp;"|"&amp;X85</f>
        <v>f34szm5kcyom32u|CS2 · BIG vs MGLZ|K12</v>
      </c>
      <c r="Z85" s="11" t="n">
        <f aca="false">IFERROR(INDEX(CHOOSE(MATCH($X85,{"K1","K2","K3","K12","K13","H1","H2","H3","H12","H13"},0),Calc!$BA$2:$BA$105,Calc!$BB$2:$BB$105,Calc!$BC$2:$BC$105,Calc!$BD$2:$BD$105,Calc!$BE$2:$BE$105,Calc!$BF$2:$BF$105,Calc!$BG$2:$BG$105,Calc!$BH$2:$BH$105,Calc!$BI$2:$BI$105,Calc!$BJ$2:$BJ$105),MATCH($W85,Calc!$A$2:$A$105,0)),"")</f>
        <v>24.2201238041268</v>
      </c>
      <c r="AA85" s="11" t="n">
        <f aca="false">IF(Z85="","",IF(LEFT($X85,1)="H",SQRT(Z85*(IFERROR(INDEX(Calc!$AP$2:$AP$105,MATCH($W85,Calc!$A$2:$A$105,0)),0.5)*Config!$B$5+1-IFERROR(INDEX(Calc!$AP$2:$AP$105,MATCH($W85,Calc!$A$2:$A$105,0)),0.5))),SQRT(Z85*Config!$B$5)))</f>
        <v>5.82307249875678</v>
      </c>
      <c r="AB85" s="10" t="n">
        <f aca="false">IF(OR(F85="",Z85="",N(AA85)&lt;=0),"",1-NORMDIST(FLOOR(F85,1)+0.5,Z85,AA85,TRUE()))</f>
        <v>0.413015809779833</v>
      </c>
      <c r="AC85" s="10" t="n">
        <f aca="false">IF(AB85="","",NORMDIST(CEILING(F85,1)-0.5,Z85,AA85,TRUE()))</f>
        <v>0.586984190220168</v>
      </c>
      <c r="AD85" s="0" t="str">
        <f aca="false">IF(AB85="","",IF(AB85&gt;=0.5+Config!$B$6,"OVER",IF(AC85&gt;=0.5+Config!$B$6,"UNDER","—")))</f>
        <v>UNDER</v>
      </c>
      <c r="AE85" s="13" t="n">
        <f aca="false">IFERROR(Z85/G85,"")</f>
        <v>1.00864783477701</v>
      </c>
    </row>
    <row r="86" customFormat="false" ht="15" hidden="false" customHeight="false" outlineLevel="0" collapsed="false">
      <c r="A86" s="0" t="s">
        <v>775</v>
      </c>
      <c r="B86" s="0" t="s">
        <v>857</v>
      </c>
      <c r="C86" s="0" t="s">
        <v>987</v>
      </c>
      <c r="D86" s="0" t="s">
        <v>862</v>
      </c>
      <c r="E86" s="0" t="s">
        <v>888</v>
      </c>
      <c r="F86" s="0" t="n">
        <v>29.5</v>
      </c>
      <c r="G86" s="11" t="n">
        <f aca="false">IFERROR(INDEX(CHOOSE(MATCH($X86,{"K1","K2","K3","K12","K13","H1","H2","H3","H12","H13"},0),Calc!$V$2:$V$105,Calc!$AC$2:$AC$105,Calc!$AJ$2:$AJ$105,Calc!$AL$2:$AL$105,Calc!$AM$2:$AM$105,Calc!$W$2:$W$105,Calc!$AD$2:$AD$105,Calc!$AK$2:$AK$105,Calc!$AN$2:$AN$105,Calc!$AO$2:$AO$105),MATCH($W86,Calc!$A$2:$A$105,0)),"")</f>
        <v>33.1439935897436</v>
      </c>
      <c r="H86" s="11" t="n">
        <f aca="false">IF(G86="","",IF(LEFT($X86,1)="H",SQRT(G86*(IFERROR(INDEX(Calc!$AP$2:$AP$105,MATCH($W86,Calc!$A$2:$A$105,0)),0.5)*Config!$B$5+1-IFERROR(INDEX(Calc!$AP$2:$AP$105,MATCH($W86,Calc!$A$2:$A$105,0)),0.5))),SQRT(G86*Config!$B$5)))</f>
        <v>6.81187133067273</v>
      </c>
      <c r="I86" s="10" t="n">
        <f aca="false">IF(OR(F86="",G86="",N(H86)&lt;=0),"",1-NORMDIST(FLOOR(F86,1)+0.5,G86,H86,TRUE()))</f>
        <v>0.703656922033204</v>
      </c>
      <c r="J86" s="10" t="n">
        <f aca="false">IF(I86="","",NORMDIST(CEILING(F86,1)-0.5,G86,H86,TRUE()))</f>
        <v>0.296343077966796</v>
      </c>
      <c r="K86" s="10" t="n">
        <f aca="false">IF(I86="","",MAX(0,1-I86-J86))</f>
        <v>0</v>
      </c>
      <c r="L86" s="0" t="str">
        <f aca="false">IF(I86="","",IF(I86&gt;=0.5+Config!$B$6,"OVER",IF(J86&gt;=0.5+Config!$B$6,"UNDER","—")))</f>
        <v>OVER</v>
      </c>
      <c r="N86" s="0" t="n">
        <v>29.4</v>
      </c>
      <c r="O86" s="10" t="n">
        <v>0.4</v>
      </c>
      <c r="P86" s="10" t="n">
        <v>0.5</v>
      </c>
      <c r="Q86" s="10" t="n">
        <v>0.6</v>
      </c>
      <c r="R86" s="9" t="s">
        <v>988</v>
      </c>
      <c r="S86" s="0" t="n">
        <v>-2</v>
      </c>
      <c r="T86" s="0" t="str">
        <f aca="false">INDEX(Calc!$G$2:$G$105,MATCH($W86,Calc!$A$2:$A$105,0))&amp;" / "&amp;INDEX(Calc!$H$2:$H$105,MATCH($W86,Calc!$A$2:$A$105,0))</f>
        <v>Ancient / Inferno</v>
      </c>
      <c r="U86" s="0" t="str">
        <f aca="false">TEXT(INDEX(Calc!$J$2:$J$105,MATCH($W86,Calc!$A$2:$A$105,0)),"0.0")&amp;" / "&amp;TEXT(INDEX(Calc!$K$2:$K$105,MATCH($W86,Calc!$A$2:$A$105,0)),"0.0")</f>
        <v>21.5 / 21.3</v>
      </c>
      <c r="V86" s="0" t="str">
        <f aca="false">IFERROR(INDEX(Calc!$AQ$2:$AQ$105,MATCH($W86,Calc!$A$2:$A$105,0)),"")</f>
        <v/>
      </c>
      <c r="W86" s="9" t="s">
        <v>989</v>
      </c>
      <c r="X86" s="9" t="s">
        <v>891</v>
      </c>
      <c r="Y86" s="0" t="str">
        <f aca="false">W86&amp;"|"&amp;X86</f>
        <v>h6qqf27cvpf4wi5|CS2 · FNC vs PRV|K12</v>
      </c>
      <c r="Z86" s="11" t="n">
        <f aca="false">IFERROR(INDEX(CHOOSE(MATCH($X86,{"K1","K2","K3","K12","K13","H1","H2","H3","H12","H13"},0),Calc!$BA$2:$BA$105,Calc!$BB$2:$BB$105,Calc!$BC$2:$BC$105,Calc!$BD$2:$BD$105,Calc!$BE$2:$BE$105,Calc!$BF$2:$BF$105,Calc!$BG$2:$BG$105,Calc!$BH$2:$BH$105,Calc!$BI$2:$BI$105,Calc!$BJ$2:$BJ$105),MATCH($W86,Calc!$A$2:$A$105,0)),"")</f>
        <v>31.1585402085979</v>
      </c>
      <c r="AA86" s="11" t="n">
        <f aca="false">IF(Z86="","",IF(LEFT($X86,1)="H",SQRT(Z86*(IFERROR(INDEX(Calc!$AP$2:$AP$105,MATCH($W86,Calc!$A$2:$A$105,0)),0.5)*Config!$B$5+1-IFERROR(INDEX(Calc!$AP$2:$AP$105,MATCH($W86,Calc!$A$2:$A$105,0)),0.5))),SQRT(Z86*Config!$B$5)))</f>
        <v>6.60469199070154</v>
      </c>
      <c r="AB86" s="10" t="n">
        <f aca="false">IF(OR(F86="",Z86="",N(AA86)&lt;=0),"",1-NORMDIST(FLOOR(F86,1)+0.5,Z86,AA86,TRUE()))</f>
        <v>0.599137574835861</v>
      </c>
      <c r="AC86" s="10" t="n">
        <f aca="false">IF(AB86="","",NORMDIST(CEILING(F86,1)-0.5,Z86,AA86,TRUE()))</f>
        <v>0.400862425164139</v>
      </c>
      <c r="AD86" s="0" t="str">
        <f aca="false">IF(AB86="","",IF(AB86&gt;=0.5+Config!$B$6,"OVER",IF(AC86&gt;=0.5+Config!$B$6,"UNDER","—")))</f>
        <v>OVER</v>
      </c>
      <c r="AE86" s="13" t="n">
        <f aca="false">IFERROR(Z86/G86,"")</f>
        <v>0.940096133081557</v>
      </c>
    </row>
    <row r="87" customFormat="false" ht="15" hidden="false" customHeight="false" outlineLevel="0" collapsed="false">
      <c r="A87" s="0" t="s">
        <v>775</v>
      </c>
      <c r="B87" s="0" t="s">
        <v>857</v>
      </c>
      <c r="C87" s="0" t="s">
        <v>990</v>
      </c>
      <c r="D87" s="0" t="s">
        <v>862</v>
      </c>
      <c r="E87" s="0" t="s">
        <v>888</v>
      </c>
      <c r="F87" s="0" t="n">
        <v>24.5</v>
      </c>
      <c r="G87" s="11" t="n">
        <f aca="false">IFERROR(INDEX(CHOOSE(MATCH($X87,{"K1","K2","K3","K12","K13","H1","H2","H3","H12","H13"},0),Calc!$V$2:$V$105,Calc!$AC$2:$AC$105,Calc!$AJ$2:$AJ$105,Calc!$AL$2:$AL$105,Calc!$AM$2:$AM$105,Calc!$W$2:$W$105,Calc!$AD$2:$AD$105,Calc!$AK$2:$AK$105,Calc!$AN$2:$AN$105,Calc!$AO$2:$AO$105),MATCH($W87,Calc!$A$2:$A$105,0)),"")</f>
        <v>22.7182628205128</v>
      </c>
      <c r="H87" s="11" t="n">
        <f aca="false">IF(G87="","",IF(LEFT($X87,1)="H",SQRT(G87*(IFERROR(INDEX(Calc!$AP$2:$AP$105,MATCH($W87,Calc!$A$2:$A$105,0)),0.5)*Config!$B$5+1-IFERROR(INDEX(Calc!$AP$2:$AP$105,MATCH($W87,Calc!$A$2:$A$105,0)),0.5))),SQRT(G87*Config!$B$5)))</f>
        <v>5.63964253731723</v>
      </c>
      <c r="I87" s="10" t="n">
        <f aca="false">IF(OR(F87="",G87="",N(H87)&lt;=0),"",1-NORMDIST(FLOOR(F87,1)+0.5,G87,H87,TRUE()))</f>
        <v>0.376027489668033</v>
      </c>
      <c r="J87" s="10" t="n">
        <f aca="false">IF(I87="","",NORMDIST(CEILING(F87,1)-0.5,G87,H87,TRUE()))</f>
        <v>0.623972510331967</v>
      </c>
      <c r="K87" s="10" t="n">
        <f aca="false">IF(I87="","",MAX(0,1-I87-J87))</f>
        <v>0</v>
      </c>
      <c r="L87" s="0" t="str">
        <f aca="false">IF(I87="","",IF(I87&gt;=0.5+Config!$B$6,"OVER",IF(J87&gt;=0.5+Config!$B$6,"UNDER","—")))</f>
        <v>UNDER</v>
      </c>
      <c r="N87" s="0" t="n">
        <v>24</v>
      </c>
      <c r="O87" s="10" t="n">
        <v>0.6</v>
      </c>
      <c r="P87" s="10" t="n">
        <v>0.6</v>
      </c>
      <c r="Q87" s="10" t="n">
        <v>0.47</v>
      </c>
      <c r="R87" s="9" t="s">
        <v>988</v>
      </c>
      <c r="S87" s="0" t="n">
        <v>1</v>
      </c>
      <c r="T87" s="0" t="str">
        <f aca="false">INDEX(Calc!$G$2:$G$105,MATCH($W87,Calc!$A$2:$A$105,0))&amp;" / "&amp;INDEX(Calc!$H$2:$H$105,MATCH($W87,Calc!$A$2:$A$105,0))</f>
        <v>Ancient / Inferno</v>
      </c>
      <c r="U87" s="0" t="str">
        <f aca="false">TEXT(INDEX(Calc!$J$2:$J$105,MATCH($W87,Calc!$A$2:$A$105,0)),"0.0")&amp;" / "&amp;TEXT(INDEX(Calc!$K$2:$K$105,MATCH($W87,Calc!$A$2:$A$105,0)),"0.0")</f>
        <v>21.5 / 21.3</v>
      </c>
      <c r="V87" s="0" t="str">
        <f aca="false">IFERROR(INDEX(Calc!$AQ$2:$AQ$105,MATCH($W87,Calc!$A$2:$A$105,0)),"")</f>
        <v/>
      </c>
      <c r="W87" s="9" t="s">
        <v>991</v>
      </c>
      <c r="X87" s="9" t="s">
        <v>891</v>
      </c>
      <c r="Y87" s="0" t="str">
        <f aca="false">W87&amp;"|"&amp;X87</f>
        <v>f9t8og97ml0t6z0|CS2 · FNC vs PRV|K12</v>
      </c>
      <c r="Z87" s="11" t="n">
        <f aca="false">IFERROR(INDEX(CHOOSE(MATCH($X87,{"K1","K2","K3","K12","K13","H1","H2","H3","H12","H13"},0),Calc!$BA$2:$BA$105,Calc!$BB$2:$BB$105,Calc!$BC$2:$BC$105,Calc!$BD$2:$BD$105,Calc!$BE$2:$BE$105,Calc!$BF$2:$BF$105,Calc!$BG$2:$BG$105,Calc!$BH$2:$BH$105,Calc!$BI$2:$BI$105,Calc!$BJ$2:$BJ$105),MATCH($W87,Calc!$A$2:$A$105,0)),"")</f>
        <v>21.3560743651866</v>
      </c>
      <c r="AA87" s="11" t="n">
        <f aca="false">IF(Z87="","",IF(LEFT($X87,1)="H",SQRT(Z87*(IFERROR(INDEX(Calc!$AP$2:$AP$105,MATCH($W87,Calc!$A$2:$A$105,0)),0.5)*Config!$B$5+1-IFERROR(INDEX(Calc!$AP$2:$AP$105,MATCH($W87,Calc!$A$2:$A$105,0)),0.5))),SQRT(Z87*Config!$B$5)))</f>
        <v>5.46795246058899</v>
      </c>
      <c r="AB87" s="10" t="n">
        <f aca="false">IF(OR(F87="",Z87="",N(AA87)&lt;=0),"",1-NORMDIST(FLOOR(F87,1)+0.5,Z87,AA87,TRUE()))</f>
        <v>0.282654741355398</v>
      </c>
      <c r="AC87" s="10" t="n">
        <f aca="false">IF(AB87="","",NORMDIST(CEILING(F87,1)-0.5,Z87,AA87,TRUE()))</f>
        <v>0.717345258644602</v>
      </c>
      <c r="AD87" s="0" t="str">
        <f aca="false">IF(AB87="","",IF(AB87&gt;=0.5+Config!$B$6,"OVER",IF(AC87&gt;=0.5+Config!$B$6,"UNDER","—")))</f>
        <v>UNDER</v>
      </c>
      <c r="AE87" s="13" t="n">
        <f aca="false">IFERROR(Z87/G87,"")</f>
        <v>0.940039937644515</v>
      </c>
    </row>
    <row r="88" customFormat="false" ht="15" hidden="false" customHeight="false" outlineLevel="0" collapsed="false">
      <c r="A88" s="0" t="s">
        <v>775</v>
      </c>
      <c r="B88" s="0" t="s">
        <v>857</v>
      </c>
      <c r="C88" s="0" t="s">
        <v>992</v>
      </c>
      <c r="D88" s="0" t="s">
        <v>862</v>
      </c>
      <c r="E88" s="0" t="s">
        <v>888</v>
      </c>
      <c r="F88" s="0" t="n">
        <v>29.5</v>
      </c>
      <c r="G88" s="11" t="n">
        <f aca="false">IFERROR(INDEX(CHOOSE(MATCH($X88,{"K1","K2","K3","K12","K13","H1","H2","H3","H12","H13"},0),Calc!$V$2:$V$105,Calc!$AC$2:$AC$105,Calc!$AJ$2:$AJ$105,Calc!$AL$2:$AL$105,Calc!$AM$2:$AM$105,Calc!$W$2:$W$105,Calc!$AD$2:$AD$105,Calc!$AK$2:$AK$105,Calc!$AN$2:$AN$105,Calc!$AO$2:$AO$105),MATCH($W88,Calc!$A$2:$A$105,0)),"")</f>
        <v>29.7897333333333</v>
      </c>
      <c r="H88" s="11" t="n">
        <f aca="false">IF(G88="","",IF(LEFT($X88,1)="H",SQRT(G88*(IFERROR(INDEX(Calc!$AP$2:$AP$105,MATCH($W88,Calc!$A$2:$A$105,0)),0.5)*Config!$B$5+1-IFERROR(INDEX(Calc!$AP$2:$AP$105,MATCH($W88,Calc!$A$2:$A$105,0)),0.5))),SQRT(G88*Config!$B$5)))</f>
        <v>6.45798936718439</v>
      </c>
      <c r="I88" s="10" t="n">
        <f aca="false">IF(OR(F88="",G88="",N(H88)&lt;=0),"",1-NORMDIST(FLOOR(F88,1)+0.5,G88,H88,TRUE()))</f>
        <v>0.517892273608906</v>
      </c>
      <c r="J88" s="10" t="n">
        <f aca="false">IF(I88="","",NORMDIST(CEILING(F88,1)-0.5,G88,H88,TRUE()))</f>
        <v>0.482107726391094</v>
      </c>
      <c r="K88" s="10" t="n">
        <f aca="false">IF(I88="","",MAX(0,1-I88-J88))</f>
        <v>0</v>
      </c>
      <c r="L88" s="0" t="str">
        <f aca="false">IF(I88="","",IF(I88&gt;=0.5+Config!$B$6,"OVER",IF(J88&gt;=0.5+Config!$B$6,"UNDER","—")))</f>
        <v>—</v>
      </c>
      <c r="N88" s="0" t="n">
        <v>28.1</v>
      </c>
      <c r="O88" s="10" t="n">
        <v>0.6</v>
      </c>
      <c r="P88" s="10" t="n">
        <v>0.5</v>
      </c>
      <c r="Q88" s="10" t="n">
        <v>0.53</v>
      </c>
      <c r="R88" s="9" t="s">
        <v>920</v>
      </c>
      <c r="S88" s="0" t="n">
        <v>1</v>
      </c>
      <c r="T88" s="0" t="str">
        <f aca="false">INDEX(Calc!$G$2:$G$105,MATCH($W88,Calc!$A$2:$A$105,0))&amp;" / "&amp;INDEX(Calc!$H$2:$H$105,MATCH($W88,Calc!$A$2:$A$105,0))</f>
        <v>Ancient / Inferno</v>
      </c>
      <c r="U88" s="0" t="str">
        <f aca="false">TEXT(INDEX(Calc!$J$2:$J$105,MATCH($W88,Calc!$A$2:$A$105,0)),"0.0")&amp;" / "&amp;TEXT(INDEX(Calc!$K$2:$K$105,MATCH($W88,Calc!$A$2:$A$105,0)),"0.0")</f>
        <v>21.5 / 21.3</v>
      </c>
      <c r="V88" s="0" t="str">
        <f aca="false">IFERROR(INDEX(Calc!$AQ$2:$AQ$105,MATCH($W88,Calc!$A$2:$A$105,0)),"")</f>
        <v/>
      </c>
      <c r="W88" s="9" t="s">
        <v>993</v>
      </c>
      <c r="X88" s="9" t="s">
        <v>891</v>
      </c>
      <c r="Y88" s="0" t="str">
        <f aca="false">W88&amp;"|"&amp;X88</f>
        <v>82nefkkz4qxb3gq|CS2 · FNC vs PRV|K12</v>
      </c>
      <c r="Z88" s="11" t="n">
        <f aca="false">IFERROR(INDEX(CHOOSE(MATCH($X88,{"K1","K2","K3","K12","K13","H1","H2","H3","H12","H13"},0),Calc!$BA$2:$BA$105,Calc!$BB$2:$BB$105,Calc!$BC$2:$BC$105,Calc!$BD$2:$BD$105,Calc!$BE$2:$BE$105,Calc!$BF$2:$BF$105,Calc!$BG$2:$BG$105,Calc!$BH$2:$BH$105,Calc!$BI$2:$BI$105,Calc!$BJ$2:$BJ$105),MATCH($W88,Calc!$A$2:$A$105,0)),"")</f>
        <v>28.00078382316</v>
      </c>
      <c r="AA88" s="11" t="n">
        <f aca="false">IF(Z88="","",IF(LEFT($X88,1)="H",SQRT(Z88*(IFERROR(INDEX(Calc!$AP$2:$AP$105,MATCH($W88,Calc!$A$2:$A$105,0)),0.5)*Config!$B$5+1-IFERROR(INDEX(Calc!$AP$2:$AP$105,MATCH($W88,Calc!$A$2:$A$105,0)),0.5))),SQRT(Z88*Config!$B$5)))</f>
        <v>6.26107797047952</v>
      </c>
      <c r="AB88" s="10" t="n">
        <f aca="false">IF(OR(F88="",Z88="",N(AA88)&lt;=0),"",1-NORMDIST(FLOOR(F88,1)+0.5,Z88,AA88,TRUE()))</f>
        <v>0.405378266066357</v>
      </c>
      <c r="AC88" s="10" t="n">
        <f aca="false">IF(AB88="","",NORMDIST(CEILING(F88,1)-0.5,Z88,AA88,TRUE()))</f>
        <v>0.594621733933643</v>
      </c>
      <c r="AD88" s="0" t="str">
        <f aca="false">IF(AB88="","",IF(AB88&gt;=0.5+Config!$B$6,"OVER",IF(AC88&gt;=0.5+Config!$B$6,"UNDER","—")))</f>
        <v>UNDER</v>
      </c>
      <c r="AE88" s="13" t="n">
        <f aca="false">IFERROR(Z88/G88,"")</f>
        <v>0.9399474479964</v>
      </c>
    </row>
    <row r="89" customFormat="false" ht="15" hidden="false" customHeight="false" outlineLevel="0" collapsed="false">
      <c r="A89" s="0" t="s">
        <v>775</v>
      </c>
      <c r="B89" s="0" t="s">
        <v>857</v>
      </c>
      <c r="C89" s="0" t="s">
        <v>994</v>
      </c>
      <c r="D89" s="0" t="s">
        <v>862</v>
      </c>
      <c r="E89" s="0" t="s">
        <v>888</v>
      </c>
      <c r="F89" s="0" t="n">
        <v>30.5</v>
      </c>
      <c r="G89" s="11" t="n">
        <f aca="false">IFERROR(INDEX(CHOOSE(MATCH($X89,{"K1","K2","K3","K12","K13","H1","H2","H3","H12","H13"},0),Calc!$V$2:$V$105,Calc!$AC$2:$AC$105,Calc!$AJ$2:$AJ$105,Calc!$AL$2:$AL$105,Calc!$AM$2:$AM$105,Calc!$W$2:$W$105,Calc!$AD$2:$AD$105,Calc!$AK$2:$AK$105,Calc!$AN$2:$AN$105,Calc!$AO$2:$AO$105),MATCH($W89,Calc!$A$2:$A$105,0)),"")</f>
        <v>32.3350923076923</v>
      </c>
      <c r="H89" s="11" t="n">
        <f aca="false">IF(G89="","",IF(LEFT($X89,1)="H",SQRT(G89*(IFERROR(INDEX(Calc!$AP$2:$AP$105,MATCH($W89,Calc!$A$2:$A$105,0)),0.5)*Config!$B$5+1-IFERROR(INDEX(Calc!$AP$2:$AP$105,MATCH($W89,Calc!$A$2:$A$105,0)),0.5))),SQRT(G89*Config!$B$5)))</f>
        <v>6.72823373782223</v>
      </c>
      <c r="I89" s="10" t="n">
        <f aca="false">IF(OR(F89="",G89="",N(H89)&lt;=0),"",1-NORMDIST(FLOOR(F89,1)+0.5,G89,H89,TRUE()))</f>
        <v>0.607475390931837</v>
      </c>
      <c r="J89" s="10" t="n">
        <f aca="false">IF(I89="","",NORMDIST(CEILING(F89,1)-0.5,G89,H89,TRUE()))</f>
        <v>0.392524609068163</v>
      </c>
      <c r="K89" s="10" t="n">
        <f aca="false">IF(I89="","",MAX(0,1-I89-J89))</f>
        <v>0</v>
      </c>
      <c r="L89" s="0" t="str">
        <f aca="false">IF(I89="","",IF(I89&gt;=0.5+Config!$B$6,"OVER",IF(J89&gt;=0.5+Config!$B$6,"UNDER","—")))</f>
        <v>OVER</v>
      </c>
      <c r="N89" s="0" t="n">
        <v>32</v>
      </c>
      <c r="O89" s="10" t="n">
        <v>0.6</v>
      </c>
      <c r="P89" s="10" t="n">
        <v>0.6</v>
      </c>
      <c r="Q89" s="10" t="n">
        <v>0.6</v>
      </c>
      <c r="R89" s="9" t="s">
        <v>902</v>
      </c>
      <c r="S89" s="0" t="n">
        <v>-1</v>
      </c>
      <c r="T89" s="0" t="str">
        <f aca="false">INDEX(Calc!$G$2:$G$105,MATCH($W89,Calc!$A$2:$A$105,0))&amp;" / "&amp;INDEX(Calc!$H$2:$H$105,MATCH($W89,Calc!$A$2:$A$105,0))</f>
        <v>Ancient / Inferno</v>
      </c>
      <c r="U89" s="0" t="str">
        <f aca="false">TEXT(INDEX(Calc!$J$2:$J$105,MATCH($W89,Calc!$A$2:$A$105,0)),"0.0")&amp;" / "&amp;TEXT(INDEX(Calc!$K$2:$K$105,MATCH($W89,Calc!$A$2:$A$105,0)),"0.0")</f>
        <v>21.5 / 21.3</v>
      </c>
      <c r="V89" s="0" t="str">
        <f aca="false">IFERROR(INDEX(Calc!$AQ$2:$AQ$105,MATCH($W89,Calc!$A$2:$A$105,0)),"")</f>
        <v/>
      </c>
      <c r="W89" s="9" t="s">
        <v>995</v>
      </c>
      <c r="X89" s="9" t="s">
        <v>891</v>
      </c>
      <c r="Y89" s="0" t="str">
        <f aca="false">W89&amp;"|"&amp;X89</f>
        <v>vri96qu30akszzt|CS2 · FNC vs PRV|K12</v>
      </c>
      <c r="Z89" s="11" t="n">
        <f aca="false">IFERROR(INDEX(CHOOSE(MATCH($X89,{"K1","K2","K3","K12","K13","H1","H2","H3","H12","H13"},0),Calc!$BA$2:$BA$105,Calc!$BB$2:$BB$105,Calc!$BC$2:$BC$105,Calc!$BD$2:$BD$105,Calc!$BE$2:$BE$105,Calc!$BF$2:$BF$105,Calc!$BG$2:$BG$105,Calc!$BH$2:$BH$105,Calc!$BI$2:$BI$105,Calc!$BJ$2:$BJ$105),MATCH($W89,Calc!$A$2:$A$105,0)),"")</f>
        <v>30.3890529335776</v>
      </c>
      <c r="AA89" s="11" t="n">
        <f aca="false">IF(Z89="","",IF(LEFT($X89,1)="H",SQRT(Z89*(IFERROR(INDEX(Calc!$AP$2:$AP$105,MATCH($W89,Calc!$A$2:$A$105,0)),0.5)*Config!$B$5+1-IFERROR(INDEX(Calc!$AP$2:$AP$105,MATCH($W89,Calc!$A$2:$A$105,0)),0.5))),SQRT(Z89*Config!$B$5)))</f>
        <v>6.52262785286794</v>
      </c>
      <c r="AB89" s="10" t="n">
        <f aca="false">IF(OR(F89="",Z89="",N(AA89)&lt;=0),"",1-NORMDIST(FLOOR(F89,1)+0.5,Z89,AA89,TRUE()))</f>
        <v>0.493214492311107</v>
      </c>
      <c r="AC89" s="10" t="n">
        <f aca="false">IF(AB89="","",NORMDIST(CEILING(F89,1)-0.5,Z89,AA89,TRUE()))</f>
        <v>0.506785507688893</v>
      </c>
      <c r="AD89" s="0" t="str">
        <f aca="false">IF(AB89="","",IF(AB89&gt;=0.5+Config!$B$6,"OVER",IF(AC89&gt;=0.5+Config!$B$6,"UNDER","—")))</f>
        <v>—</v>
      </c>
      <c r="AE89" s="13" t="n">
        <f aca="false">IFERROR(Z89/G89,"")</f>
        <v>0.93981648929291</v>
      </c>
    </row>
    <row r="90" customFormat="false" ht="15" hidden="false" customHeight="false" outlineLevel="0" collapsed="false">
      <c r="A90" s="0" t="s">
        <v>775</v>
      </c>
      <c r="B90" s="0" t="s">
        <v>857</v>
      </c>
      <c r="C90" s="0" t="s">
        <v>996</v>
      </c>
      <c r="D90" s="0" t="s">
        <v>862</v>
      </c>
      <c r="E90" s="0" t="s">
        <v>888</v>
      </c>
      <c r="F90" s="0" t="n">
        <v>28.5</v>
      </c>
      <c r="G90" s="11" t="n">
        <f aca="false">IFERROR(INDEX(CHOOSE(MATCH($X90,{"K1","K2","K3","K12","K13","H1","H2","H3","H12","H13"},0),Calc!$V$2:$V$105,Calc!$AC$2:$AC$105,Calc!$AJ$2:$AJ$105,Calc!$AL$2:$AL$105,Calc!$AM$2:$AM$105,Calc!$W$2:$W$105,Calc!$AD$2:$AD$105,Calc!$AK$2:$AK$105,Calc!$AN$2:$AN$105,Calc!$AO$2:$AO$105),MATCH($W90,Calc!$A$2:$A$105,0)),"")</f>
        <v>27.0236743589744</v>
      </c>
      <c r="H90" s="11" t="n">
        <f aca="false">IF(G90="","",IF(LEFT($X90,1)="H",SQRT(G90*(IFERROR(INDEX(Calc!$AP$2:$AP$105,MATCH($W90,Calc!$A$2:$A$105,0)),0.5)*Config!$B$5+1-IFERROR(INDEX(Calc!$AP$2:$AP$105,MATCH($W90,Calc!$A$2:$A$105,0)),0.5))),SQRT(G90*Config!$B$5)))</f>
        <v>6.15086531331683</v>
      </c>
      <c r="I90" s="10" t="n">
        <f aca="false">IF(OR(F90="",G90="",N(H90)&lt;=0),"",1-NORMDIST(FLOOR(F90,1)+0.5,G90,H90,TRUE()))</f>
        <v>0.405157694322105</v>
      </c>
      <c r="J90" s="10" t="n">
        <f aca="false">IF(I90="","",NORMDIST(CEILING(F90,1)-0.5,G90,H90,TRUE()))</f>
        <v>0.594842305677895</v>
      </c>
      <c r="K90" s="10" t="n">
        <f aca="false">IF(I90="","",MAX(0,1-I90-J90))</f>
        <v>0</v>
      </c>
      <c r="L90" s="0" t="str">
        <f aca="false">IF(I90="","",IF(I90&gt;=0.5+Config!$B$6,"OVER",IF(J90&gt;=0.5+Config!$B$6,"UNDER","—")))</f>
        <v>UNDER</v>
      </c>
      <c r="N90" s="0" t="n">
        <v>25.7</v>
      </c>
      <c r="O90" s="10" t="n">
        <v>0.2</v>
      </c>
      <c r="P90" s="10" t="n">
        <v>0.4</v>
      </c>
      <c r="Q90" s="10" t="n">
        <v>0.47</v>
      </c>
      <c r="R90" s="9" t="s">
        <v>907</v>
      </c>
      <c r="S90" s="0" t="n">
        <v>1</v>
      </c>
      <c r="T90" s="0" t="str">
        <f aca="false">INDEX(Calc!$G$2:$G$105,MATCH($W90,Calc!$A$2:$A$105,0))&amp;" / "&amp;INDEX(Calc!$H$2:$H$105,MATCH($W90,Calc!$A$2:$A$105,0))</f>
        <v>Ancient / Inferno</v>
      </c>
      <c r="U90" s="0" t="str">
        <f aca="false">TEXT(INDEX(Calc!$J$2:$J$105,MATCH($W90,Calc!$A$2:$A$105,0)),"0.0")&amp;" / "&amp;TEXT(INDEX(Calc!$K$2:$K$105,MATCH($W90,Calc!$A$2:$A$105,0)),"0.0")</f>
        <v>21.5 / 21.3</v>
      </c>
      <c r="V90" s="0" t="str">
        <f aca="false">IFERROR(INDEX(Calc!$AQ$2:$AQ$105,MATCH($W90,Calc!$A$2:$A$105,0)),"")</f>
        <v/>
      </c>
      <c r="W90" s="9" t="s">
        <v>997</v>
      </c>
      <c r="X90" s="9" t="s">
        <v>891</v>
      </c>
      <c r="Y90" s="0" t="str">
        <f aca="false">W90&amp;"|"&amp;X90</f>
        <v>nm2jvu2w8c75yhk|CS2 · FNC vs PRV|K12</v>
      </c>
      <c r="Z90" s="11" t="n">
        <f aca="false">IFERROR(INDEX(CHOOSE(MATCH($X90,{"K1","K2","K3","K12","K13","H1","H2","H3","H12","H13"},0),Calc!$BA$2:$BA$105,Calc!$BB$2:$BB$105,Calc!$BC$2:$BC$105,Calc!$BD$2:$BD$105,Calc!$BE$2:$BE$105,Calc!$BF$2:$BF$105,Calc!$BG$2:$BG$105,Calc!$BH$2:$BH$105,Calc!$BI$2:$BI$105,Calc!$BJ$2:$BJ$105),MATCH($W90,Calc!$A$2:$A$105,0)),"")</f>
        <v>25.3982519490739</v>
      </c>
      <c r="AA90" s="11" t="n">
        <f aca="false">IF(Z90="","",IF(LEFT($X90,1)="H",SQRT(Z90*(IFERROR(INDEX(Calc!$AP$2:$AP$105,MATCH($W90,Calc!$A$2:$A$105,0)),0.5)*Config!$B$5+1-IFERROR(INDEX(Calc!$AP$2:$AP$105,MATCH($W90,Calc!$A$2:$A$105,0)),0.5))),SQRT(Z90*Config!$B$5)))</f>
        <v>5.96301540570737</v>
      </c>
      <c r="AB90" s="10" t="n">
        <f aca="false">IF(OR(F90="",Z90="",N(AA90)&lt;=0),"",1-NORMDIST(FLOOR(F90,1)+0.5,Z90,AA90,TRUE()))</f>
        <v>0.301474514176223</v>
      </c>
      <c r="AC90" s="10" t="n">
        <f aca="false">IF(AB90="","",NORMDIST(CEILING(F90,1)-0.5,Z90,AA90,TRUE()))</f>
        <v>0.698525485823777</v>
      </c>
      <c r="AD90" s="0" t="str">
        <f aca="false">IF(AB90="","",IF(AB90&gt;=0.5+Config!$B$6,"OVER",IF(AC90&gt;=0.5+Config!$B$6,"UNDER","—")))</f>
        <v>UNDER</v>
      </c>
      <c r="AE90" s="13" t="n">
        <f aca="false">IFERROR(Z90/G90,"")</f>
        <v>0.939851909540173</v>
      </c>
    </row>
    <row r="91" customFormat="false" ht="15" hidden="false" customHeight="false" outlineLevel="0" collapsed="false">
      <c r="A91" s="0" t="s">
        <v>775</v>
      </c>
      <c r="B91" s="0" t="s">
        <v>857</v>
      </c>
      <c r="C91" s="0" t="s">
        <v>998</v>
      </c>
      <c r="D91" s="0" t="s">
        <v>863</v>
      </c>
      <c r="E91" s="0" t="s">
        <v>888</v>
      </c>
      <c r="F91" s="0" t="n">
        <v>29.5</v>
      </c>
      <c r="G91" s="11" t="n">
        <f aca="false">IFERROR(INDEX(CHOOSE(MATCH($X91,{"K1","K2","K3","K12","K13","H1","H2","H3","H12","H13"},0),Calc!$V$2:$V$105,Calc!$AC$2:$AC$105,Calc!$AJ$2:$AJ$105,Calc!$AL$2:$AL$105,Calc!$AM$2:$AM$105,Calc!$W$2:$W$105,Calc!$AD$2:$AD$105,Calc!$AK$2:$AK$105,Calc!$AN$2:$AN$105,Calc!$AO$2:$AO$105),MATCH($W91,Calc!$A$2:$A$105,0)),"")</f>
        <v>27.2369357142857</v>
      </c>
      <c r="H91" s="11" t="n">
        <f aca="false">IF(G91="","",IF(LEFT($X91,1)="H",SQRT(G91*(IFERROR(INDEX(Calc!$AP$2:$AP$105,MATCH($W91,Calc!$A$2:$A$105,0)),0.5)*Config!$B$5+1-IFERROR(INDEX(Calc!$AP$2:$AP$105,MATCH($W91,Calc!$A$2:$A$105,0)),0.5))),SQRT(G91*Config!$B$5)))</f>
        <v>6.17508785362605</v>
      </c>
      <c r="I91" s="10" t="n">
        <f aca="false">IF(OR(F91="",G91="",N(H91)&lt;=0),"",1-NORMDIST(FLOOR(F91,1)+0.5,G91,H91,TRUE()))</f>
        <v>0.357002374161095</v>
      </c>
      <c r="J91" s="10" t="n">
        <f aca="false">IF(I91="","",NORMDIST(CEILING(F91,1)-0.5,G91,H91,TRUE()))</f>
        <v>0.642997625838905</v>
      </c>
      <c r="K91" s="10" t="n">
        <f aca="false">IF(I91="","",MAX(0,1-I91-J91))</f>
        <v>0</v>
      </c>
      <c r="L91" s="0" t="str">
        <f aca="false">IF(I91="","",IF(I91&gt;=0.5+Config!$B$6,"OVER",IF(J91&gt;=0.5+Config!$B$6,"UNDER","—")))</f>
        <v>UNDER</v>
      </c>
      <c r="N91" s="0" t="n">
        <v>25.3</v>
      </c>
      <c r="O91" s="10" t="n">
        <v>0.2</v>
      </c>
      <c r="P91" s="10" t="n">
        <v>0.3</v>
      </c>
      <c r="Q91" s="10" t="n">
        <v>0.33</v>
      </c>
      <c r="R91" s="9" t="s">
        <v>999</v>
      </c>
      <c r="S91" s="0" t="n">
        <v>-4</v>
      </c>
      <c r="T91" s="0" t="str">
        <f aca="false">INDEX(Calc!$G$2:$G$105,MATCH($W91,Calc!$A$2:$A$105,0))&amp;" / "&amp;INDEX(Calc!$H$2:$H$105,MATCH($W91,Calc!$A$2:$A$105,0))</f>
        <v>Ancient / Inferno</v>
      </c>
      <c r="U91" s="0" t="str">
        <f aca="false">TEXT(INDEX(Calc!$J$2:$J$105,MATCH($W91,Calc!$A$2:$A$105,0)),"0.0")&amp;" / "&amp;TEXT(INDEX(Calc!$K$2:$K$105,MATCH($W91,Calc!$A$2:$A$105,0)),"0.0")</f>
        <v>21.5 / 21.3</v>
      </c>
      <c r="V91" s="0" t="str">
        <f aca="false">IFERROR(INDEX(Calc!$AQ$2:$AQ$105,MATCH($W91,Calc!$A$2:$A$105,0)),"")</f>
        <v/>
      </c>
      <c r="W91" s="9" t="s">
        <v>1000</v>
      </c>
      <c r="X91" s="9" t="s">
        <v>891</v>
      </c>
      <c r="Y91" s="0" t="str">
        <f aca="false">W91&amp;"|"&amp;X91</f>
        <v>a3gx8x64bsz5lau|CS2 · FNC vs PRV|K12</v>
      </c>
      <c r="Z91" s="11" t="n">
        <f aca="false">IFERROR(INDEX(CHOOSE(MATCH($X91,{"K1","K2","K3","K12","K13","H1","H2","H3","H12","H13"},0),Calc!$BA$2:$BA$105,Calc!$BB$2:$BB$105,Calc!$BC$2:$BC$105,Calc!$BD$2:$BD$105,Calc!$BE$2:$BE$105,Calc!$BF$2:$BF$105,Calc!$BG$2:$BG$105,Calc!$BH$2:$BH$105,Calc!$BI$2:$BI$105,Calc!$BJ$2:$BJ$105),MATCH($W91,Calc!$A$2:$A$105,0)),"")</f>
        <v>28.0494941212933</v>
      </c>
      <c r="AA91" s="11" t="n">
        <f aca="false">IF(Z91="","",IF(LEFT($X91,1)="H",SQRT(Z91*(IFERROR(INDEX(Calc!$AP$2:$AP$105,MATCH($W91,Calc!$A$2:$A$105,0)),0.5)*Config!$B$5+1-IFERROR(INDEX(Calc!$AP$2:$AP$105,MATCH($W91,Calc!$A$2:$A$105,0)),0.5))),SQRT(Z91*Config!$B$5)))</f>
        <v>6.26652150477525</v>
      </c>
      <c r="AB91" s="10" t="n">
        <f aca="false">IF(OR(F91="",Z91="",N(AA91)&lt;=0),"",1-NORMDIST(FLOOR(F91,1)+0.5,Z91,AA91,TRUE()))</f>
        <v>0.408475207412208</v>
      </c>
      <c r="AC91" s="10" t="n">
        <f aca="false">IF(AB91="","",NORMDIST(CEILING(F91,1)-0.5,Z91,AA91,TRUE()))</f>
        <v>0.591524792587792</v>
      </c>
      <c r="AD91" s="0" t="str">
        <f aca="false">IF(AB91="","",IF(AB91&gt;=0.5+Config!$B$6,"OVER",IF(AC91&gt;=0.5+Config!$B$6,"UNDER","—")))</f>
        <v>UNDER</v>
      </c>
      <c r="AE91" s="13" t="n">
        <f aca="false">IFERROR(Z91/G91,"")</f>
        <v>1.02983295975477</v>
      </c>
    </row>
    <row r="92" customFormat="false" ht="15" hidden="false" customHeight="false" outlineLevel="0" collapsed="false">
      <c r="A92" s="0" t="s">
        <v>775</v>
      </c>
      <c r="B92" s="0" t="s">
        <v>857</v>
      </c>
      <c r="C92" s="0" t="s">
        <v>1001</v>
      </c>
      <c r="D92" s="0" t="s">
        <v>863</v>
      </c>
      <c r="E92" s="0" t="s">
        <v>888</v>
      </c>
      <c r="F92" s="0" t="n">
        <v>27.5</v>
      </c>
      <c r="G92" s="11" t="n">
        <f aca="false">IFERROR(INDEX(CHOOSE(MATCH($X92,{"K1","K2","K3","K12","K13","H1","H2","H3","H12","H13"},0),Calc!$V$2:$V$105,Calc!$AC$2:$AC$105,Calc!$AJ$2:$AJ$105,Calc!$AL$2:$AL$105,Calc!$AM$2:$AM$105,Calc!$W$2:$W$105,Calc!$AD$2:$AD$105,Calc!$AK$2:$AK$105,Calc!$AN$2:$AN$105,Calc!$AO$2:$AO$105),MATCH($W92,Calc!$A$2:$A$105,0)),"")</f>
        <v>26.1545298701299</v>
      </c>
      <c r="H92" s="11" t="n">
        <f aca="false">IF(G92="","",IF(LEFT($X92,1)="H",SQRT(G92*(IFERROR(INDEX(Calc!$AP$2:$AP$105,MATCH($W92,Calc!$A$2:$A$105,0)),0.5)*Config!$B$5+1-IFERROR(INDEX(Calc!$AP$2:$AP$105,MATCH($W92,Calc!$A$2:$A$105,0)),0.5))),SQRT(G92*Config!$B$5)))</f>
        <v>6.05114384378539</v>
      </c>
      <c r="I92" s="10" t="n">
        <f aca="false">IF(OR(F92="",G92="",N(H92)&lt;=0),"",1-NORMDIST(FLOOR(F92,1)+0.5,G92,H92,TRUE()))</f>
        <v>0.412020825458595</v>
      </c>
      <c r="J92" s="10" t="n">
        <f aca="false">IF(I92="","",NORMDIST(CEILING(F92,1)-0.5,G92,H92,TRUE()))</f>
        <v>0.587979174541405</v>
      </c>
      <c r="K92" s="10" t="n">
        <f aca="false">IF(I92="","",MAX(0,1-I92-J92))</f>
        <v>0</v>
      </c>
      <c r="L92" s="0" t="str">
        <f aca="false">IF(I92="","",IF(I92&gt;=0.5+Config!$B$6,"OVER",IF(J92&gt;=0.5+Config!$B$6,"UNDER","—")))</f>
        <v>UNDER</v>
      </c>
      <c r="N92" s="0" t="n">
        <v>23.8</v>
      </c>
      <c r="O92" s="10" t="n">
        <v>0.2</v>
      </c>
      <c r="P92" s="10" t="n">
        <v>0.1</v>
      </c>
      <c r="Q92" s="10" t="n">
        <v>0.27</v>
      </c>
      <c r="R92" s="9" t="s">
        <v>907</v>
      </c>
      <c r="S92" s="0" t="n">
        <v>-2</v>
      </c>
      <c r="T92" s="0" t="str">
        <f aca="false">INDEX(Calc!$G$2:$G$105,MATCH($W92,Calc!$A$2:$A$105,0))&amp;" / "&amp;INDEX(Calc!$H$2:$H$105,MATCH($W92,Calc!$A$2:$A$105,0))</f>
        <v>Ancient / Inferno</v>
      </c>
      <c r="U92" s="0" t="str">
        <f aca="false">TEXT(INDEX(Calc!$J$2:$J$105,MATCH($W92,Calc!$A$2:$A$105,0)),"0.0")&amp;" / "&amp;TEXT(INDEX(Calc!$K$2:$K$105,MATCH($W92,Calc!$A$2:$A$105,0)),"0.0")</f>
        <v>21.5 / 21.3</v>
      </c>
      <c r="V92" s="0" t="str">
        <f aca="false">IFERROR(INDEX(Calc!$AQ$2:$AQ$105,MATCH($W92,Calc!$A$2:$A$105,0)),"")</f>
        <v/>
      </c>
      <c r="W92" s="9" t="s">
        <v>1002</v>
      </c>
      <c r="X92" s="9" t="s">
        <v>891</v>
      </c>
      <c r="Y92" s="0" t="str">
        <f aca="false">W92&amp;"|"&amp;X92</f>
        <v>p8559s3zjqtcahr|CS2 · FNC vs PRV|K12</v>
      </c>
      <c r="Z92" s="11" t="n">
        <f aca="false">IFERROR(INDEX(CHOOSE(MATCH($X92,{"K1","K2","K3","K12","K13","H1","H2","H3","H12","H13"},0),Calc!$BA$2:$BA$105,Calc!$BB$2:$BB$105,Calc!$BC$2:$BC$105,Calc!$BD$2:$BD$105,Calc!$BE$2:$BE$105,Calc!$BF$2:$BF$105,Calc!$BG$2:$BG$105,Calc!$BH$2:$BH$105,Calc!$BI$2:$BI$105,Calc!$BJ$2:$BJ$105),MATCH($W92,Calc!$A$2:$A$105,0)),"")</f>
        <v>26.935629095906</v>
      </c>
      <c r="AA92" s="11" t="n">
        <f aca="false">IF(Z92="","",IF(LEFT($X92,1)="H",SQRT(Z92*(IFERROR(INDEX(Calc!$AP$2:$AP$105,MATCH($W92,Calc!$A$2:$A$105,0)),0.5)*Config!$B$5+1-IFERROR(INDEX(Calc!$AP$2:$AP$105,MATCH($W92,Calc!$A$2:$A$105,0)),0.5))),SQRT(Z92*Config!$B$5)))</f>
        <v>6.14083713627616</v>
      </c>
      <c r="AB92" s="10" t="n">
        <f aca="false">IF(OR(F92="",Z92="",N(AA92)&lt;=0),"",1-NORMDIST(FLOOR(F92,1)+0.5,Z92,AA92,TRUE()))</f>
        <v>0.46338693622297</v>
      </c>
      <c r="AC92" s="10" t="n">
        <f aca="false">IF(AB92="","",NORMDIST(CEILING(F92,1)-0.5,Z92,AA92,TRUE()))</f>
        <v>0.53661306377703</v>
      </c>
      <c r="AD92" s="0" t="str">
        <f aca="false">IF(AB92="","",IF(AB92&gt;=0.5+Config!$B$6,"OVER",IF(AC92&gt;=0.5+Config!$B$6,"UNDER","—")))</f>
        <v>—</v>
      </c>
      <c r="AE92" s="13" t="n">
        <f aca="false">IFERROR(Z92/G92,"")</f>
        <v>1.02986477790481</v>
      </c>
    </row>
    <row r="93" customFormat="false" ht="15" hidden="false" customHeight="false" outlineLevel="0" collapsed="false">
      <c r="A93" s="0" t="s">
        <v>775</v>
      </c>
      <c r="B93" s="0" t="s">
        <v>857</v>
      </c>
      <c r="C93" s="0" t="s">
        <v>1003</v>
      </c>
      <c r="D93" s="0" t="s">
        <v>863</v>
      </c>
      <c r="E93" s="0" t="s">
        <v>888</v>
      </c>
      <c r="F93" s="0" t="n">
        <v>29.5</v>
      </c>
      <c r="G93" s="11" t="n">
        <f aca="false">IFERROR(INDEX(CHOOSE(MATCH($X93,{"K1","K2","K3","K12","K13","H1","H2","H3","H12","H13"},0),Calc!$V$2:$V$105,Calc!$AC$2:$AC$105,Calc!$AJ$2:$AJ$105,Calc!$AL$2:$AL$105,Calc!$AM$2:$AM$105,Calc!$W$2:$W$105,Calc!$AD$2:$AD$105,Calc!$AK$2:$AK$105,Calc!$AN$2:$AN$105,Calc!$AO$2:$AO$105),MATCH($W93,Calc!$A$2:$A$105,0)),"")</f>
        <v>27.5182714285714</v>
      </c>
      <c r="H93" s="11" t="n">
        <f aca="false">IF(G93="","",IF(LEFT($X93,1)="H",SQRT(G93*(IFERROR(INDEX(Calc!$AP$2:$AP$105,MATCH($W93,Calc!$A$2:$A$105,0)),0.5)*Config!$B$5+1-IFERROR(INDEX(Calc!$AP$2:$AP$105,MATCH($W93,Calc!$A$2:$A$105,0)),0.5))),SQRT(G93*Config!$B$5)))</f>
        <v>6.20689777586195</v>
      </c>
      <c r="I93" s="10" t="n">
        <f aca="false">IF(OR(F93="",G93="",N(H93)&lt;=0),"",1-NORMDIST(FLOOR(F93,1)+0.5,G93,H93,TRUE()))</f>
        <v>0.374757694230909</v>
      </c>
      <c r="J93" s="10" t="n">
        <f aca="false">IF(I93="","",NORMDIST(CEILING(F93,1)-0.5,G93,H93,TRUE()))</f>
        <v>0.625242305769091</v>
      </c>
      <c r="K93" s="10" t="n">
        <f aca="false">IF(I93="","",MAX(0,1-I93-J93))</f>
        <v>0</v>
      </c>
      <c r="L93" s="0" t="str">
        <f aca="false">IF(I93="","",IF(I93&gt;=0.5+Config!$B$6,"OVER",IF(J93&gt;=0.5+Config!$B$6,"UNDER","—")))</f>
        <v>UNDER</v>
      </c>
      <c r="N93" s="0" t="n">
        <v>24.4</v>
      </c>
      <c r="O93" s="10" t="n">
        <v>0</v>
      </c>
      <c r="P93" s="10" t="n">
        <v>0.2</v>
      </c>
      <c r="Q93" s="10" t="n">
        <v>0.2</v>
      </c>
      <c r="R93" s="9" t="s">
        <v>1004</v>
      </c>
      <c r="S93" s="0" t="n">
        <v>-5</v>
      </c>
      <c r="T93" s="0" t="str">
        <f aca="false">INDEX(Calc!$G$2:$G$105,MATCH($W93,Calc!$A$2:$A$105,0))&amp;" / "&amp;INDEX(Calc!$H$2:$H$105,MATCH($W93,Calc!$A$2:$A$105,0))</f>
        <v>Ancient / Inferno</v>
      </c>
      <c r="U93" s="0" t="str">
        <f aca="false">TEXT(INDEX(Calc!$J$2:$J$105,MATCH($W93,Calc!$A$2:$A$105,0)),"0.0")&amp;" / "&amp;TEXT(INDEX(Calc!$K$2:$K$105,MATCH($W93,Calc!$A$2:$A$105,0)),"0.0")</f>
        <v>21.5 / 21.3</v>
      </c>
      <c r="V93" s="0" t="str">
        <f aca="false">IFERROR(INDEX(Calc!$AQ$2:$AQ$105,MATCH($W93,Calc!$A$2:$A$105,0)),"")</f>
        <v/>
      </c>
      <c r="W93" s="9" t="s">
        <v>1005</v>
      </c>
      <c r="X93" s="9" t="s">
        <v>891</v>
      </c>
      <c r="Y93" s="0" t="str">
        <f aca="false">W93&amp;"|"&amp;X93</f>
        <v>cydchkok64imq1a|CS2 · FNC vs PRV|K12</v>
      </c>
      <c r="Z93" s="11" t="n">
        <f aca="false">IFERROR(INDEX(CHOOSE(MATCH($X93,{"K1","K2","K3","K12","K13","H1","H2","H3","H12","H13"},0),Calc!$BA$2:$BA$105,Calc!$BB$2:$BB$105,Calc!$BC$2:$BC$105,Calc!$BD$2:$BD$105,Calc!$BE$2:$BE$105,Calc!$BF$2:$BF$105,Calc!$BG$2:$BG$105,Calc!$BH$2:$BH$105,Calc!$BI$2:$BI$105,Calc!$BJ$2:$BJ$105),MATCH($W93,Calc!$A$2:$A$105,0)),"")</f>
        <v>28.3492063461198</v>
      </c>
      <c r="AA93" s="11" t="n">
        <f aca="false">IF(Z93="","",IF(LEFT($X93,1)="H",SQRT(Z93*(IFERROR(INDEX(Calc!$AP$2:$AP$105,MATCH($W93,Calc!$A$2:$A$105,0)),0.5)*Config!$B$5+1-IFERROR(INDEX(Calc!$AP$2:$AP$105,MATCH($W93,Calc!$A$2:$A$105,0)),0.5))),SQRT(Z93*Config!$B$5)))</f>
        <v>6.29991181561835</v>
      </c>
      <c r="AB93" s="10" t="n">
        <f aca="false">IF(OR(F93="",Z93="",N(AA93)&lt;=0),"",1-NORMDIST(FLOOR(F93,1)+0.5,Z93,AA93,TRUE()))</f>
        <v>0.427529177932139</v>
      </c>
      <c r="AC93" s="10" t="n">
        <f aca="false">IF(AB93="","",NORMDIST(CEILING(F93,1)-0.5,Z93,AA93,TRUE()))</f>
        <v>0.572470822067861</v>
      </c>
      <c r="AD93" s="0" t="str">
        <f aca="false">IF(AB93="","",IF(AB93&gt;=0.5+Config!$B$6,"OVER",IF(AC93&gt;=0.5+Config!$B$6,"UNDER","—")))</f>
        <v>UNDER</v>
      </c>
      <c r="AE93" s="13" t="n">
        <f aca="false">IFERROR(Z93/G93,"")</f>
        <v>1.03019575265493</v>
      </c>
    </row>
    <row r="94" customFormat="false" ht="15" hidden="false" customHeight="false" outlineLevel="0" collapsed="false">
      <c r="A94" s="0" t="s">
        <v>775</v>
      </c>
      <c r="B94" s="0" t="s">
        <v>857</v>
      </c>
      <c r="C94" s="0" t="s">
        <v>1006</v>
      </c>
      <c r="D94" s="0" t="s">
        <v>863</v>
      </c>
      <c r="E94" s="0" t="s">
        <v>888</v>
      </c>
      <c r="F94" s="0" t="n">
        <v>30.5</v>
      </c>
      <c r="G94" s="11" t="n">
        <f aca="false">IFERROR(INDEX(CHOOSE(MATCH($X94,{"K1","K2","K3","K12","K13","H1","H2","H3","H12","H13"},0),Calc!$V$2:$V$105,Calc!$AC$2:$AC$105,Calc!$AJ$2:$AJ$105,Calc!$AL$2:$AL$105,Calc!$AM$2:$AM$105,Calc!$W$2:$W$105,Calc!$AD$2:$AD$105,Calc!$AK$2:$AK$105,Calc!$AN$2:$AN$105,Calc!$AO$2:$AO$105),MATCH($W94,Calc!$A$2:$A$105,0)),"")</f>
        <v>30.0990857142857</v>
      </c>
      <c r="H94" s="11" t="n">
        <f aca="false">IF(G94="","",IF(LEFT($X94,1)="H",SQRT(G94*(IFERROR(INDEX(Calc!$AP$2:$AP$105,MATCH($W94,Calc!$A$2:$A$105,0)),0.5)*Config!$B$5+1-IFERROR(INDEX(Calc!$AP$2:$AP$105,MATCH($W94,Calc!$A$2:$A$105,0)),0.5))),SQRT(G94*Config!$B$5)))</f>
        <v>6.49143435613424</v>
      </c>
      <c r="I94" s="10" t="n">
        <f aca="false">IF(OR(F94="",G94="",N(H94)&lt;=0),"",1-NORMDIST(FLOOR(F94,1)+0.5,G94,H94,TRUE()))</f>
        <v>0.475376776598122</v>
      </c>
      <c r="J94" s="10" t="n">
        <f aca="false">IF(I94="","",NORMDIST(CEILING(F94,1)-0.5,G94,H94,TRUE()))</f>
        <v>0.524623223401878</v>
      </c>
      <c r="K94" s="10" t="n">
        <f aca="false">IF(I94="","",MAX(0,1-I94-J94))</f>
        <v>0</v>
      </c>
      <c r="L94" s="0" t="str">
        <f aca="false">IF(I94="","",IF(I94&gt;=0.5+Config!$B$6,"OVER",IF(J94&gt;=0.5+Config!$B$6,"UNDER","—")))</f>
        <v>—</v>
      </c>
      <c r="N94" s="0" t="n">
        <v>31.9</v>
      </c>
      <c r="O94" s="10" t="n">
        <v>0.8</v>
      </c>
      <c r="P94" s="10" t="n">
        <v>0.6</v>
      </c>
      <c r="Q94" s="10" t="n">
        <v>0.47</v>
      </c>
      <c r="R94" s="9" t="s">
        <v>1007</v>
      </c>
      <c r="S94" s="0" t="n">
        <v>3</v>
      </c>
      <c r="T94" s="0" t="str">
        <f aca="false">INDEX(Calc!$G$2:$G$105,MATCH($W94,Calc!$A$2:$A$105,0))&amp;" / "&amp;INDEX(Calc!$H$2:$H$105,MATCH($W94,Calc!$A$2:$A$105,0))</f>
        <v>Ancient / Inferno</v>
      </c>
      <c r="U94" s="0" t="str">
        <f aca="false">TEXT(INDEX(Calc!$J$2:$J$105,MATCH($W94,Calc!$A$2:$A$105,0)),"0.0")&amp;" / "&amp;TEXT(INDEX(Calc!$K$2:$K$105,MATCH($W94,Calc!$A$2:$A$105,0)),"0.0")</f>
        <v>21.5 / 21.3</v>
      </c>
      <c r="V94" s="0" t="str">
        <f aca="false">IFERROR(INDEX(Calc!$AQ$2:$AQ$105,MATCH($W94,Calc!$A$2:$A$105,0)),"")</f>
        <v/>
      </c>
      <c r="W94" s="9" t="s">
        <v>1008</v>
      </c>
      <c r="X94" s="9" t="s">
        <v>891</v>
      </c>
      <c r="Y94" s="0" t="str">
        <f aca="false">W94&amp;"|"&amp;X94</f>
        <v>bqc9xefllzsykyn|CS2 · FNC vs PRV|K12</v>
      </c>
      <c r="Z94" s="11" t="n">
        <f aca="false">IFERROR(INDEX(CHOOSE(MATCH($X94,{"K1","K2","K3","K12","K13","H1","H2","H3","H12","H13"},0),Calc!$BA$2:$BA$105,Calc!$BB$2:$BB$105,Calc!$BC$2:$BC$105,Calc!$BD$2:$BD$105,Calc!$BE$2:$BE$105,Calc!$BF$2:$BF$105,Calc!$BG$2:$BG$105,Calc!$BH$2:$BH$105,Calc!$BI$2:$BI$105,Calc!$BJ$2:$BJ$105),MATCH($W94,Calc!$A$2:$A$105,0)),"")</f>
        <v>30.9944912850186</v>
      </c>
      <c r="AA94" s="11" t="n">
        <f aca="false">IF(Z94="","",IF(LEFT($X94,1)="H",SQRT(Z94*(IFERROR(INDEX(Calc!$AP$2:$AP$105,MATCH($W94,Calc!$A$2:$A$105,0)),0.5)*Config!$B$5+1-IFERROR(INDEX(Calc!$AP$2:$AP$105,MATCH($W94,Calc!$A$2:$A$105,0)),0.5))),SQRT(Z94*Config!$B$5)))</f>
        <v>6.58728227716302</v>
      </c>
      <c r="AB94" s="10" t="n">
        <f aca="false">IF(OR(F94="",Z94="",N(AA94)&lt;=0),"",1-NORMDIST(FLOOR(F94,1)+0.5,Z94,AA94,TRUE()))</f>
        <v>0.529919525504533</v>
      </c>
      <c r="AC94" s="10" t="n">
        <f aca="false">IF(AB94="","",NORMDIST(CEILING(F94,1)-0.5,Z94,AA94,TRUE()))</f>
        <v>0.470080474495467</v>
      </c>
      <c r="AD94" s="0" t="str">
        <f aca="false">IF(AB94="","",IF(AB94&gt;=0.5+Config!$B$6,"OVER",IF(AC94&gt;=0.5+Config!$B$6,"UNDER","—")))</f>
        <v>—</v>
      </c>
      <c r="AE94" s="13" t="n">
        <f aca="false">IFERROR(Z94/G94,"")</f>
        <v>1.0297485969917</v>
      </c>
    </row>
    <row r="95" customFormat="false" ht="15" hidden="false" customHeight="false" outlineLevel="0" collapsed="false">
      <c r="A95" s="0" t="s">
        <v>775</v>
      </c>
      <c r="B95" s="0" t="s">
        <v>857</v>
      </c>
      <c r="C95" s="0" t="s">
        <v>1009</v>
      </c>
      <c r="D95" s="0" t="s">
        <v>863</v>
      </c>
      <c r="E95" s="0" t="s">
        <v>888</v>
      </c>
      <c r="F95" s="0" t="n">
        <v>27.5</v>
      </c>
      <c r="G95" s="11" t="n">
        <f aca="false">IFERROR(INDEX(CHOOSE(MATCH($X95,{"K1","K2","K3","K12","K13","H1","H2","H3","H12","H13"},0),Calc!$V$2:$V$105,Calc!$AC$2:$AC$105,Calc!$AJ$2:$AJ$105,Calc!$AL$2:$AL$105,Calc!$AM$2:$AM$105,Calc!$W$2:$W$105,Calc!$AD$2:$AD$105,Calc!$AK$2:$AK$105,Calc!$AN$2:$AN$105,Calc!$AO$2:$AO$105),MATCH($W95,Calc!$A$2:$A$105,0)),"")</f>
        <v>25.53555</v>
      </c>
      <c r="H95" s="11" t="n">
        <f aca="false">IF(G95="","",IF(LEFT($X95,1)="H",SQRT(G95*(IFERROR(INDEX(Calc!$AP$2:$AP$105,MATCH($W95,Calc!$A$2:$A$105,0)),0.5)*Config!$B$5+1-IFERROR(INDEX(Calc!$AP$2:$AP$105,MATCH($W95,Calc!$A$2:$A$105,0)),0.5))),SQRT(G95*Config!$B$5)))</f>
        <v>5.97911113795353</v>
      </c>
      <c r="I95" s="10" t="n">
        <f aca="false">IF(OR(F95="",G95="",N(H95)&lt;=0),"",1-NORMDIST(FLOOR(F95,1)+0.5,G95,H95,TRUE()))</f>
        <v>0.37124709886094</v>
      </c>
      <c r="J95" s="10" t="n">
        <f aca="false">IF(I95="","",NORMDIST(CEILING(F95,1)-0.5,G95,H95,TRUE()))</f>
        <v>0.62875290113906</v>
      </c>
      <c r="K95" s="10" t="n">
        <f aca="false">IF(I95="","",MAX(0,1-I95-J95))</f>
        <v>0</v>
      </c>
      <c r="L95" s="0" t="str">
        <f aca="false">IF(I95="","",IF(I95&gt;=0.5+Config!$B$6,"OVER",IF(J95&gt;=0.5+Config!$B$6,"UNDER","—")))</f>
        <v>UNDER</v>
      </c>
      <c r="N95" s="0" t="n">
        <v>24.6</v>
      </c>
      <c r="O95" s="10" t="n">
        <v>0.4</v>
      </c>
      <c r="P95" s="10" t="n">
        <v>0.3</v>
      </c>
      <c r="Q95" s="10" t="n">
        <v>0.27</v>
      </c>
      <c r="R95" s="9" t="s">
        <v>971</v>
      </c>
      <c r="S95" s="0" t="n">
        <v>1</v>
      </c>
      <c r="T95" s="0" t="str">
        <f aca="false">INDEX(Calc!$G$2:$G$105,MATCH($W95,Calc!$A$2:$A$105,0))&amp;" / "&amp;INDEX(Calc!$H$2:$H$105,MATCH($W95,Calc!$A$2:$A$105,0))</f>
        <v>Ancient / Inferno</v>
      </c>
      <c r="U95" s="0" t="str">
        <f aca="false">TEXT(INDEX(Calc!$J$2:$J$105,MATCH($W95,Calc!$A$2:$A$105,0)),"0.0")&amp;" / "&amp;TEXT(INDEX(Calc!$K$2:$K$105,MATCH($W95,Calc!$A$2:$A$105,0)),"0.0")</f>
        <v>21.5 / 21.3</v>
      </c>
      <c r="V95" s="0" t="str">
        <f aca="false">IFERROR(INDEX(Calc!$AQ$2:$AQ$105,MATCH($W95,Calc!$A$2:$A$105,0)),"")</f>
        <v/>
      </c>
      <c r="W95" s="9" t="s">
        <v>1010</v>
      </c>
      <c r="X95" s="9" t="s">
        <v>891</v>
      </c>
      <c r="Y95" s="0" t="str">
        <f aca="false">W95&amp;"|"&amp;X95</f>
        <v>yx4766zs82zoa4m|CS2 · FNC vs PRV|K12</v>
      </c>
      <c r="Z95" s="11" t="n">
        <f aca="false">IFERROR(INDEX(CHOOSE(MATCH($X95,{"K1","K2","K3","K12","K13","H1","H2","H3","H12","H13"},0),Calc!$BA$2:$BA$105,Calc!$BB$2:$BB$105,Calc!$BC$2:$BC$105,Calc!$BD$2:$BD$105,Calc!$BE$2:$BE$105,Calc!$BF$2:$BF$105,Calc!$BG$2:$BG$105,Calc!$BH$2:$BH$105,Calc!$BI$2:$BI$105,Calc!$BJ$2:$BJ$105),MATCH($W95,Calc!$A$2:$A$105,0)),"")</f>
        <v>26.3015210582386</v>
      </c>
      <c r="AA95" s="11" t="n">
        <f aca="false">IF(Z95="","",IF(LEFT($X95,1)="H",SQRT(Z95*(IFERROR(INDEX(Calc!$AP$2:$AP$105,MATCH($W95,Calc!$A$2:$A$105,0)),0.5)*Config!$B$5+1-IFERROR(INDEX(Calc!$AP$2:$AP$105,MATCH($W95,Calc!$A$2:$A$105,0)),0.5))),SQRT(Z95*Config!$B$5)))</f>
        <v>6.06812404961648</v>
      </c>
      <c r="AB95" s="10" t="n">
        <f aca="false">IF(OR(F95="",Z95="",N(AA95)&lt;=0),"",1-NORMDIST(FLOOR(F95,1)+0.5,Z95,AA95,TRUE()))</f>
        <v>0.421716564845824</v>
      </c>
      <c r="AC95" s="10" t="n">
        <f aca="false">IF(AB95="","",NORMDIST(CEILING(F95,1)-0.5,Z95,AA95,TRUE()))</f>
        <v>0.578283435154176</v>
      </c>
      <c r="AD95" s="0" t="str">
        <f aca="false">IF(AB95="","",IF(AB95&gt;=0.5+Config!$B$6,"OVER",IF(AC95&gt;=0.5+Config!$B$6,"UNDER","—")))</f>
        <v>UNDER</v>
      </c>
      <c r="AE95" s="13" t="n">
        <f aca="false">IFERROR(Z95/G95,"")</f>
        <v>1.02999626239648</v>
      </c>
    </row>
    <row r="96" customFormat="false" ht="15" hidden="false" customHeight="false" outlineLevel="0" collapsed="false">
      <c r="A96" s="0" t="s">
        <v>775</v>
      </c>
      <c r="B96" s="0" t="s">
        <v>819</v>
      </c>
      <c r="C96" s="0" t="s">
        <v>1011</v>
      </c>
      <c r="D96" s="0" t="s">
        <v>824</v>
      </c>
      <c r="E96" s="0" t="s">
        <v>893</v>
      </c>
      <c r="F96" s="0" t="n">
        <v>17</v>
      </c>
      <c r="G96" s="11" t="n">
        <f aca="false">IFERROR(INDEX(CHOOSE(MATCH($X96,{"K1","K2","K3","K12","K13","H1","H2","H3","H12","H13"},0),Calc!$V$2:$V$105,Calc!$AC$2:$AC$105,Calc!$AJ$2:$AJ$105,Calc!$AL$2:$AL$105,Calc!$AM$2:$AM$105,Calc!$W$2:$W$105,Calc!$AD$2:$AD$105,Calc!$AK$2:$AK$105,Calc!$AN$2:$AN$105,Calc!$AO$2:$AO$105),MATCH($W96,Calc!$A$2:$A$105,0)),"")</f>
        <v>17.5565888848639</v>
      </c>
      <c r="H96" s="11" t="n">
        <f aca="false">IF(G96="","",IF(LEFT($X96,1)="H",SQRT(G96*(IFERROR(INDEX(Calc!$AP$2:$AP$105,MATCH($W96,Calc!$A$2:$A$105,0)),0.5)*Config!$B$5+1-IFERROR(INDEX(Calc!$AP$2:$AP$105,MATCH($W96,Calc!$A$2:$A$105,0)),0.5))),SQRT(G96*Config!$B$5)))</f>
        <v>4.62475552443162</v>
      </c>
      <c r="I96" s="10" t="n">
        <f aca="false">IF(OR(F96="",G96="",N(H96)&lt;=0),"",1-NORMDIST(FLOOR(F96,1)+0.5,G96,H96,TRUE()))</f>
        <v>0.504881368392579</v>
      </c>
      <c r="J96" s="10" t="n">
        <f aca="false">IF(I96="","",NORMDIST(CEILING(F96,1)-0.5,G96,H96,TRUE()))</f>
        <v>0.409642875955309</v>
      </c>
      <c r="K96" s="10" t="n">
        <f aca="false">IF(I96="","",MAX(0,1-I96-J96))</f>
        <v>0.0854757556521121</v>
      </c>
      <c r="L96" s="0" t="str">
        <f aca="false">IF(I96="","",IF(I96&gt;=0.5+Config!$B$6,"OVER",IF(J96&gt;=0.5+Config!$B$6,"UNDER","—")))</f>
        <v>—</v>
      </c>
      <c r="N96" s="0" t="n">
        <v>18.3</v>
      </c>
      <c r="O96" s="10" t="n">
        <v>0.6</v>
      </c>
      <c r="P96" s="10" t="n">
        <v>0.5</v>
      </c>
      <c r="Q96" s="10" t="n">
        <v>0.4</v>
      </c>
      <c r="R96" s="9" t="s">
        <v>907</v>
      </c>
      <c r="S96" s="0" t="n">
        <v>-1</v>
      </c>
      <c r="T96" s="0" t="str">
        <f aca="false">INDEX(Calc!$G$2:$G$105,MATCH($W96,Calc!$A$2:$A$105,0))&amp;" / "&amp;INDEX(Calc!$H$2:$H$105,MATCH($W96,Calc!$A$2:$A$105,0))</f>
        <v>Cache / Inferno</v>
      </c>
      <c r="U96" s="0" t="str">
        <f aca="false">TEXT(INDEX(Calc!$J$2:$J$105,MATCH($W96,Calc!$A$2:$A$105,0)),"0.0")&amp;" / "&amp;TEXT(INDEX(Calc!$K$2:$K$105,MATCH($W96,Calc!$A$2:$A$105,0)),"0.0")</f>
        <v>20.2 / 20.2</v>
      </c>
      <c r="V96" s="0" t="str">
        <f aca="false">IFERROR(INDEX(Calc!$AQ$2:$AQ$105,MATCH($W96,Calc!$A$2:$A$105,0)),"")</f>
        <v/>
      </c>
      <c r="W96" s="9" t="s">
        <v>1012</v>
      </c>
      <c r="X96" s="9" t="s">
        <v>896</v>
      </c>
      <c r="Y96" s="0" t="str">
        <f aca="false">W96&amp;"|"&amp;X96</f>
        <v>wtlsowfl6o5b5pg|CS2 · HERO vs HS|H12</v>
      </c>
      <c r="Z96" s="11" t="n">
        <f aca="false">IFERROR(INDEX(CHOOSE(MATCH($X96,{"K1","K2","K3","K12","K13","H1","H2","H3","H12","H13"},0),Calc!$BA$2:$BA$105,Calc!$BB$2:$BB$105,Calc!$BC$2:$BC$105,Calc!$BD$2:$BD$105,Calc!$BE$2:$BE$105,Calc!$BF$2:$BF$105,Calc!$BG$2:$BG$105,Calc!$BH$2:$BH$105,Calc!$BI$2:$BI$105,Calc!$BJ$2:$BJ$105),MATCH($W96,Calc!$A$2:$A$105,0)),"")</f>
        <v>17.9659779151107</v>
      </c>
      <c r="AA96" s="11" t="n">
        <f aca="false">IF(Z96="","",IF(LEFT($X96,1)="H",SQRT(Z96*(IFERROR(INDEX(Calc!$AP$2:$AP$105,MATCH($W96,Calc!$A$2:$A$105,0)),0.5)*Config!$B$5+1-IFERROR(INDEX(Calc!$AP$2:$AP$105,MATCH($W96,Calc!$A$2:$A$105,0)),0.5))),SQRT(Z96*Config!$B$5)))</f>
        <v>4.67836541917413</v>
      </c>
      <c r="AB96" s="10" t="n">
        <f aca="false">IF(OR(F96="",Z96="",N(AA96)&lt;=0),"",1-NORMDIST(FLOOR(F96,1)+0.5,Z96,AA96,TRUE()))</f>
        <v>0.539670132348949</v>
      </c>
      <c r="AC96" s="10" t="n">
        <f aca="false">IF(AB96="","",NORMDIST(CEILING(F96,1)-0.5,Z96,AA96,TRUE()))</f>
        <v>0.377006400165483</v>
      </c>
      <c r="AD96" s="0" t="str">
        <f aca="false">IF(AB96="","",IF(AB96&gt;=0.5+Config!$B$6,"OVER",IF(AC96&gt;=0.5+Config!$B$6,"UNDER","—")))</f>
        <v>—</v>
      </c>
      <c r="AE96" s="13" t="n">
        <f aca="false">IFERROR(Z96/G96,"")</f>
        <v>1.0233182557803</v>
      </c>
    </row>
    <row r="97" customFormat="false" ht="15" hidden="false" customHeight="false" outlineLevel="0" collapsed="false">
      <c r="A97" s="0" t="s">
        <v>775</v>
      </c>
      <c r="B97" s="0" t="s">
        <v>819</v>
      </c>
      <c r="C97" s="0" t="s">
        <v>1011</v>
      </c>
      <c r="D97" s="0" t="s">
        <v>824</v>
      </c>
      <c r="E97" s="0" t="s">
        <v>888</v>
      </c>
      <c r="F97" s="0" t="n">
        <v>30.5</v>
      </c>
      <c r="G97" s="11" t="n">
        <f aca="false">IFERROR(INDEX(CHOOSE(MATCH($X97,{"K1","K2","K3","K12","K13","H1","H2","H3","H12","H13"},0),Calc!$V$2:$V$105,Calc!$AC$2:$AC$105,Calc!$AJ$2:$AJ$105,Calc!$AL$2:$AL$105,Calc!$AM$2:$AM$105,Calc!$W$2:$W$105,Calc!$AD$2:$AD$105,Calc!$AK$2:$AK$105,Calc!$AN$2:$AN$105,Calc!$AO$2:$AO$105),MATCH($W97,Calc!$A$2:$A$105,0)),"")</f>
        <v>32.1766107142857</v>
      </c>
      <c r="H97" s="11" t="n">
        <f aca="false">IF(G97="","",IF(LEFT($X97,1)="H",SQRT(G97*(IFERROR(INDEX(Calc!$AP$2:$AP$105,MATCH($W97,Calc!$A$2:$A$105,0)),0.5)*Config!$B$5+1-IFERROR(INDEX(Calc!$AP$2:$AP$105,MATCH($W97,Calc!$A$2:$A$105,0)),0.5))),SQRT(G97*Config!$B$5)))</f>
        <v>6.71172518805709</v>
      </c>
      <c r="I97" s="10" t="n">
        <f aca="false">IF(OR(F97="",G97="",N(H97)&lt;=0),"",1-NORMDIST(FLOOR(F97,1)+0.5,G97,H97,TRUE()))</f>
        <v>0.598630243933737</v>
      </c>
      <c r="J97" s="10" t="n">
        <f aca="false">IF(I97="","",NORMDIST(CEILING(F97,1)-0.5,G97,H97,TRUE()))</f>
        <v>0.401369756066263</v>
      </c>
      <c r="K97" s="10" t="n">
        <f aca="false">IF(I97="","",MAX(0,1-I97-J97))</f>
        <v>0</v>
      </c>
      <c r="L97" s="0" t="str">
        <f aca="false">IF(I97="","",IF(I97&gt;=0.5+Config!$B$6,"OVER",IF(J97&gt;=0.5+Config!$B$6,"UNDER","—")))</f>
        <v>OVER</v>
      </c>
      <c r="M97" s="0" t="n">
        <v>29.23</v>
      </c>
      <c r="N97" s="0" t="n">
        <v>32.1</v>
      </c>
      <c r="O97" s="10" t="n">
        <v>0.6</v>
      </c>
      <c r="P97" s="10" t="n">
        <v>0.6</v>
      </c>
      <c r="Q97" s="10" t="n">
        <v>0.47</v>
      </c>
      <c r="R97" s="9" t="s">
        <v>907</v>
      </c>
      <c r="S97" s="0" t="n">
        <v>-1</v>
      </c>
      <c r="T97" s="0" t="str">
        <f aca="false">INDEX(Calc!$G$2:$G$105,MATCH($W97,Calc!$A$2:$A$105,0))&amp;" / "&amp;INDEX(Calc!$H$2:$H$105,MATCH($W97,Calc!$A$2:$A$105,0))</f>
        <v>Cache / Inferno</v>
      </c>
      <c r="U97" s="0" t="str">
        <f aca="false">TEXT(INDEX(Calc!$J$2:$J$105,MATCH($W97,Calc!$A$2:$A$105,0)),"0.0")&amp;" / "&amp;TEXT(INDEX(Calc!$K$2:$K$105,MATCH($W97,Calc!$A$2:$A$105,0)),"0.0")</f>
        <v>20.2 / 20.2</v>
      </c>
      <c r="V97" s="0" t="str">
        <f aca="false">IFERROR(INDEX(Calc!$AQ$2:$AQ$105,MATCH($W97,Calc!$A$2:$A$105,0)),"")</f>
        <v/>
      </c>
      <c r="W97" s="9" t="s">
        <v>1012</v>
      </c>
      <c r="X97" s="9" t="s">
        <v>891</v>
      </c>
      <c r="Y97" s="0" t="str">
        <f aca="false">W97&amp;"|"&amp;X97</f>
        <v>wtlsowfl6o5b5pg|CS2 · HERO vs HS|K12</v>
      </c>
      <c r="Z97" s="11" t="n">
        <f aca="false">IFERROR(INDEX(CHOOSE(MATCH($X97,{"K1","K2","K3","K12","K13","H1","H2","H3","H12","H13"},0),Calc!$BA$2:$BA$105,Calc!$BB$2:$BB$105,Calc!$BC$2:$BC$105,Calc!$BD$2:$BD$105,Calc!$BE$2:$BE$105,Calc!$BF$2:$BF$105,Calc!$BG$2:$BG$105,Calc!$BH$2:$BH$105,Calc!$BI$2:$BI$105,Calc!$BJ$2:$BJ$105),MATCH($W97,Calc!$A$2:$A$105,0)),"")</f>
        <v>32.9357535256344</v>
      </c>
      <c r="AA97" s="11" t="n">
        <f aca="false">IF(Z97="","",IF(LEFT($X97,1)="H",SQRT(Z97*(IFERROR(INDEX(Calc!$AP$2:$AP$105,MATCH($W97,Calc!$A$2:$A$105,0)),0.5)*Config!$B$5+1-IFERROR(INDEX(Calc!$AP$2:$AP$105,MATCH($W97,Calc!$A$2:$A$105,0)),0.5))),SQRT(Z97*Config!$B$5)))</f>
        <v>6.79043849363855</v>
      </c>
      <c r="AB97" s="10" t="n">
        <f aca="false">IF(OR(F97="",Z97="",N(AA97)&lt;=0),"",1-NORMDIST(FLOOR(F97,1)+0.5,Z97,AA97,TRUE()))</f>
        <v>0.640091515985607</v>
      </c>
      <c r="AC97" s="10" t="n">
        <f aca="false">IF(AB97="","",NORMDIST(CEILING(F97,1)-0.5,Z97,AA97,TRUE()))</f>
        <v>0.359908484014393</v>
      </c>
      <c r="AD97" s="0" t="str">
        <f aca="false">IF(AB97="","",IF(AB97&gt;=0.5+Config!$B$6,"OVER",IF(AC97&gt;=0.5+Config!$B$6,"UNDER","—")))</f>
        <v>OVER</v>
      </c>
      <c r="AE97" s="13" t="n">
        <f aca="false">IFERROR(Z97/G97,"")</f>
        <v>1.02359300108049</v>
      </c>
    </row>
    <row r="98" customFormat="false" ht="15" hidden="false" customHeight="false" outlineLevel="0" collapsed="false">
      <c r="A98" s="0" t="s">
        <v>775</v>
      </c>
      <c r="B98" s="0" t="s">
        <v>819</v>
      </c>
      <c r="C98" s="0" t="s">
        <v>1013</v>
      </c>
      <c r="D98" s="0" t="s">
        <v>824</v>
      </c>
      <c r="E98" s="0" t="s">
        <v>893</v>
      </c>
      <c r="F98" s="0" t="n">
        <v>15.5</v>
      </c>
      <c r="G98" s="11" t="n">
        <f aca="false">IFERROR(INDEX(CHOOSE(MATCH($X98,{"K1","K2","K3","K12","K13","H1","H2","H3","H12","H13"},0),Calc!$V$2:$V$105,Calc!$AC$2:$AC$105,Calc!$AJ$2:$AJ$105,Calc!$AL$2:$AL$105,Calc!$AM$2:$AM$105,Calc!$W$2:$W$105,Calc!$AD$2:$AD$105,Calc!$AK$2:$AK$105,Calc!$AN$2:$AN$105,Calc!$AO$2:$AO$105),MATCH($W98,Calc!$A$2:$A$105,0)),"")</f>
        <v>14.8579320221088</v>
      </c>
      <c r="H98" s="11" t="n">
        <f aca="false">IF(G98="","",IF(LEFT($X98,1)="H",SQRT(G98*(IFERROR(INDEX(Calc!$AP$2:$AP$105,MATCH($W98,Calc!$A$2:$A$105,0)),0.5)*Config!$B$5+1-IFERROR(INDEX(Calc!$AP$2:$AP$105,MATCH($W98,Calc!$A$2:$A$105,0)),0.5))),SQRT(G98*Config!$B$5)))</f>
        <v>4.25629341545921</v>
      </c>
      <c r="I98" s="10" t="n">
        <f aca="false">IF(OR(F98="",G98="",N(H98)&lt;=0),"",1-NORMDIST(FLOOR(F98,1)+0.5,G98,H98,TRUE()))</f>
        <v>0.440046454831075</v>
      </c>
      <c r="J98" s="10" t="n">
        <f aca="false">IF(I98="","",NORMDIST(CEILING(F98,1)-0.5,G98,H98,TRUE()))</f>
        <v>0.559953545168925</v>
      </c>
      <c r="K98" s="10" t="n">
        <f aca="false">IF(I98="","",MAX(0,1-I98-J98))</f>
        <v>0</v>
      </c>
      <c r="L98" s="0" t="str">
        <f aca="false">IF(I98="","",IF(I98&gt;=0.5+Config!$B$6,"OVER",IF(J98&gt;=0.5+Config!$B$6,"UNDER","—")))</f>
        <v>UNDER</v>
      </c>
      <c r="N98" s="0" t="n">
        <v>14.7</v>
      </c>
      <c r="O98" s="10" t="n">
        <v>0.6</v>
      </c>
      <c r="P98" s="10" t="n">
        <v>0.5</v>
      </c>
      <c r="Q98" s="10" t="n">
        <v>0.53</v>
      </c>
      <c r="R98" s="9" t="s">
        <v>907</v>
      </c>
      <c r="S98" s="0" t="n">
        <v>1</v>
      </c>
      <c r="T98" s="0" t="str">
        <f aca="false">INDEX(Calc!$G$2:$G$105,MATCH($W98,Calc!$A$2:$A$105,0))&amp;" / "&amp;INDEX(Calc!$H$2:$H$105,MATCH($W98,Calc!$A$2:$A$105,0))</f>
        <v>Cache / Inferno</v>
      </c>
      <c r="U98" s="0" t="str">
        <f aca="false">TEXT(INDEX(Calc!$J$2:$J$105,MATCH($W98,Calc!$A$2:$A$105,0)),"0.0")&amp;" / "&amp;TEXT(INDEX(Calc!$K$2:$K$105,MATCH($W98,Calc!$A$2:$A$105,0)),"0.0")</f>
        <v>20.2 / 20.2</v>
      </c>
      <c r="V98" s="0" t="str">
        <f aca="false">IFERROR(INDEX(Calc!$AQ$2:$AQ$105,MATCH($W98,Calc!$A$2:$A$105,0)),"")</f>
        <v/>
      </c>
      <c r="W98" s="9" t="s">
        <v>1014</v>
      </c>
      <c r="X98" s="9" t="s">
        <v>896</v>
      </c>
      <c r="Y98" s="0" t="str">
        <f aca="false">W98&amp;"|"&amp;X98</f>
        <v>4neyyyoi8995r0v|CS2 · HERO vs HS|H12</v>
      </c>
      <c r="Z98" s="11" t="n">
        <f aca="false">IFERROR(INDEX(CHOOSE(MATCH($X98,{"K1","K2","K3","K12","K13","H1","H2","H3","H12","H13"},0),Calc!$BA$2:$BA$105,Calc!$BB$2:$BB$105,Calc!$BC$2:$BC$105,Calc!$BD$2:$BD$105,Calc!$BE$2:$BE$105,Calc!$BF$2:$BF$105,Calc!$BG$2:$BG$105,Calc!$BH$2:$BH$105,Calc!$BI$2:$BI$105,Calc!$BJ$2:$BJ$105),MATCH($W98,Calc!$A$2:$A$105,0)),"")</f>
        <v>15.1965069977847</v>
      </c>
      <c r="AA98" s="11" t="n">
        <f aca="false">IF(Z98="","",IF(LEFT($X98,1)="H",SQRT(Z98*(IFERROR(INDEX(Calc!$AP$2:$AP$105,MATCH($W98,Calc!$A$2:$A$105,0)),0.5)*Config!$B$5+1-IFERROR(INDEX(Calc!$AP$2:$AP$105,MATCH($W98,Calc!$A$2:$A$105,0)),0.5))),SQRT(Z98*Config!$B$5)))</f>
        <v>4.30451537014178</v>
      </c>
      <c r="AB98" s="10" t="n">
        <f aca="false">IF(OR(F98="",Z98="",N(AA98)&lt;=0),"",1-NORMDIST(FLOOR(F98,1)+0.5,Z98,AA98,TRUE()))</f>
        <v>0.471895569664401</v>
      </c>
      <c r="AC98" s="10" t="n">
        <f aca="false">IF(AB98="","",NORMDIST(CEILING(F98,1)-0.5,Z98,AA98,TRUE()))</f>
        <v>0.528104430335599</v>
      </c>
      <c r="AD98" s="0" t="str">
        <f aca="false">IF(AB98="","",IF(AB98&gt;=0.5+Config!$B$6,"OVER",IF(AC98&gt;=0.5+Config!$B$6,"UNDER","—")))</f>
        <v>—</v>
      </c>
      <c r="AE98" s="13" t="n">
        <f aca="false">IFERROR(Z98/G98,"")</f>
        <v>1.02278748988567</v>
      </c>
    </row>
    <row r="99" customFormat="false" ht="15" hidden="false" customHeight="false" outlineLevel="0" collapsed="false">
      <c r="A99" s="0" t="s">
        <v>775</v>
      </c>
      <c r="B99" s="0" t="s">
        <v>819</v>
      </c>
      <c r="C99" s="0" t="s">
        <v>1013</v>
      </c>
      <c r="D99" s="0" t="s">
        <v>824</v>
      </c>
      <c r="E99" s="0" t="s">
        <v>888</v>
      </c>
      <c r="F99" s="0" t="n">
        <v>28.5</v>
      </c>
      <c r="G99" s="11" t="n">
        <f aca="false">IFERROR(INDEX(CHOOSE(MATCH($X99,{"K1","K2","K3","K12","K13","H1","H2","H3","H12","H13"},0),Calc!$V$2:$V$105,Calc!$AC$2:$AC$105,Calc!$AJ$2:$AJ$105,Calc!$AL$2:$AL$105,Calc!$AM$2:$AM$105,Calc!$W$2:$W$105,Calc!$AD$2:$AD$105,Calc!$AK$2:$AK$105,Calc!$AN$2:$AN$105,Calc!$AO$2:$AO$105),MATCH($W99,Calc!$A$2:$A$105,0)),"")</f>
        <v>27.1026714285714</v>
      </c>
      <c r="H99" s="11" t="n">
        <f aca="false">IF(G99="","",IF(LEFT($X99,1)="H",SQRT(G99*(IFERROR(INDEX(Calc!$AP$2:$AP$105,MATCH($W99,Calc!$A$2:$A$105,0)),0.5)*Config!$B$5+1-IFERROR(INDEX(Calc!$AP$2:$AP$105,MATCH($W99,Calc!$A$2:$A$105,0)),0.5))),SQRT(G99*Config!$B$5)))</f>
        <v>6.15984902412389</v>
      </c>
      <c r="I99" s="10" t="n">
        <f aca="false">IF(OR(F99="",G99="",N(H99)&lt;=0),"",1-NORMDIST(FLOOR(F99,1)+0.5,G99,H99,TRUE()))</f>
        <v>0.41027228562477</v>
      </c>
      <c r="J99" s="10" t="n">
        <f aca="false">IF(I99="","",NORMDIST(CEILING(F99,1)-0.5,G99,H99,TRUE()))</f>
        <v>0.58972771437523</v>
      </c>
      <c r="K99" s="10" t="n">
        <f aca="false">IF(I99="","",MAX(0,1-I99-J99))</f>
        <v>0</v>
      </c>
      <c r="L99" s="0" t="str">
        <f aca="false">IF(I99="","",IF(I99&gt;=0.5+Config!$B$6,"OVER",IF(J99&gt;=0.5+Config!$B$6,"UNDER","—")))</f>
        <v>UNDER</v>
      </c>
      <c r="M99" s="0" t="n">
        <v>27.19</v>
      </c>
      <c r="N99" s="0" t="n">
        <v>27</v>
      </c>
      <c r="O99" s="10" t="n">
        <v>0.4</v>
      </c>
      <c r="P99" s="10" t="n">
        <v>0.3</v>
      </c>
      <c r="Q99" s="10" t="n">
        <v>0.4</v>
      </c>
      <c r="R99" s="9" t="s">
        <v>907</v>
      </c>
      <c r="S99" s="0" t="n">
        <v>-2</v>
      </c>
      <c r="T99" s="0" t="str">
        <f aca="false">INDEX(Calc!$G$2:$G$105,MATCH($W99,Calc!$A$2:$A$105,0))&amp;" / "&amp;INDEX(Calc!$H$2:$H$105,MATCH($W99,Calc!$A$2:$A$105,0))</f>
        <v>Cache / Inferno</v>
      </c>
      <c r="U99" s="0" t="str">
        <f aca="false">TEXT(INDEX(Calc!$J$2:$J$105,MATCH($W99,Calc!$A$2:$A$105,0)),"0.0")&amp;" / "&amp;TEXT(INDEX(Calc!$K$2:$K$105,MATCH($W99,Calc!$A$2:$A$105,0)),"0.0")</f>
        <v>20.2 / 20.2</v>
      </c>
      <c r="V99" s="0" t="str">
        <f aca="false">IFERROR(INDEX(Calc!$AQ$2:$AQ$105,MATCH($W99,Calc!$A$2:$A$105,0)),"")</f>
        <v/>
      </c>
      <c r="W99" s="9" t="s">
        <v>1014</v>
      </c>
      <c r="X99" s="9" t="s">
        <v>891</v>
      </c>
      <c r="Y99" s="0" t="str">
        <f aca="false">W99&amp;"|"&amp;X99</f>
        <v>4neyyyoi8995r0v|CS2 · HERO vs HS|K12</v>
      </c>
      <c r="Z99" s="11" t="n">
        <f aca="false">IFERROR(INDEX(CHOOSE(MATCH($X99,{"K1","K2","K3","K12","K13","H1","H2","H3","H12","H13"},0),Calc!$BA$2:$BA$105,Calc!$BB$2:$BB$105,Calc!$BC$2:$BC$105,Calc!$BD$2:$BD$105,Calc!$BE$2:$BE$105,Calc!$BF$2:$BF$105,Calc!$BG$2:$BG$105,Calc!$BH$2:$BH$105,Calc!$BI$2:$BI$105,Calc!$BJ$2:$BJ$105),MATCH($W99,Calc!$A$2:$A$105,0)),"")</f>
        <v>27.7214445413572</v>
      </c>
      <c r="AA99" s="11" t="n">
        <f aca="false">IF(Z99="","",IF(LEFT($X99,1)="H",SQRT(Z99*(IFERROR(INDEX(Calc!$AP$2:$AP$105,MATCH($W99,Calc!$A$2:$A$105,0)),0.5)*Config!$B$5+1-IFERROR(INDEX(Calc!$AP$2:$AP$105,MATCH($W99,Calc!$A$2:$A$105,0)),0.5))),SQRT(Z99*Config!$B$5)))</f>
        <v>6.22976904530979</v>
      </c>
      <c r="AB99" s="10" t="n">
        <f aca="false">IF(OR(F99="",Z99="",N(AA99)&lt;=0),"",1-NORMDIST(FLOOR(F99,1)+0.5,Z99,AA99,TRUE()))</f>
        <v>0.450272301938706</v>
      </c>
      <c r="AC99" s="10" t="n">
        <f aca="false">IF(AB99="","",NORMDIST(CEILING(F99,1)-0.5,Z99,AA99,TRUE()))</f>
        <v>0.549727698061294</v>
      </c>
      <c r="AD99" s="0" t="str">
        <f aca="false">IF(AB99="","",IF(AB99&gt;=0.5+Config!$B$6,"OVER",IF(AC99&gt;=0.5+Config!$B$6,"UNDER","—")))</f>
        <v>UNDER</v>
      </c>
      <c r="AE99" s="13" t="n">
        <f aca="false">IFERROR(Z99/G99,"")</f>
        <v>1.02283070561574</v>
      </c>
    </row>
    <row r="100" customFormat="false" ht="15" hidden="false" customHeight="false" outlineLevel="0" collapsed="false">
      <c r="A100" s="0" t="s">
        <v>775</v>
      </c>
      <c r="B100" s="0" t="s">
        <v>819</v>
      </c>
      <c r="C100" s="0" t="s">
        <v>1015</v>
      </c>
      <c r="D100" s="0" t="s">
        <v>824</v>
      </c>
      <c r="E100" s="0" t="s">
        <v>893</v>
      </c>
      <c r="F100" s="0" t="n">
        <v>11.5</v>
      </c>
      <c r="G100" s="11" t="n">
        <f aca="false">IFERROR(INDEX(CHOOSE(MATCH($X100,{"K1","K2","K3","K12","K13","H1","H2","H3","H12","H13"},0),Calc!$V$2:$V$105,Calc!$AC$2:$AC$105,Calc!$AJ$2:$AJ$105,Calc!$AL$2:$AL$105,Calc!$AM$2:$AM$105,Calc!$W$2:$W$105,Calc!$AD$2:$AD$105,Calc!$AK$2:$AK$105,Calc!$AN$2:$AN$105,Calc!$AO$2:$AO$105),MATCH($W100,Calc!$A$2:$A$105,0)),"")</f>
        <v>10.3560001588435</v>
      </c>
      <c r="H100" s="11" t="n">
        <f aca="false">IF(G100="","",IF(LEFT($X100,1)="H",SQRT(G100*(IFERROR(INDEX(Calc!$AP$2:$AP$105,MATCH($W100,Calc!$A$2:$A$105,0)),0.5)*Config!$B$5+1-IFERROR(INDEX(Calc!$AP$2:$AP$105,MATCH($W100,Calc!$A$2:$A$105,0)),0.5))),SQRT(G100*Config!$B$5)))</f>
        <v>3.47322320029813</v>
      </c>
      <c r="I100" s="10" t="n">
        <f aca="false">IF(OR(F100="",G100="",N(H100)&lt;=0),"",1-NORMDIST(FLOOR(F100,1)+0.5,G100,H100,TRUE()))</f>
        <v>0.370935374723532</v>
      </c>
      <c r="J100" s="10" t="n">
        <f aca="false">IF(I100="","",NORMDIST(CEILING(F100,1)-0.5,G100,H100,TRUE()))</f>
        <v>0.629064625276468</v>
      </c>
      <c r="K100" s="10" t="n">
        <f aca="false">IF(I100="","",MAX(0,1-I100-J100))</f>
        <v>0</v>
      </c>
      <c r="L100" s="0" t="str">
        <f aca="false">IF(I100="","",IF(I100&gt;=0.5+Config!$B$6,"OVER",IF(J100&gt;=0.5+Config!$B$6,"UNDER","—")))</f>
        <v>UNDER</v>
      </c>
      <c r="N100" s="0" t="n">
        <v>11</v>
      </c>
      <c r="O100" s="10" t="n">
        <v>0.2</v>
      </c>
      <c r="P100" s="10" t="n">
        <v>0.4</v>
      </c>
      <c r="Q100" s="10" t="n">
        <v>0.33</v>
      </c>
      <c r="R100" s="9" t="s">
        <v>889</v>
      </c>
      <c r="S100" s="0" t="n">
        <v>-2</v>
      </c>
      <c r="T100" s="0" t="str">
        <f aca="false">INDEX(Calc!$G$2:$G$105,MATCH($W100,Calc!$A$2:$A$105,0))&amp;" / "&amp;INDEX(Calc!$H$2:$H$105,MATCH($W100,Calc!$A$2:$A$105,0))</f>
        <v>Cache / Inferno</v>
      </c>
      <c r="U100" s="0" t="str">
        <f aca="false">TEXT(INDEX(Calc!$J$2:$J$105,MATCH($W100,Calc!$A$2:$A$105,0)),"0.0")&amp;" / "&amp;TEXT(INDEX(Calc!$K$2:$K$105,MATCH($W100,Calc!$A$2:$A$105,0)),"0.0")</f>
        <v>20.2 / 20.2</v>
      </c>
      <c r="V100" s="0" t="str">
        <f aca="false">IFERROR(INDEX(Calc!$AQ$2:$AQ$105,MATCH($W100,Calc!$A$2:$A$105,0)),"")</f>
        <v/>
      </c>
      <c r="W100" s="9" t="s">
        <v>1016</v>
      </c>
      <c r="X100" s="9" t="s">
        <v>896</v>
      </c>
      <c r="Y100" s="0" t="str">
        <f aca="false">W100&amp;"|"&amp;X100</f>
        <v>6abl2drrh6zq9lw|CS2 · HERO vs HS|H12</v>
      </c>
      <c r="Z100" s="11" t="n">
        <f aca="false">IFERROR(INDEX(CHOOSE(MATCH($X100,{"K1","K2","K3","K12","K13","H1","H2","H3","H12","H13"},0),Calc!$BA$2:$BA$105,Calc!$BB$2:$BB$105,Calc!$BC$2:$BC$105,Calc!$BD$2:$BD$105,Calc!$BE$2:$BE$105,Calc!$BF$2:$BF$105,Calc!$BG$2:$BG$105,Calc!$BH$2:$BH$105,Calc!$BI$2:$BI$105,Calc!$BJ$2:$BJ$105),MATCH($W100,Calc!$A$2:$A$105,0)),"")</f>
        <v>10.6113422424515</v>
      </c>
      <c r="AA100" s="11" t="n">
        <f aca="false">IF(Z100="","",IF(LEFT($X100,1)="H",SQRT(Z100*(IFERROR(INDEX(Calc!$AP$2:$AP$105,MATCH($W100,Calc!$A$2:$A$105,0)),0.5)*Config!$B$5+1-IFERROR(INDEX(Calc!$AP$2:$AP$105,MATCH($W100,Calc!$A$2:$A$105,0)),0.5))),SQRT(Z100*Config!$B$5)))</f>
        <v>3.51578112355032</v>
      </c>
      <c r="AB100" s="10" t="n">
        <f aca="false">IF(OR(F100="",Z100="",N(AA100)&lt;=0),"",1-NORMDIST(FLOOR(F100,1)+0.5,Z100,AA100,TRUE()))</f>
        <v>0.400225859338868</v>
      </c>
      <c r="AC100" s="10" t="n">
        <f aca="false">IF(AB100="","",NORMDIST(CEILING(F100,1)-0.5,Z100,AA100,TRUE()))</f>
        <v>0.599774140661132</v>
      </c>
      <c r="AD100" s="0" t="str">
        <f aca="false">IF(AB100="","",IF(AB100&gt;=0.5+Config!$B$6,"OVER",IF(AC100&gt;=0.5+Config!$B$6,"UNDER","—")))</f>
        <v>UNDER</v>
      </c>
      <c r="AE100" s="13" t="n">
        <f aca="false">IFERROR(Z100/G100,"")</f>
        <v>1.02465643874965</v>
      </c>
    </row>
    <row r="101" customFormat="false" ht="15" hidden="false" customHeight="false" outlineLevel="0" collapsed="false">
      <c r="A101" s="0" t="s">
        <v>775</v>
      </c>
      <c r="B101" s="0" t="s">
        <v>819</v>
      </c>
      <c r="C101" s="0" t="s">
        <v>1015</v>
      </c>
      <c r="D101" s="0" t="s">
        <v>824</v>
      </c>
      <c r="E101" s="0" t="s">
        <v>888</v>
      </c>
      <c r="F101" s="0" t="n">
        <v>30.5</v>
      </c>
      <c r="G101" s="11" t="n">
        <f aca="false">IFERROR(INDEX(CHOOSE(MATCH($X101,{"K1","K2","K3","K12","K13","H1","H2","H3","H12","H13"},0),Calc!$V$2:$V$105,Calc!$AC$2:$AC$105,Calc!$AJ$2:$AJ$105,Calc!$AL$2:$AL$105,Calc!$AM$2:$AM$105,Calc!$W$2:$W$105,Calc!$AD$2:$AD$105,Calc!$AK$2:$AK$105,Calc!$AN$2:$AN$105,Calc!$AO$2:$AO$105),MATCH($W101,Calc!$A$2:$A$105,0)),"")</f>
        <v>25.1269357142857</v>
      </c>
      <c r="H101" s="11" t="n">
        <f aca="false">IF(G101="","",IF(LEFT($X101,1)="H",SQRT(G101*(IFERROR(INDEX(Calc!$AP$2:$AP$105,MATCH($W101,Calc!$A$2:$A$105,0)),0.5)*Config!$B$5+1-IFERROR(INDEX(Calc!$AP$2:$AP$105,MATCH($W101,Calc!$A$2:$A$105,0)),0.5))),SQRT(G101*Config!$B$5)))</f>
        <v>5.93108000283254</v>
      </c>
      <c r="I101" s="10" t="n">
        <f aca="false">IF(OR(F101="",G101="",N(H101)&lt;=0),"",1-NORMDIST(FLOOR(F101,1)+0.5,G101,H101,TRUE()))</f>
        <v>0.182489978341701</v>
      </c>
      <c r="J101" s="10" t="n">
        <f aca="false">IF(I101="","",NORMDIST(CEILING(F101,1)-0.5,G101,H101,TRUE()))</f>
        <v>0.817510021658299</v>
      </c>
      <c r="K101" s="10" t="n">
        <f aca="false">IF(I101="","",MAX(0,1-I101-J101))</f>
        <v>0</v>
      </c>
      <c r="L101" s="0" t="str">
        <f aca="false">IF(I101="","",IF(I101&gt;=0.5+Config!$B$6,"OVER",IF(J101&gt;=0.5+Config!$B$6,"UNDER","—")))</f>
        <v>UNDER</v>
      </c>
      <c r="N101" s="0" t="n">
        <v>28.3</v>
      </c>
      <c r="O101" s="10" t="n">
        <v>0.2</v>
      </c>
      <c r="P101" s="10" t="n">
        <v>0.3</v>
      </c>
      <c r="Q101" s="10" t="n">
        <v>0.27</v>
      </c>
      <c r="R101" s="9" t="s">
        <v>889</v>
      </c>
      <c r="S101" s="0" t="n">
        <v>-2</v>
      </c>
      <c r="T101" s="0" t="str">
        <f aca="false">INDEX(Calc!$G$2:$G$105,MATCH($W101,Calc!$A$2:$A$105,0))&amp;" / "&amp;INDEX(Calc!$H$2:$H$105,MATCH($W101,Calc!$A$2:$A$105,0))</f>
        <v>Cache / Inferno</v>
      </c>
      <c r="U101" s="0" t="str">
        <f aca="false">TEXT(INDEX(Calc!$J$2:$J$105,MATCH($W101,Calc!$A$2:$A$105,0)),"0.0")&amp;" / "&amp;TEXT(INDEX(Calc!$K$2:$K$105,MATCH($W101,Calc!$A$2:$A$105,0)),"0.0")</f>
        <v>20.2 / 20.2</v>
      </c>
      <c r="V101" s="0" t="str">
        <f aca="false">IFERROR(INDEX(Calc!$AQ$2:$AQ$105,MATCH($W101,Calc!$A$2:$A$105,0)),"")</f>
        <v/>
      </c>
      <c r="W101" s="9" t="s">
        <v>1016</v>
      </c>
      <c r="X101" s="9" t="s">
        <v>891</v>
      </c>
      <c r="Y101" s="0" t="str">
        <f aca="false">W101&amp;"|"&amp;X101</f>
        <v>6abl2drrh6zq9lw|CS2 · HERO vs HS|K12</v>
      </c>
      <c r="Z101" s="11" t="n">
        <f aca="false">IFERROR(INDEX(CHOOSE(MATCH($X101,{"K1","K2","K3","K12","K13","H1","H2","H3","H12","H13"},0),Calc!$BA$2:$BA$105,Calc!$BB$2:$BB$105,Calc!$BC$2:$BC$105,Calc!$BD$2:$BD$105,Calc!$BE$2:$BE$105,Calc!$BF$2:$BF$105,Calc!$BG$2:$BG$105,Calc!$BH$2:$BH$105,Calc!$BI$2:$BI$105,Calc!$BJ$2:$BJ$105),MATCH($W101,Calc!$A$2:$A$105,0)),"")</f>
        <v>25.7180727585475</v>
      </c>
      <c r="AA101" s="11" t="n">
        <f aca="false">IF(Z101="","",IF(LEFT($X101,1)="H",SQRT(Z101*(IFERROR(INDEX(Calc!$AP$2:$AP$105,MATCH($W101,Calc!$A$2:$A$105,0)),0.5)*Config!$B$5+1-IFERROR(INDEX(Calc!$AP$2:$AP$105,MATCH($W101,Calc!$A$2:$A$105,0)),0.5))),SQRT(Z101*Config!$B$5)))</f>
        <v>6.00044180556453</v>
      </c>
      <c r="AB101" s="10" t="n">
        <f aca="false">IF(OR(F101="",Z101="",N(AA101)&lt;=0),"",1-NORMDIST(FLOOR(F101,1)+0.5,Z101,AA101,TRUE()))</f>
        <v>0.212746077834001</v>
      </c>
      <c r="AC101" s="10" t="n">
        <f aca="false">IF(AB101="","",NORMDIST(CEILING(F101,1)-0.5,Z101,AA101,TRUE()))</f>
        <v>0.787253922165999</v>
      </c>
      <c r="AD101" s="0" t="str">
        <f aca="false">IF(AB101="","",IF(AB101&gt;=0.5+Config!$B$6,"OVER",IF(AC101&gt;=0.5+Config!$B$6,"UNDER","—")))</f>
        <v>UNDER</v>
      </c>
      <c r="AE101" s="13" t="n">
        <f aca="false">IFERROR(Z101/G101,"")</f>
        <v>1.02352603003341</v>
      </c>
    </row>
    <row r="102" customFormat="false" ht="15" hidden="false" customHeight="false" outlineLevel="0" collapsed="false">
      <c r="A102" s="0" t="s">
        <v>775</v>
      </c>
      <c r="B102" s="0" t="s">
        <v>819</v>
      </c>
      <c r="C102" s="0" t="s">
        <v>1017</v>
      </c>
      <c r="D102" s="0" t="s">
        <v>824</v>
      </c>
      <c r="E102" s="0" t="s">
        <v>893</v>
      </c>
      <c r="F102" s="0" t="n">
        <v>19.5</v>
      </c>
      <c r="G102" s="11" t="n">
        <f aca="false">IFERROR(INDEX(CHOOSE(MATCH($X102,{"K1","K2","K3","K12","K13","H1","H2","H3","H12","H13"},0),Calc!$V$2:$V$105,Calc!$AC$2:$AC$105,Calc!$AJ$2:$AJ$105,Calc!$AL$2:$AL$105,Calc!$AM$2:$AM$105,Calc!$W$2:$W$105,Calc!$AD$2:$AD$105,Calc!$AK$2:$AK$105,Calc!$AN$2:$AN$105,Calc!$AO$2:$AO$105),MATCH($W102,Calc!$A$2:$A$105,0)),"")</f>
        <v>19.2242247985544</v>
      </c>
      <c r="H102" s="11" t="n">
        <f aca="false">IF(G102="","",IF(LEFT($X102,1)="H",SQRT(G102*(IFERROR(INDEX(Calc!$AP$2:$AP$105,MATCH($W102,Calc!$A$2:$A$105,0)),0.5)*Config!$B$5+1-IFERROR(INDEX(Calc!$AP$2:$AP$105,MATCH($W102,Calc!$A$2:$A$105,0)),0.5))),SQRT(G102*Config!$B$5)))</f>
        <v>4.88485484521699</v>
      </c>
      <c r="I102" s="10" t="n">
        <f aca="false">IF(OR(F102="",G102="",N(H102)&lt;=0),"",1-NORMDIST(FLOOR(F102,1)+0.5,G102,H102,TRUE()))</f>
        <v>0.477489612754632</v>
      </c>
      <c r="J102" s="10" t="n">
        <f aca="false">IF(I102="","",NORMDIST(CEILING(F102,1)-0.5,G102,H102,TRUE()))</f>
        <v>0.522510387245368</v>
      </c>
      <c r="K102" s="10" t="n">
        <f aca="false">IF(I102="","",MAX(0,1-I102-J102))</f>
        <v>0</v>
      </c>
      <c r="L102" s="0" t="str">
        <f aca="false">IF(I102="","",IF(I102&gt;=0.5+Config!$B$6,"OVER",IF(J102&gt;=0.5+Config!$B$6,"UNDER","—")))</f>
        <v>—</v>
      </c>
      <c r="N102" s="0" t="n">
        <v>19.9</v>
      </c>
      <c r="O102" s="10" t="n">
        <v>0.6</v>
      </c>
      <c r="P102" s="10" t="n">
        <v>0.5</v>
      </c>
      <c r="Q102" s="10" t="n">
        <v>0.47</v>
      </c>
      <c r="R102" s="9" t="s">
        <v>907</v>
      </c>
      <c r="S102" s="0" t="n">
        <v>-1</v>
      </c>
      <c r="T102" s="0" t="str">
        <f aca="false">INDEX(Calc!$G$2:$G$105,MATCH($W102,Calc!$A$2:$A$105,0))&amp;" / "&amp;INDEX(Calc!$H$2:$H$105,MATCH($W102,Calc!$A$2:$A$105,0))</f>
        <v>Cache / Inferno</v>
      </c>
      <c r="U102" s="0" t="str">
        <f aca="false">TEXT(INDEX(Calc!$J$2:$J$105,MATCH($W102,Calc!$A$2:$A$105,0)),"0.0")&amp;" / "&amp;TEXT(INDEX(Calc!$K$2:$K$105,MATCH($W102,Calc!$A$2:$A$105,0)),"0.0")</f>
        <v>20.2 / 20.2</v>
      </c>
      <c r="V102" s="0" t="str">
        <f aca="false">IFERROR(INDEX(Calc!$AQ$2:$AQ$105,MATCH($W102,Calc!$A$2:$A$105,0)),"")</f>
        <v/>
      </c>
      <c r="W102" s="9" t="s">
        <v>1018</v>
      </c>
      <c r="X102" s="9" t="s">
        <v>896</v>
      </c>
      <c r="Y102" s="0" t="str">
        <f aca="false">W102&amp;"|"&amp;X102</f>
        <v>zk657eunk3op4kx|CS2 · HERO vs HS|H12</v>
      </c>
      <c r="Z102" s="11" t="n">
        <f aca="false">IFERROR(INDEX(CHOOSE(MATCH($X102,{"K1","K2","K3","K12","K13","H1","H2","H3","H12","H13"},0),Calc!$BA$2:$BA$105,Calc!$BB$2:$BB$105,Calc!$BC$2:$BC$105,Calc!$BD$2:$BD$105,Calc!$BE$2:$BE$105,Calc!$BF$2:$BF$105,Calc!$BG$2:$BG$105,Calc!$BH$2:$BH$105,Calc!$BI$2:$BI$105,Calc!$BJ$2:$BJ$105),MATCH($W102,Calc!$A$2:$A$105,0)),"")</f>
        <v>19.6385003251166</v>
      </c>
      <c r="AA102" s="11" t="n">
        <f aca="false">IF(Z102="","",IF(LEFT($X102,1)="H",SQRT(Z102*(IFERROR(INDEX(Calc!$AP$2:$AP$105,MATCH($W102,Calc!$A$2:$A$105,0)),0.5)*Config!$B$5+1-IFERROR(INDEX(Calc!$AP$2:$AP$105,MATCH($W102,Calc!$A$2:$A$105,0)),0.5))),SQRT(Z102*Config!$B$5)))</f>
        <v>4.93720778441212</v>
      </c>
      <c r="AB102" s="10" t="n">
        <f aca="false">IF(OR(F102="",Z102="",N(AA102)&lt;=0),"",1-NORMDIST(FLOOR(F102,1)+0.5,Z102,AA102,TRUE()))</f>
        <v>0.511189804434188</v>
      </c>
      <c r="AC102" s="10" t="n">
        <f aca="false">IF(AB102="","",NORMDIST(CEILING(F102,1)-0.5,Z102,AA102,TRUE()))</f>
        <v>0.488810195565812</v>
      </c>
      <c r="AD102" s="0" t="str">
        <f aca="false">IF(AB102="","",IF(AB102&gt;=0.5+Config!$B$6,"OVER",IF(AC102&gt;=0.5+Config!$B$6,"UNDER","—")))</f>
        <v>—</v>
      </c>
      <c r="AE102" s="13" t="n">
        <f aca="false">IFERROR(Z102/G102,"")</f>
        <v>1.02154966095659</v>
      </c>
    </row>
    <row r="103" customFormat="false" ht="15" hidden="false" customHeight="false" outlineLevel="0" collapsed="false">
      <c r="A103" s="0" t="s">
        <v>775</v>
      </c>
      <c r="B103" s="0" t="s">
        <v>819</v>
      </c>
      <c r="C103" s="0" t="s">
        <v>1017</v>
      </c>
      <c r="D103" s="0" t="s">
        <v>824</v>
      </c>
      <c r="E103" s="0" t="s">
        <v>888</v>
      </c>
      <c r="F103" s="0" t="n">
        <v>32.5</v>
      </c>
      <c r="G103" s="11" t="n">
        <f aca="false">IFERROR(INDEX(CHOOSE(MATCH($X103,{"K1","K2","K3","K12","K13","H1","H2","H3","H12","H13"},0),Calc!$V$2:$V$105,Calc!$AC$2:$AC$105,Calc!$AJ$2:$AJ$105,Calc!$AL$2:$AL$105,Calc!$AM$2:$AM$105,Calc!$W$2:$W$105,Calc!$AD$2:$AD$105,Calc!$AK$2:$AK$105,Calc!$AN$2:$AN$105,Calc!$AO$2:$AO$105),MATCH($W103,Calc!$A$2:$A$105,0)),"")</f>
        <v>31.8761642857143</v>
      </c>
      <c r="H103" s="11" t="n">
        <f aca="false">IF(G103="","",IF(LEFT($X103,1)="H",SQRT(G103*(IFERROR(INDEX(Calc!$AP$2:$AP$105,MATCH($W103,Calc!$A$2:$A$105,0)),0.5)*Config!$B$5+1-IFERROR(INDEX(Calc!$AP$2:$AP$105,MATCH($W103,Calc!$A$2:$A$105,0)),0.5))),SQRT(G103*Config!$B$5)))</f>
        <v>6.68031660926337</v>
      </c>
      <c r="I103" s="10" t="n">
        <f aca="false">IF(OR(F103="",G103="",N(H103)&lt;=0),"",1-NORMDIST(FLOOR(F103,1)+0.5,G103,H103,TRUE()))</f>
        <v>0.46279918943297</v>
      </c>
      <c r="J103" s="10" t="n">
        <f aca="false">IF(I103="","",NORMDIST(CEILING(F103,1)-0.5,G103,H103,TRUE()))</f>
        <v>0.53720081056703</v>
      </c>
      <c r="K103" s="10" t="n">
        <f aca="false">IF(I103="","",MAX(0,1-I103-J103))</f>
        <v>0</v>
      </c>
      <c r="L103" s="0" t="str">
        <f aca="false">IF(I103="","",IF(I103&gt;=0.5+Config!$B$6,"OVER",IF(J103&gt;=0.5+Config!$B$6,"UNDER","—")))</f>
        <v>—</v>
      </c>
      <c r="M103" s="0" t="n">
        <v>30.87</v>
      </c>
      <c r="N103" s="0" t="n">
        <v>32.4</v>
      </c>
      <c r="O103" s="10" t="n">
        <v>0.8</v>
      </c>
      <c r="P103" s="10" t="n">
        <v>0.6</v>
      </c>
      <c r="Q103" s="10" t="n">
        <v>0.53</v>
      </c>
      <c r="R103" s="9" t="s">
        <v>907</v>
      </c>
      <c r="S103" s="0" t="n">
        <v>-1</v>
      </c>
      <c r="T103" s="0" t="str">
        <f aca="false">INDEX(Calc!$G$2:$G$105,MATCH($W103,Calc!$A$2:$A$105,0))&amp;" / "&amp;INDEX(Calc!$H$2:$H$105,MATCH($W103,Calc!$A$2:$A$105,0))</f>
        <v>Cache / Inferno</v>
      </c>
      <c r="U103" s="0" t="str">
        <f aca="false">TEXT(INDEX(Calc!$J$2:$J$105,MATCH($W103,Calc!$A$2:$A$105,0)),"0.0")&amp;" / "&amp;TEXT(INDEX(Calc!$K$2:$K$105,MATCH($W103,Calc!$A$2:$A$105,0)),"0.0")</f>
        <v>20.2 / 20.2</v>
      </c>
      <c r="V103" s="0" t="str">
        <f aca="false">IFERROR(INDEX(Calc!$AQ$2:$AQ$105,MATCH($W103,Calc!$A$2:$A$105,0)),"")</f>
        <v/>
      </c>
      <c r="W103" s="9" t="s">
        <v>1018</v>
      </c>
      <c r="X103" s="9" t="s">
        <v>891</v>
      </c>
      <c r="Y103" s="0" t="str">
        <f aca="false">W103&amp;"|"&amp;X103</f>
        <v>zk657eunk3op4kx|CS2 · HERO vs HS|K12</v>
      </c>
      <c r="Z103" s="11" t="n">
        <f aca="false">IFERROR(INDEX(CHOOSE(MATCH($X103,{"K1","K2","K3","K12","K13","H1","H2","H3","H12","H13"},0),Calc!$BA$2:$BA$105,Calc!$BB$2:$BB$105,Calc!$BC$2:$BC$105,Calc!$BD$2:$BD$105,Calc!$BE$2:$BE$105,Calc!$BF$2:$BF$105,Calc!$BG$2:$BG$105,Calc!$BH$2:$BH$105,Calc!$BI$2:$BI$105,Calc!$BJ$2:$BJ$105),MATCH($W103,Calc!$A$2:$A$105,0)),"")</f>
        <v>32.5788817237406</v>
      </c>
      <c r="AA103" s="11" t="n">
        <f aca="false">IF(Z103="","",IF(LEFT($X103,1)="H",SQRT(Z103*(IFERROR(INDEX(Calc!$AP$2:$AP$105,MATCH($W103,Calc!$A$2:$A$105,0)),0.5)*Config!$B$5+1-IFERROR(INDEX(Calc!$AP$2:$AP$105,MATCH($W103,Calc!$A$2:$A$105,0)),0.5))),SQRT(Z103*Config!$B$5)))</f>
        <v>6.75354976388246</v>
      </c>
      <c r="AB103" s="10" t="n">
        <f aca="false">IF(OR(F103="",Z103="",N(AA103)&lt;=0),"",1-NORMDIST(FLOOR(F103,1)+0.5,Z103,AA103,TRUE()))</f>
        <v>0.504659555395699</v>
      </c>
      <c r="AC103" s="10" t="n">
        <f aca="false">IF(AB103="","",NORMDIST(CEILING(F103,1)-0.5,Z103,AA103,TRUE()))</f>
        <v>0.495340444604301</v>
      </c>
      <c r="AD103" s="0" t="str">
        <f aca="false">IF(AB103="","",IF(AB103&gt;=0.5+Config!$B$6,"OVER",IF(AC103&gt;=0.5+Config!$B$6,"UNDER","—")))</f>
        <v>—</v>
      </c>
      <c r="AE103" s="13" t="n">
        <f aca="false">IFERROR(Z103/G103,"")</f>
        <v>1.02204523203381</v>
      </c>
    </row>
    <row r="104" customFormat="false" ht="15" hidden="false" customHeight="false" outlineLevel="0" collapsed="false">
      <c r="A104" s="0" t="s">
        <v>775</v>
      </c>
      <c r="B104" s="0" t="s">
        <v>819</v>
      </c>
      <c r="C104" s="0" t="s">
        <v>1019</v>
      </c>
      <c r="D104" s="0" t="s">
        <v>824</v>
      </c>
      <c r="E104" s="0" t="s">
        <v>893</v>
      </c>
      <c r="F104" s="0" t="n">
        <v>15.5</v>
      </c>
      <c r="G104" s="11" t="n">
        <f aca="false">IFERROR(INDEX(CHOOSE(MATCH($X104,{"K1","K2","K3","K12","K13","H1","H2","H3","H12","H13"},0),Calc!$V$2:$V$105,Calc!$AC$2:$AC$105,Calc!$AJ$2:$AJ$105,Calc!$AL$2:$AL$105,Calc!$AM$2:$AM$105,Calc!$W$2:$W$105,Calc!$AD$2:$AD$105,Calc!$AK$2:$AK$105,Calc!$AN$2:$AN$105,Calc!$AO$2:$AO$105),MATCH($W104,Calc!$A$2:$A$105,0)),"")</f>
        <v>15.8428011377551</v>
      </c>
      <c r="H104" s="11" t="n">
        <f aca="false">IF(G104="","",IF(LEFT($X104,1)="H",SQRT(G104*(IFERROR(INDEX(Calc!$AP$2:$AP$105,MATCH($W104,Calc!$A$2:$A$105,0)),0.5)*Config!$B$5+1-IFERROR(INDEX(Calc!$AP$2:$AP$105,MATCH($W104,Calc!$A$2:$A$105,0)),0.5))),SQRT(G104*Config!$B$5)))</f>
        <v>4.41398072686243</v>
      </c>
      <c r="I104" s="10" t="n">
        <f aca="false">IF(OR(F104="",G104="",N(H104)&lt;=0),"",1-NORMDIST(FLOOR(F104,1)+0.5,G104,H104,TRUE()))</f>
        <v>0.530951770080071</v>
      </c>
      <c r="J104" s="10" t="n">
        <f aca="false">IF(I104="","",NORMDIST(CEILING(F104,1)-0.5,G104,H104,TRUE()))</f>
        <v>0.469048229919929</v>
      </c>
      <c r="K104" s="10" t="n">
        <f aca="false">IF(I104="","",MAX(0,1-I104-J104))</f>
        <v>0</v>
      </c>
      <c r="L104" s="0" t="str">
        <f aca="false">IF(I104="","",IF(I104&gt;=0.5+Config!$B$6,"OVER",IF(J104&gt;=0.5+Config!$B$6,"UNDER","—")))</f>
        <v>—</v>
      </c>
      <c r="N104" s="0" t="n">
        <v>16</v>
      </c>
      <c r="O104" s="10" t="n">
        <v>0.4</v>
      </c>
      <c r="P104" s="10" t="n">
        <v>0.4</v>
      </c>
      <c r="Q104" s="10" t="n">
        <v>0.4</v>
      </c>
      <c r="R104" s="9" t="s">
        <v>907</v>
      </c>
      <c r="S104" s="0" t="n">
        <v>1</v>
      </c>
      <c r="T104" s="0" t="str">
        <f aca="false">INDEX(Calc!$G$2:$G$105,MATCH($W104,Calc!$A$2:$A$105,0))&amp;" / "&amp;INDEX(Calc!$H$2:$H$105,MATCH($W104,Calc!$A$2:$A$105,0))</f>
        <v>Cache / Inferno</v>
      </c>
      <c r="U104" s="0" t="str">
        <f aca="false">TEXT(INDEX(Calc!$J$2:$J$105,MATCH($W104,Calc!$A$2:$A$105,0)),"0.0")&amp;" / "&amp;TEXT(INDEX(Calc!$K$2:$K$105,MATCH($W104,Calc!$A$2:$A$105,0)),"0.0")</f>
        <v>20.2 / 20.2</v>
      </c>
      <c r="V104" s="0" t="str">
        <f aca="false">IFERROR(INDEX(Calc!$AQ$2:$AQ$105,MATCH($W104,Calc!$A$2:$A$105,0)),"")</f>
        <v/>
      </c>
      <c r="W104" s="9" t="s">
        <v>1020</v>
      </c>
      <c r="X104" s="9" t="s">
        <v>896</v>
      </c>
      <c r="Y104" s="0" t="str">
        <f aca="false">W104&amp;"|"&amp;X104</f>
        <v>u12f792swgv1x5z|CS2 · HERO vs HS|H12</v>
      </c>
      <c r="Z104" s="11" t="n">
        <f aca="false">IFERROR(INDEX(CHOOSE(MATCH($X104,{"K1","K2","K3","K12","K13","H1","H2","H3","H12","H13"},0),Calc!$BA$2:$BA$105,Calc!$BB$2:$BB$105,Calc!$BC$2:$BC$105,Calc!$BD$2:$BD$105,Calc!$BE$2:$BE$105,Calc!$BF$2:$BF$105,Calc!$BG$2:$BG$105,Calc!$BH$2:$BH$105,Calc!$BI$2:$BI$105,Calc!$BJ$2:$BJ$105),MATCH($W104,Calc!$A$2:$A$105,0)),"")</f>
        <v>16.2226239749221</v>
      </c>
      <c r="AA104" s="11" t="n">
        <f aca="false">IF(Z104="","",IF(LEFT($X104,1)="H",SQRT(Z104*(IFERROR(INDEX(Calc!$AP$2:$AP$105,MATCH($W104,Calc!$A$2:$A$105,0)),0.5)*Config!$B$5+1-IFERROR(INDEX(Calc!$AP$2:$AP$105,MATCH($W104,Calc!$A$2:$A$105,0)),0.5))),SQRT(Z104*Config!$B$5)))</f>
        <v>4.46657877632277</v>
      </c>
      <c r="AB104" s="10" t="n">
        <f aca="false">IF(OR(F104="",Z104="",N(AA104)&lt;=0),"",1-NORMDIST(FLOOR(F104,1)+0.5,Z104,AA104,TRUE()))</f>
        <v>0.564262287355655</v>
      </c>
      <c r="AC104" s="10" t="n">
        <f aca="false">IF(AB104="","",NORMDIST(CEILING(F104,1)-0.5,Z104,AA104,TRUE()))</f>
        <v>0.435737712644345</v>
      </c>
      <c r="AD104" s="0" t="str">
        <f aca="false">IF(AB104="","",IF(AB104&gt;=0.5+Config!$B$6,"OVER",IF(AC104&gt;=0.5+Config!$B$6,"UNDER","—")))</f>
        <v>OVER</v>
      </c>
      <c r="AE104" s="13" t="n">
        <f aca="false">IFERROR(Z104/G104,"")</f>
        <v>1.02397447483336</v>
      </c>
    </row>
    <row r="105" customFormat="false" ht="15" hidden="false" customHeight="false" outlineLevel="0" collapsed="false">
      <c r="A105" s="0" t="s">
        <v>775</v>
      </c>
      <c r="B105" s="0" t="s">
        <v>819</v>
      </c>
      <c r="C105" s="0" t="s">
        <v>1019</v>
      </c>
      <c r="D105" s="0" t="s">
        <v>824</v>
      </c>
      <c r="E105" s="0" t="s">
        <v>888</v>
      </c>
      <c r="F105" s="0" t="n">
        <v>27.5</v>
      </c>
      <c r="G105" s="11" t="n">
        <f aca="false">IFERROR(INDEX(CHOOSE(MATCH($X105,{"K1","K2","K3","K12","K13","H1","H2","H3","H12","H13"},0),Calc!$V$2:$V$105,Calc!$AC$2:$AC$105,Calc!$AJ$2:$AJ$105,Calc!$AL$2:$AL$105,Calc!$AM$2:$AM$105,Calc!$W$2:$W$105,Calc!$AD$2:$AD$105,Calc!$AK$2:$AK$105,Calc!$AN$2:$AN$105,Calc!$AO$2:$AO$105),MATCH($W105,Calc!$A$2:$A$105,0)),"")</f>
        <v>27.5785785714286</v>
      </c>
      <c r="H105" s="11" t="n">
        <f aca="false">IF(G105="","",IF(LEFT($X105,1)="H",SQRT(G105*(IFERROR(INDEX(Calc!$AP$2:$AP$105,MATCH($W105,Calc!$A$2:$A$105,0)),0.5)*Config!$B$5+1-IFERROR(INDEX(Calc!$AP$2:$AP$105,MATCH($W105,Calc!$A$2:$A$105,0)),0.5))),SQRT(G105*Config!$B$5)))</f>
        <v>6.21369535783659</v>
      </c>
      <c r="I105" s="10" t="n">
        <f aca="false">IF(OR(F105="",G105="",N(H105)&lt;=0),"",1-NORMDIST(FLOOR(F105,1)+0.5,G105,H105,TRUE()))</f>
        <v>0.505044901164833</v>
      </c>
      <c r="J105" s="10" t="n">
        <f aca="false">IF(I105="","",NORMDIST(CEILING(F105,1)-0.5,G105,H105,TRUE()))</f>
        <v>0.494955098835167</v>
      </c>
      <c r="K105" s="10" t="n">
        <f aca="false">IF(I105="","",MAX(0,1-I105-J105))</f>
        <v>0</v>
      </c>
      <c r="L105" s="0" t="str">
        <f aca="false">IF(I105="","",IF(I105&gt;=0.5+Config!$B$6,"OVER",IF(J105&gt;=0.5+Config!$B$6,"UNDER","—")))</f>
        <v>—</v>
      </c>
      <c r="M105" s="0" t="n">
        <v>26.38</v>
      </c>
      <c r="N105" s="0" t="n">
        <v>28</v>
      </c>
      <c r="O105" s="10" t="n">
        <v>0.6</v>
      </c>
      <c r="P105" s="10" t="n">
        <v>0.5</v>
      </c>
      <c r="Q105" s="10" t="n">
        <v>0.33</v>
      </c>
      <c r="R105" s="9" t="s">
        <v>907</v>
      </c>
      <c r="S105" s="0" t="n">
        <v>1</v>
      </c>
      <c r="T105" s="0" t="str">
        <f aca="false">INDEX(Calc!$G$2:$G$105,MATCH($W105,Calc!$A$2:$A$105,0))&amp;" / "&amp;INDEX(Calc!$H$2:$H$105,MATCH($W105,Calc!$A$2:$A$105,0))</f>
        <v>Cache / Inferno</v>
      </c>
      <c r="U105" s="0" t="str">
        <f aca="false">TEXT(INDEX(Calc!$J$2:$J$105,MATCH($W105,Calc!$A$2:$A$105,0)),"0.0")&amp;" / "&amp;TEXT(INDEX(Calc!$K$2:$K$105,MATCH($W105,Calc!$A$2:$A$105,0)),"0.0")</f>
        <v>20.2 / 20.2</v>
      </c>
      <c r="V105" s="0" t="str">
        <f aca="false">IFERROR(INDEX(Calc!$AQ$2:$AQ$105,MATCH($W105,Calc!$A$2:$A$105,0)),"")</f>
        <v/>
      </c>
      <c r="W105" s="9" t="s">
        <v>1020</v>
      </c>
      <c r="X105" s="9" t="s">
        <v>891</v>
      </c>
      <c r="Y105" s="0" t="str">
        <f aca="false">W105&amp;"|"&amp;X105</f>
        <v>u12f792swgv1x5z|CS2 · HERO vs HS|K12</v>
      </c>
      <c r="Z105" s="11" t="n">
        <f aca="false">IFERROR(INDEX(CHOOSE(MATCH($X105,{"K1","K2","K3","K12","K13","H1","H2","H3","H12","H13"},0),Calc!$BA$2:$BA$105,Calc!$BB$2:$BB$105,Calc!$BC$2:$BC$105,Calc!$BD$2:$BD$105,Calc!$BE$2:$BE$105,Calc!$BF$2:$BF$105,Calc!$BG$2:$BG$105,Calc!$BH$2:$BH$105,Calc!$BI$2:$BI$105,Calc!$BJ$2:$BJ$105),MATCH($W105,Calc!$A$2:$A$105,0)),"")</f>
        <v>28.2330938753948</v>
      </c>
      <c r="AA105" s="11" t="n">
        <f aca="false">IF(Z105="","",IF(LEFT($X105,1)="H",SQRT(Z105*(IFERROR(INDEX(Calc!$AP$2:$AP$105,MATCH($W105,Calc!$A$2:$A$105,0)),0.5)*Config!$B$5+1-IFERROR(INDEX(Calc!$AP$2:$AP$105,MATCH($W105,Calc!$A$2:$A$105,0)),0.5))),SQRT(Z105*Config!$B$5)))</f>
        <v>6.28699701173403</v>
      </c>
      <c r="AB105" s="10" t="n">
        <f aca="false">IF(OR(F105="",Z105="",N(AA105)&lt;=0),"",1-NORMDIST(FLOOR(F105,1)+0.5,Z105,AA105,TRUE()))</f>
        <v>0.546413373395898</v>
      </c>
      <c r="AC105" s="10" t="n">
        <f aca="false">IF(AB105="","",NORMDIST(CEILING(F105,1)-0.5,Z105,AA105,TRUE()))</f>
        <v>0.453586626604103</v>
      </c>
      <c r="AD105" s="0" t="str">
        <f aca="false">IF(AB105="","",IF(AB105&gt;=0.5+Config!$B$6,"OVER",IF(AC105&gt;=0.5+Config!$B$6,"UNDER","—")))</f>
        <v>OVER</v>
      </c>
      <c r="AE105" s="13" t="n">
        <f aca="false">IFERROR(Z105/G105,"")</f>
        <v>1.02373274250778</v>
      </c>
    </row>
    <row r="106" customFormat="false" ht="15" hidden="false" customHeight="false" outlineLevel="0" collapsed="false">
      <c r="A106" s="0" t="s">
        <v>775</v>
      </c>
      <c r="B106" s="0" t="s">
        <v>807</v>
      </c>
      <c r="C106" s="0" t="s">
        <v>1021</v>
      </c>
      <c r="D106" s="0" t="s">
        <v>812</v>
      </c>
      <c r="E106" s="0" t="s">
        <v>893</v>
      </c>
      <c r="F106" s="0" t="n">
        <v>19.5</v>
      </c>
      <c r="G106" s="11" t="n">
        <f aca="false">IFERROR(INDEX(CHOOSE(MATCH($X106,{"K1","K2","K3","K12","K13","H1","H2","H3","H12","H13"},0),Calc!$V$2:$V$105,Calc!$AC$2:$AC$105,Calc!$AJ$2:$AJ$105,Calc!$AL$2:$AL$105,Calc!$AM$2:$AM$105,Calc!$W$2:$W$105,Calc!$AD$2:$AD$105,Calc!$AK$2:$AK$105,Calc!$AN$2:$AN$105,Calc!$AO$2:$AO$105),MATCH($W106,Calc!$A$2:$A$105,0)),"")</f>
        <v>21.0184193384615</v>
      </c>
      <c r="H106" s="11" t="n">
        <f aca="false">IF(G106="","",IF(LEFT($X106,1)="H",SQRT(G106*(IFERROR(INDEX(Calc!$AP$2:$AP$105,MATCH($W106,Calc!$A$2:$A$105,0)),0.5)*Config!$B$5+1-IFERROR(INDEX(Calc!$AP$2:$AP$105,MATCH($W106,Calc!$A$2:$A$105,0)),0.5))),SQRT(G106*Config!$B$5)))</f>
        <v>5.11328488579902</v>
      </c>
      <c r="I106" s="10" t="n">
        <f aca="false">IF(OR(F106="",G106="",N(H106)&lt;=0),"",1-NORMDIST(FLOOR(F106,1)+0.5,G106,H106,TRUE()))</f>
        <v>0.616749853061527</v>
      </c>
      <c r="J106" s="10" t="n">
        <f aca="false">IF(I106="","",NORMDIST(CEILING(F106,1)-0.5,G106,H106,TRUE()))</f>
        <v>0.383250146938473</v>
      </c>
      <c r="K106" s="10" t="n">
        <f aca="false">IF(I106="","",MAX(0,1-I106-J106))</f>
        <v>0</v>
      </c>
      <c r="L106" s="0" t="str">
        <f aca="false">IF(I106="","",IF(I106&gt;=0.5+Config!$B$6,"OVER",IF(J106&gt;=0.5+Config!$B$6,"UNDER","—")))</f>
        <v>OVER</v>
      </c>
      <c r="N106" s="0" t="n">
        <v>21.8</v>
      </c>
      <c r="O106" s="10" t="n">
        <v>0.8</v>
      </c>
      <c r="P106" s="10" t="n">
        <v>0.6</v>
      </c>
      <c r="Q106" s="10" t="n">
        <v>0.6</v>
      </c>
      <c r="R106" s="9" t="s">
        <v>907</v>
      </c>
      <c r="S106" s="0" t="n">
        <v>1</v>
      </c>
      <c r="T106" s="0" t="str">
        <f aca="false">INDEX(Calc!$G$2:$G$105,MATCH($W106,Calc!$A$2:$A$105,0))&amp;" / "&amp;INDEX(Calc!$H$2:$H$105,MATCH($W106,Calc!$A$2:$A$105,0))</f>
        <v>Ancient / Dust2</v>
      </c>
      <c r="U106" s="0" t="str">
        <f aca="false">TEXT(INDEX(Calc!$J$2:$J$105,MATCH($W106,Calc!$A$2:$A$105,0)),"0.0")&amp;" / "&amp;TEXT(INDEX(Calc!$K$2:$K$105,MATCH($W106,Calc!$A$2:$A$105,0)),"0.0")</f>
        <v>21.0 / 21.0</v>
      </c>
      <c r="V106" s="0" t="str">
        <f aca="false">IFERROR(INDEX(Calc!$AQ$2:$AQ$105,MATCH($W106,Calc!$A$2:$A$105,0)),"")</f>
        <v/>
      </c>
      <c r="W106" s="9" t="s">
        <v>1022</v>
      </c>
      <c r="X106" s="9" t="s">
        <v>896</v>
      </c>
      <c r="Y106" s="0" t="str">
        <f aca="false">W106&amp;"|"&amp;X106</f>
        <v>rfuts2r0t85cd95|CS2 · INF vs EF|H12</v>
      </c>
      <c r="Z106" s="11" t="n">
        <f aca="false">IFERROR(INDEX(CHOOSE(MATCH($X106,{"K1","K2","K3","K12","K13","H1","H2","H3","H12","H13"},0),Calc!$BA$2:$BA$105,Calc!$BB$2:$BB$105,Calc!$BC$2:$BC$105,Calc!$BD$2:$BD$105,Calc!$BE$2:$BE$105,Calc!$BF$2:$BF$105,Calc!$BG$2:$BG$105,Calc!$BH$2:$BH$105,Calc!$BI$2:$BI$105,Calc!$BJ$2:$BJ$105),MATCH($W106,Calc!$A$2:$A$105,0)),"")</f>
        <v>21.3478742227506</v>
      </c>
      <c r="AA106" s="11" t="n">
        <f aca="false">IF(Z106="","",IF(LEFT($X106,1)="H",SQRT(Z106*(IFERROR(INDEX(Calc!$AP$2:$AP$105,MATCH($W106,Calc!$A$2:$A$105,0)),0.5)*Config!$B$5+1-IFERROR(INDEX(Calc!$AP$2:$AP$105,MATCH($W106,Calc!$A$2:$A$105,0)),0.5))),SQRT(Z106*Config!$B$5)))</f>
        <v>5.15320336283736</v>
      </c>
      <c r="AB106" s="10" t="n">
        <f aca="false">IF(OR(F106="",Z106="",N(AA106)&lt;=0),"",1-NORMDIST(FLOOR(F106,1)+0.5,Z106,AA106,TRUE()))</f>
        <v>0.640048143961817</v>
      </c>
      <c r="AC106" s="10" t="n">
        <f aca="false">IF(AB106="","",NORMDIST(CEILING(F106,1)-0.5,Z106,AA106,TRUE()))</f>
        <v>0.359951856038183</v>
      </c>
      <c r="AD106" s="0" t="str">
        <f aca="false">IF(AB106="","",IF(AB106&gt;=0.5+Config!$B$6,"OVER",IF(AC106&gt;=0.5+Config!$B$6,"UNDER","—")))</f>
        <v>OVER</v>
      </c>
      <c r="AE106" s="13" t="n">
        <f aca="false">IFERROR(Z106/G106,"")</f>
        <v>1.01567457947164</v>
      </c>
    </row>
    <row r="107" customFormat="false" ht="15" hidden="false" customHeight="false" outlineLevel="0" collapsed="false">
      <c r="A107" s="0" t="s">
        <v>775</v>
      </c>
      <c r="B107" s="0" t="s">
        <v>807</v>
      </c>
      <c r="C107" s="0" t="s">
        <v>1021</v>
      </c>
      <c r="D107" s="0" t="s">
        <v>812</v>
      </c>
      <c r="E107" s="0" t="s">
        <v>888</v>
      </c>
      <c r="F107" s="0" t="n">
        <v>33.5</v>
      </c>
      <c r="G107" s="11" t="n">
        <f aca="false">IFERROR(INDEX(CHOOSE(MATCH($X107,{"K1","K2","K3","K12","K13","H1","H2","H3","H12","H13"},0),Calc!$V$2:$V$105,Calc!$AC$2:$AC$105,Calc!$AJ$2:$AJ$105,Calc!$AL$2:$AL$105,Calc!$AM$2:$AM$105,Calc!$W$2:$W$105,Calc!$AD$2:$AD$105,Calc!$AK$2:$AK$105,Calc!$AN$2:$AN$105,Calc!$AO$2:$AO$105),MATCH($W107,Calc!$A$2:$A$105,0)),"")</f>
        <v>34.4647</v>
      </c>
      <c r="H107" s="11" t="n">
        <f aca="false">IF(G107="","",IF(LEFT($X107,1)="H",SQRT(G107*(IFERROR(INDEX(Calc!$AP$2:$AP$105,MATCH($W107,Calc!$A$2:$A$105,0)),0.5)*Config!$B$5+1-IFERROR(INDEX(Calc!$AP$2:$AP$105,MATCH($W107,Calc!$A$2:$A$105,0)),0.5))),SQRT(G107*Config!$B$5)))</f>
        <v>6.94626374391298</v>
      </c>
      <c r="I107" s="10" t="n">
        <f aca="false">IF(OR(F107="",G107="",N(H107)&lt;=0),"",1-NORMDIST(FLOOR(F107,1)+0.5,G107,H107,TRUE()))</f>
        <v>0.555227676716347</v>
      </c>
      <c r="J107" s="10" t="n">
        <f aca="false">IF(I107="","",NORMDIST(CEILING(F107,1)-0.5,G107,H107,TRUE()))</f>
        <v>0.444772323283653</v>
      </c>
      <c r="K107" s="10" t="n">
        <f aca="false">IF(I107="","",MAX(0,1-I107-J107))</f>
        <v>0</v>
      </c>
      <c r="L107" s="0" t="str">
        <f aca="false">IF(I107="","",IF(I107&gt;=0.5+Config!$B$6,"OVER",IF(J107&gt;=0.5+Config!$B$6,"UNDER","—")))</f>
        <v>OVER</v>
      </c>
      <c r="M107" s="0" t="n">
        <v>32.07</v>
      </c>
      <c r="N107" s="0" t="n">
        <v>35.5</v>
      </c>
      <c r="O107" s="10" t="n">
        <v>0.4</v>
      </c>
      <c r="P107" s="10" t="n">
        <v>0.5</v>
      </c>
      <c r="Q107" s="10" t="n">
        <v>0.53</v>
      </c>
      <c r="R107" s="9" t="s">
        <v>907</v>
      </c>
      <c r="S107" s="0" t="n">
        <v>1</v>
      </c>
      <c r="T107" s="0" t="str">
        <f aca="false">INDEX(Calc!$G$2:$G$105,MATCH($W107,Calc!$A$2:$A$105,0))&amp;" / "&amp;INDEX(Calc!$H$2:$H$105,MATCH($W107,Calc!$A$2:$A$105,0))</f>
        <v>Ancient / Dust2</v>
      </c>
      <c r="U107" s="0" t="str">
        <f aca="false">TEXT(INDEX(Calc!$J$2:$J$105,MATCH($W107,Calc!$A$2:$A$105,0)),"0.0")&amp;" / "&amp;TEXT(INDEX(Calc!$K$2:$K$105,MATCH($W107,Calc!$A$2:$A$105,0)),"0.0")</f>
        <v>21.0 / 21.0</v>
      </c>
      <c r="V107" s="0" t="str">
        <f aca="false">IFERROR(INDEX(Calc!$AQ$2:$AQ$105,MATCH($W107,Calc!$A$2:$A$105,0)),"")</f>
        <v/>
      </c>
      <c r="W107" s="9" t="s">
        <v>1022</v>
      </c>
      <c r="X107" s="9" t="s">
        <v>891</v>
      </c>
      <c r="Y107" s="0" t="str">
        <f aca="false">W107&amp;"|"&amp;X107</f>
        <v>rfuts2r0t85cd95|CS2 · INF vs EF|K12</v>
      </c>
      <c r="Z107" s="11" t="n">
        <f aca="false">IFERROR(INDEX(CHOOSE(MATCH($X107,{"K1","K2","K3","K12","K13","H1","H2","H3","H12","H13"},0),Calc!$BA$2:$BA$105,Calc!$BB$2:$BB$105,Calc!$BC$2:$BC$105,Calc!$BD$2:$BD$105,Calc!$BE$2:$BE$105,Calc!$BF$2:$BF$105,Calc!$BG$2:$BG$105,Calc!$BH$2:$BH$105,Calc!$BI$2:$BI$105,Calc!$BJ$2:$BJ$105),MATCH($W107,Calc!$A$2:$A$105,0)),"")</f>
        <v>34.9909871553298</v>
      </c>
      <c r="AA107" s="11" t="n">
        <f aca="false">IF(Z107="","",IF(LEFT($X107,1)="H",SQRT(Z107*(IFERROR(INDEX(Calc!$AP$2:$AP$105,MATCH($W107,Calc!$A$2:$A$105,0)),0.5)*Config!$B$5+1-IFERROR(INDEX(Calc!$AP$2:$AP$105,MATCH($W107,Calc!$A$2:$A$105,0)),0.5))),SQRT(Z107*Config!$B$5)))</f>
        <v>6.9990986575031</v>
      </c>
      <c r="AB107" s="10" t="n">
        <f aca="false">IF(OR(F107="",Z107="",N(AA107)&lt;=0),"",1-NORMDIST(FLOOR(F107,1)+0.5,Z107,AA107,TRUE()))</f>
        <v>0.584346500500735</v>
      </c>
      <c r="AC107" s="10" t="n">
        <f aca="false">IF(AB107="","",NORMDIST(CEILING(F107,1)-0.5,Z107,AA107,TRUE()))</f>
        <v>0.415653499499265</v>
      </c>
      <c r="AD107" s="0" t="str">
        <f aca="false">IF(AB107="","",IF(AB107&gt;=0.5+Config!$B$6,"OVER",IF(AC107&gt;=0.5+Config!$B$6,"UNDER","—")))</f>
        <v>OVER</v>
      </c>
      <c r="AE107" s="13" t="n">
        <f aca="false">IFERROR(Z107/G107,"")</f>
        <v>1.01527032457354</v>
      </c>
    </row>
    <row r="108" customFormat="false" ht="15" hidden="false" customHeight="false" outlineLevel="0" collapsed="false">
      <c r="A108" s="0" t="s">
        <v>775</v>
      </c>
      <c r="B108" s="0" t="s">
        <v>807</v>
      </c>
      <c r="C108" s="0" t="s">
        <v>1023</v>
      </c>
      <c r="D108" s="0" t="s">
        <v>812</v>
      </c>
      <c r="E108" s="0" t="s">
        <v>893</v>
      </c>
      <c r="F108" s="0" t="n">
        <v>18.5</v>
      </c>
      <c r="G108" s="11" t="n">
        <f aca="false">IFERROR(INDEX(CHOOSE(MATCH($X108,{"K1","K2","K3","K12","K13","H1","H2","H3","H12","H13"},0),Calc!$V$2:$V$105,Calc!$AC$2:$AC$105,Calc!$AJ$2:$AJ$105,Calc!$AL$2:$AL$105,Calc!$AM$2:$AM$105,Calc!$W$2:$W$105,Calc!$AD$2:$AD$105,Calc!$AK$2:$AK$105,Calc!$AN$2:$AN$105,Calc!$AO$2:$AO$105),MATCH($W108,Calc!$A$2:$A$105,0)),"")</f>
        <v>17.6054178254438</v>
      </c>
      <c r="H108" s="11" t="n">
        <f aca="false">IF(G108="","",IF(LEFT($X108,1)="H",SQRT(G108*(IFERROR(INDEX(Calc!$AP$2:$AP$105,MATCH($W108,Calc!$A$2:$A$105,0)),0.5)*Config!$B$5+1-IFERROR(INDEX(Calc!$AP$2:$AP$105,MATCH($W108,Calc!$A$2:$A$105,0)),0.5))),SQRT(G108*Config!$B$5)))</f>
        <v>4.65438428882202</v>
      </c>
      <c r="I108" s="10" t="n">
        <f aca="false">IF(OR(F108="",G108="",N(H108)&lt;=0),"",1-NORMDIST(FLOOR(F108,1)+0.5,G108,H108,TRUE()))</f>
        <v>0.423791972378891</v>
      </c>
      <c r="J108" s="10" t="n">
        <f aca="false">IF(I108="","",NORMDIST(CEILING(F108,1)-0.5,G108,H108,TRUE()))</f>
        <v>0.576208027621109</v>
      </c>
      <c r="K108" s="10" t="n">
        <f aca="false">IF(I108="","",MAX(0,1-I108-J108))</f>
        <v>0</v>
      </c>
      <c r="L108" s="0" t="str">
        <f aca="false">IF(I108="","",IF(I108&gt;=0.5+Config!$B$6,"OVER",IF(J108&gt;=0.5+Config!$B$6,"UNDER","—")))</f>
        <v>UNDER</v>
      </c>
      <c r="N108" s="0" t="n">
        <v>18.3</v>
      </c>
      <c r="O108" s="10" t="n">
        <v>0.4</v>
      </c>
      <c r="P108" s="10" t="n">
        <v>0.5</v>
      </c>
      <c r="Q108" s="10" t="n">
        <v>0.47</v>
      </c>
      <c r="R108" s="9" t="s">
        <v>907</v>
      </c>
      <c r="S108" s="0" t="n">
        <v>-1</v>
      </c>
      <c r="T108" s="0" t="str">
        <f aca="false">INDEX(Calc!$G$2:$G$105,MATCH($W108,Calc!$A$2:$A$105,0))&amp;" / "&amp;INDEX(Calc!$H$2:$H$105,MATCH($W108,Calc!$A$2:$A$105,0))</f>
        <v>Ancient / Dust2</v>
      </c>
      <c r="U108" s="0" t="str">
        <f aca="false">TEXT(INDEX(Calc!$J$2:$J$105,MATCH($W108,Calc!$A$2:$A$105,0)),"0.0")&amp;" / "&amp;TEXT(INDEX(Calc!$K$2:$K$105,MATCH($W108,Calc!$A$2:$A$105,0)),"0.0")</f>
        <v>21.0 / 21.0</v>
      </c>
      <c r="V108" s="0" t="str">
        <f aca="false">IFERROR(INDEX(Calc!$AQ$2:$AQ$105,MATCH($W108,Calc!$A$2:$A$105,0)),"")</f>
        <v/>
      </c>
      <c r="W108" s="9" t="s">
        <v>1024</v>
      </c>
      <c r="X108" s="9" t="s">
        <v>896</v>
      </c>
      <c r="Y108" s="0" t="str">
        <f aca="false">W108&amp;"|"&amp;X108</f>
        <v>t2lttsuygcwlbxl|CS2 · INF vs EF|H12</v>
      </c>
      <c r="Z108" s="11" t="n">
        <f aca="false">IFERROR(INDEX(CHOOSE(MATCH($X108,{"K1","K2","K3","K12","K13","H1","H2","H3","H12","H13"},0),Calc!$BA$2:$BA$105,Calc!$BB$2:$BB$105,Calc!$BC$2:$BC$105,Calc!$BD$2:$BD$105,Calc!$BE$2:$BE$105,Calc!$BF$2:$BF$105,Calc!$BG$2:$BG$105,Calc!$BH$2:$BH$105,Calc!$BI$2:$BI$105,Calc!$BJ$2:$BJ$105),MATCH($W108,Calc!$A$2:$A$105,0)),"")</f>
        <v>17.8693440925546</v>
      </c>
      <c r="AA108" s="11" t="n">
        <f aca="false">IF(Z108="","",IF(LEFT($X108,1)="H",SQRT(Z108*(IFERROR(INDEX(Calc!$AP$2:$AP$105,MATCH($W108,Calc!$A$2:$A$105,0)),0.5)*Config!$B$5+1-IFERROR(INDEX(Calc!$AP$2:$AP$105,MATCH($W108,Calc!$A$2:$A$105,0)),0.5))),SQRT(Z108*Config!$B$5)))</f>
        <v>4.68914190213394</v>
      </c>
      <c r="AB108" s="10" t="n">
        <f aca="false">IF(OR(F108="",Z108="",N(AA108)&lt;=0),"",1-NORMDIST(FLOOR(F108,1)+0.5,Z108,AA108,TRUE()))</f>
        <v>0.446506445032483</v>
      </c>
      <c r="AC108" s="10" t="n">
        <f aca="false">IF(AB108="","",NORMDIST(CEILING(F108,1)-0.5,Z108,AA108,TRUE()))</f>
        <v>0.553493554967517</v>
      </c>
      <c r="AD108" s="0" t="str">
        <f aca="false">IF(AB108="","",IF(AB108&gt;=0.5+Config!$B$6,"OVER",IF(AC108&gt;=0.5+Config!$B$6,"UNDER","—")))</f>
        <v>UNDER</v>
      </c>
      <c r="AE108" s="13" t="n">
        <f aca="false">IFERROR(Z108/G108,"")</f>
        <v>1.01499119587661</v>
      </c>
    </row>
    <row r="109" customFormat="false" ht="15" hidden="false" customHeight="false" outlineLevel="0" collapsed="false">
      <c r="A109" s="0" t="s">
        <v>775</v>
      </c>
      <c r="B109" s="0" t="s">
        <v>807</v>
      </c>
      <c r="C109" s="0" t="s">
        <v>1023</v>
      </c>
      <c r="D109" s="0" t="s">
        <v>812</v>
      </c>
      <c r="E109" s="0" t="s">
        <v>888</v>
      </c>
      <c r="F109" s="0" t="n">
        <v>30.5</v>
      </c>
      <c r="G109" s="11" t="n">
        <f aca="false">IFERROR(INDEX(CHOOSE(MATCH($X109,{"K1","K2","K3","K12","K13","H1","H2","H3","H12","H13"},0),Calc!$V$2:$V$105,Calc!$AC$2:$AC$105,Calc!$AJ$2:$AJ$105,Calc!$AL$2:$AL$105,Calc!$AM$2:$AM$105,Calc!$W$2:$W$105,Calc!$AD$2:$AD$105,Calc!$AK$2:$AK$105,Calc!$AN$2:$AN$105,Calc!$AO$2:$AO$105),MATCH($W109,Calc!$A$2:$A$105,0)),"")</f>
        <v>30.5530076923077</v>
      </c>
      <c r="H109" s="11" t="n">
        <f aca="false">IF(G109="","",IF(LEFT($X109,1)="H",SQRT(G109*(IFERROR(INDEX(Calc!$AP$2:$AP$105,MATCH($W109,Calc!$A$2:$A$105,0)),0.5)*Config!$B$5+1-IFERROR(INDEX(Calc!$AP$2:$AP$105,MATCH($W109,Calc!$A$2:$A$105,0)),0.5))),SQRT(G109*Config!$B$5)))</f>
        <v>6.5401995970483</v>
      </c>
      <c r="I109" s="10" t="n">
        <f aca="false">IF(OR(F109="",G109="",N(H109)&lt;=0),"",1-NORMDIST(FLOOR(F109,1)+0.5,G109,H109,TRUE()))</f>
        <v>0.503233353633001</v>
      </c>
      <c r="J109" s="10" t="n">
        <f aca="false">IF(I109="","",NORMDIST(CEILING(F109,1)-0.5,G109,H109,TRUE()))</f>
        <v>0.496766646366999</v>
      </c>
      <c r="K109" s="10" t="n">
        <f aca="false">IF(I109="","",MAX(0,1-I109-J109))</f>
        <v>0</v>
      </c>
      <c r="L109" s="0" t="str">
        <f aca="false">IF(I109="","",IF(I109&gt;=0.5+Config!$B$6,"OVER",IF(J109&gt;=0.5+Config!$B$6,"UNDER","—")))</f>
        <v>—</v>
      </c>
      <c r="M109" s="0" t="n">
        <v>30.41</v>
      </c>
      <c r="N109" s="0" t="n">
        <v>31</v>
      </c>
      <c r="O109" s="10" t="n">
        <v>0.4</v>
      </c>
      <c r="P109" s="10" t="n">
        <v>0.6</v>
      </c>
      <c r="Q109" s="10" t="n">
        <v>0.67</v>
      </c>
      <c r="R109" s="9" t="s">
        <v>907</v>
      </c>
      <c r="S109" s="0" t="n">
        <v>-1</v>
      </c>
      <c r="T109" s="0" t="str">
        <f aca="false">INDEX(Calc!$G$2:$G$105,MATCH($W109,Calc!$A$2:$A$105,0))&amp;" / "&amp;INDEX(Calc!$H$2:$H$105,MATCH($W109,Calc!$A$2:$A$105,0))</f>
        <v>Ancient / Dust2</v>
      </c>
      <c r="U109" s="0" t="str">
        <f aca="false">TEXT(INDEX(Calc!$J$2:$J$105,MATCH($W109,Calc!$A$2:$A$105,0)),"0.0")&amp;" / "&amp;TEXT(INDEX(Calc!$K$2:$K$105,MATCH($W109,Calc!$A$2:$A$105,0)),"0.0")</f>
        <v>21.0 / 21.0</v>
      </c>
      <c r="V109" s="0" t="str">
        <f aca="false">IFERROR(INDEX(Calc!$AQ$2:$AQ$105,MATCH($W109,Calc!$A$2:$A$105,0)),"")</f>
        <v/>
      </c>
      <c r="W109" s="9" t="s">
        <v>1024</v>
      </c>
      <c r="X109" s="9" t="s">
        <v>891</v>
      </c>
      <c r="Y109" s="0" t="str">
        <f aca="false">W109&amp;"|"&amp;X109</f>
        <v>t2lttsuygcwlbxl|CS2 · INF vs EF|K12</v>
      </c>
      <c r="Z109" s="11" t="n">
        <f aca="false">IFERROR(INDEX(CHOOSE(MATCH($X109,{"K1","K2","K3","K12","K13","H1","H2","H3","H12","H13"},0),Calc!$BA$2:$BA$105,Calc!$BB$2:$BB$105,Calc!$BC$2:$BC$105,Calc!$BD$2:$BD$105,Calc!$BE$2:$BE$105,Calc!$BF$2:$BF$105,Calc!$BG$2:$BG$105,Calc!$BH$2:$BH$105,Calc!$BI$2:$BI$105,Calc!$BJ$2:$BJ$105),MATCH($W109,Calc!$A$2:$A$105,0)),"")</f>
        <v>31.0048829730392</v>
      </c>
      <c r="AA109" s="11" t="n">
        <f aca="false">IF(Z109="","",IF(LEFT($X109,1)="H",SQRT(Z109*(IFERROR(INDEX(Calc!$AP$2:$AP$105,MATCH($W109,Calc!$A$2:$A$105,0)),0.5)*Config!$B$5+1-IFERROR(INDEX(Calc!$AP$2:$AP$105,MATCH($W109,Calc!$A$2:$A$105,0)),0.5))),SQRT(Z109*Config!$B$5)))</f>
        <v>6.58838646120997</v>
      </c>
      <c r="AB109" s="10" t="n">
        <f aca="false">IF(OR(F109="",Z109="",N(AA109)&lt;=0),"",1-NORMDIST(FLOOR(F109,1)+0.5,Z109,AA109,TRUE()))</f>
        <v>0.53054195441917</v>
      </c>
      <c r="AC109" s="10" t="n">
        <f aca="false">IF(AB109="","",NORMDIST(CEILING(F109,1)-0.5,Z109,AA109,TRUE()))</f>
        <v>0.46945804558083</v>
      </c>
      <c r="AD109" s="0" t="str">
        <f aca="false">IF(AB109="","",IF(AB109&gt;=0.5+Config!$B$6,"OVER",IF(AC109&gt;=0.5+Config!$B$6,"UNDER","—")))</f>
        <v>—</v>
      </c>
      <c r="AE109" s="13" t="n">
        <f aca="false">IFERROR(Z109/G109,"")</f>
        <v>1.01478987879957</v>
      </c>
    </row>
    <row r="110" customFormat="false" ht="15" hidden="false" customHeight="false" outlineLevel="0" collapsed="false">
      <c r="A110" s="0" t="s">
        <v>775</v>
      </c>
      <c r="B110" s="0" t="s">
        <v>807</v>
      </c>
      <c r="C110" s="0" t="s">
        <v>1025</v>
      </c>
      <c r="D110" s="0" t="s">
        <v>812</v>
      </c>
      <c r="E110" s="0" t="s">
        <v>893</v>
      </c>
      <c r="F110" s="0" t="n">
        <v>13.5</v>
      </c>
      <c r="G110" s="11" t="n">
        <f aca="false">IFERROR(INDEX(CHOOSE(MATCH($X110,{"K1","K2","K3","K12","K13","H1","H2","H3","H12","H13"},0),Calc!$V$2:$V$105,Calc!$AC$2:$AC$105,Calc!$AJ$2:$AJ$105,Calc!$AL$2:$AL$105,Calc!$AM$2:$AM$105,Calc!$W$2:$W$105,Calc!$AD$2:$AD$105,Calc!$AK$2:$AK$105,Calc!$AN$2:$AN$105,Calc!$AO$2:$AO$105),MATCH($W110,Calc!$A$2:$A$105,0)),"")</f>
        <v>13.5933713671598</v>
      </c>
      <c r="H110" s="11" t="n">
        <f aca="false">IF(G110="","",IF(LEFT($X110,1)="H",SQRT(G110*(IFERROR(INDEX(Calc!$AP$2:$AP$105,MATCH($W110,Calc!$A$2:$A$105,0)),0.5)*Config!$B$5+1-IFERROR(INDEX(Calc!$AP$2:$AP$105,MATCH($W110,Calc!$A$2:$A$105,0)),0.5))),SQRT(G110*Config!$B$5)))</f>
        <v>4.07436399277108</v>
      </c>
      <c r="I110" s="10" t="n">
        <f aca="false">IF(OR(F110="",G110="",N(H110)&lt;=0),"",1-NORMDIST(FLOOR(F110,1)+0.5,G110,H110,TRUE()))</f>
        <v>0.509141678551795</v>
      </c>
      <c r="J110" s="10" t="n">
        <f aca="false">IF(I110="","",NORMDIST(CEILING(F110,1)-0.5,G110,H110,TRUE()))</f>
        <v>0.490858321448205</v>
      </c>
      <c r="K110" s="10" t="n">
        <f aca="false">IF(I110="","",MAX(0,1-I110-J110))</f>
        <v>0</v>
      </c>
      <c r="L110" s="0" t="str">
        <f aca="false">IF(I110="","",IF(I110&gt;=0.5+Config!$B$6,"OVER",IF(J110&gt;=0.5+Config!$B$6,"UNDER","—")))</f>
        <v>—</v>
      </c>
      <c r="N110" s="0" t="n">
        <v>14.7</v>
      </c>
      <c r="O110" s="10" t="n">
        <v>0.4</v>
      </c>
      <c r="P110" s="10" t="n">
        <v>0.5</v>
      </c>
      <c r="Q110" s="10" t="n">
        <v>0.47</v>
      </c>
      <c r="R110" s="9" t="s">
        <v>907</v>
      </c>
      <c r="S110" s="0" t="n">
        <v>-1</v>
      </c>
      <c r="T110" s="0" t="str">
        <f aca="false">INDEX(Calc!$G$2:$G$105,MATCH($W110,Calc!$A$2:$A$105,0))&amp;" / "&amp;INDEX(Calc!$H$2:$H$105,MATCH($W110,Calc!$A$2:$A$105,0))</f>
        <v>Ancient / Dust2</v>
      </c>
      <c r="U110" s="0" t="str">
        <f aca="false">TEXT(INDEX(Calc!$J$2:$J$105,MATCH($W110,Calc!$A$2:$A$105,0)),"0.0")&amp;" / "&amp;TEXT(INDEX(Calc!$K$2:$K$105,MATCH($W110,Calc!$A$2:$A$105,0)),"0.0")</f>
        <v>21.0 / 21.0</v>
      </c>
      <c r="V110" s="0" t="str">
        <f aca="false">IFERROR(INDEX(Calc!$AQ$2:$AQ$105,MATCH($W110,Calc!$A$2:$A$105,0)),"")</f>
        <v/>
      </c>
      <c r="W110" s="9" t="s">
        <v>1026</v>
      </c>
      <c r="X110" s="9" t="s">
        <v>896</v>
      </c>
      <c r="Y110" s="0" t="str">
        <f aca="false">W110&amp;"|"&amp;X110</f>
        <v>mp3vrg2adugpxjt|CS2 · INF vs EF|H12</v>
      </c>
      <c r="Z110" s="11" t="n">
        <f aca="false">IFERROR(INDEX(CHOOSE(MATCH($X110,{"K1","K2","K3","K12","K13","H1","H2","H3","H12","H13"},0),Calc!$BA$2:$BA$105,Calc!$BB$2:$BB$105,Calc!$BC$2:$BC$105,Calc!$BD$2:$BD$105,Calc!$BE$2:$BE$105,Calc!$BF$2:$BF$105,Calc!$BG$2:$BG$105,Calc!$BH$2:$BH$105,Calc!$BI$2:$BI$105,Calc!$BJ$2:$BJ$105),MATCH($W110,Calc!$A$2:$A$105,0)),"")</f>
        <v>13.8041122487746</v>
      </c>
      <c r="AA110" s="11" t="n">
        <f aca="false">IF(Z110="","",IF(LEFT($X110,1)="H",SQRT(Z110*(IFERROR(INDEX(Calc!$AP$2:$AP$105,MATCH($W110,Calc!$A$2:$A$105,0)),0.5)*Config!$B$5+1-IFERROR(INDEX(Calc!$AP$2:$AP$105,MATCH($W110,Calc!$A$2:$A$105,0)),0.5))),SQRT(Z110*Config!$B$5)))</f>
        <v>4.10582538252781</v>
      </c>
      <c r="AB110" s="10" t="n">
        <f aca="false">IF(OR(F110="",Z110="",N(AA110)&lt;=0),"",1-NORMDIST(FLOOR(F110,1)+0.5,Z110,AA110,TRUE()))</f>
        <v>0.529522052512082</v>
      </c>
      <c r="AC110" s="10" t="n">
        <f aca="false">IF(AB110="","",NORMDIST(CEILING(F110,1)-0.5,Z110,AA110,TRUE()))</f>
        <v>0.470477947487918</v>
      </c>
      <c r="AD110" s="0" t="str">
        <f aca="false">IF(AB110="","",IF(AB110&gt;=0.5+Config!$B$6,"OVER",IF(AC110&gt;=0.5+Config!$B$6,"UNDER","—")))</f>
        <v>—</v>
      </c>
      <c r="AE110" s="13" t="n">
        <f aca="false">IFERROR(Z110/G110,"")</f>
        <v>1.01550320931597</v>
      </c>
    </row>
    <row r="111" customFormat="false" ht="15" hidden="false" customHeight="false" outlineLevel="0" collapsed="false">
      <c r="A111" s="0" t="s">
        <v>775</v>
      </c>
      <c r="B111" s="0" t="s">
        <v>807</v>
      </c>
      <c r="C111" s="0" t="s">
        <v>1025</v>
      </c>
      <c r="D111" s="0" t="s">
        <v>812</v>
      </c>
      <c r="E111" s="0" t="s">
        <v>888</v>
      </c>
      <c r="F111" s="0" t="n">
        <v>24.5</v>
      </c>
      <c r="G111" s="11" t="n">
        <f aca="false">IFERROR(INDEX(CHOOSE(MATCH($X111,{"K1","K2","K3","K12","K13","H1","H2","H3","H12","H13"},0),Calc!$V$2:$V$105,Calc!$AC$2:$AC$105,Calc!$AJ$2:$AJ$105,Calc!$AL$2:$AL$105,Calc!$AM$2:$AM$105,Calc!$W$2:$W$105,Calc!$AD$2:$AD$105,Calc!$AK$2:$AK$105,Calc!$AN$2:$AN$105,Calc!$AO$2:$AO$105),MATCH($W111,Calc!$A$2:$A$105,0)),"")</f>
        <v>24.5793692307692</v>
      </c>
      <c r="H111" s="11" t="n">
        <f aca="false">IF(G111="","",IF(LEFT($X111,1)="H",SQRT(G111*(IFERROR(INDEX(Calc!$AP$2:$AP$105,MATCH($W111,Calc!$A$2:$A$105,0)),0.5)*Config!$B$5+1-IFERROR(INDEX(Calc!$AP$2:$AP$105,MATCH($W111,Calc!$A$2:$A$105,0)),0.5))),SQRT(G111*Config!$B$5)))</f>
        <v>5.8660989527178</v>
      </c>
      <c r="I111" s="10" t="n">
        <f aca="false">IF(OR(F111="",G111="",N(H111)&lt;=0),"",1-NORMDIST(FLOOR(F111,1)+0.5,G111,H111,TRUE()))</f>
        <v>0.505397586387616</v>
      </c>
      <c r="J111" s="10" t="n">
        <f aca="false">IF(I111="","",NORMDIST(CEILING(F111,1)-0.5,G111,H111,TRUE()))</f>
        <v>0.494602413612384</v>
      </c>
      <c r="K111" s="10" t="n">
        <f aca="false">IF(I111="","",MAX(0,1-I111-J111))</f>
        <v>0</v>
      </c>
      <c r="L111" s="0" t="str">
        <f aca="false">IF(I111="","",IF(I111&gt;=0.5+Config!$B$6,"OVER",IF(J111&gt;=0.5+Config!$B$6,"UNDER","—")))</f>
        <v>—</v>
      </c>
      <c r="M111" s="0" t="n">
        <v>24.61</v>
      </c>
      <c r="N111" s="0" t="n">
        <v>26.2</v>
      </c>
      <c r="O111" s="10" t="n">
        <v>0.6</v>
      </c>
      <c r="P111" s="10" t="n">
        <v>0.6</v>
      </c>
      <c r="Q111" s="10" t="n">
        <v>0.6</v>
      </c>
      <c r="R111" s="9" t="s">
        <v>907</v>
      </c>
      <c r="S111" s="0" t="n">
        <v>-1</v>
      </c>
      <c r="T111" s="0" t="str">
        <f aca="false">INDEX(Calc!$G$2:$G$105,MATCH($W111,Calc!$A$2:$A$105,0))&amp;" / "&amp;INDEX(Calc!$H$2:$H$105,MATCH($W111,Calc!$A$2:$A$105,0))</f>
        <v>Ancient / Dust2</v>
      </c>
      <c r="U111" s="0" t="str">
        <f aca="false">TEXT(INDEX(Calc!$J$2:$J$105,MATCH($W111,Calc!$A$2:$A$105,0)),"0.0")&amp;" / "&amp;TEXT(INDEX(Calc!$K$2:$K$105,MATCH($W111,Calc!$A$2:$A$105,0)),"0.0")</f>
        <v>21.0 / 21.0</v>
      </c>
      <c r="V111" s="0" t="str">
        <f aca="false">IFERROR(INDEX(Calc!$AQ$2:$AQ$105,MATCH($W111,Calc!$A$2:$A$105,0)),"")</f>
        <v/>
      </c>
      <c r="W111" s="9" t="s">
        <v>1026</v>
      </c>
      <c r="X111" s="9" t="s">
        <v>891</v>
      </c>
      <c r="Y111" s="0" t="str">
        <f aca="false">W111&amp;"|"&amp;X111</f>
        <v>mp3vrg2adugpxjt|CS2 · INF vs EF|K12</v>
      </c>
      <c r="Z111" s="11" t="n">
        <f aca="false">IFERROR(INDEX(CHOOSE(MATCH($X111,{"K1","K2","K3","K12","K13","H1","H2","H3","H12","H13"},0),Calc!$BA$2:$BA$105,Calc!$BB$2:$BB$105,Calc!$BC$2:$BC$105,Calc!$BD$2:$BD$105,Calc!$BE$2:$BE$105,Calc!$BF$2:$BF$105,Calc!$BG$2:$BG$105,Calc!$BH$2:$BH$105,Calc!$BI$2:$BI$105,Calc!$BJ$2:$BJ$105),MATCH($W111,Calc!$A$2:$A$105,0)),"")</f>
        <v>24.9619722652431</v>
      </c>
      <c r="AA111" s="11" t="n">
        <f aca="false">IF(Z111="","",IF(LEFT($X111,1)="H",SQRT(Z111*(IFERROR(INDEX(Calc!$AP$2:$AP$105,MATCH($W111,Calc!$A$2:$A$105,0)),0.5)*Config!$B$5+1-IFERROR(INDEX(Calc!$AP$2:$AP$105,MATCH($W111,Calc!$A$2:$A$105,0)),0.5))),SQRT(Z111*Config!$B$5)))</f>
        <v>5.91157856848239</v>
      </c>
      <c r="AB111" s="10" t="n">
        <f aca="false">IF(OR(F111="",Z111="",N(AA111)&lt;=0),"",1-NORMDIST(FLOOR(F111,1)+0.5,Z111,AA111,TRUE()))</f>
        <v>0.531144448630016</v>
      </c>
      <c r="AC111" s="10" t="n">
        <f aca="false">IF(AB111="","",NORMDIST(CEILING(F111,1)-0.5,Z111,AA111,TRUE()))</f>
        <v>0.468855551369984</v>
      </c>
      <c r="AD111" s="0" t="str">
        <f aca="false">IF(AB111="","",IF(AB111&gt;=0.5+Config!$B$6,"OVER",IF(AC111&gt;=0.5+Config!$B$6,"UNDER","—")))</f>
        <v>—</v>
      </c>
      <c r="AE111" s="13" t="n">
        <f aca="false">IFERROR(Z111/G111,"")</f>
        <v>1.01556602331336</v>
      </c>
    </row>
    <row r="112" customFormat="false" ht="15" hidden="false" customHeight="false" outlineLevel="0" collapsed="false">
      <c r="A112" s="0" t="s">
        <v>775</v>
      </c>
      <c r="B112" s="0" t="s">
        <v>807</v>
      </c>
      <c r="C112" s="0" t="s">
        <v>1027</v>
      </c>
      <c r="D112" s="0" t="s">
        <v>812</v>
      </c>
      <c r="E112" s="0" t="s">
        <v>893</v>
      </c>
      <c r="F112" s="0" t="n">
        <v>11.5</v>
      </c>
      <c r="G112" s="11" t="n">
        <f aca="false">IFERROR(INDEX(CHOOSE(MATCH($X112,{"K1","K2","K3","K12","K13","H1","H2","H3","H12","H13"},0),Calc!$V$2:$V$105,Calc!$AC$2:$AC$105,Calc!$AJ$2:$AJ$105,Calc!$AL$2:$AL$105,Calc!$AM$2:$AM$105,Calc!$W$2:$W$105,Calc!$AD$2:$AD$105,Calc!$AK$2:$AK$105,Calc!$AN$2:$AN$105,Calc!$AO$2:$AO$105),MATCH($W112,Calc!$A$2:$A$105,0)),"")</f>
        <v>9.9409748964497</v>
      </c>
      <c r="H112" s="11" t="n">
        <f aca="false">IF(G112="","",IF(LEFT($X112,1)="H",SQRT(G112*(IFERROR(INDEX(Calc!$AP$2:$AP$105,MATCH($W112,Calc!$A$2:$A$105,0)),0.5)*Config!$B$5+1-IFERROR(INDEX(Calc!$AP$2:$AP$105,MATCH($W112,Calc!$A$2:$A$105,0)),0.5))),SQRT(G112*Config!$B$5)))</f>
        <v>3.39278261542357</v>
      </c>
      <c r="I112" s="10" t="n">
        <f aca="false">IF(OR(F112="",G112="",N(H112)&lt;=0),"",1-NORMDIST(FLOOR(F112,1)+0.5,G112,H112,TRUE()))</f>
        <v>0.322933186009393</v>
      </c>
      <c r="J112" s="10" t="n">
        <f aca="false">IF(I112="","",NORMDIST(CEILING(F112,1)-0.5,G112,H112,TRUE()))</f>
        <v>0.677066813990607</v>
      </c>
      <c r="K112" s="10" t="n">
        <f aca="false">IF(I112="","",MAX(0,1-I112-J112))</f>
        <v>0</v>
      </c>
      <c r="L112" s="0" t="str">
        <f aca="false">IF(I112="","",IF(I112&gt;=0.5+Config!$B$6,"OVER",IF(J112&gt;=0.5+Config!$B$6,"UNDER","—")))</f>
        <v>UNDER</v>
      </c>
      <c r="N112" s="0" t="n">
        <v>12.9</v>
      </c>
      <c r="O112" s="10" t="n">
        <v>0.6</v>
      </c>
      <c r="P112" s="10" t="n">
        <v>0.6</v>
      </c>
      <c r="Q112" s="10" t="n">
        <v>0.6</v>
      </c>
      <c r="R112" s="9" t="s">
        <v>907</v>
      </c>
      <c r="S112" s="0" t="n">
        <v>2</v>
      </c>
      <c r="T112" s="0" t="str">
        <f aca="false">INDEX(Calc!$G$2:$G$105,MATCH($W112,Calc!$A$2:$A$105,0))&amp;" / "&amp;INDEX(Calc!$H$2:$H$105,MATCH($W112,Calc!$A$2:$A$105,0))</f>
        <v>Ancient / Dust2</v>
      </c>
      <c r="U112" s="0" t="str">
        <f aca="false">TEXT(INDEX(Calc!$J$2:$J$105,MATCH($W112,Calc!$A$2:$A$105,0)),"0.0")&amp;" / "&amp;TEXT(INDEX(Calc!$K$2:$K$105,MATCH($W112,Calc!$A$2:$A$105,0)),"0.0")</f>
        <v>21.0 / 21.0</v>
      </c>
      <c r="V112" s="0" t="str">
        <f aca="false">IFERROR(INDEX(Calc!$AQ$2:$AQ$105,MATCH($W112,Calc!$A$2:$A$105,0)),"")</f>
        <v/>
      </c>
      <c r="W112" s="9" t="s">
        <v>1028</v>
      </c>
      <c r="X112" s="9" t="s">
        <v>896</v>
      </c>
      <c r="Y112" s="0" t="str">
        <f aca="false">W112&amp;"|"&amp;X112</f>
        <v>v15ff2btfwe796g|CS2 · INF vs EF|H12</v>
      </c>
      <c r="Z112" s="11" t="n">
        <f aca="false">IFERROR(INDEX(CHOOSE(MATCH($X112,{"K1","K2","K3","K12","K13","H1","H2","H3","H12","H13"},0),Calc!$BA$2:$BA$105,Calc!$BB$2:$BB$105,Calc!$BC$2:$BC$105,Calc!$BD$2:$BD$105,Calc!$BE$2:$BE$105,Calc!$BF$2:$BF$105,Calc!$BG$2:$BG$105,Calc!$BH$2:$BH$105,Calc!$BI$2:$BI$105,Calc!$BJ$2:$BJ$105),MATCH($W112,Calc!$A$2:$A$105,0)),"")</f>
        <v>10.0962764973745</v>
      </c>
      <c r="AA112" s="11" t="n">
        <f aca="false">IF(Z112="","",IF(LEFT($X112,1)="H",SQRT(Z112*(IFERROR(INDEX(Calc!$AP$2:$AP$105,MATCH($W112,Calc!$A$2:$A$105,0)),0.5)*Config!$B$5+1-IFERROR(INDEX(Calc!$AP$2:$AP$105,MATCH($W112,Calc!$A$2:$A$105,0)),0.5))),SQRT(Z112*Config!$B$5)))</f>
        <v>3.41918156631645</v>
      </c>
      <c r="AB112" s="10" t="n">
        <f aca="false">IF(OR(F112="",Z112="",N(AA112)&lt;=0),"",1-NORMDIST(FLOOR(F112,1)+0.5,Z112,AA112,TRUE()))</f>
        <v>0.340703571303105</v>
      </c>
      <c r="AC112" s="10" t="n">
        <f aca="false">IF(AB112="","",NORMDIST(CEILING(F112,1)-0.5,Z112,AA112,TRUE()))</f>
        <v>0.659296428696895</v>
      </c>
      <c r="AD112" s="0" t="str">
        <f aca="false">IF(AB112="","",IF(AB112&gt;=0.5+Config!$B$6,"OVER",IF(AC112&gt;=0.5+Config!$B$6,"UNDER","—")))</f>
        <v>UNDER</v>
      </c>
      <c r="AE112" s="13" t="n">
        <f aca="false">IFERROR(Z112/G112,"")</f>
        <v>1.01562237130085</v>
      </c>
    </row>
    <row r="113" customFormat="false" ht="15" hidden="false" customHeight="false" outlineLevel="0" collapsed="false">
      <c r="A113" s="0" t="s">
        <v>775</v>
      </c>
      <c r="B113" s="0" t="s">
        <v>807</v>
      </c>
      <c r="C113" s="0" t="s">
        <v>1027</v>
      </c>
      <c r="D113" s="0" t="s">
        <v>812</v>
      </c>
      <c r="E113" s="0" t="s">
        <v>888</v>
      </c>
      <c r="F113" s="0" t="n">
        <v>28.5</v>
      </c>
      <c r="G113" s="11" t="n">
        <f aca="false">IFERROR(INDEX(CHOOSE(MATCH($X113,{"K1","K2","K3","K12","K13","H1","H2","H3","H12","H13"},0),Calc!$V$2:$V$105,Calc!$AC$2:$AC$105,Calc!$AJ$2:$AJ$105,Calc!$AL$2:$AL$105,Calc!$AM$2:$AM$105,Calc!$W$2:$W$105,Calc!$AD$2:$AD$105,Calc!$AK$2:$AK$105,Calc!$AN$2:$AN$105,Calc!$AO$2:$AO$105),MATCH($W113,Calc!$A$2:$A$105,0)),"")</f>
        <v>25.1778461538462</v>
      </c>
      <c r="H113" s="11" t="n">
        <f aca="false">IF(G113="","",IF(LEFT($X113,1)="H",SQRT(G113*(IFERROR(INDEX(Calc!$AP$2:$AP$105,MATCH($W113,Calc!$A$2:$A$105,0)),0.5)*Config!$B$5+1-IFERROR(INDEX(Calc!$AP$2:$AP$105,MATCH($W113,Calc!$A$2:$A$105,0)),0.5))),SQRT(G113*Config!$B$5)))</f>
        <v>5.93708553209271</v>
      </c>
      <c r="I113" s="10" t="n">
        <f aca="false">IF(OR(F113="",G113="",N(H113)&lt;=0),"",1-NORMDIST(FLOOR(F113,1)+0.5,G113,H113,TRUE()))</f>
        <v>0.287889897121907</v>
      </c>
      <c r="J113" s="10" t="n">
        <f aca="false">IF(I113="","",NORMDIST(CEILING(F113,1)-0.5,G113,H113,TRUE()))</f>
        <v>0.712110102878093</v>
      </c>
      <c r="K113" s="10" t="n">
        <f aca="false">IF(I113="","",MAX(0,1-I113-J113))</f>
        <v>0</v>
      </c>
      <c r="L113" s="0" t="str">
        <f aca="false">IF(I113="","",IF(I113&gt;=0.5+Config!$B$6,"OVER",IF(J113&gt;=0.5+Config!$B$6,"UNDER","—")))</f>
        <v>UNDER</v>
      </c>
      <c r="M113" s="0" t="n">
        <v>27.1</v>
      </c>
      <c r="N113" s="0" t="n">
        <v>29</v>
      </c>
      <c r="O113" s="10" t="n">
        <v>0.6</v>
      </c>
      <c r="P113" s="10" t="n">
        <v>0.6</v>
      </c>
      <c r="Q113" s="10" t="n">
        <v>0.6</v>
      </c>
      <c r="R113" s="9" t="s">
        <v>907</v>
      </c>
      <c r="S113" s="0" t="n">
        <v>1</v>
      </c>
      <c r="T113" s="0" t="str">
        <f aca="false">INDEX(Calc!$G$2:$G$105,MATCH($W113,Calc!$A$2:$A$105,0))&amp;" / "&amp;INDEX(Calc!$H$2:$H$105,MATCH($W113,Calc!$A$2:$A$105,0))</f>
        <v>Ancient / Dust2</v>
      </c>
      <c r="U113" s="0" t="str">
        <f aca="false">TEXT(INDEX(Calc!$J$2:$J$105,MATCH($W113,Calc!$A$2:$A$105,0)),"0.0")&amp;" / "&amp;TEXT(INDEX(Calc!$K$2:$K$105,MATCH($W113,Calc!$A$2:$A$105,0)),"0.0")</f>
        <v>21.0 / 21.0</v>
      </c>
      <c r="V113" s="0" t="str">
        <f aca="false">IFERROR(INDEX(Calc!$AQ$2:$AQ$105,MATCH($W113,Calc!$A$2:$A$105,0)),"")</f>
        <v/>
      </c>
      <c r="W113" s="9" t="s">
        <v>1028</v>
      </c>
      <c r="X113" s="9" t="s">
        <v>891</v>
      </c>
      <c r="Y113" s="0" t="str">
        <f aca="false">W113&amp;"|"&amp;X113</f>
        <v>v15ff2btfwe796g|CS2 · INF vs EF|K12</v>
      </c>
      <c r="Z113" s="11" t="n">
        <f aca="false">IFERROR(INDEX(CHOOSE(MATCH($X113,{"K1","K2","K3","K12","K13","H1","H2","H3","H12","H13"},0),Calc!$BA$2:$BA$105,Calc!$BB$2:$BB$105,Calc!$BC$2:$BC$105,Calc!$BD$2:$BD$105,Calc!$BE$2:$BE$105,Calc!$BF$2:$BF$105,Calc!$BG$2:$BG$105,Calc!$BH$2:$BH$105,Calc!$BI$2:$BI$105,Calc!$BJ$2:$BJ$105),MATCH($W113,Calc!$A$2:$A$105,0)),"")</f>
        <v>25.5543153787696</v>
      </c>
      <c r="AA113" s="11" t="n">
        <f aca="false">IF(Z113="","",IF(LEFT($X113,1)="H",SQRT(Z113*(IFERROR(INDEX(Calc!$AP$2:$AP$105,MATCH($W113,Calc!$A$2:$A$105,0)),0.5)*Config!$B$5+1-IFERROR(INDEX(Calc!$AP$2:$AP$105,MATCH($W113,Calc!$A$2:$A$105,0)),0.5))),SQRT(Z113*Config!$B$5)))</f>
        <v>5.98130767727906</v>
      </c>
      <c r="AB113" s="10" t="n">
        <f aca="false">IF(OR(F113="",Z113="",N(AA113)&lt;=0),"",1-NORMDIST(FLOOR(F113,1)+0.5,Z113,AA113,TRUE()))</f>
        <v>0.311189424972449</v>
      </c>
      <c r="AC113" s="10" t="n">
        <f aca="false">IF(AB113="","",NORMDIST(CEILING(F113,1)-0.5,Z113,AA113,TRUE()))</f>
        <v>0.688810575027551</v>
      </c>
      <c r="AD113" s="0" t="str">
        <f aca="false">IF(AB113="","",IF(AB113&gt;=0.5+Config!$B$6,"OVER",IF(AC113&gt;=0.5+Config!$B$6,"UNDER","—")))</f>
        <v>UNDER</v>
      </c>
      <c r="AE113" s="13" t="n">
        <f aca="false">IFERROR(Z113/G113,"")</f>
        <v>1.01495239992425</v>
      </c>
    </row>
    <row r="114" customFormat="false" ht="15" hidden="false" customHeight="false" outlineLevel="0" collapsed="false">
      <c r="A114" s="0" t="s">
        <v>775</v>
      </c>
      <c r="B114" s="0" t="s">
        <v>807</v>
      </c>
      <c r="C114" s="0" t="s">
        <v>1029</v>
      </c>
      <c r="D114" s="0" t="s">
        <v>812</v>
      </c>
      <c r="E114" s="0" t="s">
        <v>893</v>
      </c>
      <c r="F114" s="0" t="n">
        <v>16.5</v>
      </c>
      <c r="G114" s="11" t="n">
        <f aca="false">IFERROR(INDEX(CHOOSE(MATCH($X114,{"K1","K2","K3","K12","K13","H1","H2","H3","H12","H13"},0),Calc!$V$2:$V$105,Calc!$AC$2:$AC$105,Calc!$AJ$2:$AJ$105,Calc!$AL$2:$AL$105,Calc!$AM$2:$AM$105,Calc!$W$2:$W$105,Calc!$AD$2:$AD$105,Calc!$AK$2:$AK$105,Calc!$AN$2:$AN$105,Calc!$AO$2:$AO$105),MATCH($W114,Calc!$A$2:$A$105,0)),"")</f>
        <v>17.4041951639053</v>
      </c>
      <c r="H114" s="11" t="n">
        <f aca="false">IF(G114="","",IF(LEFT($X114,1)="H",SQRT(G114*(IFERROR(INDEX(Calc!$AP$2:$AP$105,MATCH($W114,Calc!$A$2:$A$105,0)),0.5)*Config!$B$5+1-IFERROR(INDEX(Calc!$AP$2:$AP$105,MATCH($W114,Calc!$A$2:$A$105,0)),0.5))),SQRT(G114*Config!$B$5)))</f>
        <v>4.6158272728603</v>
      </c>
      <c r="I114" s="10" t="n">
        <f aca="false">IF(OR(F114="",G114="",N(H114)&lt;=0),"",1-NORMDIST(FLOOR(F114,1)+0.5,G114,H114,TRUE()))</f>
        <v>0.577651932149322</v>
      </c>
      <c r="J114" s="10" t="n">
        <f aca="false">IF(I114="","",NORMDIST(CEILING(F114,1)-0.5,G114,H114,TRUE()))</f>
        <v>0.422348067850678</v>
      </c>
      <c r="K114" s="10" t="n">
        <f aca="false">IF(I114="","",MAX(0,1-I114-J114))</f>
        <v>0</v>
      </c>
      <c r="L114" s="0" t="str">
        <f aca="false">IF(I114="","",IF(I114&gt;=0.5+Config!$B$6,"OVER",IF(J114&gt;=0.5+Config!$B$6,"UNDER","—")))</f>
        <v>OVER</v>
      </c>
      <c r="N114" s="0" t="n">
        <v>16.9</v>
      </c>
      <c r="O114" s="10" t="n">
        <v>0.4</v>
      </c>
      <c r="P114" s="10" t="n">
        <v>0.4</v>
      </c>
      <c r="Q114" s="10" t="n">
        <v>0.47</v>
      </c>
      <c r="R114" s="9" t="s">
        <v>894</v>
      </c>
      <c r="S114" s="0" t="n">
        <v>-3</v>
      </c>
      <c r="T114" s="0" t="str">
        <f aca="false">INDEX(Calc!$G$2:$G$105,MATCH($W114,Calc!$A$2:$A$105,0))&amp;" / "&amp;INDEX(Calc!$H$2:$H$105,MATCH($W114,Calc!$A$2:$A$105,0))</f>
        <v>Ancient / Dust2</v>
      </c>
      <c r="U114" s="0" t="str">
        <f aca="false">TEXT(INDEX(Calc!$J$2:$J$105,MATCH($W114,Calc!$A$2:$A$105,0)),"0.0")&amp;" / "&amp;TEXT(INDEX(Calc!$K$2:$K$105,MATCH($W114,Calc!$A$2:$A$105,0)),"0.0")</f>
        <v>21.0 / 21.0</v>
      </c>
      <c r="V114" s="0" t="str">
        <f aca="false">IFERROR(INDEX(Calc!$AQ$2:$AQ$105,MATCH($W114,Calc!$A$2:$A$105,0)),"")</f>
        <v/>
      </c>
      <c r="W114" s="9" t="s">
        <v>1030</v>
      </c>
      <c r="X114" s="9" t="s">
        <v>896</v>
      </c>
      <c r="Y114" s="0" t="str">
        <f aca="false">W114&amp;"|"&amp;X114</f>
        <v>agwfljw0nydsug9|CS2 · INF vs EF|H12</v>
      </c>
      <c r="Z114" s="11" t="n">
        <f aca="false">IFERROR(INDEX(CHOOSE(MATCH($X114,{"K1","K2","K3","K12","K13","H1","H2","H3","H12","H13"},0),Calc!$BA$2:$BA$105,Calc!$BB$2:$BB$105,Calc!$BC$2:$BC$105,Calc!$BD$2:$BD$105,Calc!$BE$2:$BE$105,Calc!$BF$2:$BF$105,Calc!$BG$2:$BG$105,Calc!$BH$2:$BH$105,Calc!$BI$2:$BI$105,Calc!$BJ$2:$BJ$105),MATCH($W114,Calc!$A$2:$A$105,0)),"")</f>
        <v>17.6599948615634</v>
      </c>
      <c r="AA114" s="11" t="n">
        <f aca="false">IF(Z114="","",IF(LEFT($X114,1)="H",SQRT(Z114*(IFERROR(INDEX(Calc!$AP$2:$AP$105,MATCH($W114,Calc!$A$2:$A$105,0)),0.5)*Config!$B$5+1-IFERROR(INDEX(Calc!$AP$2:$AP$105,MATCH($W114,Calc!$A$2:$A$105,0)),0.5))),SQRT(Z114*Config!$B$5)))</f>
        <v>4.64962430689823</v>
      </c>
      <c r="AB114" s="10" t="n">
        <f aca="false">IF(OR(F114="",Z114="",N(AA114)&lt;=0),"",1-NORMDIST(FLOOR(F114,1)+0.5,Z114,AA114,TRUE()))</f>
        <v>0.598505793260994</v>
      </c>
      <c r="AC114" s="10" t="n">
        <f aca="false">IF(AB114="","",NORMDIST(CEILING(F114,1)-0.5,Z114,AA114,TRUE()))</f>
        <v>0.401494206739006</v>
      </c>
      <c r="AD114" s="0" t="str">
        <f aca="false">IF(AB114="","",IF(AB114&gt;=0.5+Config!$B$6,"OVER",IF(AC114&gt;=0.5+Config!$B$6,"UNDER","—")))</f>
        <v>OVER</v>
      </c>
      <c r="AE114" s="13" t="n">
        <f aca="false">IFERROR(Z114/G114,"")</f>
        <v>1.01469758844055</v>
      </c>
    </row>
    <row r="115" customFormat="false" ht="15" hidden="false" customHeight="false" outlineLevel="0" collapsed="false">
      <c r="A115" s="0" t="s">
        <v>775</v>
      </c>
      <c r="B115" s="0" t="s">
        <v>807</v>
      </c>
      <c r="C115" s="0" t="s">
        <v>1029</v>
      </c>
      <c r="D115" s="0" t="s">
        <v>812</v>
      </c>
      <c r="E115" s="0" t="s">
        <v>888</v>
      </c>
      <c r="F115" s="0" t="n">
        <v>31.5</v>
      </c>
      <c r="G115" s="11" t="n">
        <f aca="false">IFERROR(INDEX(CHOOSE(MATCH($X115,{"K1","K2","K3","K12","K13","H1","H2","H3","H12","H13"},0),Calc!$V$2:$V$105,Calc!$AC$2:$AC$105,Calc!$AJ$2:$AJ$105,Calc!$AL$2:$AL$105,Calc!$AM$2:$AM$105,Calc!$W$2:$W$105,Calc!$AD$2:$AD$105,Calc!$AK$2:$AK$105,Calc!$AN$2:$AN$105,Calc!$AO$2:$AO$105),MATCH($W115,Calc!$A$2:$A$105,0)),"")</f>
        <v>31.0540153846154</v>
      </c>
      <c r="H115" s="11" t="n">
        <f aca="false">IF(G115="","",IF(LEFT($X115,1)="H",SQRT(G115*(IFERROR(INDEX(Calc!$AP$2:$AP$105,MATCH($W115,Calc!$A$2:$A$105,0)),0.5)*Config!$B$5+1-IFERROR(INDEX(Calc!$AP$2:$AP$105,MATCH($W115,Calc!$A$2:$A$105,0)),0.5))),SQRT(G115*Config!$B$5)))</f>
        <v>6.59360459373032</v>
      </c>
      <c r="I115" s="10" t="n">
        <f aca="false">IF(OR(F115="",G115="",N(H115)&lt;=0),"",1-NORMDIST(FLOOR(F115,1)+0.5,G115,H115,TRUE()))</f>
        <v>0.473036516900494</v>
      </c>
      <c r="J115" s="10" t="n">
        <f aca="false">IF(I115="","",NORMDIST(CEILING(F115,1)-0.5,G115,H115,TRUE()))</f>
        <v>0.526963483099507</v>
      </c>
      <c r="K115" s="10" t="n">
        <f aca="false">IF(I115="","",MAX(0,1-I115-J115))</f>
        <v>0</v>
      </c>
      <c r="L115" s="0" t="str">
        <f aca="false">IF(I115="","",IF(I115&gt;=0.5+Config!$B$6,"OVER",IF(J115&gt;=0.5+Config!$B$6,"UNDER","—")))</f>
        <v>—</v>
      </c>
      <c r="M115" s="0" t="n">
        <v>30</v>
      </c>
      <c r="N115" s="0" t="n">
        <v>32.6</v>
      </c>
      <c r="O115" s="10" t="n">
        <v>0.2</v>
      </c>
      <c r="P115" s="10" t="n">
        <v>0.4</v>
      </c>
      <c r="Q115" s="10" t="n">
        <v>0.53</v>
      </c>
      <c r="R115" s="9" t="s">
        <v>894</v>
      </c>
      <c r="S115" s="0" t="n">
        <v>-4</v>
      </c>
      <c r="T115" s="0" t="str">
        <f aca="false">INDEX(Calc!$G$2:$G$105,MATCH($W115,Calc!$A$2:$A$105,0))&amp;" / "&amp;INDEX(Calc!$H$2:$H$105,MATCH($W115,Calc!$A$2:$A$105,0))</f>
        <v>Ancient / Dust2</v>
      </c>
      <c r="U115" s="0" t="str">
        <f aca="false">TEXT(INDEX(Calc!$J$2:$J$105,MATCH($W115,Calc!$A$2:$A$105,0)),"0.0")&amp;" / "&amp;TEXT(INDEX(Calc!$K$2:$K$105,MATCH($W115,Calc!$A$2:$A$105,0)),"0.0")</f>
        <v>21.0 / 21.0</v>
      </c>
      <c r="V115" s="0" t="str">
        <f aca="false">IFERROR(INDEX(Calc!$AQ$2:$AQ$105,MATCH($W115,Calc!$A$2:$A$105,0)),"")</f>
        <v/>
      </c>
      <c r="W115" s="9" t="s">
        <v>1030</v>
      </c>
      <c r="X115" s="9" t="s">
        <v>891</v>
      </c>
      <c r="Y115" s="0" t="str">
        <f aca="false">W115&amp;"|"&amp;X115</f>
        <v>agwfljw0nydsug9|CS2 · INF vs EF|K12</v>
      </c>
      <c r="Z115" s="11" t="n">
        <f aca="false">IFERROR(INDEX(CHOOSE(MATCH($X115,{"K1","K2","K3","K12","K13","H1","H2","H3","H12","H13"},0),Calc!$BA$2:$BA$105,Calc!$BB$2:$BB$105,Calc!$BC$2:$BC$105,Calc!$BD$2:$BD$105,Calc!$BE$2:$BE$105,Calc!$BF$2:$BF$105,Calc!$BG$2:$BG$105,Calc!$BH$2:$BH$105,Calc!$BI$2:$BI$105,Calc!$BJ$2:$BJ$105),MATCH($W115,Calc!$A$2:$A$105,0)),"")</f>
        <v>31.5187193385646</v>
      </c>
      <c r="AA115" s="11" t="n">
        <f aca="false">IF(Z115="","",IF(LEFT($X115,1)="H",SQRT(Z115*(IFERROR(INDEX(Calc!$AP$2:$AP$105,MATCH($W115,Calc!$A$2:$A$105,0)),0.5)*Config!$B$5+1-IFERROR(INDEX(Calc!$AP$2:$AP$105,MATCH($W115,Calc!$A$2:$A$105,0)),0.5))),SQRT(Z115*Config!$B$5)))</f>
        <v>6.64275598482967</v>
      </c>
      <c r="AB115" s="10" t="n">
        <f aca="false">IF(OR(F115="",Z115="",N(AA115)&lt;=0),"",1-NORMDIST(FLOOR(F115,1)+0.5,Z115,AA115,TRUE()))</f>
        <v>0.501124220993156</v>
      </c>
      <c r="AC115" s="10" t="n">
        <f aca="false">IF(AB115="","",NORMDIST(CEILING(F115,1)-0.5,Z115,AA115,TRUE()))</f>
        <v>0.498875779006844</v>
      </c>
      <c r="AD115" s="0" t="str">
        <f aca="false">IF(AB115="","",IF(AB115&gt;=0.5+Config!$B$6,"OVER",IF(AC115&gt;=0.5+Config!$B$6,"UNDER","—")))</f>
        <v>—</v>
      </c>
      <c r="AE115" s="13" t="n">
        <f aca="false">IFERROR(Z115/G115,"")</f>
        <v>1.01496437572384</v>
      </c>
    </row>
    <row r="116" customFormat="false" ht="15" hidden="false" customHeight="false" outlineLevel="0" collapsed="false">
      <c r="A116" s="0" t="s">
        <v>775</v>
      </c>
      <c r="B116" s="0" t="s">
        <v>807</v>
      </c>
      <c r="C116" s="0" t="s">
        <v>1031</v>
      </c>
      <c r="D116" s="0" t="s">
        <v>811</v>
      </c>
      <c r="E116" s="0" t="s">
        <v>893</v>
      </c>
      <c r="F116" s="0" t="n">
        <v>16</v>
      </c>
      <c r="G116" s="11" t="n">
        <f aca="false">IFERROR(INDEX(CHOOSE(MATCH($X116,{"K1","K2","K3","K12","K13","H1","H2","H3","H12","H13"},0),Calc!$V$2:$V$105,Calc!$AC$2:$AC$105,Calc!$AJ$2:$AJ$105,Calc!$AL$2:$AL$105,Calc!$AM$2:$AM$105,Calc!$W$2:$W$105,Calc!$AD$2:$AD$105,Calc!$AK$2:$AK$105,Calc!$AN$2:$AN$105,Calc!$AO$2:$AO$105),MATCH($W116,Calc!$A$2:$A$105,0)),"")</f>
        <v>16.2211398428571</v>
      </c>
      <c r="H116" s="11" t="n">
        <f aca="false">IF(G116="","",IF(LEFT($X116,1)="H",SQRT(G116*(IFERROR(INDEX(Calc!$AP$2:$AP$105,MATCH($W116,Calc!$A$2:$A$105,0)),0.5)*Config!$B$5+1-IFERROR(INDEX(Calc!$AP$2:$AP$105,MATCH($W116,Calc!$A$2:$A$105,0)),0.5))),SQRT(G116*Config!$B$5)))</f>
        <v>4.47801983025657</v>
      </c>
      <c r="I116" s="10" t="n">
        <f aca="false">IF(OR(F116="",G116="",N(H116)&lt;=0),"",1-NORMDIST(FLOOR(F116,1)+0.5,G116,H116,TRUE()))</f>
        <v>0.475172676727854</v>
      </c>
      <c r="J116" s="10" t="n">
        <f aca="false">IF(I116="","",NORMDIST(CEILING(F116,1)-0.5,G116,H116,TRUE()))</f>
        <v>0.436030989550916</v>
      </c>
      <c r="K116" s="10" t="n">
        <f aca="false">IF(I116="","",MAX(0,1-I116-J116))</f>
        <v>0.0887963337212306</v>
      </c>
      <c r="L116" s="0" t="str">
        <f aca="false">IF(I116="","",IF(I116&gt;=0.5+Config!$B$6,"OVER",IF(J116&gt;=0.5+Config!$B$6,"UNDER","—")))</f>
        <v>—</v>
      </c>
      <c r="N116" s="0" t="n">
        <v>18.8</v>
      </c>
      <c r="O116" s="10" t="n">
        <v>0.6</v>
      </c>
      <c r="P116" s="10" t="n">
        <v>0.8</v>
      </c>
      <c r="Q116" s="10" t="n">
        <v>0.6</v>
      </c>
      <c r="R116" s="9" t="s">
        <v>902</v>
      </c>
      <c r="S116" s="0" t="n">
        <v>-1</v>
      </c>
      <c r="T116" s="0" t="str">
        <f aca="false">INDEX(Calc!$G$2:$G$105,MATCH($W116,Calc!$A$2:$A$105,0))&amp;" / "&amp;INDEX(Calc!$H$2:$H$105,MATCH($W116,Calc!$A$2:$A$105,0))</f>
        <v>Ancient / Dust2</v>
      </c>
      <c r="U116" s="0" t="str">
        <f aca="false">TEXT(INDEX(Calc!$J$2:$J$105,MATCH($W116,Calc!$A$2:$A$105,0)),"0.0")&amp;" / "&amp;TEXT(INDEX(Calc!$K$2:$K$105,MATCH($W116,Calc!$A$2:$A$105,0)),"0.0")</f>
        <v>21.0 / 21.0</v>
      </c>
      <c r="V116" s="0" t="str">
        <f aca="false">IFERROR(INDEX(Calc!$AQ$2:$AQ$105,MATCH($W116,Calc!$A$2:$A$105,0)),"")</f>
        <v/>
      </c>
      <c r="W116" s="9" t="s">
        <v>1032</v>
      </c>
      <c r="X116" s="9" t="s">
        <v>896</v>
      </c>
      <c r="Y116" s="0" t="str">
        <f aca="false">W116&amp;"|"&amp;X116</f>
        <v>80bybpfrkhru947|CS2 · INF vs EF|H12</v>
      </c>
      <c r="Z116" s="11" t="n">
        <f aca="false">IFERROR(INDEX(CHOOSE(MATCH($X116,{"K1","K2","K3","K12","K13","H1","H2","H3","H12","H13"},0),Calc!$BA$2:$BA$105,Calc!$BB$2:$BB$105,Calc!$BC$2:$BC$105,Calc!$BD$2:$BD$105,Calc!$BE$2:$BE$105,Calc!$BF$2:$BF$105,Calc!$BG$2:$BG$105,Calc!$BH$2:$BH$105,Calc!$BI$2:$BI$105,Calc!$BJ$2:$BJ$105),MATCH($W116,Calc!$A$2:$A$105,0)),"")</f>
        <v>15.7999743668499</v>
      </c>
      <c r="AA116" s="11" t="n">
        <f aca="false">IF(Z116="","",IF(LEFT($X116,1)="H",SQRT(Z116*(IFERROR(INDEX(Calc!$AP$2:$AP$105,MATCH($W116,Calc!$A$2:$A$105,0)),0.5)*Config!$B$5+1-IFERROR(INDEX(Calc!$AP$2:$AP$105,MATCH($W116,Calc!$A$2:$A$105,0)),0.5))),SQRT(Z116*Config!$B$5)))</f>
        <v>4.41950387942264</v>
      </c>
      <c r="AB116" s="10" t="n">
        <f aca="false">IF(OR(F116="",Z116="",N(AA116)&lt;=0),"",1-NORMDIST(FLOOR(F116,1)+0.5,Z116,AA116,TRUE()))</f>
        <v>0.437072926835756</v>
      </c>
      <c r="AC116" s="10" t="n">
        <f aca="false">IF(AB116="","",NORMDIST(CEILING(F116,1)-0.5,Z116,AA116,TRUE()))</f>
        <v>0.472942521252204</v>
      </c>
      <c r="AD116" s="0" t="str">
        <f aca="false">IF(AB116="","",IF(AB116&gt;=0.5+Config!$B$6,"OVER",IF(AC116&gt;=0.5+Config!$B$6,"UNDER","—")))</f>
        <v>—</v>
      </c>
      <c r="AE116" s="13" t="n">
        <f aca="false">IFERROR(Z116/G116,"")</f>
        <v>0.974036012260094</v>
      </c>
    </row>
    <row r="117" customFormat="false" ht="15" hidden="false" customHeight="false" outlineLevel="0" collapsed="false">
      <c r="A117" s="0" t="s">
        <v>775</v>
      </c>
      <c r="B117" s="0" t="s">
        <v>807</v>
      </c>
      <c r="C117" s="0" t="s">
        <v>1031</v>
      </c>
      <c r="D117" s="0" t="s">
        <v>811</v>
      </c>
      <c r="E117" s="0" t="s">
        <v>888</v>
      </c>
      <c r="F117" s="0" t="n">
        <v>27.5</v>
      </c>
      <c r="G117" s="11" t="n">
        <f aca="false">IFERROR(INDEX(CHOOSE(MATCH($X117,{"K1","K2","K3","K12","K13","H1","H2","H3","H12","H13"},0),Calc!$V$2:$V$105,Calc!$AC$2:$AC$105,Calc!$AJ$2:$AJ$105,Calc!$AL$2:$AL$105,Calc!$AM$2:$AM$105,Calc!$W$2:$W$105,Calc!$AD$2:$AD$105,Calc!$AK$2:$AK$105,Calc!$AN$2:$AN$105,Calc!$AO$2:$AO$105),MATCH($W117,Calc!$A$2:$A$105,0)),"")</f>
        <v>27.4695428571429</v>
      </c>
      <c r="H117" s="11" t="n">
        <f aca="false">IF(G117="","",IF(LEFT($X117,1)="H",SQRT(G117*(IFERROR(INDEX(Calc!$AP$2:$AP$105,MATCH($W117,Calc!$A$2:$A$105,0)),0.5)*Config!$B$5+1-IFERROR(INDEX(Calc!$AP$2:$AP$105,MATCH($W117,Calc!$A$2:$A$105,0)),0.5))),SQRT(G117*Config!$B$5)))</f>
        <v>6.20139984197117</v>
      </c>
      <c r="I117" s="10" t="n">
        <f aca="false">IF(OR(F117="",G117="",N(H117)&lt;=0),"",1-NORMDIST(FLOOR(F117,1)+0.5,G117,H117,TRUE()))</f>
        <v>0.498040669286332</v>
      </c>
      <c r="J117" s="10" t="n">
        <f aca="false">IF(I117="","",NORMDIST(CEILING(F117,1)-0.5,G117,H117,TRUE()))</f>
        <v>0.501959330713668</v>
      </c>
      <c r="K117" s="10" t="n">
        <f aca="false">IF(I117="","",MAX(0,1-I117-J117))</f>
        <v>0</v>
      </c>
      <c r="L117" s="0" t="str">
        <f aca="false">IF(I117="","",IF(I117&gt;=0.5+Config!$B$6,"OVER",IF(J117&gt;=0.5+Config!$B$6,"UNDER","—")))</f>
        <v>—</v>
      </c>
      <c r="M117" s="0" t="n">
        <v>26.15</v>
      </c>
      <c r="N117" s="0" t="n">
        <v>31</v>
      </c>
      <c r="O117" s="10" t="n">
        <v>0.6</v>
      </c>
      <c r="P117" s="10" t="n">
        <v>0.7</v>
      </c>
      <c r="Q117" s="10" t="n">
        <v>0.67</v>
      </c>
      <c r="R117" s="9" t="s">
        <v>904</v>
      </c>
      <c r="S117" s="0" t="n">
        <v>-1</v>
      </c>
      <c r="T117" s="0" t="str">
        <f aca="false">INDEX(Calc!$G$2:$G$105,MATCH($W117,Calc!$A$2:$A$105,0))&amp;" / "&amp;INDEX(Calc!$H$2:$H$105,MATCH($W117,Calc!$A$2:$A$105,0))</f>
        <v>Ancient / Dust2</v>
      </c>
      <c r="U117" s="0" t="str">
        <f aca="false">TEXT(INDEX(Calc!$J$2:$J$105,MATCH($W117,Calc!$A$2:$A$105,0)),"0.0")&amp;" / "&amp;TEXT(INDEX(Calc!$K$2:$K$105,MATCH($W117,Calc!$A$2:$A$105,0)),"0.0")</f>
        <v>21.0 / 21.0</v>
      </c>
      <c r="V117" s="0" t="str">
        <f aca="false">IFERROR(INDEX(Calc!$AQ$2:$AQ$105,MATCH($W117,Calc!$A$2:$A$105,0)),"")</f>
        <v/>
      </c>
      <c r="W117" s="9" t="s">
        <v>1032</v>
      </c>
      <c r="X117" s="9" t="s">
        <v>891</v>
      </c>
      <c r="Y117" s="0" t="str">
        <f aca="false">W117&amp;"|"&amp;X117</f>
        <v>80bybpfrkhru947|CS2 · INF vs EF|K12</v>
      </c>
      <c r="Z117" s="11" t="n">
        <f aca="false">IFERROR(INDEX(CHOOSE(MATCH($X117,{"K1","K2","K3","K12","K13","H1","H2","H3","H12","H13"},0),Calc!$BA$2:$BA$105,Calc!$BB$2:$BB$105,Calc!$BC$2:$BC$105,Calc!$BD$2:$BD$105,Calc!$BE$2:$BE$105,Calc!$BF$2:$BF$105,Calc!$BG$2:$BG$105,Calc!$BH$2:$BH$105,Calc!$BI$2:$BI$105,Calc!$BJ$2:$BJ$105),MATCH($W117,Calc!$A$2:$A$105,0)),"")</f>
        <v>26.7349342583879</v>
      </c>
      <c r="AA117" s="11" t="n">
        <f aca="false">IF(Z117="","",IF(LEFT($X117,1)="H",SQRT(Z117*(IFERROR(INDEX(Calc!$AP$2:$AP$105,MATCH($W117,Calc!$A$2:$A$105,0)),0.5)*Config!$B$5+1-IFERROR(INDEX(Calc!$AP$2:$AP$105,MATCH($W117,Calc!$A$2:$A$105,0)),0.5))),SQRT(Z117*Config!$B$5)))</f>
        <v>6.11791696263876</v>
      </c>
      <c r="AB117" s="10" t="n">
        <f aca="false">IF(OR(F117="",Z117="",N(AA117)&lt;=0),"",1-NORMDIST(FLOOR(F117,1)+0.5,Z117,AA117,TRUE()))</f>
        <v>0.450240674742292</v>
      </c>
      <c r="AC117" s="10" t="n">
        <f aca="false">IF(AB117="","",NORMDIST(CEILING(F117,1)-0.5,Z117,AA117,TRUE()))</f>
        <v>0.549759325257708</v>
      </c>
      <c r="AD117" s="0" t="str">
        <f aca="false">IF(AB117="","",IF(AB117&gt;=0.5+Config!$B$6,"OVER",IF(AC117&gt;=0.5+Config!$B$6,"UNDER","—")))</f>
        <v>UNDER</v>
      </c>
      <c r="AE117" s="13" t="n">
        <f aca="false">IFERROR(Z117/G117,"")</f>
        <v>0.973257341682919</v>
      </c>
    </row>
    <row r="118" customFormat="false" ht="15" hidden="false" customHeight="false" outlineLevel="0" collapsed="false">
      <c r="A118" s="0" t="s">
        <v>775</v>
      </c>
      <c r="B118" s="0" t="s">
        <v>807</v>
      </c>
      <c r="C118" s="0" t="s">
        <v>1033</v>
      </c>
      <c r="D118" s="0" t="s">
        <v>811</v>
      </c>
      <c r="E118" s="0" t="s">
        <v>893</v>
      </c>
      <c r="F118" s="0" t="n">
        <v>10.5</v>
      </c>
      <c r="G118" s="11" t="n">
        <f aca="false">IFERROR(INDEX(CHOOSE(MATCH($X118,{"K1","K2","K3","K12","K13","H1","H2","H3","H12","H13"},0),Calc!$V$2:$V$105,Calc!$AC$2:$AC$105,Calc!$AJ$2:$AJ$105,Calc!$AL$2:$AL$105,Calc!$AM$2:$AM$105,Calc!$W$2:$W$105,Calc!$AD$2:$AD$105,Calc!$AK$2:$AK$105,Calc!$AN$2:$AN$105,Calc!$AO$2:$AO$105),MATCH($W118,Calc!$A$2:$A$105,0)),"")</f>
        <v>10.8994784844156</v>
      </c>
      <c r="H118" s="11" t="n">
        <f aca="false">IF(G118="","",IF(LEFT($X118,1)="H",SQRT(G118*(IFERROR(INDEX(Calc!$AP$2:$AP$105,MATCH($W118,Calc!$A$2:$A$105,0)),0.5)*Config!$B$5+1-IFERROR(INDEX(Calc!$AP$2:$AP$105,MATCH($W118,Calc!$A$2:$A$105,0)),0.5))),SQRT(G118*Config!$B$5)))</f>
        <v>3.50696522575963</v>
      </c>
      <c r="I118" s="10" t="n">
        <f aca="false">IF(OR(F118="",G118="",N(H118)&lt;=0),"",1-NORMDIST(FLOOR(F118,1)+0.5,G118,H118,TRUE()))</f>
        <v>0.545345439381261</v>
      </c>
      <c r="J118" s="10" t="n">
        <f aca="false">IF(I118="","",NORMDIST(CEILING(F118,1)-0.5,G118,H118,TRUE()))</f>
        <v>0.454654560618739</v>
      </c>
      <c r="K118" s="10" t="n">
        <f aca="false">IF(I118="","",MAX(0,1-I118-J118))</f>
        <v>0</v>
      </c>
      <c r="L118" s="0" t="str">
        <f aca="false">IF(I118="","",IF(I118&gt;=0.5+Config!$B$6,"OVER",IF(J118&gt;=0.5+Config!$B$6,"UNDER","—")))</f>
        <v>OVER</v>
      </c>
      <c r="N118" s="0" t="n">
        <v>11.4</v>
      </c>
      <c r="O118" s="10" t="n">
        <v>0.6</v>
      </c>
      <c r="P118" s="10" t="n">
        <v>0.4</v>
      </c>
      <c r="Q118" s="10" t="n">
        <v>0.33</v>
      </c>
      <c r="R118" s="9" t="s">
        <v>889</v>
      </c>
      <c r="S118" s="0" t="n">
        <v>-1</v>
      </c>
      <c r="T118" s="0" t="str">
        <f aca="false">INDEX(Calc!$G$2:$G$105,MATCH($W118,Calc!$A$2:$A$105,0))&amp;" / "&amp;INDEX(Calc!$H$2:$H$105,MATCH($W118,Calc!$A$2:$A$105,0))</f>
        <v>Ancient / Dust2</v>
      </c>
      <c r="U118" s="0" t="str">
        <f aca="false">TEXT(INDEX(Calc!$J$2:$J$105,MATCH($W118,Calc!$A$2:$A$105,0)),"0.0")&amp;" / "&amp;TEXT(INDEX(Calc!$K$2:$K$105,MATCH($W118,Calc!$A$2:$A$105,0)),"0.0")</f>
        <v>21.0 / 21.0</v>
      </c>
      <c r="V118" s="0" t="str">
        <f aca="false">IFERROR(INDEX(Calc!$AQ$2:$AQ$105,MATCH($W118,Calc!$A$2:$A$105,0)),"")</f>
        <v/>
      </c>
      <c r="W118" s="9" t="s">
        <v>1034</v>
      </c>
      <c r="X118" s="9" t="s">
        <v>896</v>
      </c>
      <c r="Y118" s="0" t="str">
        <f aca="false">W118&amp;"|"&amp;X118</f>
        <v>9ycphxjddne0u4w|CS2 · INF vs EF|H12</v>
      </c>
      <c r="Z118" s="11" t="n">
        <f aca="false">IFERROR(INDEX(CHOOSE(MATCH($X118,{"K1","K2","K3","K12","K13","H1","H2","H3","H12","H13"},0),Calc!$BA$2:$BA$105,Calc!$BB$2:$BB$105,Calc!$BC$2:$BC$105,Calc!$BD$2:$BD$105,Calc!$BE$2:$BE$105,Calc!$BF$2:$BF$105,Calc!$BG$2:$BG$105,Calc!$BH$2:$BH$105,Calc!$BI$2:$BI$105,Calc!$BJ$2:$BJ$105),MATCH($W118,Calc!$A$2:$A$105,0)),"")</f>
        <v>10.6104764962434</v>
      </c>
      <c r="AA118" s="11" t="n">
        <f aca="false">IF(Z118="","",IF(LEFT($X118,1)="H",SQRT(Z118*(IFERROR(INDEX(Calc!$AP$2:$AP$105,MATCH($W118,Calc!$A$2:$A$105,0)),0.5)*Config!$B$5+1-IFERROR(INDEX(Calc!$AP$2:$AP$105,MATCH($W118,Calc!$A$2:$A$105,0)),0.5))),SQRT(Z118*Config!$B$5)))</f>
        <v>3.4601589073458</v>
      </c>
      <c r="AB118" s="10" t="n">
        <f aca="false">IF(OR(F118="",Z118="",N(AA118)&lt;=0),"",1-NORMDIST(FLOOR(F118,1)+0.5,Z118,AA118,TRUE()))</f>
        <v>0.512735327909718</v>
      </c>
      <c r="AC118" s="10" t="n">
        <f aca="false">IF(AB118="","",NORMDIST(CEILING(F118,1)-0.5,Z118,AA118,TRUE()))</f>
        <v>0.487264672090282</v>
      </c>
      <c r="AD118" s="0" t="str">
        <f aca="false">IF(AB118="","",IF(AB118&gt;=0.5+Config!$B$6,"OVER",IF(AC118&gt;=0.5+Config!$B$6,"UNDER","—")))</f>
        <v>—</v>
      </c>
      <c r="AE118" s="13" t="n">
        <f aca="false">IFERROR(Z118/G118,"")</f>
        <v>0.973484787498282</v>
      </c>
    </row>
    <row r="119" customFormat="false" ht="15" hidden="false" customHeight="false" outlineLevel="0" collapsed="false">
      <c r="A119" s="0" t="s">
        <v>775</v>
      </c>
      <c r="B119" s="0" t="s">
        <v>807</v>
      </c>
      <c r="C119" s="0" t="s">
        <v>1033</v>
      </c>
      <c r="D119" s="0" t="s">
        <v>811</v>
      </c>
      <c r="E119" s="0" t="s">
        <v>888</v>
      </c>
      <c r="F119" s="0" t="n">
        <v>32.5</v>
      </c>
      <c r="G119" s="11" t="n">
        <f aca="false">IFERROR(INDEX(CHOOSE(MATCH($X119,{"K1","K2","K3","K12","K13","H1","H2","H3","H12","H13"},0),Calc!$V$2:$V$105,Calc!$AC$2:$AC$105,Calc!$AJ$2:$AJ$105,Calc!$AL$2:$AL$105,Calc!$AM$2:$AM$105,Calc!$W$2:$W$105,Calc!$AD$2:$AD$105,Calc!$AK$2:$AK$105,Calc!$AN$2:$AN$105,Calc!$AO$2:$AO$105),MATCH($W119,Calc!$A$2:$A$105,0)),"")</f>
        <v>33.9588</v>
      </c>
      <c r="H119" s="11" t="n">
        <f aca="false">IF(G119="","",IF(LEFT($X119,1)="H",SQRT(G119*(IFERROR(INDEX(Calc!$AP$2:$AP$105,MATCH($W119,Calc!$A$2:$A$105,0)),0.5)*Config!$B$5+1-IFERROR(INDEX(Calc!$AP$2:$AP$105,MATCH($W119,Calc!$A$2:$A$105,0)),0.5))),SQRT(G119*Config!$B$5)))</f>
        <v>6.89509390798994</v>
      </c>
      <c r="I119" s="10" t="n">
        <f aca="false">IF(OR(F119="",G119="",N(H119)&lt;=0),"",1-NORMDIST(FLOOR(F119,1)+0.5,G119,H119,TRUE()))</f>
        <v>0.58377902385613</v>
      </c>
      <c r="J119" s="10" t="n">
        <f aca="false">IF(I119="","",NORMDIST(CEILING(F119,1)-0.5,G119,H119,TRUE()))</f>
        <v>0.41622097614387</v>
      </c>
      <c r="K119" s="10" t="n">
        <f aca="false">IF(I119="","",MAX(0,1-I119-J119))</f>
        <v>0</v>
      </c>
      <c r="L119" s="0" t="str">
        <f aca="false">IF(I119="","",IF(I119&gt;=0.5+Config!$B$6,"OVER",IF(J119&gt;=0.5+Config!$B$6,"UNDER","—")))</f>
        <v>OVER</v>
      </c>
      <c r="M119" s="0" t="n">
        <v>32.35</v>
      </c>
      <c r="N119" s="0" t="n">
        <v>37.6</v>
      </c>
      <c r="O119" s="10" t="n">
        <v>0.8</v>
      </c>
      <c r="P119" s="10" t="n">
        <v>0.9</v>
      </c>
      <c r="Q119" s="10" t="n">
        <v>0.8</v>
      </c>
      <c r="R119" s="9" t="s">
        <v>894</v>
      </c>
      <c r="S119" s="0" t="n">
        <v>-1</v>
      </c>
      <c r="T119" s="0" t="str">
        <f aca="false">INDEX(Calc!$G$2:$G$105,MATCH($W119,Calc!$A$2:$A$105,0))&amp;" / "&amp;INDEX(Calc!$H$2:$H$105,MATCH($W119,Calc!$A$2:$A$105,0))</f>
        <v>Ancient / Dust2</v>
      </c>
      <c r="U119" s="0" t="str">
        <f aca="false">TEXT(INDEX(Calc!$J$2:$J$105,MATCH($W119,Calc!$A$2:$A$105,0)),"0.0")&amp;" / "&amp;TEXT(INDEX(Calc!$K$2:$K$105,MATCH($W119,Calc!$A$2:$A$105,0)),"0.0")</f>
        <v>21.0 / 21.0</v>
      </c>
      <c r="V119" s="0" t="str">
        <f aca="false">IFERROR(INDEX(Calc!$AQ$2:$AQ$105,MATCH($W119,Calc!$A$2:$A$105,0)),"")</f>
        <v/>
      </c>
      <c r="W119" s="9" t="s">
        <v>1034</v>
      </c>
      <c r="X119" s="9" t="s">
        <v>891</v>
      </c>
      <c r="Y119" s="0" t="str">
        <f aca="false">W119&amp;"|"&amp;X119</f>
        <v>9ycphxjddne0u4w|CS2 · INF vs EF|K12</v>
      </c>
      <c r="Z119" s="11" t="n">
        <f aca="false">IFERROR(INDEX(CHOOSE(MATCH($X119,{"K1","K2","K3","K12","K13","H1","H2","H3","H12","H13"},0),Calc!$BA$2:$BA$105,Calc!$BB$2:$BB$105,Calc!$BC$2:$BC$105,Calc!$BD$2:$BD$105,Calc!$BE$2:$BE$105,Calc!$BF$2:$BF$105,Calc!$BG$2:$BG$105,Calc!$BH$2:$BH$105,Calc!$BI$2:$BI$105,Calc!$BJ$2:$BJ$105),MATCH($W119,Calc!$A$2:$A$105,0)),"")</f>
        <v>33.0750474079394</v>
      </c>
      <c r="AA119" s="11" t="n">
        <f aca="false">IF(Z119="","",IF(LEFT($X119,1)="H",SQRT(Z119*(IFERROR(INDEX(Calc!$AP$2:$AP$105,MATCH($W119,Calc!$A$2:$A$105,0)),0.5)*Config!$B$5+1-IFERROR(INDEX(Calc!$AP$2:$AP$105,MATCH($W119,Calc!$A$2:$A$105,0)),0.5))),SQRT(Z119*Config!$B$5)))</f>
        <v>6.80478261012908</v>
      </c>
      <c r="AB119" s="10" t="n">
        <f aca="false">IF(OR(F119="",Z119="",N(AA119)&lt;=0),"",1-NORMDIST(FLOOR(F119,1)+0.5,Z119,AA119,TRUE()))</f>
        <v>0.533673076748262</v>
      </c>
      <c r="AC119" s="10" t="n">
        <f aca="false">IF(AB119="","",NORMDIST(CEILING(F119,1)-0.5,Z119,AA119,TRUE()))</f>
        <v>0.466326923251738</v>
      </c>
      <c r="AD119" s="0" t="str">
        <f aca="false">IF(AB119="","",IF(AB119&gt;=0.5+Config!$B$6,"OVER",IF(AC119&gt;=0.5+Config!$B$6,"UNDER","—")))</f>
        <v>—</v>
      </c>
      <c r="AE119" s="13" t="n">
        <f aca="false">IFERROR(Z119/G119,"")</f>
        <v>0.973975741426063</v>
      </c>
    </row>
    <row r="120" customFormat="false" ht="15" hidden="false" customHeight="false" outlineLevel="0" collapsed="false">
      <c r="A120" s="0" t="s">
        <v>775</v>
      </c>
      <c r="B120" s="0" t="s">
        <v>807</v>
      </c>
      <c r="C120" s="0" t="s">
        <v>1035</v>
      </c>
      <c r="D120" s="0" t="s">
        <v>811</v>
      </c>
      <c r="E120" s="0" t="s">
        <v>893</v>
      </c>
      <c r="F120" s="0" t="n">
        <v>13</v>
      </c>
      <c r="G120" s="11" t="n">
        <f aca="false">IFERROR(INDEX(CHOOSE(MATCH($X120,{"K1","K2","K3","K12","K13","H1","H2","H3","H12","H13"},0),Calc!$V$2:$V$105,Calc!$AC$2:$AC$105,Calc!$AJ$2:$AJ$105,Calc!$AL$2:$AL$105,Calc!$AM$2:$AM$105,Calc!$W$2:$W$105,Calc!$AD$2:$AD$105,Calc!$AK$2:$AK$105,Calc!$AN$2:$AN$105,Calc!$AO$2:$AO$105),MATCH($W120,Calc!$A$2:$A$105,0)),"")</f>
        <v>15.0327997864564</v>
      </c>
      <c r="H120" s="11" t="n">
        <f aca="false">IF(G120="","",IF(LEFT($X120,1)="H",SQRT(G120*(IFERROR(INDEX(Calc!$AP$2:$AP$105,MATCH($W120,Calc!$A$2:$A$105,0)),0.5)*Config!$B$5+1-IFERROR(INDEX(Calc!$AP$2:$AP$105,MATCH($W120,Calc!$A$2:$A$105,0)),0.5))),SQRT(G120*Config!$B$5)))</f>
        <v>4.31028024427269</v>
      </c>
      <c r="I120" s="10" t="n">
        <f aca="false">IF(OR(F120="",G120="",N(H120)&lt;=0),"",1-NORMDIST(FLOOR(F120,1)+0.5,G120,H120,TRUE()))</f>
        <v>0.638935500251211</v>
      </c>
      <c r="J120" s="10" t="n">
        <f aca="false">IF(I120="","",NORMDIST(CEILING(F120,1)-0.5,G120,H120,TRUE()))</f>
        <v>0.278394244037593</v>
      </c>
      <c r="K120" s="10" t="n">
        <f aca="false">IF(I120="","",MAX(0,1-I120-J120))</f>
        <v>0.0826702557111959</v>
      </c>
      <c r="L120" s="0" t="str">
        <f aca="false">IF(I120="","",IF(I120&gt;=0.5+Config!$B$6,"OVER",IF(J120&gt;=0.5+Config!$B$6,"UNDER","—")))</f>
        <v>OVER</v>
      </c>
      <c r="N120" s="0" t="n">
        <v>15.9</v>
      </c>
      <c r="O120" s="10" t="n">
        <v>0.6</v>
      </c>
      <c r="P120" s="10" t="n">
        <v>0.8</v>
      </c>
      <c r="Q120" s="10" t="n">
        <v>0.8</v>
      </c>
      <c r="R120" s="9" t="s">
        <v>900</v>
      </c>
      <c r="S120" s="0" t="n">
        <v>2</v>
      </c>
      <c r="T120" s="0" t="str">
        <f aca="false">INDEX(Calc!$G$2:$G$105,MATCH($W120,Calc!$A$2:$A$105,0))&amp;" / "&amp;INDEX(Calc!$H$2:$H$105,MATCH($W120,Calc!$A$2:$A$105,0))</f>
        <v>Ancient / Dust2</v>
      </c>
      <c r="U120" s="0" t="str">
        <f aca="false">TEXT(INDEX(Calc!$J$2:$J$105,MATCH($W120,Calc!$A$2:$A$105,0)),"0.0")&amp;" / "&amp;TEXT(INDEX(Calc!$K$2:$K$105,MATCH($W120,Calc!$A$2:$A$105,0)),"0.0")</f>
        <v>21.0 / 21.0</v>
      </c>
      <c r="V120" s="0" t="str">
        <f aca="false">IFERROR(INDEX(Calc!$AQ$2:$AQ$105,MATCH($W120,Calc!$A$2:$A$105,0)),"")</f>
        <v/>
      </c>
      <c r="W120" s="9" t="s">
        <v>1036</v>
      </c>
      <c r="X120" s="9" t="s">
        <v>896</v>
      </c>
      <c r="Y120" s="0" t="str">
        <f aca="false">W120&amp;"|"&amp;X120</f>
        <v>12s4j1y56sietsk|CS2 · INF vs EF|H12</v>
      </c>
      <c r="Z120" s="11" t="n">
        <f aca="false">IFERROR(INDEX(CHOOSE(MATCH($X120,{"K1","K2","K3","K12","K13","H1","H2","H3","H12","H13"},0),Calc!$BA$2:$BA$105,Calc!$BB$2:$BB$105,Calc!$BC$2:$BC$105,Calc!$BD$2:$BD$105,Calc!$BE$2:$BE$105,Calc!$BF$2:$BF$105,Calc!$BG$2:$BG$105,Calc!$BH$2:$BH$105,Calc!$BI$2:$BI$105,Calc!$BJ$2:$BJ$105),MATCH($W120,Calc!$A$2:$A$105,0)),"")</f>
        <v>14.6345498813621</v>
      </c>
      <c r="AA120" s="11" t="n">
        <f aca="false">IF(Z120="","",IF(LEFT($X120,1)="H",SQRT(Z120*(IFERROR(INDEX(Calc!$AP$2:$AP$105,MATCH($W120,Calc!$A$2:$A$105,0)),0.5)*Config!$B$5+1-IFERROR(INDEX(Calc!$AP$2:$AP$105,MATCH($W120,Calc!$A$2:$A$105,0)),0.5))),SQRT(Z120*Config!$B$5)))</f>
        <v>4.25280290412442</v>
      </c>
      <c r="AB120" s="10" t="n">
        <f aca="false">IF(OR(F120="",Z120="",N(AA120)&lt;=0),"",1-NORMDIST(FLOOR(F120,1)+0.5,Z120,AA120,TRUE()))</f>
        <v>0.605179557230812</v>
      </c>
      <c r="AC120" s="10" t="n">
        <f aca="false">IF(AB120="","",NORMDIST(CEILING(F120,1)-0.5,Z120,AA120,TRUE()))</f>
        <v>0.307863300107796</v>
      </c>
      <c r="AD120" s="0" t="str">
        <f aca="false">IF(AB120="","",IF(AB120&gt;=0.5+Config!$B$6,"OVER",IF(AC120&gt;=0.5+Config!$B$6,"UNDER","—")))</f>
        <v>OVER</v>
      </c>
      <c r="AE120" s="13" t="n">
        <f aca="false">IFERROR(Z120/G120,"")</f>
        <v>0.973507935264789</v>
      </c>
    </row>
    <row r="121" customFormat="false" ht="15" hidden="false" customHeight="false" outlineLevel="0" collapsed="false">
      <c r="A121" s="0" t="s">
        <v>775</v>
      </c>
      <c r="B121" s="0" t="s">
        <v>807</v>
      </c>
      <c r="C121" s="0" t="s">
        <v>1035</v>
      </c>
      <c r="D121" s="0" t="s">
        <v>811</v>
      </c>
      <c r="E121" s="0" t="s">
        <v>888</v>
      </c>
      <c r="F121" s="0" t="n">
        <v>24.5</v>
      </c>
      <c r="G121" s="11" t="n">
        <f aca="false">IFERROR(INDEX(CHOOSE(MATCH($X121,{"K1","K2","K3","K12","K13","H1","H2","H3","H12","H13"},0),Calc!$V$2:$V$105,Calc!$AC$2:$AC$105,Calc!$AJ$2:$AJ$105,Calc!$AL$2:$AL$105,Calc!$AM$2:$AM$105,Calc!$W$2:$W$105,Calc!$AD$2:$AD$105,Calc!$AK$2:$AK$105,Calc!$AN$2:$AN$105,Calc!$AO$2:$AO$105),MATCH($W121,Calc!$A$2:$A$105,0)),"")</f>
        <v>25.4938714285714</v>
      </c>
      <c r="H121" s="11" t="n">
        <f aca="false">IF(G121="","",IF(LEFT($X121,1)="H",SQRT(G121*(IFERROR(INDEX(Calc!$AP$2:$AP$105,MATCH($W121,Calc!$A$2:$A$105,0)),0.5)*Config!$B$5+1-IFERROR(INDEX(Calc!$AP$2:$AP$105,MATCH($W121,Calc!$A$2:$A$105,0)),0.5))),SQRT(G121*Config!$B$5)))</f>
        <v>5.97422965745375</v>
      </c>
      <c r="I121" s="10" t="n">
        <f aca="false">IF(OR(F121="",G121="",N(H121)&lt;=0),"",1-NORMDIST(FLOOR(F121,1)+0.5,G121,H121,TRUE()))</f>
        <v>0.566063081344173</v>
      </c>
      <c r="J121" s="10" t="n">
        <f aca="false">IF(I121="","",NORMDIST(CEILING(F121,1)-0.5,G121,H121,TRUE()))</f>
        <v>0.433936918655827</v>
      </c>
      <c r="K121" s="10" t="n">
        <f aca="false">IF(I121="","",MAX(0,1-I121-J121))</f>
        <v>0</v>
      </c>
      <c r="L121" s="0" t="str">
        <f aca="false">IF(I121="","",IF(I121&gt;=0.5+Config!$B$6,"OVER",IF(J121&gt;=0.5+Config!$B$6,"UNDER","—")))</f>
        <v>OVER</v>
      </c>
      <c r="M121" s="0" t="n">
        <v>22.84</v>
      </c>
      <c r="N121" s="0" t="n">
        <v>28.6</v>
      </c>
      <c r="O121" s="10" t="n">
        <v>0.6</v>
      </c>
      <c r="P121" s="10" t="n">
        <v>0.8</v>
      </c>
      <c r="Q121" s="10" t="n">
        <v>0.67</v>
      </c>
      <c r="R121" s="9" t="s">
        <v>900</v>
      </c>
      <c r="S121" s="0" t="n">
        <v>-1</v>
      </c>
      <c r="T121" s="0" t="str">
        <f aca="false">INDEX(Calc!$G$2:$G$105,MATCH($W121,Calc!$A$2:$A$105,0))&amp;" / "&amp;INDEX(Calc!$H$2:$H$105,MATCH($W121,Calc!$A$2:$A$105,0))</f>
        <v>Ancient / Dust2</v>
      </c>
      <c r="U121" s="0" t="str">
        <f aca="false">TEXT(INDEX(Calc!$J$2:$J$105,MATCH($W121,Calc!$A$2:$A$105,0)),"0.0")&amp;" / "&amp;TEXT(INDEX(Calc!$K$2:$K$105,MATCH($W121,Calc!$A$2:$A$105,0)),"0.0")</f>
        <v>21.0 / 21.0</v>
      </c>
      <c r="V121" s="0" t="str">
        <f aca="false">IFERROR(INDEX(Calc!$AQ$2:$AQ$105,MATCH($W121,Calc!$A$2:$A$105,0)),"")</f>
        <v/>
      </c>
      <c r="W121" s="9" t="s">
        <v>1036</v>
      </c>
      <c r="X121" s="9" t="s">
        <v>891</v>
      </c>
      <c r="Y121" s="0" t="str">
        <f aca="false">W121&amp;"|"&amp;X121</f>
        <v>12s4j1y56sietsk|CS2 · INF vs EF|K12</v>
      </c>
      <c r="Z121" s="11" t="n">
        <f aca="false">IFERROR(INDEX(CHOOSE(MATCH($X121,{"K1","K2","K3","K12","K13","H1","H2","H3","H12","H13"},0),Calc!$BA$2:$BA$105,Calc!$BB$2:$BB$105,Calc!$BC$2:$BC$105,Calc!$BD$2:$BD$105,Calc!$BE$2:$BE$105,Calc!$BF$2:$BF$105,Calc!$BG$2:$BG$105,Calc!$BH$2:$BH$105,Calc!$BI$2:$BI$105,Calc!$BJ$2:$BJ$105),MATCH($W121,Calc!$A$2:$A$105,0)),"")</f>
        <v>24.824509741097</v>
      </c>
      <c r="AA121" s="11" t="n">
        <f aca="false">IF(Z121="","",IF(LEFT($X121,1)="H",SQRT(Z121*(IFERROR(INDEX(Calc!$AP$2:$AP$105,MATCH($W121,Calc!$A$2:$A$105,0)),0.5)*Config!$B$5+1-IFERROR(INDEX(Calc!$AP$2:$AP$105,MATCH($W121,Calc!$A$2:$A$105,0)),0.5))),SQRT(Z121*Config!$B$5)))</f>
        <v>5.89527892788254</v>
      </c>
      <c r="AB121" s="10" t="n">
        <f aca="false">IF(OR(F121="",Z121="",N(AA121)&lt;=0),"",1-NORMDIST(FLOOR(F121,1)+0.5,Z121,AA121,TRUE()))</f>
        <v>0.521948971229242</v>
      </c>
      <c r="AC121" s="10" t="n">
        <f aca="false">IF(AB121="","",NORMDIST(CEILING(F121,1)-0.5,Z121,AA121,TRUE()))</f>
        <v>0.478051028770758</v>
      </c>
      <c r="AD121" s="0" t="str">
        <f aca="false">IF(AB121="","",IF(AB121&gt;=0.5+Config!$B$6,"OVER",IF(AC121&gt;=0.5+Config!$B$6,"UNDER","—")))</f>
        <v>—</v>
      </c>
      <c r="AE121" s="13" t="n">
        <f aca="false">IFERROR(Z121/G121,"")</f>
        <v>0.973744211845196</v>
      </c>
    </row>
    <row r="122" customFormat="false" ht="15" hidden="false" customHeight="false" outlineLevel="0" collapsed="false">
      <c r="A122" s="0" t="s">
        <v>775</v>
      </c>
      <c r="B122" s="0" t="s">
        <v>826</v>
      </c>
      <c r="C122" s="0" t="s">
        <v>1037</v>
      </c>
      <c r="D122" s="0" t="s">
        <v>829</v>
      </c>
      <c r="E122" s="0" t="s">
        <v>893</v>
      </c>
      <c r="F122" s="0" t="n">
        <v>15</v>
      </c>
      <c r="G122" s="11" t="n">
        <f aca="false">IFERROR(INDEX(CHOOSE(MATCH($X122,{"K1","K2","K3","K12","K13","H1","H2","H3","H12","H13"},0),Calc!$V$2:$V$105,Calc!$AC$2:$AC$105,Calc!$AJ$2:$AJ$105,Calc!$AL$2:$AL$105,Calc!$AM$2:$AM$105,Calc!$W$2:$W$105,Calc!$AD$2:$AD$105,Calc!$AK$2:$AK$105,Calc!$AN$2:$AN$105,Calc!$AO$2:$AO$105),MATCH($W122,Calc!$A$2:$A$105,0)),"")</f>
        <v>15.2023256923611</v>
      </c>
      <c r="H122" s="11" t="n">
        <f aca="false">IF(G122="","",IF(LEFT($X122,1)="H",SQRT(G122*(IFERROR(INDEX(Calc!$AP$2:$AP$105,MATCH($W122,Calc!$A$2:$A$105,0)),0.5)*Config!$B$5+1-IFERROR(INDEX(Calc!$AP$2:$AP$105,MATCH($W122,Calc!$A$2:$A$105,0)),0.5))),SQRT(G122*Config!$B$5)))</f>
        <v>4.32986734688533</v>
      </c>
      <c r="I122" s="10" t="n">
        <f aca="false">IF(OR(F122="",G122="",N(H122)&lt;=0),"",1-NORMDIST(FLOOR(F122,1)+0.5,G122,H122,TRUE()))</f>
        <v>0.472594683379242</v>
      </c>
      <c r="J122" s="10" t="n">
        <f aca="false">IF(I122="","",NORMDIST(CEILING(F122,1)-0.5,G122,H122,TRUE()))</f>
        <v>0.435572251325516</v>
      </c>
      <c r="K122" s="10" t="n">
        <f aca="false">IF(I122="","",MAX(0,1-I122-J122))</f>
        <v>0.0918330652952416</v>
      </c>
      <c r="L122" s="0" t="str">
        <f aca="false">IF(I122="","",IF(I122&gt;=0.5+Config!$B$6,"OVER",IF(J122&gt;=0.5+Config!$B$6,"UNDER","—")))</f>
        <v>—</v>
      </c>
      <c r="N122" s="0" t="n">
        <v>14.7</v>
      </c>
      <c r="O122" s="10" t="n">
        <v>0.8</v>
      </c>
      <c r="P122" s="10" t="n">
        <v>0.6</v>
      </c>
      <c r="Q122" s="10" t="n">
        <v>0.53</v>
      </c>
      <c r="R122" s="9" t="s">
        <v>889</v>
      </c>
      <c r="S122" s="0" t="n">
        <v>-1</v>
      </c>
      <c r="T122" s="0" t="str">
        <f aca="false">INDEX(Calc!$G$2:$G$105,MATCH($W122,Calc!$A$2:$A$105,0))&amp;" / "&amp;INDEX(Calc!$H$2:$H$105,MATCH($W122,Calc!$A$2:$A$105,0))</f>
        <v>Mirage / Inferno</v>
      </c>
      <c r="U122" s="0" t="str">
        <f aca="false">TEXT(INDEX(Calc!$J$2:$J$105,MATCH($W122,Calc!$A$2:$A$105,0)),"0.0")&amp;" / "&amp;TEXT(INDEX(Calc!$K$2:$K$105,MATCH($W122,Calc!$A$2:$A$105,0)),"0.0")</f>
        <v>21.2 / 21.2</v>
      </c>
      <c r="V122" s="0" t="str">
        <f aca="false">IFERROR(INDEX(Calc!$AQ$2:$AQ$105,MATCH($W122,Calc!$A$2:$A$105,0)),"")</f>
        <v/>
      </c>
      <c r="W122" s="9" t="s">
        <v>1038</v>
      </c>
      <c r="X122" s="9" t="s">
        <v>896</v>
      </c>
      <c r="Y122" s="0" t="str">
        <f aca="false">W122&amp;"|"&amp;X122</f>
        <v>wdrf4z5snuwpkf2|CS2 · JJH vs IS|H12</v>
      </c>
      <c r="Z122" s="11" t="n">
        <f aca="false">IFERROR(INDEX(CHOOSE(MATCH($X122,{"K1","K2","K3","K12","K13","H1","H2","H3","H12","H13"},0),Calc!$BA$2:$BA$105,Calc!$BB$2:$BB$105,Calc!$BC$2:$BC$105,Calc!$BD$2:$BD$105,Calc!$BE$2:$BE$105,Calc!$BF$2:$BF$105,Calc!$BG$2:$BG$105,Calc!$BH$2:$BH$105,Calc!$BI$2:$BI$105,Calc!$BJ$2:$BJ$105),MATCH($W122,Calc!$A$2:$A$105,0)),"")</f>
        <v>14.8218962090973</v>
      </c>
      <c r="AA122" s="11" t="n">
        <f aca="false">IF(Z122="","",IF(LEFT($X122,1)="H",SQRT(Z122*(IFERROR(INDEX(Calc!$AP$2:$AP$105,MATCH($W122,Calc!$A$2:$A$105,0)),0.5)*Config!$B$5+1-IFERROR(INDEX(Calc!$AP$2:$AP$105,MATCH($W122,Calc!$A$2:$A$105,0)),0.5))),SQRT(Z122*Config!$B$5)))</f>
        <v>4.27534788256783</v>
      </c>
      <c r="AB122" s="10" t="n">
        <f aca="false">IF(OR(F122="",Z122="",N(AA122)&lt;=0),"",1-NORMDIST(FLOOR(F122,1)+0.5,Z122,AA122,TRUE()))</f>
        <v>0.436988916752693</v>
      </c>
      <c r="AC122" s="10" t="n">
        <f aca="false">IF(AB122="","",NORMDIST(CEILING(F122,1)-0.5,Z122,AA122,TRUE()))</f>
        <v>0.469991498785908</v>
      </c>
      <c r="AD122" s="0" t="str">
        <f aca="false">IF(AB122="","",IF(AB122&gt;=0.5+Config!$B$6,"OVER",IF(AC122&gt;=0.5+Config!$B$6,"UNDER","—")))</f>
        <v>—</v>
      </c>
      <c r="AE122" s="13" t="n">
        <f aca="false">IFERROR(Z122/G122,"")</f>
        <v>0.974975573411444</v>
      </c>
    </row>
    <row r="123" customFormat="false" ht="15" hidden="false" customHeight="false" outlineLevel="0" collapsed="false">
      <c r="A123" s="0" t="s">
        <v>775</v>
      </c>
      <c r="B123" s="0" t="s">
        <v>826</v>
      </c>
      <c r="C123" s="0" t="s">
        <v>1037</v>
      </c>
      <c r="D123" s="0" t="s">
        <v>829</v>
      </c>
      <c r="E123" s="0" t="s">
        <v>888</v>
      </c>
      <c r="F123" s="0" t="n">
        <v>27.5</v>
      </c>
      <c r="G123" s="11" t="n">
        <f aca="false">IFERROR(INDEX(CHOOSE(MATCH($X123,{"K1","K2","K3","K12","K13","H1","H2","H3","H12","H13"},0),Calc!$V$2:$V$105,Calc!$AC$2:$AC$105,Calc!$AJ$2:$AJ$105,Calc!$AL$2:$AL$105,Calc!$AM$2:$AM$105,Calc!$W$2:$W$105,Calc!$AD$2:$AD$105,Calc!$AK$2:$AK$105,Calc!$AN$2:$AN$105,Calc!$AO$2:$AO$105),MATCH($W123,Calc!$A$2:$A$105,0)),"")</f>
        <v>26.0742416666667</v>
      </c>
      <c r="H123" s="11" t="n">
        <f aca="false">IF(G123="","",IF(LEFT($X123,1)="H",SQRT(G123*(IFERROR(INDEX(Calc!$AP$2:$AP$105,MATCH($W123,Calc!$A$2:$A$105,0)),0.5)*Config!$B$5+1-IFERROR(INDEX(Calc!$AP$2:$AP$105,MATCH($W123,Calc!$A$2:$A$105,0)),0.5))),SQRT(G123*Config!$B$5)))</f>
        <v>6.04184891679139</v>
      </c>
      <c r="I123" s="10" t="n">
        <f aca="false">IF(OR(F123="",G123="",N(H123)&lt;=0),"",1-NORMDIST(FLOOR(F123,1)+0.5,G123,H123,TRUE()))</f>
        <v>0.4067239133485</v>
      </c>
      <c r="J123" s="10" t="n">
        <f aca="false">IF(I123="","",NORMDIST(CEILING(F123,1)-0.5,G123,H123,TRUE()))</f>
        <v>0.5932760866515</v>
      </c>
      <c r="K123" s="10" t="n">
        <f aca="false">IF(I123="","",MAX(0,1-I123-J123))</f>
        <v>0</v>
      </c>
      <c r="L123" s="0" t="str">
        <f aca="false">IF(I123="","",IF(I123&gt;=0.5+Config!$B$6,"OVER",IF(J123&gt;=0.5+Config!$B$6,"UNDER","—")))</f>
        <v>UNDER</v>
      </c>
      <c r="M123" s="0" t="n">
        <v>26.71</v>
      </c>
      <c r="N123" s="0" t="n">
        <v>26.5</v>
      </c>
      <c r="O123" s="10" t="n">
        <v>0.4</v>
      </c>
      <c r="P123" s="10" t="n">
        <v>0.4</v>
      </c>
      <c r="Q123" s="10" t="n">
        <v>0.4</v>
      </c>
      <c r="R123" s="9" t="s">
        <v>889</v>
      </c>
      <c r="S123" s="0" t="n">
        <v>-2</v>
      </c>
      <c r="T123" s="0" t="str">
        <f aca="false">INDEX(Calc!$G$2:$G$105,MATCH($W123,Calc!$A$2:$A$105,0))&amp;" / "&amp;INDEX(Calc!$H$2:$H$105,MATCH($W123,Calc!$A$2:$A$105,0))</f>
        <v>Mirage / Inferno</v>
      </c>
      <c r="U123" s="0" t="str">
        <f aca="false">TEXT(INDEX(Calc!$J$2:$J$105,MATCH($W123,Calc!$A$2:$A$105,0)),"0.0")&amp;" / "&amp;TEXT(INDEX(Calc!$K$2:$K$105,MATCH($W123,Calc!$A$2:$A$105,0)),"0.0")</f>
        <v>21.2 / 21.2</v>
      </c>
      <c r="V123" s="0" t="str">
        <f aca="false">IFERROR(INDEX(Calc!$AQ$2:$AQ$105,MATCH($W123,Calc!$A$2:$A$105,0)),"")</f>
        <v/>
      </c>
      <c r="W123" s="9" t="s">
        <v>1038</v>
      </c>
      <c r="X123" s="9" t="s">
        <v>891</v>
      </c>
      <c r="Y123" s="0" t="str">
        <f aca="false">W123&amp;"|"&amp;X123</f>
        <v>wdrf4z5snuwpkf2|CS2 · JJH vs IS|K12</v>
      </c>
      <c r="Z123" s="11" t="n">
        <f aca="false">IFERROR(INDEX(CHOOSE(MATCH($X123,{"K1","K2","K3","K12","K13","H1","H2","H3","H12","H13"},0),Calc!$BA$2:$BA$105,Calc!$BB$2:$BB$105,Calc!$BC$2:$BC$105,Calc!$BD$2:$BD$105,Calc!$BE$2:$BE$105,Calc!$BF$2:$BF$105,Calc!$BG$2:$BG$105,Calc!$BH$2:$BH$105,Calc!$BI$2:$BI$105,Calc!$BJ$2:$BJ$105),MATCH($W123,Calc!$A$2:$A$105,0)),"")</f>
        <v>25.4188647122297</v>
      </c>
      <c r="AA123" s="11" t="n">
        <f aca="false">IF(Z123="","",IF(LEFT($X123,1)="H",SQRT(Z123*(IFERROR(INDEX(Calc!$AP$2:$AP$105,MATCH($W123,Calc!$A$2:$A$105,0)),0.5)*Config!$B$5+1-IFERROR(INDEX(Calc!$AP$2:$AP$105,MATCH($W123,Calc!$A$2:$A$105,0)),0.5))),SQRT(Z123*Config!$B$5)))</f>
        <v>5.96543465282468</v>
      </c>
      <c r="AB123" s="10" t="n">
        <f aca="false">IF(OR(F123="",Z123="",N(AA123)&lt;=0),"",1-NORMDIST(FLOOR(F123,1)+0.5,Z123,AA123,TRUE()))</f>
        <v>0.363595083977454</v>
      </c>
      <c r="AC123" s="10" t="n">
        <f aca="false">IF(AB123="","",NORMDIST(CEILING(F123,1)-0.5,Z123,AA123,TRUE()))</f>
        <v>0.636404916022546</v>
      </c>
      <c r="AD123" s="0" t="str">
        <f aca="false">IF(AB123="","",IF(AB123&gt;=0.5+Config!$B$6,"OVER",IF(AC123&gt;=0.5+Config!$B$6,"UNDER","—")))</f>
        <v>UNDER</v>
      </c>
      <c r="AE123" s="13" t="n">
        <f aca="false">IFERROR(Z123/G123,"")</f>
        <v>0.974864965861124</v>
      </c>
    </row>
    <row r="124" customFormat="false" ht="15" hidden="false" customHeight="false" outlineLevel="0" collapsed="false">
      <c r="A124" s="0" t="s">
        <v>775</v>
      </c>
      <c r="B124" s="0" t="s">
        <v>826</v>
      </c>
      <c r="C124" s="0" t="s">
        <v>1039</v>
      </c>
      <c r="D124" s="0" t="s">
        <v>829</v>
      </c>
      <c r="E124" s="0" t="s">
        <v>893</v>
      </c>
      <c r="F124" s="0" t="n">
        <v>14.5</v>
      </c>
      <c r="G124" s="11" t="n">
        <f aca="false">IFERROR(INDEX(CHOOSE(MATCH($X124,{"K1","K2","K3","K12","K13","H1","H2","H3","H12","H13"},0),Calc!$V$2:$V$105,Calc!$AC$2:$AC$105,Calc!$AJ$2:$AJ$105,Calc!$AL$2:$AL$105,Calc!$AM$2:$AM$105,Calc!$W$2:$W$105,Calc!$AD$2:$AD$105,Calc!$AK$2:$AK$105,Calc!$AN$2:$AN$105,Calc!$AO$2:$AO$105),MATCH($W124,Calc!$A$2:$A$105,0)),"")</f>
        <v>15.542421975</v>
      </c>
      <c r="H124" s="11" t="n">
        <f aca="false">IF(G124="","",IF(LEFT($X124,1)="H",SQRT(G124*(IFERROR(INDEX(Calc!$AP$2:$AP$105,MATCH($W124,Calc!$A$2:$A$105,0)),0.5)*Config!$B$5+1-IFERROR(INDEX(Calc!$AP$2:$AP$105,MATCH($W124,Calc!$A$2:$A$105,0)),0.5))),SQRT(G124*Config!$B$5)))</f>
        <v>4.33818107807378</v>
      </c>
      <c r="I124" s="10" t="n">
        <f aca="false">IF(OR(F124="",G124="",N(H124)&lt;=0),"",1-NORMDIST(FLOOR(F124,1)+0.5,G124,H124,TRUE()))</f>
        <v>0.594947316249154</v>
      </c>
      <c r="J124" s="10" t="n">
        <f aca="false">IF(I124="","",NORMDIST(CEILING(F124,1)-0.5,G124,H124,TRUE()))</f>
        <v>0.405052683750846</v>
      </c>
      <c r="K124" s="10" t="n">
        <f aca="false">IF(I124="","",MAX(0,1-I124-J124))</f>
        <v>0</v>
      </c>
      <c r="L124" s="0" t="str">
        <f aca="false">IF(I124="","",IF(I124&gt;=0.5+Config!$B$6,"OVER",IF(J124&gt;=0.5+Config!$B$6,"UNDER","—")))</f>
        <v>OVER</v>
      </c>
      <c r="N124" s="0" t="n">
        <v>15.4</v>
      </c>
      <c r="O124" s="10" t="n">
        <v>0.6</v>
      </c>
      <c r="P124" s="10" t="n">
        <v>0.5</v>
      </c>
      <c r="Q124" s="10" t="n">
        <v>0.47</v>
      </c>
      <c r="R124" s="9" t="s">
        <v>894</v>
      </c>
      <c r="S124" s="0" t="n">
        <v>-1</v>
      </c>
      <c r="T124" s="0" t="str">
        <f aca="false">INDEX(Calc!$G$2:$G$105,MATCH($W124,Calc!$A$2:$A$105,0))&amp;" / "&amp;INDEX(Calc!$H$2:$H$105,MATCH($W124,Calc!$A$2:$A$105,0))</f>
        <v>Mirage / Inferno</v>
      </c>
      <c r="U124" s="0" t="str">
        <f aca="false">TEXT(INDEX(Calc!$J$2:$J$105,MATCH($W124,Calc!$A$2:$A$105,0)),"0.0")&amp;" / "&amp;TEXT(INDEX(Calc!$K$2:$K$105,MATCH($W124,Calc!$A$2:$A$105,0)),"0.0")</f>
        <v>21.2 / 21.2</v>
      </c>
      <c r="V124" s="0" t="str">
        <f aca="false">IFERROR(INDEX(Calc!$AQ$2:$AQ$105,MATCH($W124,Calc!$A$2:$A$105,0)),"")</f>
        <v/>
      </c>
      <c r="W124" s="9" t="s">
        <v>1040</v>
      </c>
      <c r="X124" s="9" t="s">
        <v>896</v>
      </c>
      <c r="Y124" s="0" t="str">
        <f aca="false">W124&amp;"|"&amp;X124</f>
        <v>phl4oe3cm0dori9|CS2 · JJH vs IS|H12</v>
      </c>
      <c r="Z124" s="11" t="n">
        <f aca="false">IFERROR(INDEX(CHOOSE(MATCH($X124,{"K1","K2","K3","K12","K13","H1","H2","H3","H12","H13"},0),Calc!$BA$2:$BA$105,Calc!$BB$2:$BB$105,Calc!$BC$2:$BC$105,Calc!$BD$2:$BD$105,Calc!$BE$2:$BE$105,Calc!$BF$2:$BF$105,Calc!$BG$2:$BG$105,Calc!$BH$2:$BH$105,Calc!$BI$2:$BI$105,Calc!$BJ$2:$BJ$105),MATCH($W124,Calc!$A$2:$A$105,0)),"")</f>
        <v>15.1499310601235</v>
      </c>
      <c r="AA124" s="11" t="n">
        <f aca="false">IF(Z124="","",IF(LEFT($X124,1)="H",SQRT(Z124*(IFERROR(INDEX(Calc!$AP$2:$AP$105,MATCH($W124,Calc!$A$2:$A$105,0)),0.5)*Config!$B$5+1-IFERROR(INDEX(Calc!$AP$2:$AP$105,MATCH($W124,Calc!$A$2:$A$105,0)),0.5))),SQRT(Z124*Config!$B$5)))</f>
        <v>4.28305504719401</v>
      </c>
      <c r="AB124" s="10" t="n">
        <f aca="false">IF(OR(F124="",Z124="",N(AA124)&lt;=0),"",1-NORMDIST(FLOOR(F124,1)+0.5,Z124,AA124,TRUE()))</f>
        <v>0.560305864506026</v>
      </c>
      <c r="AC124" s="10" t="n">
        <f aca="false">IF(AB124="","",NORMDIST(CEILING(F124,1)-0.5,Z124,AA124,TRUE()))</f>
        <v>0.439694135493974</v>
      </c>
      <c r="AD124" s="0" t="str">
        <f aca="false">IF(AB124="","",IF(AB124&gt;=0.5+Config!$B$6,"OVER",IF(AC124&gt;=0.5+Config!$B$6,"UNDER","—")))</f>
        <v>OVER</v>
      </c>
      <c r="AE124" s="13" t="n">
        <f aca="false">IFERROR(Z124/G124,"")</f>
        <v>0.974747120139457</v>
      </c>
    </row>
    <row r="125" customFormat="false" ht="15" hidden="false" customHeight="false" outlineLevel="0" collapsed="false">
      <c r="A125" s="0" t="s">
        <v>775</v>
      </c>
      <c r="B125" s="0" t="s">
        <v>826</v>
      </c>
      <c r="C125" s="0" t="s">
        <v>1039</v>
      </c>
      <c r="D125" s="0" t="s">
        <v>829</v>
      </c>
      <c r="E125" s="0" t="s">
        <v>888</v>
      </c>
      <c r="F125" s="0" t="n">
        <v>29.5</v>
      </c>
      <c r="G125" s="11" t="n">
        <f aca="false">IFERROR(INDEX(CHOOSE(MATCH($X125,{"K1","K2","K3","K12","K13","H1","H2","H3","H12","H13"},0),Calc!$V$2:$V$105,Calc!$AC$2:$AC$105,Calc!$AJ$2:$AJ$105,Calc!$AL$2:$AL$105,Calc!$AM$2:$AM$105,Calc!$W$2:$W$105,Calc!$AD$2:$AD$105,Calc!$AK$2:$AK$105,Calc!$AN$2:$AN$105,Calc!$AO$2:$AO$105),MATCH($W125,Calc!$A$2:$A$105,0)),"")</f>
        <v>29.4828083333333</v>
      </c>
      <c r="H125" s="11" t="n">
        <f aca="false">IF(G125="","",IF(LEFT($X125,1)="H",SQRT(G125*(IFERROR(INDEX(Calc!$AP$2:$AP$105,MATCH($W125,Calc!$A$2:$A$105,0)),0.5)*Config!$B$5+1-IFERROR(INDEX(Calc!$AP$2:$AP$105,MATCH($W125,Calc!$A$2:$A$105,0)),0.5))),SQRT(G125*Config!$B$5)))</f>
        <v>6.42463474966995</v>
      </c>
      <c r="I125" s="10" t="n">
        <f aca="false">IF(OR(F125="",G125="",N(H125)&lt;=0),"",1-NORMDIST(FLOOR(F125,1)+0.5,G125,H125,TRUE()))</f>
        <v>0.498932472461674</v>
      </c>
      <c r="J125" s="10" t="n">
        <f aca="false">IF(I125="","",NORMDIST(CEILING(F125,1)-0.5,G125,H125,TRUE()))</f>
        <v>0.501067527538326</v>
      </c>
      <c r="K125" s="10" t="n">
        <f aca="false">IF(I125="","",MAX(0,1-I125-J125))</f>
        <v>0</v>
      </c>
      <c r="L125" s="0" t="str">
        <f aca="false">IF(I125="","",IF(I125&gt;=0.5+Config!$B$6,"OVER",IF(J125&gt;=0.5+Config!$B$6,"UNDER","—")))</f>
        <v>—</v>
      </c>
      <c r="M125" s="0" t="n">
        <v>27.56</v>
      </c>
      <c r="N125" s="0" t="n">
        <v>28.2</v>
      </c>
      <c r="O125" s="10" t="n">
        <v>0.6</v>
      </c>
      <c r="P125" s="10" t="n">
        <v>0.5</v>
      </c>
      <c r="Q125" s="10" t="n">
        <v>0.53</v>
      </c>
      <c r="R125" s="9" t="s">
        <v>889</v>
      </c>
      <c r="S125" s="0" t="n">
        <v>-1</v>
      </c>
      <c r="T125" s="0" t="str">
        <f aca="false">INDEX(Calc!$G$2:$G$105,MATCH($W125,Calc!$A$2:$A$105,0))&amp;" / "&amp;INDEX(Calc!$H$2:$H$105,MATCH($W125,Calc!$A$2:$A$105,0))</f>
        <v>Mirage / Inferno</v>
      </c>
      <c r="U125" s="0" t="str">
        <f aca="false">TEXT(INDEX(Calc!$J$2:$J$105,MATCH($W125,Calc!$A$2:$A$105,0)),"0.0")&amp;" / "&amp;TEXT(INDEX(Calc!$K$2:$K$105,MATCH($W125,Calc!$A$2:$A$105,0)),"0.0")</f>
        <v>21.2 / 21.2</v>
      </c>
      <c r="V125" s="0" t="str">
        <f aca="false">IFERROR(INDEX(Calc!$AQ$2:$AQ$105,MATCH($W125,Calc!$A$2:$A$105,0)),"")</f>
        <v/>
      </c>
      <c r="W125" s="9" t="s">
        <v>1040</v>
      </c>
      <c r="X125" s="9" t="s">
        <v>891</v>
      </c>
      <c r="Y125" s="0" t="str">
        <f aca="false">W125&amp;"|"&amp;X125</f>
        <v>phl4oe3cm0dori9|CS2 · JJH vs IS|K12</v>
      </c>
      <c r="Z125" s="11" t="n">
        <f aca="false">IFERROR(INDEX(CHOOSE(MATCH($X125,{"K1","K2","K3","K12","K13","H1","H2","H3","H12","H13"},0),Calc!$BA$2:$BA$105,Calc!$BB$2:$BB$105,Calc!$BC$2:$BC$105,Calc!$BD$2:$BD$105,Calc!$BE$2:$BE$105,Calc!$BF$2:$BF$105,Calc!$BG$2:$BG$105,Calc!$BH$2:$BH$105,Calc!$BI$2:$BI$105,Calc!$BJ$2:$BJ$105),MATCH($W125,Calc!$A$2:$A$105,0)),"")</f>
        <v>28.700816997658</v>
      </c>
      <c r="AA125" s="11" t="n">
        <f aca="false">IF(Z125="","",IF(LEFT($X125,1)="H",SQRT(Z125*(IFERROR(INDEX(Calc!$AP$2:$AP$105,MATCH($W125,Calc!$A$2:$A$105,0)),0.5)*Config!$B$5+1-IFERROR(INDEX(Calc!$AP$2:$AP$105,MATCH($W125,Calc!$A$2:$A$105,0)),0.5))),SQRT(Z125*Config!$B$5)))</f>
        <v>6.33885981835228</v>
      </c>
      <c r="AB125" s="10" t="n">
        <f aca="false">IF(OR(F125="",Z125="",N(AA125)&lt;=0),"",1-NORMDIST(FLOOR(F125,1)+0.5,Z125,AA125,TRUE()))</f>
        <v>0.449835575855844</v>
      </c>
      <c r="AC125" s="10" t="n">
        <f aca="false">IF(AB125="","",NORMDIST(CEILING(F125,1)-0.5,Z125,AA125,TRUE()))</f>
        <v>0.550164424144156</v>
      </c>
      <c r="AD125" s="0" t="str">
        <f aca="false">IF(AB125="","",IF(AB125&gt;=0.5+Config!$B$6,"OVER",IF(AC125&gt;=0.5+Config!$B$6,"UNDER","—")))</f>
        <v>UNDER</v>
      </c>
      <c r="AE125" s="13" t="n">
        <f aca="false">IFERROR(Z125/G125,"")</f>
        <v>0.973476361992583</v>
      </c>
    </row>
    <row r="126" customFormat="false" ht="15" hidden="false" customHeight="false" outlineLevel="0" collapsed="false">
      <c r="A126" s="0" t="s">
        <v>775</v>
      </c>
      <c r="B126" s="0" t="s">
        <v>826</v>
      </c>
      <c r="C126" s="0" t="s">
        <v>1041</v>
      </c>
      <c r="D126" s="0" t="s">
        <v>829</v>
      </c>
      <c r="E126" s="0" t="s">
        <v>893</v>
      </c>
      <c r="F126" s="0" t="n">
        <v>12.5</v>
      </c>
      <c r="G126" s="11" t="n">
        <f aca="false">IFERROR(INDEX(CHOOSE(MATCH($X126,{"K1","K2","K3","K12","K13","H1","H2","H3","H12","H13"},0),Calc!$V$2:$V$105,Calc!$AC$2:$AC$105,Calc!$AJ$2:$AJ$105,Calc!$AL$2:$AL$105,Calc!$AM$2:$AM$105,Calc!$W$2:$W$105,Calc!$AD$2:$AD$105,Calc!$AK$2:$AK$105,Calc!$AN$2:$AN$105,Calc!$AO$2:$AO$105),MATCH($W126,Calc!$A$2:$A$105,0)),"")</f>
        <v>11.1187579111111</v>
      </c>
      <c r="H126" s="11" t="n">
        <f aca="false">IF(G126="","",IF(LEFT($X126,1)="H",SQRT(G126*(IFERROR(INDEX(Calc!$AP$2:$AP$105,MATCH($W126,Calc!$A$2:$A$105,0)),0.5)*Config!$B$5+1-IFERROR(INDEX(Calc!$AP$2:$AP$105,MATCH($W126,Calc!$A$2:$A$105,0)),0.5))),SQRT(G126*Config!$B$5)))</f>
        <v>3.56213902292561</v>
      </c>
      <c r="I126" s="10" t="n">
        <f aca="false">IF(OR(F126="",G126="",N(H126)&lt;=0),"",1-NORMDIST(FLOOR(F126,1)+0.5,G126,H126,TRUE()))</f>
        <v>0.349098168763178</v>
      </c>
      <c r="J126" s="10" t="n">
        <f aca="false">IF(I126="","",NORMDIST(CEILING(F126,1)-0.5,G126,H126,TRUE()))</f>
        <v>0.650901831236822</v>
      </c>
      <c r="K126" s="10" t="n">
        <f aca="false">IF(I126="","",MAX(0,1-I126-J126))</f>
        <v>0</v>
      </c>
      <c r="L126" s="0" t="str">
        <f aca="false">IF(I126="","",IF(I126&gt;=0.5+Config!$B$6,"OVER",IF(J126&gt;=0.5+Config!$B$6,"UNDER","—")))</f>
        <v>UNDER</v>
      </c>
      <c r="N126" s="0" t="n">
        <v>11.2</v>
      </c>
      <c r="O126" s="10" t="n">
        <v>0.2</v>
      </c>
      <c r="P126" s="10" t="n">
        <v>0.4</v>
      </c>
      <c r="Q126" s="10" t="n">
        <v>0.47</v>
      </c>
      <c r="R126" s="9" t="s">
        <v>889</v>
      </c>
      <c r="S126" s="0" t="n">
        <v>-3</v>
      </c>
      <c r="T126" s="0" t="str">
        <f aca="false">INDEX(Calc!$G$2:$G$105,MATCH($W126,Calc!$A$2:$A$105,0))&amp;" / "&amp;INDEX(Calc!$H$2:$H$105,MATCH($W126,Calc!$A$2:$A$105,0))</f>
        <v>Mirage / Inferno</v>
      </c>
      <c r="U126" s="0" t="str">
        <f aca="false">TEXT(INDEX(Calc!$J$2:$J$105,MATCH($W126,Calc!$A$2:$A$105,0)),"0.0")&amp;" / "&amp;TEXT(INDEX(Calc!$K$2:$K$105,MATCH($W126,Calc!$A$2:$A$105,0)),"0.0")</f>
        <v>21.2 / 21.2</v>
      </c>
      <c r="V126" s="0" t="str">
        <f aca="false">IFERROR(INDEX(Calc!$AQ$2:$AQ$105,MATCH($W126,Calc!$A$2:$A$105,0)),"")</f>
        <v/>
      </c>
      <c r="W126" s="9" t="s">
        <v>1042</v>
      </c>
      <c r="X126" s="9" t="s">
        <v>896</v>
      </c>
      <c r="Y126" s="0" t="str">
        <f aca="false">W126&amp;"|"&amp;X126</f>
        <v>fcuzodaqfntg95o|CS2 · JJH vs IS|H12</v>
      </c>
      <c r="Z126" s="11" t="n">
        <f aca="false">IFERROR(INDEX(CHOOSE(MATCH($X126,{"K1","K2","K3","K12","K13","H1","H2","H3","H12","H13"},0),Calc!$BA$2:$BA$105,Calc!$BB$2:$BB$105,Calc!$BC$2:$BC$105,Calc!$BD$2:$BD$105,Calc!$BE$2:$BE$105,Calc!$BF$2:$BF$105,Calc!$BG$2:$BG$105,Calc!$BH$2:$BH$105,Calc!$BI$2:$BI$105,Calc!$BJ$2:$BJ$105),MATCH($W126,Calc!$A$2:$A$105,0)),"")</f>
        <v>10.8102142233266</v>
      </c>
      <c r="AA126" s="11" t="n">
        <f aca="false">IF(Z126="","",IF(LEFT($X126,1)="H",SQRT(Z126*(IFERROR(INDEX(Calc!$AP$2:$AP$105,MATCH($W126,Calc!$A$2:$A$105,0)),0.5)*Config!$B$5+1-IFERROR(INDEX(Calc!$AP$2:$AP$105,MATCH($W126,Calc!$A$2:$A$105,0)),0.5))),SQRT(Z126*Config!$B$5)))</f>
        <v>3.51236691822005</v>
      </c>
      <c r="AB126" s="10" t="n">
        <f aca="false">IF(OR(F126="",Z126="",N(AA126)&lt;=0),"",1-NORMDIST(FLOOR(F126,1)+0.5,Z126,AA126,TRUE()))</f>
        <v>0.315224125124515</v>
      </c>
      <c r="AC126" s="10" t="n">
        <f aca="false">IF(AB126="","",NORMDIST(CEILING(F126,1)-0.5,Z126,AA126,TRUE()))</f>
        <v>0.684775874875486</v>
      </c>
      <c r="AD126" s="0" t="str">
        <f aca="false">IF(AB126="","",IF(AB126&gt;=0.5+Config!$B$6,"OVER",IF(AC126&gt;=0.5+Config!$B$6,"UNDER","—")))</f>
        <v>UNDER</v>
      </c>
      <c r="AE126" s="13" t="n">
        <f aca="false">IFERROR(Z126/G126,"")</f>
        <v>0.972250165868245</v>
      </c>
    </row>
    <row r="127" customFormat="false" ht="15" hidden="false" customHeight="false" outlineLevel="0" collapsed="false">
      <c r="A127" s="0" t="s">
        <v>775</v>
      </c>
      <c r="B127" s="0" t="s">
        <v>826</v>
      </c>
      <c r="C127" s="0" t="s">
        <v>1041</v>
      </c>
      <c r="D127" s="0" t="s">
        <v>829</v>
      </c>
      <c r="E127" s="0" t="s">
        <v>888</v>
      </c>
      <c r="F127" s="0" t="n">
        <v>30.5</v>
      </c>
      <c r="G127" s="11" t="n">
        <f aca="false">IFERROR(INDEX(CHOOSE(MATCH($X127,{"K1","K2","K3","K12","K13","H1","H2","H3","H12","H13"},0),Calc!$V$2:$V$105,Calc!$AC$2:$AC$105,Calc!$AJ$2:$AJ$105,Calc!$AL$2:$AL$105,Calc!$AM$2:$AM$105,Calc!$W$2:$W$105,Calc!$AD$2:$AD$105,Calc!$AK$2:$AK$105,Calc!$AN$2:$AN$105,Calc!$AO$2:$AO$105),MATCH($W127,Calc!$A$2:$A$105,0)),"")</f>
        <v>31.4957333333333</v>
      </c>
      <c r="H127" s="11" t="n">
        <f aca="false">IF(G127="","",IF(LEFT($X127,1)="H",SQRT(G127*(IFERROR(INDEX(Calc!$AP$2:$AP$105,MATCH($W127,Calc!$A$2:$A$105,0)),0.5)*Config!$B$5+1-IFERROR(INDEX(Calc!$AP$2:$AP$105,MATCH($W127,Calc!$A$2:$A$105,0)),0.5))),SQRT(G127*Config!$B$5)))</f>
        <v>6.64033332496695</v>
      </c>
      <c r="I127" s="10" t="n">
        <f aca="false">IF(OR(F127="",G127="",N(H127)&lt;=0),"",1-NORMDIST(FLOOR(F127,1)+0.5,G127,H127,TRUE()))</f>
        <v>0.559598880301577</v>
      </c>
      <c r="J127" s="10" t="n">
        <f aca="false">IF(I127="","",NORMDIST(CEILING(F127,1)-0.5,G127,H127,TRUE()))</f>
        <v>0.440401119698423</v>
      </c>
      <c r="K127" s="10" t="n">
        <f aca="false">IF(I127="","",MAX(0,1-I127-J127))</f>
        <v>0</v>
      </c>
      <c r="L127" s="0" t="str">
        <f aca="false">IF(I127="","",IF(I127&gt;=0.5+Config!$B$6,"OVER",IF(J127&gt;=0.5+Config!$B$6,"UNDER","—")))</f>
        <v>OVER</v>
      </c>
      <c r="M127" s="0" t="n">
        <v>27.98</v>
      </c>
      <c r="N127" s="0" t="n">
        <v>30.1</v>
      </c>
      <c r="O127" s="10" t="n">
        <v>0.4</v>
      </c>
      <c r="P127" s="10" t="n">
        <v>0.5</v>
      </c>
      <c r="Q127" s="10" t="n">
        <v>0.47</v>
      </c>
      <c r="R127" s="9" t="s">
        <v>894</v>
      </c>
      <c r="S127" s="0" t="n">
        <v>-1</v>
      </c>
      <c r="T127" s="0" t="str">
        <f aca="false">INDEX(Calc!$G$2:$G$105,MATCH($W127,Calc!$A$2:$A$105,0))&amp;" / "&amp;INDEX(Calc!$H$2:$H$105,MATCH($W127,Calc!$A$2:$A$105,0))</f>
        <v>Mirage / Inferno</v>
      </c>
      <c r="U127" s="0" t="str">
        <f aca="false">TEXT(INDEX(Calc!$J$2:$J$105,MATCH($W127,Calc!$A$2:$A$105,0)),"0.0")&amp;" / "&amp;TEXT(INDEX(Calc!$K$2:$K$105,MATCH($W127,Calc!$A$2:$A$105,0)),"0.0")</f>
        <v>21.2 / 21.2</v>
      </c>
      <c r="V127" s="0" t="str">
        <f aca="false">IFERROR(INDEX(Calc!$AQ$2:$AQ$105,MATCH($W127,Calc!$A$2:$A$105,0)),"")</f>
        <v/>
      </c>
      <c r="W127" s="9" t="s">
        <v>1042</v>
      </c>
      <c r="X127" s="9" t="s">
        <v>891</v>
      </c>
      <c r="Y127" s="0" t="str">
        <f aca="false">W127&amp;"|"&amp;X127</f>
        <v>fcuzodaqfntg95o|CS2 · JJH vs IS|K12</v>
      </c>
      <c r="Z127" s="11" t="n">
        <f aca="false">IFERROR(INDEX(CHOOSE(MATCH($X127,{"K1","K2","K3","K12","K13","H1","H2","H3","H12","H13"},0),Calc!$BA$2:$BA$105,Calc!$BB$2:$BB$105,Calc!$BC$2:$BC$105,Calc!$BD$2:$BD$105,Calc!$BE$2:$BE$105,Calc!$BF$2:$BF$105,Calc!$BG$2:$BG$105,Calc!$BH$2:$BH$105,Calc!$BI$2:$BI$105,Calc!$BJ$2:$BJ$105),MATCH($W127,Calc!$A$2:$A$105,0)),"")</f>
        <v>30.6510697931233</v>
      </c>
      <c r="AA127" s="11" t="n">
        <f aca="false">IF(Z127="","",IF(LEFT($X127,1)="H",SQRT(Z127*(IFERROR(INDEX(Calc!$AP$2:$AP$105,MATCH($W127,Calc!$A$2:$A$105,0)),0.5)*Config!$B$5+1-IFERROR(INDEX(Calc!$AP$2:$AP$105,MATCH($W127,Calc!$A$2:$A$105,0)),0.5))),SQRT(Z127*Config!$B$5)))</f>
        <v>6.55068681211159</v>
      </c>
      <c r="AB127" s="10" t="n">
        <f aca="false">IF(OR(F127="",Z127="",N(AA127)&lt;=0),"",1-NORMDIST(FLOOR(F127,1)+0.5,Z127,AA127,TRUE()))</f>
        <v>0.509199460720504</v>
      </c>
      <c r="AC127" s="10" t="n">
        <f aca="false">IF(AB127="","",NORMDIST(CEILING(F127,1)-0.5,Z127,AA127,TRUE()))</f>
        <v>0.490800539279496</v>
      </c>
      <c r="AD127" s="0" t="str">
        <f aca="false">IF(AB127="","",IF(AB127&gt;=0.5+Config!$B$6,"OVER",IF(AC127&gt;=0.5+Config!$B$6,"UNDER","—")))</f>
        <v>—</v>
      </c>
      <c r="AE127" s="13" t="n">
        <f aca="false">IFERROR(Z127/G127,"")</f>
        <v>0.973181651899623</v>
      </c>
    </row>
    <row r="128" customFormat="false" ht="15" hidden="false" customHeight="false" outlineLevel="0" collapsed="false">
      <c r="A128" s="0" t="s">
        <v>775</v>
      </c>
      <c r="B128" s="0" t="s">
        <v>826</v>
      </c>
      <c r="C128" s="0" t="s">
        <v>1043</v>
      </c>
      <c r="D128" s="0" t="s">
        <v>829</v>
      </c>
      <c r="E128" s="0" t="s">
        <v>893</v>
      </c>
      <c r="F128" s="0" t="n">
        <v>17.5</v>
      </c>
      <c r="G128" s="11" t="n">
        <f aca="false">IFERROR(INDEX(CHOOSE(MATCH($X128,{"K1","K2","K3","K12","K13","H1","H2","H3","H12","H13"},0),Calc!$V$2:$V$105,Calc!$AC$2:$AC$105,Calc!$AJ$2:$AJ$105,Calc!$AL$2:$AL$105,Calc!$AM$2:$AM$105,Calc!$W$2:$W$105,Calc!$AD$2:$AD$105,Calc!$AK$2:$AK$105,Calc!$AN$2:$AN$105,Calc!$AO$2:$AO$105),MATCH($W128,Calc!$A$2:$A$105,0)),"")</f>
        <v>15.4786464097222</v>
      </c>
      <c r="H128" s="11" t="n">
        <f aca="false">IF(G128="","",IF(LEFT($X128,1)="H",SQRT(G128*(IFERROR(INDEX(Calc!$AP$2:$AP$105,MATCH($W128,Calc!$A$2:$A$105,0)),0.5)*Config!$B$5+1-IFERROR(INDEX(Calc!$AP$2:$AP$105,MATCH($W128,Calc!$A$2:$A$105,0)),0.5))),SQRT(G128*Config!$B$5)))</f>
        <v>4.36116059854956</v>
      </c>
      <c r="I128" s="10" t="n">
        <f aca="false">IF(OR(F128="",G128="",N(H128)&lt;=0),"",1-NORMDIST(FLOOR(F128,1)+0.5,G128,H128,TRUE()))</f>
        <v>0.321506650972136</v>
      </c>
      <c r="J128" s="10" t="n">
        <f aca="false">IF(I128="","",NORMDIST(CEILING(F128,1)-0.5,G128,H128,TRUE()))</f>
        <v>0.678493349027864</v>
      </c>
      <c r="K128" s="10" t="n">
        <f aca="false">IF(I128="","",MAX(0,1-I128-J128))</f>
        <v>0</v>
      </c>
      <c r="L128" s="0" t="str">
        <f aca="false">IF(I128="","",IF(I128&gt;=0.5+Config!$B$6,"OVER",IF(J128&gt;=0.5+Config!$B$6,"UNDER","—")))</f>
        <v>UNDER</v>
      </c>
      <c r="N128" s="0" t="n">
        <v>17.6</v>
      </c>
      <c r="O128" s="10" t="n">
        <v>0.4</v>
      </c>
      <c r="P128" s="10" t="n">
        <v>0.4</v>
      </c>
      <c r="Q128" s="10" t="n">
        <v>0.53</v>
      </c>
      <c r="R128" s="9" t="s">
        <v>894</v>
      </c>
      <c r="S128" s="0" t="n">
        <v>-1</v>
      </c>
      <c r="T128" s="0" t="str">
        <f aca="false">INDEX(Calc!$G$2:$G$105,MATCH($W128,Calc!$A$2:$A$105,0))&amp;" / "&amp;INDEX(Calc!$H$2:$H$105,MATCH($W128,Calc!$A$2:$A$105,0))</f>
        <v>Mirage / Inferno</v>
      </c>
      <c r="U128" s="0" t="str">
        <f aca="false">TEXT(INDEX(Calc!$J$2:$J$105,MATCH($W128,Calc!$A$2:$A$105,0)),"0.0")&amp;" / "&amp;TEXT(INDEX(Calc!$K$2:$K$105,MATCH($W128,Calc!$A$2:$A$105,0)),"0.0")</f>
        <v>21.2 / 21.2</v>
      </c>
      <c r="V128" s="0" t="str">
        <f aca="false">IFERROR(INDEX(Calc!$AQ$2:$AQ$105,MATCH($W128,Calc!$A$2:$A$105,0)),"")</f>
        <v/>
      </c>
      <c r="W128" s="9" t="s">
        <v>1044</v>
      </c>
      <c r="X128" s="9" t="s">
        <v>896</v>
      </c>
      <c r="Y128" s="0" t="str">
        <f aca="false">W128&amp;"|"&amp;X128</f>
        <v>8y2vu0o81k1ojys|CS2 · JJH vs IS|H12</v>
      </c>
      <c r="Z128" s="11" t="n">
        <f aca="false">IFERROR(INDEX(CHOOSE(MATCH($X128,{"K1","K2","K3","K12","K13","H1","H2","H3","H12","H13"},0),Calc!$BA$2:$BA$105,Calc!$BB$2:$BB$105,Calc!$BC$2:$BC$105,Calc!$BD$2:$BD$105,Calc!$BE$2:$BE$105,Calc!$BF$2:$BF$105,Calc!$BG$2:$BG$105,Calc!$BH$2:$BH$105,Calc!$BI$2:$BI$105,Calc!$BJ$2:$BJ$105),MATCH($W128,Calc!$A$2:$A$105,0)),"")</f>
        <v>15.0749247667715</v>
      </c>
      <c r="AA128" s="11" t="n">
        <f aca="false">IF(Z128="","",IF(LEFT($X128,1)="H",SQRT(Z128*(IFERROR(INDEX(Calc!$AP$2:$AP$105,MATCH($W128,Calc!$A$2:$A$105,0)),0.5)*Config!$B$5+1-IFERROR(INDEX(Calc!$AP$2:$AP$105,MATCH($W128,Calc!$A$2:$A$105,0)),0.5))),SQRT(Z128*Config!$B$5)))</f>
        <v>4.30390985734853</v>
      </c>
      <c r="AB128" s="10" t="n">
        <f aca="false">IF(OR(F128="",Z128="",N(AA128)&lt;=0),"",1-NORMDIST(FLOOR(F128,1)+0.5,Z128,AA128,TRUE()))</f>
        <v>0.286561305126141</v>
      </c>
      <c r="AC128" s="10" t="n">
        <f aca="false">IF(AB128="","",NORMDIST(CEILING(F128,1)-0.5,Z128,AA128,TRUE()))</f>
        <v>0.713438694873859</v>
      </c>
      <c r="AD128" s="0" t="str">
        <f aca="false">IF(AB128="","",IF(AB128&gt;=0.5+Config!$B$6,"OVER",IF(AC128&gt;=0.5+Config!$B$6,"UNDER","—")))</f>
        <v>UNDER</v>
      </c>
      <c r="AE128" s="13" t="n">
        <f aca="false">IFERROR(Z128/G128,"")</f>
        <v>0.973917509821977</v>
      </c>
    </row>
    <row r="129" customFormat="false" ht="15" hidden="false" customHeight="false" outlineLevel="0" collapsed="false">
      <c r="A129" s="0" t="s">
        <v>775</v>
      </c>
      <c r="B129" s="0" t="s">
        <v>826</v>
      </c>
      <c r="C129" s="0" t="s">
        <v>1043</v>
      </c>
      <c r="D129" s="0" t="s">
        <v>829</v>
      </c>
      <c r="E129" s="0" t="s">
        <v>888</v>
      </c>
      <c r="F129" s="0" t="n">
        <v>30.5</v>
      </c>
      <c r="G129" s="11" t="n">
        <f aca="false">IFERROR(INDEX(CHOOSE(MATCH($X129,{"K1","K2","K3","K12","K13","H1","H2","H3","H12","H13"},0),Calc!$V$2:$V$105,Calc!$AC$2:$AC$105,Calc!$AJ$2:$AJ$105,Calc!$AL$2:$AL$105,Calc!$AM$2:$AM$105,Calc!$W$2:$W$105,Calc!$AD$2:$AD$105,Calc!$AK$2:$AK$105,Calc!$AN$2:$AN$105,Calc!$AO$2:$AO$105),MATCH($W129,Calc!$A$2:$A$105,0)),"")</f>
        <v>27.063925</v>
      </c>
      <c r="H129" s="11" t="n">
        <f aca="false">IF(G129="","",IF(LEFT($X129,1)="H",SQRT(G129*(IFERROR(INDEX(Calc!$AP$2:$AP$105,MATCH($W129,Calc!$A$2:$A$105,0)),0.5)*Config!$B$5+1-IFERROR(INDEX(Calc!$AP$2:$AP$105,MATCH($W129,Calc!$A$2:$A$105,0)),0.5))),SQRT(G129*Config!$B$5)))</f>
        <v>6.15544433814489</v>
      </c>
      <c r="I129" s="10" t="n">
        <f aca="false">IF(OR(F129="",G129="",N(H129)&lt;=0),"",1-NORMDIST(FLOOR(F129,1)+0.5,G129,H129,TRUE()))</f>
        <v>0.288348033202899</v>
      </c>
      <c r="J129" s="10" t="n">
        <f aca="false">IF(I129="","",NORMDIST(CEILING(F129,1)-0.5,G129,H129,TRUE()))</f>
        <v>0.711651966797101</v>
      </c>
      <c r="K129" s="10" t="n">
        <f aca="false">IF(I129="","",MAX(0,1-I129-J129))</f>
        <v>0</v>
      </c>
      <c r="L129" s="0" t="str">
        <f aca="false">IF(I129="","",IF(I129&gt;=0.5+Config!$B$6,"OVER",IF(J129&gt;=0.5+Config!$B$6,"UNDER","—")))</f>
        <v>UNDER</v>
      </c>
      <c r="M129" s="0" t="n">
        <v>29.24</v>
      </c>
      <c r="N129" s="0" t="n">
        <v>31.1</v>
      </c>
      <c r="O129" s="10" t="n">
        <v>0.6</v>
      </c>
      <c r="P129" s="10" t="n">
        <v>0.6</v>
      </c>
      <c r="Q129" s="10" t="n">
        <v>0.67</v>
      </c>
      <c r="R129" s="9" t="s">
        <v>894</v>
      </c>
      <c r="S129" s="0" t="n">
        <v>-1</v>
      </c>
      <c r="T129" s="0" t="str">
        <f aca="false">INDEX(Calc!$G$2:$G$105,MATCH($W129,Calc!$A$2:$A$105,0))&amp;" / "&amp;INDEX(Calc!$H$2:$H$105,MATCH($W129,Calc!$A$2:$A$105,0))</f>
        <v>Mirage / Inferno</v>
      </c>
      <c r="U129" s="0" t="str">
        <f aca="false">TEXT(INDEX(Calc!$J$2:$J$105,MATCH($W129,Calc!$A$2:$A$105,0)),"0.0")&amp;" / "&amp;TEXT(INDEX(Calc!$K$2:$K$105,MATCH($W129,Calc!$A$2:$A$105,0)),"0.0")</f>
        <v>21.2 / 21.2</v>
      </c>
      <c r="V129" s="0" t="str">
        <f aca="false">IFERROR(INDEX(Calc!$AQ$2:$AQ$105,MATCH($W129,Calc!$A$2:$A$105,0)),"")</f>
        <v/>
      </c>
      <c r="W129" s="9" t="s">
        <v>1044</v>
      </c>
      <c r="X129" s="9" t="s">
        <v>891</v>
      </c>
      <c r="Y129" s="0" t="str">
        <f aca="false">W129&amp;"|"&amp;X129</f>
        <v>8y2vu0o81k1ojys|CS2 · JJH vs IS|K12</v>
      </c>
      <c r="Z129" s="11" t="n">
        <f aca="false">IFERROR(INDEX(CHOOSE(MATCH($X129,{"K1","K2","K3","K12","K13","H1","H2","H3","H12","H13"},0),Calc!$BA$2:$BA$105,Calc!$BB$2:$BB$105,Calc!$BC$2:$BC$105,Calc!$BD$2:$BD$105,Calc!$BE$2:$BE$105,Calc!$BF$2:$BF$105,Calc!$BG$2:$BG$105,Calc!$BH$2:$BH$105,Calc!$BI$2:$BI$105,Calc!$BJ$2:$BJ$105),MATCH($W129,Calc!$A$2:$A$105,0)),"")</f>
        <v>26.3527456167318</v>
      </c>
      <c r="AA129" s="11" t="n">
        <f aca="false">IF(Z129="","",IF(LEFT($X129,1)="H",SQRT(Z129*(IFERROR(INDEX(Calc!$AP$2:$AP$105,MATCH($W129,Calc!$A$2:$A$105,0)),0.5)*Config!$B$5+1-IFERROR(INDEX(Calc!$AP$2:$AP$105,MATCH($W129,Calc!$A$2:$A$105,0)),0.5))),SQRT(Z129*Config!$B$5)))</f>
        <v>6.07403028173424</v>
      </c>
      <c r="AB129" s="10" t="n">
        <f aca="false">IF(OR(F129="",Z129="",N(AA129)&lt;=0),"",1-NORMDIST(FLOOR(F129,1)+0.5,Z129,AA129,TRUE()))</f>
        <v>0.247371478663093</v>
      </c>
      <c r="AC129" s="10" t="n">
        <f aca="false">IF(AB129="","",NORMDIST(CEILING(F129,1)-0.5,Z129,AA129,TRUE()))</f>
        <v>0.752628521336907</v>
      </c>
      <c r="AD129" s="0" t="str">
        <f aca="false">IF(AB129="","",IF(AB129&gt;=0.5+Config!$B$6,"OVER",IF(AC129&gt;=0.5+Config!$B$6,"UNDER","—")))</f>
        <v>UNDER</v>
      </c>
      <c r="AE129" s="13" t="n">
        <f aca="false">IFERROR(Z129/G129,"")</f>
        <v>0.973722237876873</v>
      </c>
    </row>
    <row r="130" customFormat="false" ht="15" hidden="false" customHeight="false" outlineLevel="0" collapsed="false">
      <c r="A130" s="0" t="s">
        <v>775</v>
      </c>
      <c r="B130" s="0" t="s">
        <v>826</v>
      </c>
      <c r="C130" s="0" t="s">
        <v>1045</v>
      </c>
      <c r="D130" s="0" t="s">
        <v>829</v>
      </c>
      <c r="E130" s="0" t="s">
        <v>893</v>
      </c>
      <c r="F130" s="0" t="n">
        <v>17.5</v>
      </c>
      <c r="G130" s="11" t="n">
        <f aca="false">IFERROR(INDEX(CHOOSE(MATCH($X130,{"K1","K2","K3","K12","K13","H1","H2","H3","H12","H13"},0),Calc!$V$2:$V$105,Calc!$AC$2:$AC$105,Calc!$AJ$2:$AJ$105,Calc!$AL$2:$AL$105,Calc!$AM$2:$AM$105,Calc!$W$2:$W$105,Calc!$AD$2:$AD$105,Calc!$AK$2:$AK$105,Calc!$AN$2:$AN$105,Calc!$AO$2:$AO$105),MATCH($W130,Calc!$A$2:$A$105,0)),"")</f>
        <v>16.2225938861111</v>
      </c>
      <c r="H130" s="11" t="n">
        <f aca="false">IF(G130="","",IF(LEFT($X130,1)="H",SQRT(G130*(IFERROR(INDEX(Calc!$AP$2:$AP$105,MATCH($W130,Calc!$A$2:$A$105,0)),0.5)*Config!$B$5+1-IFERROR(INDEX(Calc!$AP$2:$AP$105,MATCH($W130,Calc!$A$2:$A$105,0)),0.5))),SQRT(G130*Config!$B$5)))</f>
        <v>4.44797470665804</v>
      </c>
      <c r="I130" s="10" t="n">
        <f aca="false">IF(OR(F130="",G130="",N(H130)&lt;=0),"",1-NORMDIST(FLOOR(F130,1)+0.5,G130,H130,TRUE()))</f>
        <v>0.386984087745123</v>
      </c>
      <c r="J130" s="10" t="n">
        <f aca="false">IF(I130="","",NORMDIST(CEILING(F130,1)-0.5,G130,H130,TRUE()))</f>
        <v>0.613015912254877</v>
      </c>
      <c r="K130" s="10" t="n">
        <f aca="false">IF(I130="","",MAX(0,1-I130-J130))</f>
        <v>0</v>
      </c>
      <c r="L130" s="0" t="str">
        <f aca="false">IF(I130="","",IF(I130&gt;=0.5+Config!$B$6,"OVER",IF(J130&gt;=0.5+Config!$B$6,"UNDER","—")))</f>
        <v>UNDER</v>
      </c>
      <c r="N130" s="0" t="n">
        <v>15.5</v>
      </c>
      <c r="O130" s="10" t="n">
        <v>0.4</v>
      </c>
      <c r="P130" s="10" t="n">
        <v>0.3</v>
      </c>
      <c r="Q130" s="10" t="n">
        <v>0.4</v>
      </c>
      <c r="R130" s="9" t="s">
        <v>889</v>
      </c>
      <c r="S130" s="0" t="n">
        <v>-1</v>
      </c>
      <c r="T130" s="0" t="str">
        <f aca="false">INDEX(Calc!$G$2:$G$105,MATCH($W130,Calc!$A$2:$A$105,0))&amp;" / "&amp;INDEX(Calc!$H$2:$H$105,MATCH($W130,Calc!$A$2:$A$105,0))</f>
        <v>Mirage / Inferno</v>
      </c>
      <c r="U130" s="0" t="str">
        <f aca="false">TEXT(INDEX(Calc!$J$2:$J$105,MATCH($W130,Calc!$A$2:$A$105,0)),"0.0")&amp;" / "&amp;TEXT(INDEX(Calc!$K$2:$K$105,MATCH($W130,Calc!$A$2:$A$105,0)),"0.0")</f>
        <v>21.2 / 21.2</v>
      </c>
      <c r="V130" s="0" t="str">
        <f aca="false">IFERROR(INDEX(Calc!$AQ$2:$AQ$105,MATCH($W130,Calc!$A$2:$A$105,0)),"")</f>
        <v/>
      </c>
      <c r="W130" s="9" t="s">
        <v>1046</v>
      </c>
      <c r="X130" s="9" t="s">
        <v>896</v>
      </c>
      <c r="Y130" s="0" t="str">
        <f aca="false">W130&amp;"|"&amp;X130</f>
        <v>ltwiotm7m8sg32v|CS2 · JJH vs IS|H12</v>
      </c>
      <c r="Z130" s="11" t="n">
        <f aca="false">IFERROR(INDEX(CHOOSE(MATCH($X130,{"K1","K2","K3","K12","K13","H1","H2","H3","H12","H13"},0),Calc!$BA$2:$BA$105,Calc!$BB$2:$BB$105,Calc!$BC$2:$BC$105,Calc!$BD$2:$BD$105,Calc!$BE$2:$BE$105,Calc!$BF$2:$BF$105,Calc!$BG$2:$BG$105,Calc!$BH$2:$BH$105,Calc!$BI$2:$BI$105,Calc!$BJ$2:$BJ$105),MATCH($W130,Calc!$A$2:$A$105,0)),"")</f>
        <v>15.797523502847</v>
      </c>
      <c r="AA130" s="11" t="n">
        <f aca="false">IF(Z130="","",IF(LEFT($X130,1)="H",SQRT(Z130*(IFERROR(INDEX(Calc!$AP$2:$AP$105,MATCH($W130,Calc!$A$2:$A$105,0)),0.5)*Config!$B$5+1-IFERROR(INDEX(Calc!$AP$2:$AP$105,MATCH($W130,Calc!$A$2:$A$105,0)),0.5))),SQRT(Z130*Config!$B$5)))</f>
        <v>4.3893141584625</v>
      </c>
      <c r="AB130" s="10" t="n">
        <f aca="false">IF(OR(F130="",Z130="",N(AA130)&lt;=0),"",1-NORMDIST(FLOOR(F130,1)+0.5,Z130,AA130,TRUE()))</f>
        <v>0.349056692062368</v>
      </c>
      <c r="AC130" s="10" t="n">
        <f aca="false">IF(AB130="","",NORMDIST(CEILING(F130,1)-0.5,Z130,AA130,TRUE()))</f>
        <v>0.650943307937632</v>
      </c>
      <c r="AD130" s="0" t="str">
        <f aca="false">IF(AB130="","",IF(AB130&gt;=0.5+Config!$B$6,"OVER",IF(AC130&gt;=0.5+Config!$B$6,"UNDER","—")))</f>
        <v>UNDER</v>
      </c>
      <c r="AE130" s="13" t="n">
        <f aca="false">IFERROR(Z130/G130,"")</f>
        <v>0.973797631485555</v>
      </c>
    </row>
    <row r="131" customFormat="false" ht="15" hidden="false" customHeight="false" outlineLevel="0" collapsed="false">
      <c r="A131" s="0" t="s">
        <v>775</v>
      </c>
      <c r="B131" s="0" t="s">
        <v>826</v>
      </c>
      <c r="C131" s="0" t="s">
        <v>1045</v>
      </c>
      <c r="D131" s="0" t="s">
        <v>829</v>
      </c>
      <c r="E131" s="0" t="s">
        <v>888</v>
      </c>
      <c r="F131" s="0" t="n">
        <v>31</v>
      </c>
      <c r="G131" s="11" t="n">
        <f aca="false">IFERROR(INDEX(CHOOSE(MATCH($X131,{"K1","K2","K3","K12","K13","H1","H2","H3","H12","H13"},0),Calc!$V$2:$V$105,Calc!$AC$2:$AC$105,Calc!$AJ$2:$AJ$105,Calc!$AL$2:$AL$105,Calc!$AM$2:$AM$105,Calc!$W$2:$W$105,Calc!$AD$2:$AD$105,Calc!$AK$2:$AK$105,Calc!$AN$2:$AN$105,Calc!$AO$2:$AO$105),MATCH($W131,Calc!$A$2:$A$105,0)),"")</f>
        <v>29.5543</v>
      </c>
      <c r="H131" s="11" t="n">
        <f aca="false">IF(G131="","",IF(LEFT($X131,1)="H",SQRT(G131*(IFERROR(INDEX(Calc!$AP$2:$AP$105,MATCH($W131,Calc!$A$2:$A$105,0)),0.5)*Config!$B$5+1-IFERROR(INDEX(Calc!$AP$2:$AP$105,MATCH($W131,Calc!$A$2:$A$105,0)),0.5))),SQRT(G131*Config!$B$5)))</f>
        <v>6.43241945149724</v>
      </c>
      <c r="I131" s="10" t="n">
        <f aca="false">IF(OR(F131="",G131="",N(H131)&lt;=0),"",1-NORMDIST(FLOOR(F131,1)+0.5,G131,H131,TRUE()))</f>
        <v>0.381141799289257</v>
      </c>
      <c r="J131" s="10" t="n">
        <f aca="false">IF(I131="","",NORMDIST(CEILING(F131,1)-0.5,G131,H131,TRUE()))</f>
        <v>0.558442232171481</v>
      </c>
      <c r="K131" s="10" t="n">
        <f aca="false">IF(I131="","",MAX(0,1-I131-J131))</f>
        <v>0.0604159685392626</v>
      </c>
      <c r="L131" s="0" t="str">
        <f aca="false">IF(I131="","",IF(I131&gt;=0.5+Config!$B$6,"OVER",IF(J131&gt;=0.5+Config!$B$6,"UNDER","—")))</f>
        <v>UNDER</v>
      </c>
      <c r="M131" s="0" t="n">
        <v>28.82</v>
      </c>
      <c r="N131" s="0" t="n">
        <v>28.8</v>
      </c>
      <c r="O131" s="10" t="n">
        <v>0.6</v>
      </c>
      <c r="P131" s="10" t="n">
        <v>0.4</v>
      </c>
      <c r="Q131" s="10" t="n">
        <v>0.4</v>
      </c>
      <c r="R131" s="9" t="s">
        <v>889</v>
      </c>
      <c r="S131" s="0" t="n">
        <v>2</v>
      </c>
      <c r="T131" s="0" t="str">
        <f aca="false">INDEX(Calc!$G$2:$G$105,MATCH($W131,Calc!$A$2:$A$105,0))&amp;" / "&amp;INDEX(Calc!$H$2:$H$105,MATCH($W131,Calc!$A$2:$A$105,0))</f>
        <v>Mirage / Inferno</v>
      </c>
      <c r="U131" s="0" t="str">
        <f aca="false">TEXT(INDEX(Calc!$J$2:$J$105,MATCH($W131,Calc!$A$2:$A$105,0)),"0.0")&amp;" / "&amp;TEXT(INDEX(Calc!$K$2:$K$105,MATCH($W131,Calc!$A$2:$A$105,0)),"0.0")</f>
        <v>21.2 / 21.2</v>
      </c>
      <c r="V131" s="0" t="str">
        <f aca="false">IFERROR(INDEX(Calc!$AQ$2:$AQ$105,MATCH($W131,Calc!$A$2:$A$105,0)),"")</f>
        <v/>
      </c>
      <c r="W131" s="9" t="s">
        <v>1046</v>
      </c>
      <c r="X131" s="9" t="s">
        <v>891</v>
      </c>
      <c r="Y131" s="0" t="str">
        <f aca="false">W131&amp;"|"&amp;X131</f>
        <v>ltwiotm7m8sg32v|CS2 · JJH vs IS|K12</v>
      </c>
      <c r="Z131" s="11" t="n">
        <f aca="false">IFERROR(INDEX(CHOOSE(MATCH($X131,{"K1","K2","K3","K12","K13","H1","H2","H3","H12","H13"},0),Calc!$BA$2:$BA$105,Calc!$BB$2:$BB$105,Calc!$BC$2:$BC$105,Calc!$BD$2:$BD$105,Calc!$BE$2:$BE$105,Calc!$BF$2:$BF$105,Calc!$BG$2:$BG$105,Calc!$BH$2:$BH$105,Calc!$BI$2:$BI$105,Calc!$BJ$2:$BJ$105),MATCH($W131,Calc!$A$2:$A$105,0)),"")</f>
        <v>28.745530900964</v>
      </c>
      <c r="AA131" s="11" t="n">
        <f aca="false">IF(Z131="","",IF(LEFT($X131,1)="H",SQRT(Z131*(IFERROR(INDEX(Calc!$AP$2:$AP$105,MATCH($W131,Calc!$A$2:$A$105,0)),0.5)*Config!$B$5+1-IFERROR(INDEX(Calc!$AP$2:$AP$105,MATCH($W131,Calc!$A$2:$A$105,0)),0.5))),SQRT(Z131*Config!$B$5)))</f>
        <v>6.3437956509766</v>
      </c>
      <c r="AB131" s="10" t="n">
        <f aca="false">IF(OR(F131="",Z131="",N(AA131)&lt;=0),"",1-NORMDIST(FLOOR(F131,1)+0.5,Z131,AA131,TRUE()))</f>
        <v>0.332072005590695</v>
      </c>
      <c r="AC131" s="10" t="n">
        <f aca="false">IF(AB131="","",NORMDIST(CEILING(F131,1)-0.5,Z131,AA131,TRUE()))</f>
        <v>0.608942762497951</v>
      </c>
      <c r="AD131" s="0" t="str">
        <f aca="false">IF(AB131="","",IF(AB131&gt;=0.5+Config!$B$6,"OVER",IF(AC131&gt;=0.5+Config!$B$6,"UNDER","—")))</f>
        <v>UNDER</v>
      </c>
      <c r="AE131" s="13" t="n">
        <f aca="false">IFERROR(Z131/G131,"")</f>
        <v>0.972634469466846</v>
      </c>
    </row>
    <row r="132" customFormat="false" ht="15" hidden="false" customHeight="false" outlineLevel="0" collapsed="false">
      <c r="A132" s="0" t="s">
        <v>775</v>
      </c>
      <c r="B132" s="0" t="s">
        <v>826</v>
      </c>
      <c r="C132" s="0" t="s">
        <v>1047</v>
      </c>
      <c r="D132" s="0" t="s">
        <v>828</v>
      </c>
      <c r="E132" s="0" t="s">
        <v>893</v>
      </c>
      <c r="F132" s="0" t="n">
        <v>15.5</v>
      </c>
      <c r="G132" s="11" t="n">
        <f aca="false">IFERROR(INDEX(CHOOSE(MATCH($X132,{"K1","K2","K3","K12","K13","H1","H2","H3","H12","H13"},0),Calc!$V$2:$V$105,Calc!$AC$2:$AC$105,Calc!$AJ$2:$AJ$105,Calc!$AL$2:$AL$105,Calc!$AM$2:$AM$105,Calc!$W$2:$W$105,Calc!$AD$2:$AD$105,Calc!$AK$2:$AK$105,Calc!$AN$2:$AN$105,Calc!$AO$2:$AO$105),MATCH($W132,Calc!$A$2:$A$105,0)),"")</f>
        <v>17.8402620421769</v>
      </c>
      <c r="H132" s="11" t="n">
        <f aca="false">IF(G132="","",IF(LEFT($X132,1)="H",SQRT(G132*(IFERROR(INDEX(Calc!$AP$2:$AP$105,MATCH($W132,Calc!$A$2:$A$105,0)),0.5)*Config!$B$5+1-IFERROR(INDEX(Calc!$AP$2:$AP$105,MATCH($W132,Calc!$A$2:$A$105,0)),0.5))),SQRT(G132*Config!$B$5)))</f>
        <v>4.68662583916539</v>
      </c>
      <c r="I132" s="10" t="n">
        <f aca="false">IF(OR(F132="",G132="",N(H132)&lt;=0),"",1-NORMDIST(FLOOR(F132,1)+0.5,G132,H132,TRUE()))</f>
        <v>0.691233238175091</v>
      </c>
      <c r="J132" s="10" t="n">
        <f aca="false">IF(I132="","",NORMDIST(CEILING(F132,1)-0.5,G132,H132,TRUE()))</f>
        <v>0.308766761824909</v>
      </c>
      <c r="K132" s="10" t="n">
        <f aca="false">IF(I132="","",MAX(0,1-I132-J132))</f>
        <v>0</v>
      </c>
      <c r="L132" s="0" t="str">
        <f aca="false">IF(I132="","",IF(I132&gt;=0.5+Config!$B$6,"OVER",IF(J132&gt;=0.5+Config!$B$6,"UNDER","—")))</f>
        <v>OVER</v>
      </c>
      <c r="N132" s="0" t="n">
        <v>14.7</v>
      </c>
      <c r="O132" s="10" t="n">
        <v>0.6</v>
      </c>
      <c r="P132" s="10" t="n">
        <v>0.5</v>
      </c>
      <c r="Q132" s="10" t="n">
        <v>0.6</v>
      </c>
      <c r="R132" s="9" t="s">
        <v>889</v>
      </c>
      <c r="S132" s="0" t="n">
        <v>-1</v>
      </c>
      <c r="T132" s="0" t="str">
        <f aca="false">INDEX(Calc!$G$2:$G$105,MATCH($W132,Calc!$A$2:$A$105,0))&amp;" / "&amp;INDEX(Calc!$H$2:$H$105,MATCH($W132,Calc!$A$2:$A$105,0))</f>
        <v>Mirage / Inferno</v>
      </c>
      <c r="U132" s="0" t="str">
        <f aca="false">TEXT(INDEX(Calc!$J$2:$J$105,MATCH($W132,Calc!$A$2:$A$105,0)),"0.0")&amp;" / "&amp;TEXT(INDEX(Calc!$K$2:$K$105,MATCH($W132,Calc!$A$2:$A$105,0)),"0.0")</f>
        <v>21.2 / 21.2</v>
      </c>
      <c r="V132" s="0" t="str">
        <f aca="false">IFERROR(INDEX(Calc!$AQ$2:$AQ$105,MATCH($W132,Calc!$A$2:$A$105,0)),"")</f>
        <v/>
      </c>
      <c r="W132" s="9" t="s">
        <v>1048</v>
      </c>
      <c r="X132" s="9" t="s">
        <v>896</v>
      </c>
      <c r="Y132" s="0" t="str">
        <f aca="false">W132&amp;"|"&amp;X132</f>
        <v>3ur3fyq90jlwliy|CS2 · JJH vs IS|H12</v>
      </c>
      <c r="Z132" s="11" t="n">
        <f aca="false">IFERROR(INDEX(CHOOSE(MATCH($X132,{"K1","K2","K3","K12","K13","H1","H2","H3","H12","H13"},0),Calc!$BA$2:$BA$105,Calc!$BB$2:$BB$105,Calc!$BC$2:$BC$105,Calc!$BD$2:$BD$105,Calc!$BE$2:$BE$105,Calc!$BF$2:$BF$105,Calc!$BG$2:$BG$105,Calc!$BH$2:$BH$105,Calc!$BI$2:$BI$105,Calc!$BJ$2:$BJ$105),MATCH($W132,Calc!$A$2:$A$105,0)),"")</f>
        <v>18.1803643399399</v>
      </c>
      <c r="AA132" s="11" t="n">
        <f aca="false">IF(Z132="","",IF(LEFT($X132,1)="H",SQRT(Z132*(IFERROR(INDEX(Calc!$AP$2:$AP$105,MATCH($W132,Calc!$A$2:$A$105,0)),0.5)*Config!$B$5+1-IFERROR(INDEX(Calc!$AP$2:$AP$105,MATCH($W132,Calc!$A$2:$A$105,0)),0.5))),SQRT(Z132*Config!$B$5)))</f>
        <v>4.73108727111624</v>
      </c>
      <c r="AB132" s="10" t="n">
        <f aca="false">IF(OR(F132="",Z132="",N(AA132)&lt;=0),"",1-NORMDIST(FLOOR(F132,1)+0.5,Z132,AA132,TRUE()))</f>
        <v>0.714487642149365</v>
      </c>
      <c r="AC132" s="10" t="n">
        <f aca="false">IF(AB132="","",NORMDIST(CEILING(F132,1)-0.5,Z132,AA132,TRUE()))</f>
        <v>0.285512357850635</v>
      </c>
      <c r="AD132" s="0" t="str">
        <f aca="false">IF(AB132="","",IF(AB132&gt;=0.5+Config!$B$6,"OVER",IF(AC132&gt;=0.5+Config!$B$6,"UNDER","—")))</f>
        <v>OVER</v>
      </c>
      <c r="AE132" s="13" t="n">
        <f aca="false">IFERROR(Z132/G132,"")</f>
        <v>1.01906375012648</v>
      </c>
    </row>
    <row r="133" customFormat="false" ht="15" hidden="false" customHeight="false" outlineLevel="0" collapsed="false">
      <c r="A133" s="0" t="s">
        <v>775</v>
      </c>
      <c r="B133" s="0" t="s">
        <v>826</v>
      </c>
      <c r="C133" s="0" t="s">
        <v>1047</v>
      </c>
      <c r="D133" s="0" t="s">
        <v>828</v>
      </c>
      <c r="E133" s="0" t="s">
        <v>888</v>
      </c>
      <c r="F133" s="0" t="n">
        <v>27.5</v>
      </c>
      <c r="G133" s="11" t="n">
        <f aca="false">IFERROR(INDEX(CHOOSE(MATCH($X133,{"K1","K2","K3","K12","K13","H1","H2","H3","H12","H13"},0),Calc!$V$2:$V$105,Calc!$AC$2:$AC$105,Calc!$AJ$2:$AJ$105,Calc!$AL$2:$AL$105,Calc!$AM$2:$AM$105,Calc!$W$2:$W$105,Calc!$AD$2:$AD$105,Calc!$AK$2:$AK$105,Calc!$AN$2:$AN$105,Calc!$AO$2:$AO$105),MATCH($W133,Calc!$A$2:$A$105,0)),"")</f>
        <v>30.8690142857143</v>
      </c>
      <c r="H133" s="11" t="n">
        <f aca="false">IF(G133="","",IF(LEFT($X133,1)="H",SQRT(G133*(IFERROR(INDEX(Calc!$AP$2:$AP$105,MATCH($W133,Calc!$A$2:$A$105,0)),0.5)*Config!$B$5+1-IFERROR(INDEX(Calc!$AP$2:$AP$105,MATCH($W133,Calc!$A$2:$A$105,0)),0.5))),SQRT(G133*Config!$B$5)))</f>
        <v>6.57393489471869</v>
      </c>
      <c r="I133" s="10" t="n">
        <f aca="false">IF(OR(F133="",G133="",N(H133)&lt;=0),"",1-NORMDIST(FLOOR(F133,1)+0.5,G133,H133,TRUE()))</f>
        <v>0.695842662756566</v>
      </c>
      <c r="J133" s="10" t="n">
        <f aca="false">IF(I133="","",NORMDIST(CEILING(F133,1)-0.5,G133,H133,TRUE()))</f>
        <v>0.304157337243434</v>
      </c>
      <c r="K133" s="10" t="n">
        <f aca="false">IF(I133="","",MAX(0,1-I133-J133))</f>
        <v>0</v>
      </c>
      <c r="L133" s="0" t="str">
        <f aca="false">IF(I133="","",IF(I133&gt;=0.5+Config!$B$6,"OVER",IF(J133&gt;=0.5+Config!$B$6,"UNDER","—")))</f>
        <v>OVER</v>
      </c>
      <c r="M133" s="0" t="n">
        <v>27.17</v>
      </c>
      <c r="N133" s="0" t="n">
        <v>26.2</v>
      </c>
      <c r="O133" s="10" t="n">
        <v>0.4</v>
      </c>
      <c r="P133" s="10" t="n">
        <v>0.4</v>
      </c>
      <c r="Q133" s="10" t="n">
        <v>0.6</v>
      </c>
      <c r="R133" s="9" t="s">
        <v>889</v>
      </c>
      <c r="S133" s="0" t="n">
        <v>-1</v>
      </c>
      <c r="T133" s="0" t="str">
        <f aca="false">INDEX(Calc!$G$2:$G$105,MATCH($W133,Calc!$A$2:$A$105,0))&amp;" / "&amp;INDEX(Calc!$H$2:$H$105,MATCH($W133,Calc!$A$2:$A$105,0))</f>
        <v>Mirage / Inferno</v>
      </c>
      <c r="U133" s="0" t="str">
        <f aca="false">TEXT(INDEX(Calc!$J$2:$J$105,MATCH($W133,Calc!$A$2:$A$105,0)),"0.0")&amp;" / "&amp;TEXT(INDEX(Calc!$K$2:$K$105,MATCH($W133,Calc!$A$2:$A$105,0)),"0.0")</f>
        <v>21.2 / 21.2</v>
      </c>
      <c r="V133" s="0" t="str">
        <f aca="false">IFERROR(INDEX(Calc!$AQ$2:$AQ$105,MATCH($W133,Calc!$A$2:$A$105,0)),"")</f>
        <v/>
      </c>
      <c r="W133" s="9" t="s">
        <v>1048</v>
      </c>
      <c r="X133" s="9" t="s">
        <v>891</v>
      </c>
      <c r="Y133" s="0" t="str">
        <f aca="false">W133&amp;"|"&amp;X133</f>
        <v>3ur3fyq90jlwliy|CS2 · JJH vs IS|K12</v>
      </c>
      <c r="Z133" s="11" t="n">
        <f aca="false">IFERROR(INDEX(CHOOSE(MATCH($X133,{"K1","K2","K3","K12","K13","H1","H2","H3","H12","H13"},0),Calc!$BA$2:$BA$105,Calc!$BB$2:$BB$105,Calc!$BC$2:$BC$105,Calc!$BD$2:$BD$105,Calc!$BE$2:$BE$105,Calc!$BF$2:$BF$105,Calc!$BG$2:$BG$105,Calc!$BH$2:$BH$105,Calc!$BI$2:$BI$105,Calc!$BJ$2:$BJ$105),MATCH($W133,Calc!$A$2:$A$105,0)),"")</f>
        <v>31.4556457481689</v>
      </c>
      <c r="AA133" s="11" t="n">
        <f aca="false">IF(Z133="","",IF(LEFT($X133,1)="H",SQRT(Z133*(IFERROR(INDEX(Calc!$AP$2:$AP$105,MATCH($W133,Calc!$A$2:$A$105,0)),0.5)*Config!$B$5+1-IFERROR(INDEX(Calc!$AP$2:$AP$105,MATCH($W133,Calc!$A$2:$A$105,0)),0.5))),SQRT(Z133*Config!$B$5)))</f>
        <v>6.63610609073095</v>
      </c>
      <c r="AB133" s="10" t="n">
        <f aca="false">IF(OR(F133="",Z133="",N(AA133)&lt;=0),"",1-NORMDIST(FLOOR(F133,1)+0.5,Z133,AA133,TRUE()))</f>
        <v>0.724438887844519</v>
      </c>
      <c r="AC133" s="10" t="n">
        <f aca="false">IF(AB133="","",NORMDIST(CEILING(F133,1)-0.5,Z133,AA133,TRUE()))</f>
        <v>0.275561112155481</v>
      </c>
      <c r="AD133" s="0" t="str">
        <f aca="false">IF(AB133="","",IF(AB133&gt;=0.5+Config!$B$6,"OVER",IF(AC133&gt;=0.5+Config!$B$6,"UNDER","—")))</f>
        <v>OVER</v>
      </c>
      <c r="AE133" s="13" t="n">
        <f aca="false">IFERROR(Z133/G133,"")</f>
        <v>1.0190038935816</v>
      </c>
    </row>
    <row r="134" customFormat="false" ht="15" hidden="false" customHeight="false" outlineLevel="0" collapsed="false">
      <c r="A134" s="0" t="s">
        <v>775</v>
      </c>
      <c r="B134" s="0" t="s">
        <v>826</v>
      </c>
      <c r="C134" s="0" t="s">
        <v>1049</v>
      </c>
      <c r="D134" s="0" t="s">
        <v>828</v>
      </c>
      <c r="E134" s="0" t="s">
        <v>893</v>
      </c>
      <c r="F134" s="0" t="n">
        <v>16.5</v>
      </c>
      <c r="G134" s="11" t="n">
        <f aca="false">IFERROR(INDEX(CHOOSE(MATCH($X134,{"K1","K2","K3","K12","K13","H1","H2","H3","H12","H13"},0),Calc!$V$2:$V$105,Calc!$AC$2:$AC$105,Calc!$AJ$2:$AJ$105,Calc!$AL$2:$AL$105,Calc!$AM$2:$AM$105,Calc!$W$2:$W$105,Calc!$AD$2:$AD$105,Calc!$AK$2:$AK$105,Calc!$AN$2:$AN$105,Calc!$AO$2:$AO$105),MATCH($W134,Calc!$A$2:$A$105,0)),"")</f>
        <v>16.5226269557823</v>
      </c>
      <c r="H134" s="11" t="n">
        <f aca="false">IF(G134="","",IF(LEFT($X134,1)="H",SQRT(G134*(IFERROR(INDEX(Calc!$AP$2:$AP$105,MATCH($W134,Calc!$A$2:$A$105,0)),0.5)*Config!$B$5+1-IFERROR(INDEX(Calc!$AP$2:$AP$105,MATCH($W134,Calc!$A$2:$A$105,0)),0.5))),SQRT(G134*Config!$B$5)))</f>
        <v>4.46159638089195</v>
      </c>
      <c r="I134" s="10" t="n">
        <f aca="false">IF(OR(F134="",G134="",N(H134)&lt;=0),"",1-NORMDIST(FLOOR(F134,1)+0.5,G134,H134,TRUE()))</f>
        <v>0.50202322439609</v>
      </c>
      <c r="J134" s="10" t="n">
        <f aca="false">IF(I134="","",NORMDIST(CEILING(F134,1)-0.5,G134,H134,TRUE()))</f>
        <v>0.49797677560391</v>
      </c>
      <c r="K134" s="10" t="n">
        <f aca="false">IF(I134="","",MAX(0,1-I134-J134))</f>
        <v>0</v>
      </c>
      <c r="L134" s="0" t="str">
        <f aca="false">IF(I134="","",IF(I134&gt;=0.5+Config!$B$6,"OVER",IF(J134&gt;=0.5+Config!$B$6,"UNDER","—")))</f>
        <v>—</v>
      </c>
      <c r="N134" s="0" t="n">
        <v>16.1</v>
      </c>
      <c r="O134" s="10" t="n">
        <v>0.6</v>
      </c>
      <c r="P134" s="10" t="n">
        <v>0.4</v>
      </c>
      <c r="Q134" s="10" t="n">
        <v>0.53</v>
      </c>
      <c r="R134" s="9" t="s">
        <v>889</v>
      </c>
      <c r="S134" s="0" t="n">
        <v>-1</v>
      </c>
      <c r="T134" s="0" t="str">
        <f aca="false">INDEX(Calc!$G$2:$G$105,MATCH($W134,Calc!$A$2:$A$105,0))&amp;" / "&amp;INDEX(Calc!$H$2:$H$105,MATCH($W134,Calc!$A$2:$A$105,0))</f>
        <v>Mirage / Inferno</v>
      </c>
      <c r="U134" s="0" t="str">
        <f aca="false">TEXT(INDEX(Calc!$J$2:$J$105,MATCH($W134,Calc!$A$2:$A$105,0)),"0.0")&amp;" / "&amp;TEXT(INDEX(Calc!$K$2:$K$105,MATCH($W134,Calc!$A$2:$A$105,0)),"0.0")</f>
        <v>21.2 / 21.2</v>
      </c>
      <c r="V134" s="0" t="str">
        <f aca="false">IFERROR(INDEX(Calc!$AQ$2:$AQ$105,MATCH($W134,Calc!$A$2:$A$105,0)),"")</f>
        <v/>
      </c>
      <c r="W134" s="9" t="s">
        <v>1050</v>
      </c>
      <c r="X134" s="9" t="s">
        <v>896</v>
      </c>
      <c r="Y134" s="0" t="str">
        <f aca="false">W134&amp;"|"&amp;X134</f>
        <v>lykfimmteia2jqy|CS2 · JJH vs IS|H12</v>
      </c>
      <c r="Z134" s="11" t="n">
        <f aca="false">IFERROR(INDEX(CHOOSE(MATCH($X134,{"K1","K2","K3","K12","K13","H1","H2","H3","H12","H13"},0),Calc!$BA$2:$BA$105,Calc!$BB$2:$BB$105,Calc!$BC$2:$BC$105,Calc!$BD$2:$BD$105,Calc!$BE$2:$BE$105,Calc!$BF$2:$BF$105,Calc!$BG$2:$BG$105,Calc!$BH$2:$BH$105,Calc!$BI$2:$BI$105,Calc!$BJ$2:$BJ$105),MATCH($W134,Calc!$A$2:$A$105,0)),"")</f>
        <v>16.8387423692213</v>
      </c>
      <c r="AA134" s="11" t="n">
        <f aca="false">IF(Z134="","",IF(LEFT($X134,1)="H",SQRT(Z134*(IFERROR(INDEX(Calc!$AP$2:$AP$105,MATCH($W134,Calc!$A$2:$A$105,0)),0.5)*Config!$B$5+1-IFERROR(INDEX(Calc!$AP$2:$AP$105,MATCH($W134,Calc!$A$2:$A$105,0)),0.5))),SQRT(Z134*Config!$B$5)))</f>
        <v>4.5040744087045</v>
      </c>
      <c r="AB134" s="10" t="n">
        <f aca="false">IF(OR(F134="",Z134="",N(AA134)&lt;=0),"",1-NORMDIST(FLOOR(F134,1)+0.5,Z134,AA134,TRUE()))</f>
        <v>0.529975385144842</v>
      </c>
      <c r="AC134" s="10" t="n">
        <f aca="false">IF(AB134="","",NORMDIST(CEILING(F134,1)-0.5,Z134,AA134,TRUE()))</f>
        <v>0.470024614855158</v>
      </c>
      <c r="AD134" s="0" t="str">
        <f aca="false">IF(AB134="","",IF(AB134&gt;=0.5+Config!$B$6,"OVER",IF(AC134&gt;=0.5+Config!$B$6,"UNDER","—")))</f>
        <v>—</v>
      </c>
      <c r="AE134" s="13" t="n">
        <f aca="false">IFERROR(Z134/G134,"")</f>
        <v>1.01913227323264</v>
      </c>
    </row>
    <row r="135" customFormat="false" ht="15" hidden="false" customHeight="false" outlineLevel="0" collapsed="false">
      <c r="A135" s="0" t="s">
        <v>775</v>
      </c>
      <c r="B135" s="0" t="s">
        <v>826</v>
      </c>
      <c r="C135" s="0" t="s">
        <v>1049</v>
      </c>
      <c r="D135" s="0" t="s">
        <v>828</v>
      </c>
      <c r="E135" s="0" t="s">
        <v>888</v>
      </c>
      <c r="F135" s="0" t="n">
        <v>31</v>
      </c>
      <c r="G135" s="11" t="n">
        <f aca="false">IFERROR(INDEX(CHOOSE(MATCH($X135,{"K1","K2","K3","K12","K13","H1","H2","H3","H12","H13"},0),Calc!$V$2:$V$105,Calc!$AC$2:$AC$105,Calc!$AJ$2:$AJ$105,Calc!$AL$2:$AL$105,Calc!$AM$2:$AM$105,Calc!$W$2:$W$105,Calc!$AD$2:$AD$105,Calc!$AK$2:$AK$105,Calc!$AN$2:$AN$105,Calc!$AO$2:$AO$105),MATCH($W135,Calc!$A$2:$A$105,0)),"")</f>
        <v>32.2766571428571</v>
      </c>
      <c r="H135" s="11" t="n">
        <f aca="false">IF(G135="","",IF(LEFT($X135,1)="H",SQRT(G135*(IFERROR(INDEX(Calc!$AP$2:$AP$105,MATCH($W135,Calc!$A$2:$A$105,0)),0.5)*Config!$B$5+1-IFERROR(INDEX(Calc!$AP$2:$AP$105,MATCH($W135,Calc!$A$2:$A$105,0)),0.5))),SQRT(G135*Config!$B$5)))</f>
        <v>6.72215144131698</v>
      </c>
      <c r="I135" s="10" t="n">
        <f aca="false">IF(OR(F135="",G135="",N(H135)&lt;=0),"",1-NORMDIST(FLOOR(F135,1)+0.5,G135,H135,TRUE()))</f>
        <v>0.545990248443521</v>
      </c>
      <c r="J135" s="10" t="n">
        <f aca="false">IF(I135="","",NORMDIST(CEILING(F135,1)-0.5,G135,H135,TRUE()))</f>
        <v>0.395774808997064</v>
      </c>
      <c r="K135" s="10" t="n">
        <f aca="false">IF(I135="","",MAX(0,1-I135-J135))</f>
        <v>0.058234942559415</v>
      </c>
      <c r="L135" s="0" t="str">
        <f aca="false">IF(I135="","",IF(I135&gt;=0.5+Config!$B$6,"OVER",IF(J135&gt;=0.5+Config!$B$6,"UNDER","—")))</f>
        <v>OVER</v>
      </c>
      <c r="M135" s="0" t="n">
        <v>30.96</v>
      </c>
      <c r="N135" s="0" t="n">
        <v>30.7</v>
      </c>
      <c r="O135" s="10" t="n">
        <v>0.6</v>
      </c>
      <c r="P135" s="10" t="n">
        <v>0.6</v>
      </c>
      <c r="Q135" s="10" t="n">
        <v>0.6</v>
      </c>
      <c r="R135" s="9" t="s">
        <v>889</v>
      </c>
      <c r="S135" s="0" t="n">
        <v>-1</v>
      </c>
      <c r="T135" s="0" t="str">
        <f aca="false">INDEX(Calc!$G$2:$G$105,MATCH($W135,Calc!$A$2:$A$105,0))&amp;" / "&amp;INDEX(Calc!$H$2:$H$105,MATCH($W135,Calc!$A$2:$A$105,0))</f>
        <v>Mirage / Inferno</v>
      </c>
      <c r="U135" s="0" t="str">
        <f aca="false">TEXT(INDEX(Calc!$J$2:$J$105,MATCH($W135,Calc!$A$2:$A$105,0)),"0.0")&amp;" / "&amp;TEXT(INDEX(Calc!$K$2:$K$105,MATCH($W135,Calc!$A$2:$A$105,0)),"0.0")</f>
        <v>21.2 / 21.2</v>
      </c>
      <c r="V135" s="0" t="str">
        <f aca="false">IFERROR(INDEX(Calc!$AQ$2:$AQ$105,MATCH($W135,Calc!$A$2:$A$105,0)),"")</f>
        <v/>
      </c>
      <c r="W135" s="9" t="s">
        <v>1050</v>
      </c>
      <c r="X135" s="9" t="s">
        <v>891</v>
      </c>
      <c r="Y135" s="0" t="str">
        <f aca="false">W135&amp;"|"&amp;X135</f>
        <v>lykfimmteia2jqy|CS2 · JJH vs IS|K12</v>
      </c>
      <c r="Z135" s="11" t="n">
        <f aca="false">IFERROR(INDEX(CHOOSE(MATCH($X135,{"K1","K2","K3","K12","K13","H1","H2","H3","H12","H13"},0),Calc!$BA$2:$BA$105,Calc!$BB$2:$BB$105,Calc!$BC$2:$BC$105,Calc!$BD$2:$BD$105,Calc!$BE$2:$BE$105,Calc!$BF$2:$BF$105,Calc!$BG$2:$BG$105,Calc!$BH$2:$BH$105,Calc!$BI$2:$BI$105,Calc!$BJ$2:$BJ$105),MATCH($W135,Calc!$A$2:$A$105,0)),"")</f>
        <v>32.9009989887203</v>
      </c>
      <c r="AA135" s="11" t="n">
        <f aca="false">IF(Z135="","",IF(LEFT($X135,1)="H",SQRT(Z135*(IFERROR(INDEX(Calc!$AP$2:$AP$105,MATCH($W135,Calc!$A$2:$A$105,0)),0.5)*Config!$B$5+1-IFERROR(INDEX(Calc!$AP$2:$AP$105,MATCH($W135,Calc!$A$2:$A$105,0)),0.5))),SQRT(Z135*Config!$B$5)))</f>
        <v>6.78685483741979</v>
      </c>
      <c r="AB135" s="10" t="n">
        <f aca="false">IF(OR(F135="",Z135="",N(AA135)&lt;=0),"",1-NORMDIST(FLOOR(F135,1)+0.5,Z135,AA135,TRUE()))</f>
        <v>0.581771821412848</v>
      </c>
      <c r="AC135" s="10" t="n">
        <f aca="false">IF(AB135="","",NORMDIST(CEILING(F135,1)-0.5,Z135,AA135,TRUE()))</f>
        <v>0.361754891680719</v>
      </c>
      <c r="AD135" s="0" t="str">
        <f aca="false">IF(AB135="","",IF(AB135&gt;=0.5+Config!$B$6,"OVER",IF(AC135&gt;=0.5+Config!$B$6,"UNDER","—")))</f>
        <v>OVER</v>
      </c>
      <c r="AE135" s="13" t="n">
        <f aca="false">IFERROR(Z135/G135,"")</f>
        <v>1.01934344821088</v>
      </c>
    </row>
    <row r="136" customFormat="false" ht="15" hidden="false" customHeight="false" outlineLevel="0" collapsed="false">
      <c r="A136" s="0" t="s">
        <v>775</v>
      </c>
      <c r="B136" s="0" t="s">
        <v>826</v>
      </c>
      <c r="C136" s="0" t="s">
        <v>1051</v>
      </c>
      <c r="D136" s="0" t="s">
        <v>828</v>
      </c>
      <c r="E136" s="0" t="s">
        <v>893</v>
      </c>
      <c r="F136" s="0" t="n">
        <v>10.5</v>
      </c>
      <c r="G136" s="11" t="n">
        <f aca="false">IFERROR(INDEX(CHOOSE(MATCH($X136,{"K1","K2","K3","K12","K13","H1","H2","H3","H12","H13"},0),Calc!$V$2:$V$105,Calc!$AC$2:$AC$105,Calc!$AJ$2:$AJ$105,Calc!$AL$2:$AL$105,Calc!$AM$2:$AM$105,Calc!$W$2:$W$105,Calc!$AD$2:$AD$105,Calc!$AK$2:$AK$105,Calc!$AN$2:$AN$105,Calc!$AO$2:$AO$105),MATCH($W136,Calc!$A$2:$A$105,0)),"")</f>
        <v>11.3143569292517</v>
      </c>
      <c r="H136" s="11" t="n">
        <f aca="false">IF(G136="","",IF(LEFT($X136,1)="H",SQRT(G136*(IFERROR(INDEX(Calc!$AP$2:$AP$105,MATCH($W136,Calc!$A$2:$A$105,0)),0.5)*Config!$B$5+1-IFERROR(INDEX(Calc!$AP$2:$AP$105,MATCH($W136,Calc!$A$2:$A$105,0)),0.5))),SQRT(G136*Config!$B$5)))</f>
        <v>3.57810885223003</v>
      </c>
      <c r="I136" s="10" t="n">
        <f aca="false">IF(OR(F136="",G136="",N(H136)&lt;=0),"",1-NORMDIST(FLOOR(F136,1)+0.5,G136,H136,TRUE()))</f>
        <v>0.590019147000032</v>
      </c>
      <c r="J136" s="10" t="n">
        <f aca="false">IF(I136="","",NORMDIST(CEILING(F136,1)-0.5,G136,H136,TRUE()))</f>
        <v>0.409980852999968</v>
      </c>
      <c r="K136" s="10" t="n">
        <f aca="false">IF(I136="","",MAX(0,1-I136-J136))</f>
        <v>0</v>
      </c>
      <c r="L136" s="0" t="str">
        <f aca="false">IF(I136="","",IF(I136&gt;=0.5+Config!$B$6,"OVER",IF(J136&gt;=0.5+Config!$B$6,"UNDER","—")))</f>
        <v>OVER</v>
      </c>
      <c r="N136" s="0" t="n">
        <v>9.6</v>
      </c>
      <c r="O136" s="10" t="n">
        <v>0.4</v>
      </c>
      <c r="P136" s="10" t="n">
        <v>0.2</v>
      </c>
      <c r="Q136" s="10" t="n">
        <v>0.47</v>
      </c>
      <c r="R136" s="9" t="s">
        <v>894</v>
      </c>
      <c r="S136" s="0" t="n">
        <v>-1</v>
      </c>
      <c r="T136" s="0" t="str">
        <f aca="false">INDEX(Calc!$G$2:$G$105,MATCH($W136,Calc!$A$2:$A$105,0))&amp;" / "&amp;INDEX(Calc!$H$2:$H$105,MATCH($W136,Calc!$A$2:$A$105,0))</f>
        <v>Mirage / Inferno</v>
      </c>
      <c r="U136" s="0" t="str">
        <f aca="false">TEXT(INDEX(Calc!$J$2:$J$105,MATCH($W136,Calc!$A$2:$A$105,0)),"0.0")&amp;" / "&amp;TEXT(INDEX(Calc!$K$2:$K$105,MATCH($W136,Calc!$A$2:$A$105,0)),"0.0")</f>
        <v>21.2 / 21.2</v>
      </c>
      <c r="V136" s="0" t="str">
        <f aca="false">IFERROR(INDEX(Calc!$AQ$2:$AQ$105,MATCH($W136,Calc!$A$2:$A$105,0)),"")</f>
        <v/>
      </c>
      <c r="W136" s="9" t="s">
        <v>1052</v>
      </c>
      <c r="X136" s="9" t="s">
        <v>896</v>
      </c>
      <c r="Y136" s="0" t="str">
        <f aca="false">W136&amp;"|"&amp;X136</f>
        <v>u9fufnbk30lfitd|CS2 · JJH vs IS|H12</v>
      </c>
      <c r="Z136" s="11" t="n">
        <f aca="false">IFERROR(INDEX(CHOOSE(MATCH($X136,{"K1","K2","K3","K12","K13","H1","H2","H3","H12","H13"},0),Calc!$BA$2:$BA$105,Calc!$BB$2:$BB$105,Calc!$BC$2:$BC$105,Calc!$BD$2:$BD$105,Calc!$BE$2:$BE$105,Calc!$BF$2:$BF$105,Calc!$BG$2:$BG$105,Calc!$BH$2:$BH$105,Calc!$BI$2:$BI$105,Calc!$BJ$2:$BJ$105),MATCH($W136,Calc!$A$2:$A$105,0)),"")</f>
        <v>11.5410003740796</v>
      </c>
      <c r="AA136" s="11" t="n">
        <f aca="false">IF(Z136="","",IF(LEFT($X136,1)="H",SQRT(Z136*(IFERROR(INDEX(Calc!$AP$2:$AP$105,MATCH($W136,Calc!$A$2:$A$105,0)),0.5)*Config!$B$5+1-IFERROR(INDEX(Calc!$AP$2:$AP$105,MATCH($W136,Calc!$A$2:$A$105,0)),0.5))),SQRT(Z136*Config!$B$5)))</f>
        <v>3.61376858682569</v>
      </c>
      <c r="AB136" s="10" t="n">
        <f aca="false">IF(OR(F136="",Z136="",N(AA136)&lt;=0),"",1-NORMDIST(FLOOR(F136,1)+0.5,Z136,AA136,TRUE()))</f>
        <v>0.613351521612605</v>
      </c>
      <c r="AC136" s="10" t="n">
        <f aca="false">IF(AB136="","",NORMDIST(CEILING(F136,1)-0.5,Z136,AA136,TRUE()))</f>
        <v>0.386648478387395</v>
      </c>
      <c r="AD136" s="0" t="str">
        <f aca="false">IF(AB136="","",IF(AB136&gt;=0.5+Config!$B$6,"OVER",IF(AC136&gt;=0.5+Config!$B$6,"UNDER","—")))</f>
        <v>OVER</v>
      </c>
      <c r="AE136" s="13" t="n">
        <f aca="false">IFERROR(Z136/G136,"")</f>
        <v>1.02003149151517</v>
      </c>
    </row>
    <row r="137" customFormat="false" ht="15" hidden="false" customHeight="false" outlineLevel="0" collapsed="false">
      <c r="A137" s="0" t="s">
        <v>775</v>
      </c>
      <c r="B137" s="0" t="s">
        <v>826</v>
      </c>
      <c r="C137" s="0" t="s">
        <v>1051</v>
      </c>
      <c r="D137" s="0" t="s">
        <v>828</v>
      </c>
      <c r="E137" s="0" t="s">
        <v>888</v>
      </c>
      <c r="F137" s="0" t="n">
        <v>31.5</v>
      </c>
      <c r="G137" s="11" t="n">
        <f aca="false">IFERROR(INDEX(CHOOSE(MATCH($X137,{"K1","K2","K3","K12","K13","H1","H2","H3","H12","H13"},0),Calc!$V$2:$V$105,Calc!$AC$2:$AC$105,Calc!$AJ$2:$AJ$105,Calc!$AL$2:$AL$105,Calc!$AM$2:$AM$105,Calc!$W$2:$W$105,Calc!$AD$2:$AD$105,Calc!$AK$2:$AK$105,Calc!$AN$2:$AN$105,Calc!$AO$2:$AO$105),MATCH($W137,Calc!$A$2:$A$105,0)),"")</f>
        <v>34.4008476190476</v>
      </c>
      <c r="H137" s="11" t="n">
        <f aca="false">IF(G137="","",IF(LEFT($X137,1)="H",SQRT(G137*(IFERROR(INDEX(Calc!$AP$2:$AP$105,MATCH($W137,Calc!$A$2:$A$105,0)),0.5)*Config!$B$5+1-IFERROR(INDEX(Calc!$AP$2:$AP$105,MATCH($W137,Calc!$A$2:$A$105,0)),0.5))),SQRT(G137*Config!$B$5)))</f>
        <v>6.93982612654429</v>
      </c>
      <c r="I137" s="10" t="n">
        <f aca="false">IF(OR(F137="",G137="",N(H137)&lt;=0),"",1-NORMDIST(FLOOR(F137,1)+0.5,G137,H137,TRUE()))</f>
        <v>0.662026457093002</v>
      </c>
      <c r="J137" s="10" t="n">
        <f aca="false">IF(I137="","",NORMDIST(CEILING(F137,1)-0.5,G137,H137,TRUE()))</f>
        <v>0.337973542906999</v>
      </c>
      <c r="K137" s="10" t="n">
        <f aca="false">IF(I137="","",MAX(0,1-I137-J137))</f>
        <v>0</v>
      </c>
      <c r="L137" s="0" t="str">
        <f aca="false">IF(I137="","",IF(I137&gt;=0.5+Config!$B$6,"OVER",IF(J137&gt;=0.5+Config!$B$6,"UNDER","—")))</f>
        <v>OVER</v>
      </c>
      <c r="M137" s="0" t="n">
        <v>31.41</v>
      </c>
      <c r="N137" s="0" t="n">
        <v>30.4</v>
      </c>
      <c r="O137" s="10" t="n">
        <v>0.6</v>
      </c>
      <c r="P137" s="10" t="n">
        <v>0.6</v>
      </c>
      <c r="Q137" s="10" t="n">
        <v>0.67</v>
      </c>
      <c r="R137" s="9" t="s">
        <v>894</v>
      </c>
      <c r="S137" s="0" t="n">
        <v>-1</v>
      </c>
      <c r="T137" s="0" t="str">
        <f aca="false">INDEX(Calc!$G$2:$G$105,MATCH($W137,Calc!$A$2:$A$105,0))&amp;" / "&amp;INDEX(Calc!$H$2:$H$105,MATCH($W137,Calc!$A$2:$A$105,0))</f>
        <v>Mirage / Inferno</v>
      </c>
      <c r="U137" s="0" t="str">
        <f aca="false">TEXT(INDEX(Calc!$J$2:$J$105,MATCH($W137,Calc!$A$2:$A$105,0)),"0.0")&amp;" / "&amp;TEXT(INDEX(Calc!$K$2:$K$105,MATCH($W137,Calc!$A$2:$A$105,0)),"0.0")</f>
        <v>21.2 / 21.2</v>
      </c>
      <c r="V137" s="0" t="str">
        <f aca="false">IFERROR(INDEX(Calc!$AQ$2:$AQ$105,MATCH($W137,Calc!$A$2:$A$105,0)),"")</f>
        <v/>
      </c>
      <c r="W137" s="9" t="s">
        <v>1052</v>
      </c>
      <c r="X137" s="9" t="s">
        <v>891</v>
      </c>
      <c r="Y137" s="0" t="str">
        <f aca="false">W137&amp;"|"&amp;X137</f>
        <v>u9fufnbk30lfitd|CS2 · JJH vs IS|K12</v>
      </c>
      <c r="Z137" s="11" t="n">
        <f aca="false">IFERROR(INDEX(CHOOSE(MATCH($X137,{"K1","K2","K3","K12","K13","H1","H2","H3","H12","H13"},0),Calc!$BA$2:$BA$105,Calc!$BB$2:$BB$105,Calc!$BC$2:$BC$105,Calc!$BD$2:$BD$105,Calc!$BE$2:$BE$105,Calc!$BF$2:$BF$105,Calc!$BG$2:$BG$105,Calc!$BH$2:$BH$105,Calc!$BI$2:$BI$105,Calc!$BJ$2:$BJ$105),MATCH($W137,Calc!$A$2:$A$105,0)),"")</f>
        <v>35.085360211551</v>
      </c>
      <c r="AA137" s="11" t="n">
        <f aca="false">IF(Z137="","",IF(LEFT($X137,1)="H",SQRT(Z137*(IFERROR(INDEX(Calc!$AP$2:$AP$105,MATCH($W137,Calc!$A$2:$A$105,0)),0.5)*Config!$B$5+1-IFERROR(INDEX(Calc!$AP$2:$AP$105,MATCH($W137,Calc!$A$2:$A$105,0)),0.5))),SQRT(Z137*Config!$B$5)))</f>
        <v>7.00853082294509</v>
      </c>
      <c r="AB137" s="10" t="n">
        <f aca="false">IF(OR(F137="",Z137="",N(AA137)&lt;=0),"",1-NORMDIST(FLOOR(F137,1)+0.5,Z137,AA137,TRUE()))</f>
        <v>0.695524311570308</v>
      </c>
      <c r="AC137" s="10" t="n">
        <f aca="false">IF(AB137="","",NORMDIST(CEILING(F137,1)-0.5,Z137,AA137,TRUE()))</f>
        <v>0.304475688429692</v>
      </c>
      <c r="AD137" s="0" t="str">
        <f aca="false">IF(AB137="","",IF(AB137&gt;=0.5+Config!$B$6,"OVER",IF(AC137&gt;=0.5+Config!$B$6,"UNDER","—")))</f>
        <v>OVER</v>
      </c>
      <c r="AE137" s="13" t="n">
        <f aca="false">IFERROR(Z137/G137,"")</f>
        <v>1.01989813158337</v>
      </c>
    </row>
    <row r="138" customFormat="false" ht="15" hidden="false" customHeight="false" outlineLevel="0" collapsed="false">
      <c r="A138" s="0" t="s">
        <v>775</v>
      </c>
      <c r="B138" s="0" t="s">
        <v>826</v>
      </c>
      <c r="C138" s="0" t="s">
        <v>1053</v>
      </c>
      <c r="D138" s="0" t="s">
        <v>828</v>
      </c>
      <c r="E138" s="0" t="s">
        <v>893</v>
      </c>
      <c r="F138" s="0" t="n">
        <v>15</v>
      </c>
      <c r="G138" s="11" t="n">
        <f aca="false">IFERROR(INDEX(CHOOSE(MATCH($X138,{"K1","K2","K3","K12","K13","H1","H2","H3","H12","H13"},0),Calc!$V$2:$V$105,Calc!$AC$2:$AC$105,Calc!$AJ$2:$AJ$105,Calc!$AL$2:$AL$105,Calc!$AM$2:$AM$105,Calc!$W$2:$W$105,Calc!$AD$2:$AD$105,Calc!$AK$2:$AK$105,Calc!$AN$2:$AN$105,Calc!$AO$2:$AO$105),MATCH($W138,Calc!$A$2:$A$105,0)),"")</f>
        <v>14.2673229913832</v>
      </c>
      <c r="H138" s="11" t="n">
        <f aca="false">IF(G138="","",IF(LEFT($X138,1)="H",SQRT(G138*(IFERROR(INDEX(Calc!$AP$2:$AP$105,MATCH($W138,Calc!$A$2:$A$105,0)),0.5)*Config!$B$5+1-IFERROR(INDEX(Calc!$AP$2:$AP$105,MATCH($W138,Calc!$A$2:$A$105,0)),0.5))),SQRT(G138*Config!$B$5)))</f>
        <v>4.18581158475413</v>
      </c>
      <c r="I138" s="10" t="n">
        <f aca="false">IF(OR(F138="",G138="",N(H138)&lt;=0),"",1-NORMDIST(FLOOR(F138,1)+0.5,G138,H138,TRUE()))</f>
        <v>0.38419199322162</v>
      </c>
      <c r="J138" s="10" t="n">
        <f aca="false">IF(I138="","",NORMDIST(CEILING(F138,1)-0.5,G138,H138,TRUE()))</f>
        <v>0.522164618058885</v>
      </c>
      <c r="K138" s="10" t="n">
        <f aca="false">IF(I138="","",MAX(0,1-I138-J138))</f>
        <v>0.093643388719496</v>
      </c>
      <c r="L138" s="0" t="str">
        <f aca="false">IF(I138="","",IF(I138&gt;=0.5+Config!$B$6,"OVER",IF(J138&gt;=0.5+Config!$B$6,"UNDER","—")))</f>
        <v>—</v>
      </c>
      <c r="N138" s="0" t="n">
        <v>13.2</v>
      </c>
      <c r="O138" s="10" t="n">
        <v>0.6</v>
      </c>
      <c r="P138" s="10" t="n">
        <v>0.4</v>
      </c>
      <c r="Q138" s="10" t="n">
        <v>0.4</v>
      </c>
      <c r="R138" s="9" t="s">
        <v>907</v>
      </c>
      <c r="S138" s="0" t="n">
        <v>2</v>
      </c>
      <c r="T138" s="0" t="str">
        <f aca="false">INDEX(Calc!$G$2:$G$105,MATCH($W138,Calc!$A$2:$A$105,0))&amp;" / "&amp;INDEX(Calc!$H$2:$H$105,MATCH($W138,Calc!$A$2:$A$105,0))</f>
        <v>Mirage / Inferno</v>
      </c>
      <c r="U138" s="0" t="str">
        <f aca="false">TEXT(INDEX(Calc!$J$2:$J$105,MATCH($W138,Calc!$A$2:$A$105,0)),"0.0")&amp;" / "&amp;TEXT(INDEX(Calc!$K$2:$K$105,MATCH($W138,Calc!$A$2:$A$105,0)),"0.0")</f>
        <v>21.2 / 21.2</v>
      </c>
      <c r="V138" s="0" t="str">
        <f aca="false">IFERROR(INDEX(Calc!$AQ$2:$AQ$105,MATCH($W138,Calc!$A$2:$A$105,0)),"")</f>
        <v/>
      </c>
      <c r="W138" s="9" t="s">
        <v>1054</v>
      </c>
      <c r="X138" s="9" t="s">
        <v>896</v>
      </c>
      <c r="Y138" s="0" t="str">
        <f aca="false">W138&amp;"|"&amp;X138</f>
        <v>r77hvt5nvgfdk4q|CS2 · JJH vs IS|H12</v>
      </c>
      <c r="Z138" s="11" t="n">
        <f aca="false">IFERROR(INDEX(CHOOSE(MATCH($X138,{"K1","K2","K3","K12","K13","H1","H2","H3","H12","H13"},0),Calc!$BA$2:$BA$105,Calc!$BB$2:$BB$105,Calc!$BC$2:$BC$105,Calc!$BD$2:$BD$105,Calc!$BE$2:$BE$105,Calc!$BF$2:$BF$105,Calc!$BG$2:$BG$105,Calc!$BH$2:$BH$105,Calc!$BI$2:$BI$105,Calc!$BJ$2:$BJ$105),MATCH($W138,Calc!$A$2:$A$105,0)),"")</f>
        <v>14.5542257975798</v>
      </c>
      <c r="AA138" s="11" t="n">
        <f aca="false">IF(Z138="","",IF(LEFT($X138,1)="H",SQRT(Z138*(IFERROR(INDEX(Calc!$AP$2:$AP$105,MATCH($W138,Calc!$A$2:$A$105,0)),0.5)*Config!$B$5+1-IFERROR(INDEX(Calc!$AP$2:$AP$105,MATCH($W138,Calc!$A$2:$A$105,0)),0.5))),SQRT(Z138*Config!$B$5)))</f>
        <v>4.22768852568873</v>
      </c>
      <c r="AB138" s="10" t="n">
        <f aca="false">IF(OR(F138="",Z138="",N(AA138)&lt;=0),"",1-NORMDIST(FLOOR(F138,1)+0.5,Z138,AA138,TRUE()))</f>
        <v>0.411491665984553</v>
      </c>
      <c r="AC138" s="10" t="n">
        <f aca="false">IF(AB138="","",NORMDIST(CEILING(F138,1)-0.5,Z138,AA138,TRUE()))</f>
        <v>0.494883168410385</v>
      </c>
      <c r="AD138" s="0" t="str">
        <f aca="false">IF(AB138="","",IF(AB138&gt;=0.5+Config!$B$6,"OVER",IF(AC138&gt;=0.5+Config!$B$6,"UNDER","—")))</f>
        <v>—</v>
      </c>
      <c r="AE138" s="13" t="n">
        <f aca="false">IFERROR(Z138/G138,"")</f>
        <v>1.02010908468042</v>
      </c>
    </row>
    <row r="139" customFormat="false" ht="15" hidden="false" customHeight="false" outlineLevel="0" collapsed="false">
      <c r="A139" s="0" t="s">
        <v>775</v>
      </c>
      <c r="B139" s="0" t="s">
        <v>826</v>
      </c>
      <c r="C139" s="0" t="s">
        <v>1053</v>
      </c>
      <c r="D139" s="0" t="s">
        <v>828</v>
      </c>
      <c r="E139" s="0" t="s">
        <v>888</v>
      </c>
      <c r="F139" s="0" t="n">
        <v>27.5</v>
      </c>
      <c r="G139" s="11" t="n">
        <f aca="false">IFERROR(INDEX(CHOOSE(MATCH($X139,{"K1","K2","K3","K12","K13","H1","H2","H3","H12","H13"},0),Calc!$V$2:$V$105,Calc!$AC$2:$AC$105,Calc!$AJ$2:$AJ$105,Calc!$AL$2:$AL$105,Calc!$AM$2:$AM$105,Calc!$W$2:$W$105,Calc!$AD$2:$AD$105,Calc!$AK$2:$AK$105,Calc!$AN$2:$AN$105,Calc!$AO$2:$AO$105),MATCH($W139,Calc!$A$2:$A$105,0)),"")</f>
        <v>25.0246523809524</v>
      </c>
      <c r="H139" s="11" t="n">
        <f aca="false">IF(G139="","",IF(LEFT($X139,1)="H",SQRT(G139*(IFERROR(INDEX(Calc!$AP$2:$AP$105,MATCH($W139,Calc!$A$2:$A$105,0)),0.5)*Config!$B$5+1-IFERROR(INDEX(Calc!$AP$2:$AP$105,MATCH($W139,Calc!$A$2:$A$105,0)),0.5))),SQRT(G139*Config!$B$5)))</f>
        <v>5.91899597341756</v>
      </c>
      <c r="I139" s="10" t="n">
        <f aca="false">IF(OR(F139="",G139="",N(H139)&lt;=0),"",1-NORMDIST(FLOOR(F139,1)+0.5,G139,H139,TRUE()))</f>
        <v>0.33789899642414</v>
      </c>
      <c r="J139" s="10" t="n">
        <f aca="false">IF(I139="","",NORMDIST(CEILING(F139,1)-0.5,G139,H139,TRUE()))</f>
        <v>0.66210100357586</v>
      </c>
      <c r="K139" s="10" t="n">
        <f aca="false">IF(I139="","",MAX(0,1-I139-J139))</f>
        <v>0</v>
      </c>
      <c r="L139" s="0" t="str">
        <f aca="false">IF(I139="","",IF(I139&gt;=0.5+Config!$B$6,"OVER",IF(J139&gt;=0.5+Config!$B$6,"UNDER","—")))</f>
        <v>UNDER</v>
      </c>
      <c r="M139" s="0" t="n">
        <v>26.34</v>
      </c>
      <c r="N139" s="0" t="n">
        <v>23</v>
      </c>
      <c r="O139" s="10" t="n">
        <v>0.4</v>
      </c>
      <c r="P139" s="10" t="n">
        <v>0.2</v>
      </c>
      <c r="Q139" s="10" t="n">
        <v>0.13</v>
      </c>
      <c r="R139" s="9" t="s">
        <v>907</v>
      </c>
      <c r="S139" s="0" t="n">
        <v>-1</v>
      </c>
      <c r="T139" s="0" t="str">
        <f aca="false">INDEX(Calc!$G$2:$G$105,MATCH($W139,Calc!$A$2:$A$105,0))&amp;" / "&amp;INDEX(Calc!$H$2:$H$105,MATCH($W139,Calc!$A$2:$A$105,0))</f>
        <v>Mirage / Inferno</v>
      </c>
      <c r="U139" s="0" t="str">
        <f aca="false">TEXT(INDEX(Calc!$J$2:$J$105,MATCH($W139,Calc!$A$2:$A$105,0)),"0.0")&amp;" / "&amp;TEXT(INDEX(Calc!$K$2:$K$105,MATCH($W139,Calc!$A$2:$A$105,0)),"0.0")</f>
        <v>21.2 / 21.2</v>
      </c>
      <c r="V139" s="0" t="str">
        <f aca="false">IFERROR(INDEX(Calc!$AQ$2:$AQ$105,MATCH($W139,Calc!$A$2:$A$105,0)),"")</f>
        <v/>
      </c>
      <c r="W139" s="9" t="s">
        <v>1054</v>
      </c>
      <c r="X139" s="9" t="s">
        <v>891</v>
      </c>
      <c r="Y139" s="0" t="str">
        <f aca="false">W139&amp;"|"&amp;X139</f>
        <v>r77hvt5nvgfdk4q|CS2 · JJH vs IS|K12</v>
      </c>
      <c r="Z139" s="11" t="n">
        <f aca="false">IFERROR(INDEX(CHOOSE(MATCH($X139,{"K1","K2","K3","K12","K13","H1","H2","H3","H12","H13"},0),Calc!$BA$2:$BA$105,Calc!$BB$2:$BB$105,Calc!$BC$2:$BC$105,Calc!$BD$2:$BD$105,Calc!$BE$2:$BE$105,Calc!$BF$2:$BF$105,Calc!$BG$2:$BG$105,Calc!$BH$2:$BH$105,Calc!$BI$2:$BI$105,Calc!$BJ$2:$BJ$105),MATCH($W139,Calc!$A$2:$A$105,0)),"")</f>
        <v>25.5460203810239</v>
      </c>
      <c r="AA139" s="11" t="n">
        <f aca="false">IF(Z139="","",IF(LEFT($X139,1)="H",SQRT(Z139*(IFERROR(INDEX(Calc!$AP$2:$AP$105,MATCH($W139,Calc!$A$2:$A$105,0)),0.5)*Config!$B$5+1-IFERROR(INDEX(Calc!$AP$2:$AP$105,MATCH($W139,Calc!$A$2:$A$105,0)),0.5))),SQRT(Z139*Config!$B$5)))</f>
        <v>5.98033682441328</v>
      </c>
      <c r="AB139" s="10" t="n">
        <f aca="false">IF(OR(F139="",Z139="",N(AA139)&lt;=0),"",1-NORMDIST(FLOOR(F139,1)+0.5,Z139,AA139,TRUE()))</f>
        <v>0.371934525427292</v>
      </c>
      <c r="AC139" s="10" t="n">
        <f aca="false">IF(AB139="","",NORMDIST(CEILING(F139,1)-0.5,Z139,AA139,TRUE()))</f>
        <v>0.628065474572708</v>
      </c>
      <c r="AD139" s="0" t="str">
        <f aca="false">IF(AB139="","",IF(AB139&gt;=0.5+Config!$B$6,"OVER",IF(AC139&gt;=0.5+Config!$B$6,"UNDER","—")))</f>
        <v>UNDER</v>
      </c>
      <c r="AE139" s="13" t="n">
        <f aca="false">IFERROR(Z139/G139,"")</f>
        <v>1.02083417552159</v>
      </c>
    </row>
    <row r="140" customFormat="false" ht="15" hidden="false" customHeight="false" outlineLevel="0" collapsed="false">
      <c r="A140" s="0" t="s">
        <v>775</v>
      </c>
      <c r="B140" s="0" t="s">
        <v>785</v>
      </c>
      <c r="C140" s="0" t="s">
        <v>1055</v>
      </c>
      <c r="D140" s="0" t="s">
        <v>791</v>
      </c>
      <c r="E140" s="0" t="s">
        <v>893</v>
      </c>
      <c r="F140" s="0" t="n">
        <v>16</v>
      </c>
      <c r="G140" s="11" t="n">
        <f aca="false">IFERROR(INDEX(CHOOSE(MATCH($X140,{"K1","K2","K3","K12","K13","H1","H2","H3","H12","H13"},0),Calc!$V$2:$V$105,Calc!$AC$2:$AC$105,Calc!$AJ$2:$AJ$105,Calc!$AL$2:$AL$105,Calc!$AM$2:$AM$105,Calc!$W$2:$W$105,Calc!$AD$2:$AD$105,Calc!$AK$2:$AK$105,Calc!$AN$2:$AN$105,Calc!$AO$2:$AO$105),MATCH($W140,Calc!$A$2:$A$105,0)),"")</f>
        <v>15.542919338843</v>
      </c>
      <c r="H140" s="11" t="n">
        <f aca="false">IF(G140="","",IF(LEFT($X140,1)="H",SQRT(G140*(IFERROR(INDEX(Calc!$AP$2:$AP$105,MATCH($W140,Calc!$A$2:$A$105,0)),0.5)*Config!$B$5+1-IFERROR(INDEX(Calc!$AP$2:$AP$105,MATCH($W140,Calc!$A$2:$A$105,0)),0.5))),SQRT(G140*Config!$B$5)))</f>
        <v>4.38269697332523</v>
      </c>
      <c r="I140" s="10" t="n">
        <f aca="false">IF(OR(F140="",G140="",N(H140)&lt;=0),"",1-NORMDIST(FLOOR(F140,1)+0.5,G140,H140,TRUE()))</f>
        <v>0.413567652737138</v>
      </c>
      <c r="J140" s="10" t="n">
        <f aca="false">IF(I140="","",NORMDIST(CEILING(F140,1)-0.5,G140,H140,TRUE()))</f>
        <v>0.496093258250669</v>
      </c>
      <c r="K140" s="10" t="n">
        <f aca="false">IF(I140="","",MAX(0,1-I140-J140))</f>
        <v>0.0903390890121928</v>
      </c>
      <c r="L140" s="0" t="str">
        <f aca="false">IF(I140="","",IF(I140&gt;=0.5+Config!$B$6,"OVER",IF(J140&gt;=0.5+Config!$B$6,"UNDER","—")))</f>
        <v>—</v>
      </c>
      <c r="N140" s="0" t="n">
        <v>13.4</v>
      </c>
      <c r="O140" s="10" t="n">
        <v>0.4</v>
      </c>
      <c r="P140" s="10" t="n">
        <v>0.4</v>
      </c>
      <c r="Q140" s="10" t="n">
        <v>0.47</v>
      </c>
      <c r="R140" s="9" t="s">
        <v>907</v>
      </c>
      <c r="S140" s="0" t="n">
        <v>1</v>
      </c>
      <c r="T140" s="0" t="str">
        <f aca="false">INDEX(Calc!$G$2:$G$105,MATCH($W140,Calc!$A$2:$A$105,0))&amp;" / "&amp;INDEX(Calc!$H$2:$H$105,MATCH($W140,Calc!$A$2:$A$105,0))</f>
        <v>Ancient / Dust2</v>
      </c>
      <c r="U140" s="0" t="str">
        <f aca="false">TEXT(INDEX(Calc!$J$2:$J$105,MATCH($W140,Calc!$A$2:$A$105,0)),"0.0")&amp;" / "&amp;TEXT(INDEX(Calc!$K$2:$K$105,MATCH($W140,Calc!$A$2:$A$105,0)),"0.0")</f>
        <v>21.5 / 21.4</v>
      </c>
      <c r="V140" s="0" t="str">
        <f aca="false">IFERROR(INDEX(Calc!$AQ$2:$AQ$105,MATCH($W140,Calc!$A$2:$A$105,0)),"")</f>
        <v/>
      </c>
      <c r="W140" s="9" t="s">
        <v>1056</v>
      </c>
      <c r="X140" s="9" t="s">
        <v>896</v>
      </c>
      <c r="Y140" s="0" t="str">
        <f aca="false">W140&amp;"|"&amp;X140</f>
        <v>4fdepq2kwuzxzif|CS2 · PRIV vs ALL|H12</v>
      </c>
      <c r="Z140" s="11" t="n">
        <f aca="false">IFERROR(INDEX(CHOOSE(MATCH($X140,{"K1","K2","K3","K12","K13","H1","H2","H3","H12","H13"},0),Calc!$BA$2:$BA$105,Calc!$BB$2:$BB$105,Calc!$BC$2:$BC$105,Calc!$BD$2:$BD$105,Calc!$BE$2:$BE$105,Calc!$BF$2:$BF$105,Calc!$BG$2:$BG$105,Calc!$BH$2:$BH$105,Calc!$BI$2:$BI$105,Calc!$BJ$2:$BJ$105),MATCH($W140,Calc!$A$2:$A$105,0)),"")</f>
        <v>16.5628040573439</v>
      </c>
      <c r="AA140" s="11" t="n">
        <f aca="false">IF(Z140="","",IF(LEFT($X140,1)="H",SQRT(Z140*(IFERROR(INDEX(Calc!$AP$2:$AP$105,MATCH($W140,Calc!$A$2:$A$105,0)),0.5)*Config!$B$5+1-IFERROR(INDEX(Calc!$AP$2:$AP$105,MATCH($W140,Calc!$A$2:$A$105,0)),0.5))),SQRT(Z140*Config!$B$5)))</f>
        <v>4.52420295745252</v>
      </c>
      <c r="AB140" s="10" t="n">
        <f aca="false">IF(OR(F140="",Z140="",N(AA140)&lt;=0),"",1-NORMDIST(FLOOR(F140,1)+0.5,Z140,AA140,TRUE()))</f>
        <v>0.505537857034081</v>
      </c>
      <c r="AC140" s="10" t="n">
        <f aca="false">IF(AB140="","",NORMDIST(CEILING(F140,1)-0.5,Z140,AA140,TRUE()))</f>
        <v>0.407137274617835</v>
      </c>
      <c r="AD140" s="0" t="str">
        <f aca="false">IF(AB140="","",IF(AB140&gt;=0.5+Config!$B$6,"OVER",IF(AC140&gt;=0.5+Config!$B$6,"UNDER","—")))</f>
        <v>—</v>
      </c>
      <c r="AE140" s="13" t="n">
        <f aca="false">IFERROR(Z140/G140,"")</f>
        <v>1.06561732041883</v>
      </c>
    </row>
    <row r="141" customFormat="false" ht="15" hidden="false" customHeight="false" outlineLevel="0" collapsed="false">
      <c r="A141" s="0" t="s">
        <v>775</v>
      </c>
      <c r="B141" s="0" t="s">
        <v>785</v>
      </c>
      <c r="C141" s="0" t="s">
        <v>1055</v>
      </c>
      <c r="D141" s="0" t="s">
        <v>791</v>
      </c>
      <c r="E141" s="0" t="s">
        <v>888</v>
      </c>
      <c r="F141" s="0" t="n">
        <v>28.5</v>
      </c>
      <c r="G141" s="11" t="n">
        <f aca="false">IFERROR(INDEX(CHOOSE(MATCH($X141,{"K1","K2","K3","K12","K13","H1","H2","H3","H12","H13"},0),Calc!$V$2:$V$105,Calc!$AC$2:$AC$105,Calc!$AJ$2:$AJ$105,Calc!$AL$2:$AL$105,Calc!$AM$2:$AM$105,Calc!$W$2:$W$105,Calc!$AD$2:$AD$105,Calc!$AK$2:$AK$105,Calc!$AN$2:$AN$105,Calc!$AO$2:$AO$105),MATCH($W141,Calc!$A$2:$A$105,0)),"")</f>
        <v>26.3656060606061</v>
      </c>
      <c r="H141" s="11" t="n">
        <f aca="false">IF(G141="","",IF(LEFT($X141,1)="H",SQRT(G141*(IFERROR(INDEX(Calc!$AP$2:$AP$105,MATCH($W141,Calc!$A$2:$A$105,0)),0.5)*Config!$B$5+1-IFERROR(INDEX(Calc!$AP$2:$AP$105,MATCH($W141,Calc!$A$2:$A$105,0)),0.5))),SQRT(G141*Config!$B$5)))</f>
        <v>6.07551219938274</v>
      </c>
      <c r="I141" s="10" t="n">
        <f aca="false">IF(OR(F141="",G141="",N(H141)&lt;=0),"",1-NORMDIST(FLOOR(F141,1)+0.5,G141,H141,TRUE()))</f>
        <v>0.362677541896478</v>
      </c>
      <c r="J141" s="10" t="n">
        <f aca="false">IF(I141="","",NORMDIST(CEILING(F141,1)-0.5,G141,H141,TRUE()))</f>
        <v>0.637322458103522</v>
      </c>
      <c r="K141" s="10" t="n">
        <f aca="false">IF(I141="","",MAX(0,1-I141-J141))</f>
        <v>0</v>
      </c>
      <c r="L141" s="0" t="str">
        <f aca="false">IF(I141="","",IF(I141&gt;=0.5+Config!$B$6,"OVER",IF(J141&gt;=0.5+Config!$B$6,"UNDER","—")))</f>
        <v>UNDER</v>
      </c>
      <c r="N141" s="0" t="n">
        <v>23</v>
      </c>
      <c r="O141" s="10" t="n">
        <v>0.2</v>
      </c>
      <c r="P141" s="10" t="n">
        <v>0.2</v>
      </c>
      <c r="Q141" s="10" t="n">
        <v>0.33</v>
      </c>
      <c r="R141" s="9" t="s">
        <v>907</v>
      </c>
      <c r="S141" s="0" t="n">
        <v>-4</v>
      </c>
      <c r="T141" s="0" t="str">
        <f aca="false">INDEX(Calc!$G$2:$G$105,MATCH($W141,Calc!$A$2:$A$105,0))&amp;" / "&amp;INDEX(Calc!$H$2:$H$105,MATCH($W141,Calc!$A$2:$A$105,0))</f>
        <v>Ancient / Dust2</v>
      </c>
      <c r="U141" s="0" t="str">
        <f aca="false">TEXT(INDEX(Calc!$J$2:$J$105,MATCH($W141,Calc!$A$2:$A$105,0)),"0.0")&amp;" / "&amp;TEXT(INDEX(Calc!$K$2:$K$105,MATCH($W141,Calc!$A$2:$A$105,0)),"0.0")</f>
        <v>21.5 / 21.4</v>
      </c>
      <c r="V141" s="0" t="str">
        <f aca="false">IFERROR(INDEX(Calc!$AQ$2:$AQ$105,MATCH($W141,Calc!$A$2:$A$105,0)),"")</f>
        <v/>
      </c>
      <c r="W141" s="9" t="s">
        <v>1056</v>
      </c>
      <c r="X141" s="9" t="s">
        <v>891</v>
      </c>
      <c r="Y141" s="0" t="str">
        <f aca="false">W141&amp;"|"&amp;X141</f>
        <v>4fdepq2kwuzxzif|CS2 · PRIV vs ALL|K12</v>
      </c>
      <c r="Z141" s="11" t="n">
        <f aca="false">IFERROR(INDEX(CHOOSE(MATCH($X141,{"K1","K2","K3","K12","K13","H1","H2","H3","H12","H13"},0),Calc!$BA$2:$BA$105,Calc!$BB$2:$BB$105,Calc!$BC$2:$BC$105,Calc!$BD$2:$BD$105,Calc!$BE$2:$BE$105,Calc!$BF$2:$BF$105,Calc!$BG$2:$BG$105,Calc!$BH$2:$BH$105,Calc!$BI$2:$BI$105,Calc!$BJ$2:$BJ$105),MATCH($W141,Calc!$A$2:$A$105,0)),"")</f>
        <v>28.1000761340261</v>
      </c>
      <c r="AA141" s="11" t="n">
        <f aca="false">IF(Z141="","",IF(LEFT($X141,1)="H",SQRT(Z141*(IFERROR(INDEX(Calc!$AP$2:$AP$105,MATCH($W141,Calc!$A$2:$A$105,0)),0.5)*Config!$B$5+1-IFERROR(INDEX(Calc!$AP$2:$AP$105,MATCH($W141,Calc!$A$2:$A$105,0)),0.5))),SQRT(Z141*Config!$B$5)))</f>
        <v>6.27216920910434</v>
      </c>
      <c r="AB141" s="10" t="n">
        <f aca="false">IF(OR(F141="",Z141="",N(AA141)&lt;=0),"",1-NORMDIST(FLOOR(F141,1)+0.5,Z141,AA141,TRUE()))</f>
        <v>0.474580006963812</v>
      </c>
      <c r="AC141" s="10" t="n">
        <f aca="false">IF(AB141="","",NORMDIST(CEILING(F141,1)-0.5,Z141,AA141,TRUE()))</f>
        <v>0.525419993036189</v>
      </c>
      <c r="AD141" s="0" t="str">
        <f aca="false">IF(AB141="","",IF(AB141&gt;=0.5+Config!$B$6,"OVER",IF(AC141&gt;=0.5+Config!$B$6,"UNDER","—")))</f>
        <v>—</v>
      </c>
      <c r="AE141" s="13" t="n">
        <f aca="false">IFERROR(Z141/G141,"")</f>
        <v>1.06578532916835</v>
      </c>
    </row>
    <row r="142" customFormat="false" ht="15" hidden="false" customHeight="false" outlineLevel="0" collapsed="false">
      <c r="A142" s="0" t="s">
        <v>775</v>
      </c>
      <c r="B142" s="0" t="s">
        <v>785</v>
      </c>
      <c r="C142" s="0" t="s">
        <v>1057</v>
      </c>
      <c r="D142" s="0" t="s">
        <v>791</v>
      </c>
      <c r="E142" s="0" t="s">
        <v>893</v>
      </c>
      <c r="F142" s="0" t="n">
        <v>17.5</v>
      </c>
      <c r="G142" s="11" t="n">
        <f aca="false">IFERROR(INDEX(CHOOSE(MATCH($X142,{"K1","K2","K3","K12","K13","H1","H2","H3","H12","H13"},0),Calc!$V$2:$V$105,Calc!$AC$2:$AC$105,Calc!$AJ$2:$AJ$105,Calc!$AL$2:$AL$105,Calc!$AM$2:$AM$105,Calc!$W$2:$W$105,Calc!$AD$2:$AD$105,Calc!$AK$2:$AK$105,Calc!$AN$2:$AN$105,Calc!$AO$2:$AO$105),MATCH($W142,Calc!$A$2:$A$105,0)),"")</f>
        <v>17.5189230745179</v>
      </c>
      <c r="H142" s="11" t="n">
        <f aca="false">IF(G142="","",IF(LEFT($X142,1)="H",SQRT(G142*(IFERROR(INDEX(Calc!$AP$2:$AP$105,MATCH($W142,Calc!$A$2:$A$105,0)),0.5)*Config!$B$5+1-IFERROR(INDEX(Calc!$AP$2:$AP$105,MATCH($W142,Calc!$A$2:$A$105,0)),0.5))),SQRT(G142*Config!$B$5)))</f>
        <v>4.64863636492849</v>
      </c>
      <c r="I142" s="10" t="n">
        <f aca="false">IF(OR(F142="",G142="",N(H142)&lt;=0),"",1-NORMDIST(FLOOR(F142,1)+0.5,G142,H142,TRUE()))</f>
        <v>0.501623958739493</v>
      </c>
      <c r="J142" s="10" t="n">
        <f aca="false">IF(I142="","",NORMDIST(CEILING(F142,1)-0.5,G142,H142,TRUE()))</f>
        <v>0.498376041260507</v>
      </c>
      <c r="K142" s="10" t="n">
        <f aca="false">IF(I142="","",MAX(0,1-I142-J142))</f>
        <v>0</v>
      </c>
      <c r="L142" s="0" t="str">
        <f aca="false">IF(I142="","",IF(I142&gt;=0.5+Config!$B$6,"OVER",IF(J142&gt;=0.5+Config!$B$6,"UNDER","—")))</f>
        <v>—</v>
      </c>
      <c r="N142" s="0" t="n">
        <v>17</v>
      </c>
      <c r="O142" s="10" t="n">
        <v>0.4</v>
      </c>
      <c r="P142" s="10" t="n">
        <v>0.5</v>
      </c>
      <c r="Q142" s="10" t="n">
        <v>0.67</v>
      </c>
      <c r="R142" s="9" t="s">
        <v>907</v>
      </c>
      <c r="S142" s="0" t="n">
        <v>-2</v>
      </c>
      <c r="T142" s="0" t="str">
        <f aca="false">INDEX(Calc!$G$2:$G$105,MATCH($W142,Calc!$A$2:$A$105,0))&amp;" / "&amp;INDEX(Calc!$H$2:$H$105,MATCH($W142,Calc!$A$2:$A$105,0))</f>
        <v>Ancient / Dust2</v>
      </c>
      <c r="U142" s="0" t="str">
        <f aca="false">TEXT(INDEX(Calc!$J$2:$J$105,MATCH($W142,Calc!$A$2:$A$105,0)),"0.0")&amp;" / "&amp;TEXT(INDEX(Calc!$K$2:$K$105,MATCH($W142,Calc!$A$2:$A$105,0)),"0.0")</f>
        <v>21.5 / 21.4</v>
      </c>
      <c r="V142" s="0" t="str">
        <f aca="false">IFERROR(INDEX(Calc!$AQ$2:$AQ$105,MATCH($W142,Calc!$A$2:$A$105,0)),"")</f>
        <v/>
      </c>
      <c r="W142" s="9" t="s">
        <v>1058</v>
      </c>
      <c r="X142" s="9" t="s">
        <v>896</v>
      </c>
      <c r="Y142" s="0" t="str">
        <f aca="false">W142&amp;"|"&amp;X142</f>
        <v>vvspq85e8g20hak|CS2 · PRIV vs ALL|H12</v>
      </c>
      <c r="Z142" s="11" t="n">
        <f aca="false">IFERROR(INDEX(CHOOSE(MATCH($X142,{"K1","K2","K3","K12","K13","H1","H2","H3","H12","H13"},0),Calc!$BA$2:$BA$105,Calc!$BB$2:$BB$105,Calc!$BC$2:$BC$105,Calc!$BD$2:$BD$105,Calc!$BE$2:$BE$105,Calc!$BF$2:$BF$105,Calc!$BG$2:$BG$105,Calc!$BH$2:$BH$105,Calc!$BI$2:$BI$105,Calc!$BJ$2:$BJ$105),MATCH($W142,Calc!$A$2:$A$105,0)),"")</f>
        <v>18.6788449914044</v>
      </c>
      <c r="AA142" s="11" t="n">
        <f aca="false">IF(Z142="","",IF(LEFT($X142,1)="H",SQRT(Z142*(IFERROR(INDEX(Calc!$AP$2:$AP$105,MATCH($W142,Calc!$A$2:$A$105,0)),0.5)*Config!$B$5+1-IFERROR(INDEX(Calc!$AP$2:$AP$105,MATCH($W142,Calc!$A$2:$A$105,0)),0.5))),SQRT(Z142*Config!$B$5)))</f>
        <v>4.80006238113738</v>
      </c>
      <c r="AB142" s="10" t="n">
        <f aca="false">IF(OR(F142="",Z142="",N(AA142)&lt;=0),"",1-NORMDIST(FLOOR(F142,1)+0.5,Z142,AA142,TRUE()))</f>
        <v>0.596999996679495</v>
      </c>
      <c r="AC142" s="10" t="n">
        <f aca="false">IF(AB142="","",NORMDIST(CEILING(F142,1)-0.5,Z142,AA142,TRUE()))</f>
        <v>0.403000003320505</v>
      </c>
      <c r="AD142" s="0" t="str">
        <f aca="false">IF(AB142="","",IF(AB142&gt;=0.5+Config!$B$6,"OVER",IF(AC142&gt;=0.5+Config!$B$6,"UNDER","—")))</f>
        <v>OVER</v>
      </c>
      <c r="AE142" s="13" t="n">
        <f aca="false">IFERROR(Z142/G142,"")</f>
        <v>1.06620965866182</v>
      </c>
    </row>
    <row r="143" customFormat="false" ht="15" hidden="false" customHeight="false" outlineLevel="0" collapsed="false">
      <c r="A143" s="0" t="s">
        <v>775</v>
      </c>
      <c r="B143" s="0" t="s">
        <v>785</v>
      </c>
      <c r="C143" s="0" t="s">
        <v>1057</v>
      </c>
      <c r="D143" s="0" t="s">
        <v>791</v>
      </c>
      <c r="E143" s="0" t="s">
        <v>888</v>
      </c>
      <c r="F143" s="0" t="n">
        <v>31.5</v>
      </c>
      <c r="G143" s="11" t="n">
        <f aca="false">IFERROR(INDEX(CHOOSE(MATCH($X143,{"K1","K2","K3","K12","K13","H1","H2","H3","H12","H13"},0),Calc!$V$2:$V$105,Calc!$AC$2:$AC$105,Calc!$AJ$2:$AJ$105,Calc!$AL$2:$AL$105,Calc!$AM$2:$AM$105,Calc!$W$2:$W$105,Calc!$AD$2:$AD$105,Calc!$AK$2:$AK$105,Calc!$AN$2:$AN$105,Calc!$AO$2:$AO$105),MATCH($W143,Calc!$A$2:$A$105,0)),"")</f>
        <v>30.0093272727273</v>
      </c>
      <c r="H143" s="11" t="n">
        <f aca="false">IF(G143="","",IF(LEFT($X143,1)="H",SQRT(G143*(IFERROR(INDEX(Calc!$AP$2:$AP$105,MATCH($W143,Calc!$A$2:$A$105,0)),0.5)*Config!$B$5+1-IFERROR(INDEX(Calc!$AP$2:$AP$105,MATCH($W143,Calc!$A$2:$A$105,0)),0.5))),SQRT(G143*Config!$B$5)))</f>
        <v>6.48174808071235</v>
      </c>
      <c r="I143" s="10" t="n">
        <f aca="false">IF(OR(F143="",G143="",N(H143)&lt;=0),"",1-NORMDIST(FLOOR(F143,1)+0.5,G143,H143,TRUE()))</f>
        <v>0.409053637244888</v>
      </c>
      <c r="J143" s="10" t="n">
        <f aca="false">IF(I143="","",NORMDIST(CEILING(F143,1)-0.5,G143,H143,TRUE()))</f>
        <v>0.590946362755112</v>
      </c>
      <c r="K143" s="10" t="n">
        <f aca="false">IF(I143="","",MAX(0,1-I143-J143))</f>
        <v>0</v>
      </c>
      <c r="L143" s="0" t="str">
        <f aca="false">IF(I143="","",IF(I143&gt;=0.5+Config!$B$6,"OVER",IF(J143&gt;=0.5+Config!$B$6,"UNDER","—")))</f>
        <v>UNDER</v>
      </c>
      <c r="N143" s="0" t="n">
        <v>30.4</v>
      </c>
      <c r="O143" s="10" t="n">
        <v>0.4</v>
      </c>
      <c r="P143" s="10" t="n">
        <v>0.5</v>
      </c>
      <c r="Q143" s="10" t="n">
        <v>0.47</v>
      </c>
      <c r="R143" s="9" t="s">
        <v>907</v>
      </c>
      <c r="S143" s="0" t="n">
        <v>-2</v>
      </c>
      <c r="T143" s="0" t="str">
        <f aca="false">INDEX(Calc!$G$2:$G$105,MATCH($W143,Calc!$A$2:$A$105,0))&amp;" / "&amp;INDEX(Calc!$H$2:$H$105,MATCH($W143,Calc!$A$2:$A$105,0))</f>
        <v>Ancient / Dust2</v>
      </c>
      <c r="U143" s="0" t="str">
        <f aca="false">TEXT(INDEX(Calc!$J$2:$J$105,MATCH($W143,Calc!$A$2:$A$105,0)),"0.0")&amp;" / "&amp;TEXT(INDEX(Calc!$K$2:$K$105,MATCH($W143,Calc!$A$2:$A$105,0)),"0.0")</f>
        <v>21.5 / 21.4</v>
      </c>
      <c r="V143" s="0" t="str">
        <f aca="false">IFERROR(INDEX(Calc!$AQ$2:$AQ$105,MATCH($W143,Calc!$A$2:$A$105,0)),"")</f>
        <v/>
      </c>
      <c r="W143" s="9" t="s">
        <v>1058</v>
      </c>
      <c r="X143" s="9" t="s">
        <v>891</v>
      </c>
      <c r="Y143" s="0" t="str">
        <f aca="false">W143&amp;"|"&amp;X143</f>
        <v>vvspq85e8g20hak|CS2 · PRIV vs ALL|K12</v>
      </c>
      <c r="Z143" s="11" t="n">
        <f aca="false">IFERROR(INDEX(CHOOSE(MATCH($X143,{"K1","K2","K3","K12","K13","H1","H2","H3","H12","H13"},0),Calc!$BA$2:$BA$105,Calc!$BB$2:$BB$105,Calc!$BC$2:$BC$105,Calc!$BD$2:$BD$105,Calc!$BE$2:$BE$105,Calc!$BF$2:$BF$105,Calc!$BG$2:$BG$105,Calc!$BH$2:$BH$105,Calc!$BI$2:$BI$105,Calc!$BJ$2:$BJ$105),MATCH($W143,Calc!$A$2:$A$105,0)),"")</f>
        <v>31.9864669520737</v>
      </c>
      <c r="AA143" s="11" t="n">
        <f aca="false">IF(Z143="","",IF(LEFT($X143,1)="H",SQRT(Z143*(IFERROR(INDEX(Calc!$AP$2:$AP$105,MATCH($W143,Calc!$A$2:$A$105,0)),0.5)*Config!$B$5+1-IFERROR(INDEX(Calc!$AP$2:$AP$105,MATCH($W143,Calc!$A$2:$A$105,0)),0.5))),SQRT(Z143*Config!$B$5)))</f>
        <v>6.69186474257387</v>
      </c>
      <c r="AB143" s="10" t="n">
        <f aca="false">IF(OR(F143="",Z143="",N(AA143)&lt;=0),"",1-NORMDIST(FLOOR(F143,1)+0.5,Z143,AA143,TRUE()))</f>
        <v>0.528975695955408</v>
      </c>
      <c r="AC143" s="10" t="n">
        <f aca="false">IF(AB143="","",NORMDIST(CEILING(F143,1)-0.5,Z143,AA143,TRUE()))</f>
        <v>0.471024304044592</v>
      </c>
      <c r="AD143" s="0" t="str">
        <f aca="false">IF(AB143="","",IF(AB143&gt;=0.5+Config!$B$6,"OVER",IF(AC143&gt;=0.5+Config!$B$6,"UNDER","—")))</f>
        <v>—</v>
      </c>
      <c r="AE143" s="13" t="n">
        <f aca="false">IFERROR(Z143/G143,"")</f>
        <v>1.0658841719902</v>
      </c>
    </row>
    <row r="144" customFormat="false" ht="15" hidden="false" customHeight="false" outlineLevel="0" collapsed="false">
      <c r="A144" s="0" t="s">
        <v>775</v>
      </c>
      <c r="B144" s="0" t="s">
        <v>785</v>
      </c>
      <c r="C144" s="0" t="s">
        <v>1059</v>
      </c>
      <c r="D144" s="0" t="s">
        <v>791</v>
      </c>
      <c r="E144" s="0" t="s">
        <v>893</v>
      </c>
      <c r="F144" s="0" t="n">
        <v>11</v>
      </c>
      <c r="G144" s="11" t="n">
        <f aca="false">IFERROR(INDEX(CHOOSE(MATCH($X144,{"K1","K2","K3","K12","K13","H1","H2","H3","H12","H13"},0),Calc!$V$2:$V$105,Calc!$AC$2:$AC$105,Calc!$AJ$2:$AJ$105,Calc!$AL$2:$AL$105,Calc!$AM$2:$AM$105,Calc!$W$2:$W$105,Calc!$AD$2:$AD$105,Calc!$AK$2:$AK$105,Calc!$AN$2:$AN$105,Calc!$AO$2:$AO$105),MATCH($W144,Calc!$A$2:$A$105,0)),"")</f>
        <v>10.2480557898072</v>
      </c>
      <c r="H144" s="11" t="n">
        <f aca="false">IF(G144="","",IF(LEFT($X144,1)="H",SQRT(G144*(IFERROR(INDEX(Calc!$AP$2:$AP$105,MATCH($W144,Calc!$A$2:$A$105,0)),0.5)*Config!$B$5+1-IFERROR(INDEX(Calc!$AP$2:$AP$105,MATCH($W144,Calc!$A$2:$A$105,0)),0.5))),SQRT(G144*Config!$B$5)))</f>
        <v>3.40330349302022</v>
      </c>
      <c r="I144" s="10" t="n">
        <f aca="false">IF(OR(F144="",G144="",N(H144)&lt;=0),"",1-NORMDIST(FLOOR(F144,1)+0.5,G144,H144,TRUE()))</f>
        <v>0.356488267341154</v>
      </c>
      <c r="J144" s="10" t="n">
        <f aca="false">IF(I144="","",NORMDIST(CEILING(F144,1)-0.5,G144,H144,TRUE()))</f>
        <v>0.52950646848619</v>
      </c>
      <c r="K144" s="10" t="n">
        <f aca="false">IF(I144="","",MAX(0,1-I144-J144))</f>
        <v>0.114005264172656</v>
      </c>
      <c r="L144" s="0" t="str">
        <f aca="false">IF(I144="","",IF(I144&gt;=0.5+Config!$B$6,"OVER",IF(J144&gt;=0.5+Config!$B$6,"UNDER","—")))</f>
        <v>—</v>
      </c>
      <c r="N144" s="0" t="n">
        <v>10.7</v>
      </c>
      <c r="O144" s="10" t="n">
        <v>0.2</v>
      </c>
      <c r="P144" s="10" t="n">
        <v>0.4</v>
      </c>
      <c r="Q144" s="10" t="n">
        <v>0.47</v>
      </c>
      <c r="R144" s="9" t="s">
        <v>907</v>
      </c>
      <c r="S144" s="0" t="n">
        <v>1</v>
      </c>
      <c r="T144" s="0" t="str">
        <f aca="false">INDEX(Calc!$G$2:$G$105,MATCH($W144,Calc!$A$2:$A$105,0))&amp;" / "&amp;INDEX(Calc!$H$2:$H$105,MATCH($W144,Calc!$A$2:$A$105,0))</f>
        <v>Ancient / Dust2</v>
      </c>
      <c r="U144" s="0" t="str">
        <f aca="false">TEXT(INDEX(Calc!$J$2:$J$105,MATCH($W144,Calc!$A$2:$A$105,0)),"0.0")&amp;" / "&amp;TEXT(INDEX(Calc!$K$2:$K$105,MATCH($W144,Calc!$A$2:$A$105,0)),"0.0")</f>
        <v>21.5 / 21.4</v>
      </c>
      <c r="V144" s="0" t="str">
        <f aca="false">IFERROR(INDEX(Calc!$AQ$2:$AQ$105,MATCH($W144,Calc!$A$2:$A$105,0)),"")</f>
        <v/>
      </c>
      <c r="W144" s="9" t="s">
        <v>1060</v>
      </c>
      <c r="X144" s="9" t="s">
        <v>896</v>
      </c>
      <c r="Y144" s="0" t="str">
        <f aca="false">W144&amp;"|"&amp;X144</f>
        <v>4etihlcb5nvt11f|CS2 · PRIV vs ALL|H12</v>
      </c>
      <c r="Z144" s="11" t="n">
        <f aca="false">IFERROR(INDEX(CHOOSE(MATCH($X144,{"K1","K2","K3","K12","K13","H1","H2","H3","H12","H13"},0),Calc!$BA$2:$BA$105,Calc!$BB$2:$BB$105,Calc!$BC$2:$BC$105,Calc!$BD$2:$BD$105,Calc!$BE$2:$BE$105,Calc!$BF$2:$BF$105,Calc!$BG$2:$BG$105,Calc!$BH$2:$BH$105,Calc!$BI$2:$BI$105,Calc!$BJ$2:$BJ$105),MATCH($W144,Calc!$A$2:$A$105,0)),"")</f>
        <v>10.9235532021463</v>
      </c>
      <c r="AA144" s="11" t="n">
        <f aca="false">IF(Z144="","",IF(LEFT($X144,1)="H",SQRT(Z144*(IFERROR(INDEX(Calc!$AP$2:$AP$105,MATCH($W144,Calc!$A$2:$A$105,0)),0.5)*Config!$B$5+1-IFERROR(INDEX(Calc!$AP$2:$AP$105,MATCH($W144,Calc!$A$2:$A$105,0)),0.5))),SQRT(Z144*Config!$B$5)))</f>
        <v>3.51367754402847</v>
      </c>
      <c r="AB144" s="10" t="n">
        <f aca="false">IF(OR(F144="",Z144="",N(AA144)&lt;=0),"",1-NORMDIST(FLOOR(F144,1)+0.5,Z144,AA144,TRUE()))</f>
        <v>0.434842755068383</v>
      </c>
      <c r="AC144" s="10" t="n">
        <f aca="false">IF(AB144="","",NORMDIST(CEILING(F144,1)-0.5,Z144,AA144,TRUE()))</f>
        <v>0.452026061956743</v>
      </c>
      <c r="AD144" s="0" t="str">
        <f aca="false">IF(AB144="","",IF(AB144&gt;=0.5+Config!$B$6,"OVER",IF(AC144&gt;=0.5+Config!$B$6,"UNDER","—")))</f>
        <v>—</v>
      </c>
      <c r="AE144" s="13" t="n">
        <f aca="false">IFERROR(Z144/G144,"")</f>
        <v>1.06591468920485</v>
      </c>
    </row>
    <row r="145" customFormat="false" ht="15" hidden="false" customHeight="false" outlineLevel="0" collapsed="false">
      <c r="A145" s="0" t="s">
        <v>775</v>
      </c>
      <c r="B145" s="0" t="s">
        <v>785</v>
      </c>
      <c r="C145" s="0" t="s">
        <v>1059</v>
      </c>
      <c r="D145" s="0" t="s">
        <v>791</v>
      </c>
      <c r="E145" s="0" t="s">
        <v>888</v>
      </c>
      <c r="F145" s="0" t="n">
        <v>32.5</v>
      </c>
      <c r="G145" s="11" t="n">
        <f aca="false">IFERROR(INDEX(CHOOSE(MATCH($X145,{"K1","K2","K3","K12","K13","H1","H2","H3","H12","H13"},0),Calc!$V$2:$V$105,Calc!$AC$2:$AC$105,Calc!$AJ$2:$AJ$105,Calc!$AL$2:$AL$105,Calc!$AM$2:$AM$105,Calc!$W$2:$W$105,Calc!$AD$2:$AD$105,Calc!$AK$2:$AK$105,Calc!$AN$2:$AN$105,Calc!$AO$2:$AO$105),MATCH($W145,Calc!$A$2:$A$105,0)),"")</f>
        <v>31.4811636363636</v>
      </c>
      <c r="H145" s="11" t="n">
        <f aca="false">IF(G145="","",IF(LEFT($X145,1)="H",SQRT(G145*(IFERROR(INDEX(Calc!$AP$2:$AP$105,MATCH($W145,Calc!$A$2:$A$105,0)),0.5)*Config!$B$5+1-IFERROR(INDEX(Calc!$AP$2:$AP$105,MATCH($W145,Calc!$A$2:$A$105,0)),0.5))),SQRT(G145*Config!$B$5)))</f>
        <v>6.63879726237434</v>
      </c>
      <c r="I145" s="10" t="n">
        <f aca="false">IF(OR(F145="",G145="",N(H145)&lt;=0),"",1-NORMDIST(FLOOR(F145,1)+0.5,G145,H145,TRUE()))</f>
        <v>0.439015002281348</v>
      </c>
      <c r="J145" s="10" t="n">
        <f aca="false">IF(I145="","",NORMDIST(CEILING(F145,1)-0.5,G145,H145,TRUE()))</f>
        <v>0.560984997718653</v>
      </c>
      <c r="K145" s="10" t="n">
        <f aca="false">IF(I145="","",MAX(0,1-I145-J145))</f>
        <v>0</v>
      </c>
      <c r="L145" s="0" t="str">
        <f aca="false">IF(I145="","",IF(I145&gt;=0.5+Config!$B$6,"OVER",IF(J145&gt;=0.5+Config!$B$6,"UNDER","—")))</f>
        <v>UNDER</v>
      </c>
      <c r="N145" s="0" t="n">
        <v>32</v>
      </c>
      <c r="O145" s="10" t="n">
        <v>0.4</v>
      </c>
      <c r="P145" s="10" t="n">
        <v>0.5</v>
      </c>
      <c r="Q145" s="10" t="n">
        <v>0.6</v>
      </c>
      <c r="R145" s="9" t="s">
        <v>907</v>
      </c>
      <c r="S145" s="0" t="n">
        <v>-3</v>
      </c>
      <c r="T145" s="0" t="str">
        <f aca="false">INDEX(Calc!$G$2:$G$105,MATCH($W145,Calc!$A$2:$A$105,0))&amp;" / "&amp;INDEX(Calc!$H$2:$H$105,MATCH($W145,Calc!$A$2:$A$105,0))</f>
        <v>Ancient / Dust2</v>
      </c>
      <c r="U145" s="0" t="str">
        <f aca="false">TEXT(INDEX(Calc!$J$2:$J$105,MATCH($W145,Calc!$A$2:$A$105,0)),"0.0")&amp;" / "&amp;TEXT(INDEX(Calc!$K$2:$K$105,MATCH($W145,Calc!$A$2:$A$105,0)),"0.0")</f>
        <v>21.5 / 21.4</v>
      </c>
      <c r="V145" s="0" t="str">
        <f aca="false">IFERROR(INDEX(Calc!$AQ$2:$AQ$105,MATCH($W145,Calc!$A$2:$A$105,0)),"")</f>
        <v/>
      </c>
      <c r="W145" s="9" t="s">
        <v>1060</v>
      </c>
      <c r="X145" s="9" t="s">
        <v>891</v>
      </c>
      <c r="Y145" s="0" t="str">
        <f aca="false">W145&amp;"|"&amp;X145</f>
        <v>4etihlcb5nvt11f|CS2 · PRIV vs ALL|K12</v>
      </c>
      <c r="Z145" s="11" t="n">
        <f aca="false">IFERROR(INDEX(CHOOSE(MATCH($X145,{"K1","K2","K3","K12","K13","H1","H2","H3","H12","H13"},0),Calc!$BA$2:$BA$105,Calc!$BB$2:$BB$105,Calc!$BC$2:$BC$105,Calc!$BD$2:$BD$105,Calc!$BE$2:$BE$105,Calc!$BF$2:$BF$105,Calc!$BG$2:$BG$105,Calc!$BH$2:$BH$105,Calc!$BI$2:$BI$105,Calc!$BJ$2:$BJ$105),MATCH($W145,Calc!$A$2:$A$105,0)),"")</f>
        <v>33.5477367185274</v>
      </c>
      <c r="AA145" s="11" t="n">
        <f aca="false">IF(Z145="","",IF(LEFT($X145,1)="H",SQRT(Z145*(IFERROR(INDEX(Calc!$AP$2:$AP$105,MATCH($W145,Calc!$A$2:$A$105,0)),0.5)*Config!$B$5+1-IFERROR(INDEX(Calc!$AP$2:$AP$105,MATCH($W145,Calc!$A$2:$A$105,0)),0.5))),SQRT(Z145*Config!$B$5)))</f>
        <v>6.85323510511192</v>
      </c>
      <c r="AB145" s="10" t="n">
        <f aca="false">IF(OR(F145="",Z145="",N(AA145)&lt;=0),"",1-NORMDIST(FLOOR(F145,1)+0.5,Z145,AA145,TRUE()))</f>
        <v>0.560754359219079</v>
      </c>
      <c r="AC145" s="10" t="n">
        <f aca="false">IF(AB145="","",NORMDIST(CEILING(F145,1)-0.5,Z145,AA145,TRUE()))</f>
        <v>0.439245640780922</v>
      </c>
      <c r="AD145" s="0" t="str">
        <f aca="false">IF(AB145="","",IF(AB145&gt;=0.5+Config!$B$6,"OVER",IF(AC145&gt;=0.5+Config!$B$6,"UNDER","—")))</f>
        <v>OVER</v>
      </c>
      <c r="AE145" s="13" t="n">
        <f aca="false">IFERROR(Z145/G145,"")</f>
        <v>1.06564474890556</v>
      </c>
    </row>
    <row r="146" customFormat="false" ht="15" hidden="false" customHeight="false" outlineLevel="0" collapsed="false">
      <c r="A146" s="0" t="s">
        <v>775</v>
      </c>
      <c r="B146" s="0" t="s">
        <v>785</v>
      </c>
      <c r="C146" s="0" t="s">
        <v>1061</v>
      </c>
      <c r="D146" s="0" t="s">
        <v>791</v>
      </c>
      <c r="E146" s="0" t="s">
        <v>893</v>
      </c>
      <c r="F146" s="0" t="n">
        <v>13.5</v>
      </c>
      <c r="G146" s="11" t="n">
        <f aca="false">IFERROR(INDEX(CHOOSE(MATCH($X146,{"K1","K2","K3","K12","K13","H1","H2","H3","H12","H13"},0),Calc!$V$2:$V$105,Calc!$AC$2:$AC$105,Calc!$AJ$2:$AJ$105,Calc!$AL$2:$AL$105,Calc!$AM$2:$AM$105,Calc!$W$2:$W$105,Calc!$AD$2:$AD$105,Calc!$AK$2:$AK$105,Calc!$AN$2:$AN$105,Calc!$AO$2:$AO$105),MATCH($W146,Calc!$A$2:$A$105,0)),"")</f>
        <v>12.6530889805326</v>
      </c>
      <c r="H146" s="11" t="n">
        <f aca="false">IF(G146="","",IF(LEFT($X146,1)="H",SQRT(G146*(IFERROR(INDEX(Calc!$AP$2:$AP$105,MATCH($W146,Calc!$A$2:$A$105,0)),0.5)*Config!$B$5+1-IFERROR(INDEX(Calc!$AP$2:$AP$105,MATCH($W146,Calc!$A$2:$A$105,0)),0.5))),SQRT(G146*Config!$B$5)))</f>
        <v>3.90424523235686</v>
      </c>
      <c r="I146" s="10" t="n">
        <f aca="false">IF(OR(F146="",G146="",N(H146)&lt;=0),"",1-NORMDIST(FLOOR(F146,1)+0.5,G146,H146,TRUE()))</f>
        <v>0.414135131518043</v>
      </c>
      <c r="J146" s="10" t="n">
        <f aca="false">IF(I146="","",NORMDIST(CEILING(F146,1)-0.5,G146,H146,TRUE()))</f>
        <v>0.585864868481957</v>
      </c>
      <c r="K146" s="10" t="n">
        <f aca="false">IF(I146="","",MAX(0,1-I146-J146))</f>
        <v>0</v>
      </c>
      <c r="L146" s="0" t="str">
        <f aca="false">IF(I146="","",IF(I146&gt;=0.5+Config!$B$6,"OVER",IF(J146&gt;=0.5+Config!$B$6,"UNDER","—")))</f>
        <v>UNDER</v>
      </c>
      <c r="N146" s="0" t="n">
        <v>12</v>
      </c>
      <c r="O146" s="10" t="n">
        <v>0.2</v>
      </c>
      <c r="P146" s="10" t="n">
        <v>0.2</v>
      </c>
      <c r="Q146" s="10" t="n">
        <v>0.4</v>
      </c>
      <c r="R146" s="9" t="s">
        <v>907</v>
      </c>
      <c r="S146" s="0" t="n">
        <v>-1</v>
      </c>
      <c r="T146" s="0" t="str">
        <f aca="false">INDEX(Calc!$G$2:$G$105,MATCH($W146,Calc!$A$2:$A$105,0))&amp;" / "&amp;INDEX(Calc!$H$2:$H$105,MATCH($W146,Calc!$A$2:$A$105,0))</f>
        <v>Ancient / Dust2</v>
      </c>
      <c r="U146" s="0" t="str">
        <f aca="false">TEXT(INDEX(Calc!$J$2:$J$105,MATCH($W146,Calc!$A$2:$A$105,0)),"0.0")&amp;" / "&amp;TEXT(INDEX(Calc!$K$2:$K$105,MATCH($W146,Calc!$A$2:$A$105,0)),"0.0")</f>
        <v>21.5 / 21.4</v>
      </c>
      <c r="V146" s="0" t="str">
        <f aca="false">IFERROR(INDEX(Calc!$AQ$2:$AQ$105,MATCH($W146,Calc!$A$2:$A$105,0)),"")</f>
        <v/>
      </c>
      <c r="W146" s="9" t="s">
        <v>1062</v>
      </c>
      <c r="X146" s="9" t="s">
        <v>896</v>
      </c>
      <c r="Y146" s="0" t="str">
        <f aca="false">W146&amp;"|"&amp;X146</f>
        <v>bl2bft1d69f03ls|CS2 · PRIV vs ALL|H12</v>
      </c>
      <c r="Z146" s="11" t="n">
        <f aca="false">IFERROR(INDEX(CHOOSE(MATCH($X146,{"K1","K2","K3","K12","K13","H1","H2","H3","H12","H13"},0),Calc!$BA$2:$BA$105,Calc!$BB$2:$BB$105,Calc!$BC$2:$BC$105,Calc!$BD$2:$BD$105,Calc!$BE$2:$BE$105,Calc!$BF$2:$BF$105,Calc!$BG$2:$BG$105,Calc!$BH$2:$BH$105,Calc!$BI$2:$BI$105,Calc!$BJ$2:$BJ$105),MATCH($W146,Calc!$A$2:$A$105,0)),"")</f>
        <v>13.4888872789149</v>
      </c>
      <c r="AA146" s="11" t="n">
        <f aca="false">IF(Z146="","",IF(LEFT($X146,1)="H",SQRT(Z146*(IFERROR(INDEX(Calc!$AP$2:$AP$105,MATCH($W146,Calc!$A$2:$A$105,0)),0.5)*Config!$B$5+1-IFERROR(INDEX(Calc!$AP$2:$AP$105,MATCH($W146,Calc!$A$2:$A$105,0)),0.5))),SQRT(Z146*Config!$B$5)))</f>
        <v>4.03113061578967</v>
      </c>
      <c r="AB146" s="10" t="n">
        <f aca="false">IF(OR(F146="",Z146="",N(AA146)&lt;=0),"",1-NORMDIST(FLOOR(F146,1)+0.5,Z146,AA146,TRUE()))</f>
        <v>0.498900226983824</v>
      </c>
      <c r="AC146" s="10" t="n">
        <f aca="false">IF(AB146="","",NORMDIST(CEILING(F146,1)-0.5,Z146,AA146,TRUE()))</f>
        <v>0.501099773016176</v>
      </c>
      <c r="AD146" s="0" t="str">
        <f aca="false">IF(AB146="","",IF(AB146&gt;=0.5+Config!$B$6,"OVER",IF(AC146&gt;=0.5+Config!$B$6,"UNDER","—")))</f>
        <v>—</v>
      </c>
      <c r="AE146" s="13" t="n">
        <f aca="false">IFERROR(Z146/G146,"")</f>
        <v>1.06605488190815</v>
      </c>
    </row>
    <row r="147" customFormat="false" ht="15" hidden="false" customHeight="false" outlineLevel="0" collapsed="false">
      <c r="A147" s="0" t="s">
        <v>775</v>
      </c>
      <c r="B147" s="0" t="s">
        <v>785</v>
      </c>
      <c r="C147" s="0" t="s">
        <v>1061</v>
      </c>
      <c r="D147" s="0" t="s">
        <v>791</v>
      </c>
      <c r="E147" s="0" t="s">
        <v>888</v>
      </c>
      <c r="F147" s="0" t="n">
        <v>27.5</v>
      </c>
      <c r="G147" s="11" t="n">
        <f aca="false">IFERROR(INDEX(CHOOSE(MATCH($X147,{"K1","K2","K3","K12","K13","H1","H2","H3","H12","H13"},0),Calc!$V$2:$V$105,Calc!$AC$2:$AC$105,Calc!$AJ$2:$AJ$105,Calc!$AL$2:$AL$105,Calc!$AM$2:$AM$105,Calc!$W$2:$W$105,Calc!$AD$2:$AD$105,Calc!$AK$2:$AK$105,Calc!$AN$2:$AN$105,Calc!$AO$2:$AO$105),MATCH($W147,Calc!$A$2:$A$105,0)),"")</f>
        <v>24.7255712121212</v>
      </c>
      <c r="H147" s="11" t="n">
        <f aca="false">IF(G147="","",IF(LEFT($X147,1)="H",SQRT(G147*(IFERROR(INDEX(Calc!$AP$2:$AP$105,MATCH($W147,Calc!$A$2:$A$105,0)),0.5)*Config!$B$5+1-IFERROR(INDEX(Calc!$AP$2:$AP$105,MATCH($W147,Calc!$A$2:$A$105,0)),0.5))),SQRT(G147*Config!$B$5)))</f>
        <v>5.88351932919147</v>
      </c>
      <c r="I147" s="10" t="n">
        <f aca="false">IF(OR(F147="",G147="",N(H147)&lt;=0),"",1-NORMDIST(FLOOR(F147,1)+0.5,G147,H147,TRUE()))</f>
        <v>0.318620659375992</v>
      </c>
      <c r="J147" s="10" t="n">
        <f aca="false">IF(I147="","",NORMDIST(CEILING(F147,1)-0.5,G147,H147,TRUE()))</f>
        <v>0.681379340624008</v>
      </c>
      <c r="K147" s="10" t="n">
        <f aca="false">IF(I147="","",MAX(0,1-I147-J147))</f>
        <v>0</v>
      </c>
      <c r="L147" s="0" t="str">
        <f aca="false">IF(I147="","",IF(I147&gt;=0.5+Config!$B$6,"OVER",IF(J147&gt;=0.5+Config!$B$6,"UNDER","—")))</f>
        <v>UNDER</v>
      </c>
      <c r="N147" s="0" t="n">
        <v>24.7</v>
      </c>
      <c r="O147" s="10" t="n">
        <v>0.4</v>
      </c>
      <c r="P147" s="10" t="n">
        <v>0.3</v>
      </c>
      <c r="Q147" s="10" t="n">
        <v>0.4</v>
      </c>
      <c r="R147" s="9" t="s">
        <v>907</v>
      </c>
      <c r="S147" s="0" t="n">
        <v>-1</v>
      </c>
      <c r="T147" s="0" t="str">
        <f aca="false">INDEX(Calc!$G$2:$G$105,MATCH($W147,Calc!$A$2:$A$105,0))&amp;" / "&amp;INDEX(Calc!$H$2:$H$105,MATCH($W147,Calc!$A$2:$A$105,0))</f>
        <v>Ancient / Dust2</v>
      </c>
      <c r="U147" s="0" t="str">
        <f aca="false">TEXT(INDEX(Calc!$J$2:$J$105,MATCH($W147,Calc!$A$2:$A$105,0)),"0.0")&amp;" / "&amp;TEXT(INDEX(Calc!$K$2:$K$105,MATCH($W147,Calc!$A$2:$A$105,0)),"0.0")</f>
        <v>21.5 / 21.4</v>
      </c>
      <c r="V147" s="0" t="str">
        <f aca="false">IFERROR(INDEX(Calc!$AQ$2:$AQ$105,MATCH($W147,Calc!$A$2:$A$105,0)),"")</f>
        <v/>
      </c>
      <c r="W147" s="9" t="s">
        <v>1062</v>
      </c>
      <c r="X147" s="9" t="s">
        <v>891</v>
      </c>
      <c r="Y147" s="0" t="str">
        <f aca="false">W147&amp;"|"&amp;X147</f>
        <v>bl2bft1d69f03ls|CS2 · PRIV vs ALL|K12</v>
      </c>
      <c r="Z147" s="11" t="n">
        <f aca="false">IFERROR(INDEX(CHOOSE(MATCH($X147,{"K1","K2","K3","K12","K13","H1","H2","H3","H12","H13"},0),Calc!$BA$2:$BA$105,Calc!$BB$2:$BB$105,Calc!$BC$2:$BC$105,Calc!$BD$2:$BD$105,Calc!$BE$2:$BE$105,Calc!$BF$2:$BF$105,Calc!$BG$2:$BG$105,Calc!$BH$2:$BH$105,Calc!$BI$2:$BI$105,Calc!$BJ$2:$BJ$105),MATCH($W147,Calc!$A$2:$A$105,0)),"")</f>
        <v>26.3390148881279</v>
      </c>
      <c r="AA147" s="11" t="n">
        <f aca="false">IF(Z147="","",IF(LEFT($X147,1)="H",SQRT(Z147*(IFERROR(INDEX(Calc!$AP$2:$AP$105,MATCH($W147,Calc!$A$2:$A$105,0)),0.5)*Config!$B$5+1-IFERROR(INDEX(Calc!$AP$2:$AP$105,MATCH($W147,Calc!$A$2:$A$105,0)),0.5))),SQRT(Z147*Config!$B$5)))</f>
        <v>6.07244768140319</v>
      </c>
      <c r="AB147" s="10" t="n">
        <f aca="false">IF(OR(F147="",Z147="",N(AA147)&lt;=0),"",1-NORMDIST(FLOOR(F147,1)+0.5,Z147,AA147,TRUE()))</f>
        <v>0.424188766361561</v>
      </c>
      <c r="AC147" s="10" t="n">
        <f aca="false">IF(AB147="","",NORMDIST(CEILING(F147,1)-0.5,Z147,AA147,TRUE()))</f>
        <v>0.575811233638439</v>
      </c>
      <c r="AD147" s="0" t="str">
        <f aca="false">IF(AB147="","",IF(AB147&gt;=0.5+Config!$B$6,"OVER",IF(AC147&gt;=0.5+Config!$B$6,"UNDER","—")))</f>
        <v>UNDER</v>
      </c>
      <c r="AE147" s="13" t="n">
        <f aca="false">IFERROR(Z147/G147,"")</f>
        <v>1.06525405064113</v>
      </c>
    </row>
    <row r="148" customFormat="false" ht="15" hidden="false" customHeight="false" outlineLevel="0" collapsed="false">
      <c r="A148" s="0" t="s">
        <v>775</v>
      </c>
      <c r="B148" s="0" t="s">
        <v>785</v>
      </c>
      <c r="C148" s="0" t="s">
        <v>1063</v>
      </c>
      <c r="D148" s="0" t="s">
        <v>791</v>
      </c>
      <c r="E148" s="0" t="s">
        <v>893</v>
      </c>
      <c r="F148" s="0" t="n">
        <v>15.5</v>
      </c>
      <c r="G148" s="11" t="n">
        <f aca="false">IFERROR(INDEX(CHOOSE(MATCH($X148,{"K1","K2","K3","K12","K13","H1","H2","H3","H12","H13"},0),Calc!$V$2:$V$105,Calc!$AC$2:$AC$105,Calc!$AJ$2:$AJ$105,Calc!$AL$2:$AL$105,Calc!$AM$2:$AM$105,Calc!$W$2:$W$105,Calc!$AD$2:$AD$105,Calc!$AK$2:$AK$105,Calc!$AN$2:$AN$105,Calc!$AO$2:$AO$105),MATCH($W148,Calc!$A$2:$A$105,0)),"")</f>
        <v>14.3227504800964</v>
      </c>
      <c r="H148" s="11" t="n">
        <f aca="false">IF(G148="","",IF(LEFT($X148,1)="H",SQRT(G148*(IFERROR(INDEX(Calc!$AP$2:$AP$105,MATCH($W148,Calc!$A$2:$A$105,0)),0.5)*Config!$B$5+1-IFERROR(INDEX(Calc!$AP$2:$AP$105,MATCH($W148,Calc!$A$2:$A$105,0)),0.5))),SQRT(G148*Config!$B$5)))</f>
        <v>4.22743094859951</v>
      </c>
      <c r="I148" s="10" t="n">
        <f aca="false">IF(OR(F148="",G148="",N(H148)&lt;=0),"",1-NORMDIST(FLOOR(F148,1)+0.5,G148,H148,TRUE()))</f>
        <v>0.390322452696086</v>
      </c>
      <c r="J148" s="10" t="n">
        <f aca="false">IF(I148="","",NORMDIST(CEILING(F148,1)-0.5,G148,H148,TRUE()))</f>
        <v>0.609677547303914</v>
      </c>
      <c r="K148" s="10" t="n">
        <f aca="false">IF(I148="","",MAX(0,1-I148-J148))</f>
        <v>0</v>
      </c>
      <c r="L148" s="0" t="str">
        <f aca="false">IF(I148="","",IF(I148&gt;=0.5+Config!$B$6,"OVER",IF(J148&gt;=0.5+Config!$B$6,"UNDER","—")))</f>
        <v>UNDER</v>
      </c>
      <c r="N148" s="0" t="n">
        <v>15.1</v>
      </c>
      <c r="O148" s="10" t="n">
        <v>0.2</v>
      </c>
      <c r="P148" s="10" t="n">
        <v>0.4</v>
      </c>
      <c r="Q148" s="10" t="n">
        <v>0.47</v>
      </c>
      <c r="R148" s="9" t="s">
        <v>907</v>
      </c>
      <c r="S148" s="0" t="n">
        <v>-4</v>
      </c>
      <c r="T148" s="0" t="str">
        <f aca="false">INDEX(Calc!$G$2:$G$105,MATCH($W148,Calc!$A$2:$A$105,0))&amp;" / "&amp;INDEX(Calc!$H$2:$H$105,MATCH($W148,Calc!$A$2:$A$105,0))</f>
        <v>Ancient / Dust2</v>
      </c>
      <c r="U148" s="0" t="str">
        <f aca="false">TEXT(INDEX(Calc!$J$2:$J$105,MATCH($W148,Calc!$A$2:$A$105,0)),"0.0")&amp;" / "&amp;TEXT(INDEX(Calc!$K$2:$K$105,MATCH($W148,Calc!$A$2:$A$105,0)),"0.0")</f>
        <v>21.5 / 21.4</v>
      </c>
      <c r="V148" s="0" t="str">
        <f aca="false">IFERROR(INDEX(Calc!$AQ$2:$AQ$105,MATCH($W148,Calc!$A$2:$A$105,0)),"")</f>
        <v/>
      </c>
      <c r="W148" s="9" t="s">
        <v>1064</v>
      </c>
      <c r="X148" s="9" t="s">
        <v>896</v>
      </c>
      <c r="Y148" s="0" t="str">
        <f aca="false">W148&amp;"|"&amp;X148</f>
        <v>q3clylb2zmlguaj|CS2 · PRIV vs ALL|H12</v>
      </c>
      <c r="Z148" s="11" t="n">
        <f aca="false">IFERROR(INDEX(CHOOSE(MATCH($X148,{"K1","K2","K3","K12","K13","H1","H2","H3","H12","H13"},0),Calc!$BA$2:$BA$105,Calc!$BB$2:$BB$105,Calc!$BC$2:$BC$105,Calc!$BD$2:$BD$105,Calc!$BE$2:$BE$105,Calc!$BF$2:$BF$105,Calc!$BG$2:$BG$105,Calc!$BH$2:$BH$105,Calc!$BI$2:$BI$105,Calc!$BJ$2:$BJ$105),MATCH($W148,Calc!$A$2:$A$105,0)),"")</f>
        <v>15.2550374488073</v>
      </c>
      <c r="AA148" s="11" t="n">
        <f aca="false">IF(Z148="","",IF(LEFT($X148,1)="H",SQRT(Z148*(IFERROR(INDEX(Calc!$AP$2:$AP$105,MATCH($W148,Calc!$A$2:$A$105,0)),0.5)*Config!$B$5+1-IFERROR(INDEX(Calc!$AP$2:$AP$105,MATCH($W148,Calc!$A$2:$A$105,0)),0.5))),SQRT(Z148*Config!$B$5)))</f>
        <v>4.36284665329481</v>
      </c>
      <c r="AB148" s="10" t="n">
        <f aca="false">IF(OR(F148="",Z148="",N(AA148)&lt;=0),"",1-NORMDIST(FLOOR(F148,1)+0.5,Z148,AA148,TRUE()))</f>
        <v>0.477612186841985</v>
      </c>
      <c r="AC148" s="10" t="n">
        <f aca="false">IF(AB148="","",NORMDIST(CEILING(F148,1)-0.5,Z148,AA148,TRUE()))</f>
        <v>0.522387813158015</v>
      </c>
      <c r="AD148" s="0" t="str">
        <f aca="false">IF(AB148="","",IF(AB148&gt;=0.5+Config!$B$6,"OVER",IF(AC148&gt;=0.5+Config!$B$6,"UNDER","—")))</f>
        <v>—</v>
      </c>
      <c r="AE148" s="13" t="n">
        <f aca="false">IFERROR(Z148/G148,"")</f>
        <v>1.06509133633281</v>
      </c>
    </row>
    <row r="149" customFormat="false" ht="15" hidden="false" customHeight="false" outlineLevel="0" collapsed="false">
      <c r="A149" s="0" t="s">
        <v>775</v>
      </c>
      <c r="B149" s="0" t="s">
        <v>785</v>
      </c>
      <c r="C149" s="0" t="s">
        <v>1063</v>
      </c>
      <c r="D149" s="0" t="s">
        <v>791</v>
      </c>
      <c r="E149" s="0" t="s">
        <v>888</v>
      </c>
      <c r="F149" s="0" t="n">
        <v>25.5</v>
      </c>
      <c r="G149" s="11" t="n">
        <f aca="false">IFERROR(INDEX(CHOOSE(MATCH($X149,{"K1","K2","K3","K12","K13","H1","H2","H3","H12","H13"},0),Calc!$V$2:$V$105,Calc!$AC$2:$AC$105,Calc!$AJ$2:$AJ$105,Calc!$AL$2:$AL$105,Calc!$AM$2:$AM$105,Calc!$W$2:$W$105,Calc!$AD$2:$AD$105,Calc!$AK$2:$AK$105,Calc!$AN$2:$AN$105,Calc!$AO$2:$AO$105),MATCH($W149,Calc!$A$2:$A$105,0)),"")</f>
        <v>23.1247787878788</v>
      </c>
      <c r="H149" s="11" t="n">
        <f aca="false">IF(G149="","",IF(LEFT($X149,1)="H",SQRT(G149*(IFERROR(INDEX(Calc!$AP$2:$AP$105,MATCH($W149,Calc!$A$2:$A$105,0)),0.5)*Config!$B$5+1-IFERROR(INDEX(Calc!$AP$2:$AP$105,MATCH($W149,Calc!$A$2:$A$105,0)),0.5))),SQRT(G149*Config!$B$5)))</f>
        <v>5.68987612369815</v>
      </c>
      <c r="I149" s="10" t="n">
        <f aca="false">IF(OR(F149="",G149="",N(H149)&lt;=0),"",1-NORMDIST(FLOOR(F149,1)+0.5,G149,H149,TRUE()))</f>
        <v>0.338175774089155</v>
      </c>
      <c r="J149" s="10" t="n">
        <f aca="false">IF(I149="","",NORMDIST(CEILING(F149,1)-0.5,G149,H149,TRUE()))</f>
        <v>0.661824225910845</v>
      </c>
      <c r="K149" s="10" t="n">
        <f aca="false">IF(I149="","",MAX(0,1-I149-J149))</f>
        <v>0</v>
      </c>
      <c r="L149" s="0" t="str">
        <f aca="false">IF(I149="","",IF(I149&gt;=0.5+Config!$B$6,"OVER",IF(J149&gt;=0.5+Config!$B$6,"UNDER","—")))</f>
        <v>UNDER</v>
      </c>
      <c r="N149" s="0" t="n">
        <v>24.5</v>
      </c>
      <c r="O149" s="10" t="n">
        <v>0.2</v>
      </c>
      <c r="P149" s="10" t="n">
        <v>0.4</v>
      </c>
      <c r="Q149" s="10" t="n">
        <v>0.4</v>
      </c>
      <c r="R149" s="9" t="s">
        <v>907</v>
      </c>
      <c r="S149" s="0" t="n">
        <v>1</v>
      </c>
      <c r="T149" s="0" t="str">
        <f aca="false">INDEX(Calc!$G$2:$G$105,MATCH($W149,Calc!$A$2:$A$105,0))&amp;" / "&amp;INDEX(Calc!$H$2:$H$105,MATCH($W149,Calc!$A$2:$A$105,0))</f>
        <v>Ancient / Dust2</v>
      </c>
      <c r="U149" s="0" t="str">
        <f aca="false">TEXT(INDEX(Calc!$J$2:$J$105,MATCH($W149,Calc!$A$2:$A$105,0)),"0.0")&amp;" / "&amp;TEXT(INDEX(Calc!$K$2:$K$105,MATCH($W149,Calc!$A$2:$A$105,0)),"0.0")</f>
        <v>21.5 / 21.4</v>
      </c>
      <c r="V149" s="0" t="str">
        <f aca="false">IFERROR(INDEX(Calc!$AQ$2:$AQ$105,MATCH($W149,Calc!$A$2:$A$105,0)),"")</f>
        <v/>
      </c>
      <c r="W149" s="9" t="s">
        <v>1064</v>
      </c>
      <c r="X149" s="9" t="s">
        <v>891</v>
      </c>
      <c r="Y149" s="0" t="str">
        <f aca="false">W149&amp;"|"&amp;X149</f>
        <v>q3clylb2zmlguaj|CS2 · PRIV vs ALL|K12</v>
      </c>
      <c r="Z149" s="11" t="n">
        <f aca="false">IFERROR(INDEX(CHOOSE(MATCH($X149,{"K1","K2","K3","K12","K13","H1","H2","H3","H12","H13"},0),Calc!$BA$2:$BA$105,Calc!$BB$2:$BB$105,Calc!$BC$2:$BC$105,Calc!$BD$2:$BD$105,Calc!$BE$2:$BE$105,Calc!$BF$2:$BF$105,Calc!$BG$2:$BG$105,Calc!$BH$2:$BH$105,Calc!$BI$2:$BI$105,Calc!$BJ$2:$BJ$105),MATCH($W149,Calc!$A$2:$A$105,0)),"")</f>
        <v>24.6376494698123</v>
      </c>
      <c r="AA149" s="11" t="n">
        <f aca="false">IF(Z149="","",IF(LEFT($X149,1)="H",SQRT(Z149*(IFERROR(INDEX(Calc!$AP$2:$AP$105,MATCH($W149,Calc!$A$2:$A$105,0)),0.5)*Config!$B$5+1-IFERROR(INDEX(Calc!$AP$2:$AP$105,MATCH($W149,Calc!$A$2:$A$105,0)),0.5))),SQRT(Z149*Config!$B$5)))</f>
        <v>5.87304940024662</v>
      </c>
      <c r="AB149" s="10" t="n">
        <f aca="false">IF(OR(F149="",Z149="",N(AA149)&lt;=0),"",1-NORMDIST(FLOOR(F149,1)+0.5,Z149,AA149,TRUE()))</f>
        <v>0.441632384224736</v>
      </c>
      <c r="AC149" s="10" t="n">
        <f aca="false">IF(AB149="","",NORMDIST(CEILING(F149,1)-0.5,Z149,AA149,TRUE()))</f>
        <v>0.558367615775264</v>
      </c>
      <c r="AD149" s="0" t="str">
        <f aca="false">IF(AB149="","",IF(AB149&gt;=0.5+Config!$B$6,"OVER",IF(AC149&gt;=0.5+Config!$B$6,"UNDER","—")))</f>
        <v>UNDER</v>
      </c>
      <c r="AE149" s="13" t="n">
        <f aca="false">IFERROR(Z149/G149,"")</f>
        <v>1.06542206071725</v>
      </c>
    </row>
    <row r="150" customFormat="false" ht="15" hidden="false" customHeight="false" outlineLevel="0" collapsed="false">
      <c r="A150" s="0" t="s">
        <v>775</v>
      </c>
      <c r="B150" s="0" t="s">
        <v>785</v>
      </c>
      <c r="C150" s="0" t="s">
        <v>1065</v>
      </c>
      <c r="D150" s="0" t="s">
        <v>790</v>
      </c>
      <c r="E150" s="0" t="s">
        <v>888</v>
      </c>
      <c r="F150" s="0" t="n">
        <v>25.5</v>
      </c>
      <c r="G150" s="11" t="n">
        <f aca="false">IFERROR(INDEX(CHOOSE(MATCH($X150,{"K1","K2","K3","K12","K13","H1","H2","H3","H12","H13"},0),Calc!$V$2:$V$105,Calc!$AC$2:$AC$105,Calc!$AJ$2:$AJ$105,Calc!$AL$2:$AL$105,Calc!$AM$2:$AM$105,Calc!$W$2:$W$105,Calc!$AD$2:$AD$105,Calc!$AK$2:$AK$105,Calc!$AN$2:$AN$105,Calc!$AO$2:$AO$105),MATCH($W150,Calc!$A$2:$A$105,0)),"")</f>
        <v>29.4857818181818</v>
      </c>
      <c r="H150" s="11" t="n">
        <f aca="false">IF(G150="","",IF(LEFT($X150,1)="H",SQRT(G150*(IFERROR(INDEX(Calc!$AP$2:$AP$105,MATCH($W150,Calc!$A$2:$A$105,0)),0.5)*Config!$B$5+1-IFERROR(INDEX(Calc!$AP$2:$AP$105,MATCH($W150,Calc!$A$2:$A$105,0)),0.5))),SQRT(G150*Config!$B$5)))</f>
        <v>6.42495871935801</v>
      </c>
      <c r="I150" s="10" t="n">
        <f aca="false">IF(OR(F150="",G150="",N(H150)&lt;=0),"",1-NORMDIST(FLOOR(F150,1)+0.5,G150,H150,TRUE()))</f>
        <v>0.732489314062087</v>
      </c>
      <c r="J150" s="10" t="n">
        <f aca="false">IF(I150="","",NORMDIST(CEILING(F150,1)-0.5,G150,H150,TRUE()))</f>
        <v>0.267510685937913</v>
      </c>
      <c r="K150" s="10" t="n">
        <f aca="false">IF(I150="","",MAX(0,1-I150-J150))</f>
        <v>0</v>
      </c>
      <c r="L150" s="0" t="str">
        <f aca="false">IF(I150="","",IF(I150&gt;=0.5+Config!$B$6,"OVER",IF(J150&gt;=0.5+Config!$B$6,"UNDER","—")))</f>
        <v>OVER</v>
      </c>
      <c r="N150" s="0" t="n">
        <v>32.4</v>
      </c>
      <c r="O150" s="10" t="n">
        <v>0.8</v>
      </c>
      <c r="P150" s="10" t="n">
        <v>0.9</v>
      </c>
      <c r="Q150" s="10" t="n">
        <v>0.87</v>
      </c>
      <c r="R150" s="9" t="s">
        <v>999</v>
      </c>
      <c r="S150" s="0" t="n">
        <v>-1</v>
      </c>
      <c r="T150" s="0" t="str">
        <f aca="false">INDEX(Calc!$G$2:$G$105,MATCH($W150,Calc!$A$2:$A$105,0))&amp;" / "&amp;INDEX(Calc!$H$2:$H$105,MATCH($W150,Calc!$A$2:$A$105,0))</f>
        <v>Ancient / Dust2</v>
      </c>
      <c r="U150" s="0" t="str">
        <f aca="false">TEXT(INDEX(Calc!$J$2:$J$105,MATCH($W150,Calc!$A$2:$A$105,0)),"0.0")&amp;" / "&amp;TEXT(INDEX(Calc!$K$2:$K$105,MATCH($W150,Calc!$A$2:$A$105,0)),"0.0")</f>
        <v>21.5 / 21.4</v>
      </c>
      <c r="V150" s="0" t="str">
        <f aca="false">IFERROR(INDEX(Calc!$AQ$2:$AQ$105,MATCH($W150,Calc!$A$2:$A$105,0)),"")</f>
        <v/>
      </c>
      <c r="W150" s="9" t="s">
        <v>1066</v>
      </c>
      <c r="X150" s="9" t="s">
        <v>891</v>
      </c>
      <c r="Y150" s="0" t="str">
        <f aca="false">W150&amp;"|"&amp;X150</f>
        <v>rd8ddgmnqexx8qo|CS2 · PRIV vs ALL|K12</v>
      </c>
      <c r="Z150" s="11" t="n">
        <f aca="false">IFERROR(INDEX(CHOOSE(MATCH($X150,{"K1","K2","K3","K12","K13","H1","H2","H3","H12","H13"},0),Calc!$BA$2:$BA$105,Calc!$BB$2:$BB$105,Calc!$BC$2:$BC$105,Calc!$BD$2:$BD$105,Calc!$BE$2:$BE$105,Calc!$BF$2:$BF$105,Calc!$BG$2:$BG$105,Calc!$BH$2:$BH$105,Calc!$BI$2:$BI$105,Calc!$BJ$2:$BJ$105),MATCH($W150,Calc!$A$2:$A$105,0)),"")</f>
        <v>29.1238550848728</v>
      </c>
      <c r="AA150" s="11" t="n">
        <f aca="false">IF(Z150="","",IF(LEFT($X150,1)="H",SQRT(Z150*(IFERROR(INDEX(Calc!$AP$2:$AP$105,MATCH($W150,Calc!$A$2:$A$105,0)),0.5)*Config!$B$5+1-IFERROR(INDEX(Calc!$AP$2:$AP$105,MATCH($W150,Calc!$A$2:$A$105,0)),0.5))),SQRT(Z150*Config!$B$5)))</f>
        <v>6.38540500820597</v>
      </c>
      <c r="AB150" s="10" t="n">
        <f aca="false">IF(OR(F150="",Z150="",N(AA150)&lt;=0),"",1-NORMDIST(FLOOR(F150,1)+0.5,Z150,AA150,TRUE()))</f>
        <v>0.714820062484255</v>
      </c>
      <c r="AC150" s="10" t="n">
        <f aca="false">IF(AB150="","",NORMDIST(CEILING(F150,1)-0.5,Z150,AA150,TRUE()))</f>
        <v>0.285179937515745</v>
      </c>
      <c r="AD150" s="0" t="str">
        <f aca="false">IF(AB150="","",IF(AB150&gt;=0.5+Config!$B$6,"OVER",IF(AC150&gt;=0.5+Config!$B$6,"UNDER","—")))</f>
        <v>OVER</v>
      </c>
      <c r="AE150" s="13" t="n">
        <f aca="false">IFERROR(Z150/G150,"")</f>
        <v>0.987725381150115</v>
      </c>
    </row>
    <row r="151" customFormat="false" ht="15" hidden="false" customHeight="false" outlineLevel="0" collapsed="false">
      <c r="A151" s="0" t="s">
        <v>775</v>
      </c>
      <c r="B151" s="0" t="s">
        <v>785</v>
      </c>
      <c r="C151" s="0" t="s">
        <v>1067</v>
      </c>
      <c r="D151" s="0" t="s">
        <v>790</v>
      </c>
      <c r="E151" s="0" t="s">
        <v>893</v>
      </c>
      <c r="F151" s="0" t="n">
        <v>15.5</v>
      </c>
      <c r="G151" s="11" t="n">
        <f aca="false">IFERROR(INDEX(CHOOSE(MATCH($X151,{"K1","K2","K3","K12","K13","H1","H2","H3","H12","H13"},0),Calc!$V$2:$V$105,Calc!$AC$2:$AC$105,Calc!$AJ$2:$AJ$105,Calc!$AL$2:$AL$105,Calc!$AM$2:$AM$105,Calc!$W$2:$W$105,Calc!$AD$2:$AD$105,Calc!$AK$2:$AK$105,Calc!$AN$2:$AN$105,Calc!$AO$2:$AO$105),MATCH($W151,Calc!$A$2:$A$105,0)),"")</f>
        <v>17.1176025057851</v>
      </c>
      <c r="H151" s="11" t="n">
        <f aca="false">IF(G151="","",IF(LEFT($X151,1)="H",SQRT(G151*(IFERROR(INDEX(Calc!$AP$2:$AP$105,MATCH($W151,Calc!$A$2:$A$105,0)),0.5)*Config!$B$5+1-IFERROR(INDEX(Calc!$AP$2:$AP$105,MATCH($W151,Calc!$A$2:$A$105,0)),0.5))),SQRT(G151*Config!$B$5)))</f>
        <v>4.53912130357857</v>
      </c>
      <c r="I151" s="10" t="n">
        <f aca="false">IF(OR(F151="",G151="",N(H151)&lt;=0),"",1-NORMDIST(FLOOR(F151,1)+0.5,G151,H151,TRUE()))</f>
        <v>0.639217910897817</v>
      </c>
      <c r="J151" s="10" t="n">
        <f aca="false">IF(I151="","",NORMDIST(CEILING(F151,1)-0.5,G151,H151,TRUE()))</f>
        <v>0.360782089102183</v>
      </c>
      <c r="K151" s="10" t="n">
        <f aca="false">IF(I151="","",MAX(0,1-I151-J151))</f>
        <v>0</v>
      </c>
      <c r="L151" s="0" t="str">
        <f aca="false">IF(I151="","",IF(I151&gt;=0.5+Config!$B$6,"OVER",IF(J151&gt;=0.5+Config!$B$6,"UNDER","—")))</f>
        <v>OVER</v>
      </c>
      <c r="N151" s="0" t="n">
        <v>16.6</v>
      </c>
      <c r="O151" s="10" t="n">
        <v>0.4</v>
      </c>
      <c r="P151" s="10" t="n">
        <v>0.4</v>
      </c>
      <c r="Q151" s="10" t="n">
        <v>0.47</v>
      </c>
      <c r="R151" s="9" t="s">
        <v>1068</v>
      </c>
      <c r="S151" s="0" t="n">
        <v>-1</v>
      </c>
      <c r="T151" s="0" t="str">
        <f aca="false">INDEX(Calc!$G$2:$G$105,MATCH($W151,Calc!$A$2:$A$105,0))&amp;" / "&amp;INDEX(Calc!$H$2:$H$105,MATCH($W151,Calc!$A$2:$A$105,0))</f>
        <v>Ancient / Dust2</v>
      </c>
      <c r="U151" s="0" t="str">
        <f aca="false">TEXT(INDEX(Calc!$J$2:$J$105,MATCH($W151,Calc!$A$2:$A$105,0)),"0.0")&amp;" / "&amp;TEXT(INDEX(Calc!$K$2:$K$105,MATCH($W151,Calc!$A$2:$A$105,0)),"0.0")</f>
        <v>21.5 / 21.4</v>
      </c>
      <c r="V151" s="0" t="str">
        <f aca="false">IFERROR(INDEX(Calc!$AQ$2:$AQ$105,MATCH($W151,Calc!$A$2:$A$105,0)),"")</f>
        <v/>
      </c>
      <c r="W151" s="9" t="s">
        <v>1069</v>
      </c>
      <c r="X151" s="9" t="s">
        <v>896</v>
      </c>
      <c r="Y151" s="0" t="str">
        <f aca="false">W151&amp;"|"&amp;X151</f>
        <v>9o5rlocll7u8d8u|CS2 · PRIV vs ALL|H12</v>
      </c>
      <c r="Z151" s="11" t="n">
        <f aca="false">IFERROR(INDEX(CHOOSE(MATCH($X151,{"K1","K2","K3","K12","K13","H1","H2","H3","H12","H13"},0),Calc!$BA$2:$BA$105,Calc!$BB$2:$BB$105,Calc!$BC$2:$BC$105,Calc!$BD$2:$BD$105,Calc!$BE$2:$BE$105,Calc!$BF$2:$BF$105,Calc!$BG$2:$BG$105,Calc!$BH$2:$BH$105,Calc!$BI$2:$BI$105,Calc!$BJ$2:$BJ$105),MATCH($W151,Calc!$A$2:$A$105,0)),"")</f>
        <v>16.9059078208391</v>
      </c>
      <c r="AA151" s="11" t="n">
        <f aca="false">IF(Z151="","",IF(LEFT($X151,1)="H",SQRT(Z151*(IFERROR(INDEX(Calc!$AP$2:$AP$105,MATCH($W151,Calc!$A$2:$A$105,0)),0.5)*Config!$B$5+1-IFERROR(INDEX(Calc!$AP$2:$AP$105,MATCH($W151,Calc!$A$2:$A$105,0)),0.5))),SQRT(Z151*Config!$B$5)))</f>
        <v>4.51096615530546</v>
      </c>
      <c r="AB151" s="10" t="n">
        <f aca="false">IF(OR(F151="",Z151="",N(AA151)&lt;=0),"",1-NORMDIST(FLOOR(F151,1)+0.5,Z151,AA151,TRUE()))</f>
        <v>0.622352228995875</v>
      </c>
      <c r="AC151" s="10" t="n">
        <f aca="false">IF(AB151="","",NORMDIST(CEILING(F151,1)-0.5,Z151,AA151,TRUE()))</f>
        <v>0.377647771004125</v>
      </c>
      <c r="AD151" s="0" t="str">
        <f aca="false">IF(AB151="","",IF(AB151&gt;=0.5+Config!$B$6,"OVER",IF(AC151&gt;=0.5+Config!$B$6,"UNDER","—")))</f>
        <v>OVER</v>
      </c>
      <c r="AE151" s="13" t="n">
        <f aca="false">IFERROR(Z151/G151,"")</f>
        <v>0.987632924361081</v>
      </c>
    </row>
    <row r="152" customFormat="false" ht="15" hidden="false" customHeight="false" outlineLevel="0" collapsed="false">
      <c r="A152" s="0" t="s">
        <v>775</v>
      </c>
      <c r="B152" s="0" t="s">
        <v>785</v>
      </c>
      <c r="C152" s="0" t="s">
        <v>1067</v>
      </c>
      <c r="D152" s="0" t="s">
        <v>790</v>
      </c>
      <c r="E152" s="0" t="s">
        <v>888</v>
      </c>
      <c r="F152" s="0" t="n">
        <v>30.5</v>
      </c>
      <c r="G152" s="11" t="n">
        <f aca="false">IFERROR(INDEX(CHOOSE(MATCH($X152,{"K1","K2","K3","K12","K13","H1","H2","H3","H12","H13"},0),Calc!$V$2:$V$105,Calc!$AC$2:$AC$105,Calc!$AJ$2:$AJ$105,Calc!$AL$2:$AL$105,Calc!$AM$2:$AM$105,Calc!$W$2:$W$105,Calc!$AD$2:$AD$105,Calc!$AK$2:$AK$105,Calc!$AN$2:$AN$105,Calc!$AO$2:$AO$105),MATCH($W152,Calc!$A$2:$A$105,0)),"")</f>
        <v>33.6214181818182</v>
      </c>
      <c r="H152" s="11" t="n">
        <f aca="false">IF(G152="","",IF(LEFT($X152,1)="H",SQRT(G152*(IFERROR(INDEX(Calc!$AP$2:$AP$105,MATCH($W152,Calc!$A$2:$A$105,0)),0.5)*Config!$B$5+1-IFERROR(INDEX(Calc!$AP$2:$AP$105,MATCH($W152,Calc!$A$2:$A$105,0)),0.5))),SQRT(G152*Config!$B$5)))</f>
        <v>6.86075691557028</v>
      </c>
      <c r="I152" s="10" t="n">
        <f aca="false">IF(OR(F152="",G152="",N(H152)&lt;=0),"",1-NORMDIST(FLOOR(F152,1)+0.5,G152,H152,TRUE()))</f>
        <v>0.67543351996363</v>
      </c>
      <c r="J152" s="10" t="n">
        <f aca="false">IF(I152="","",NORMDIST(CEILING(F152,1)-0.5,G152,H152,TRUE()))</f>
        <v>0.32456648003637</v>
      </c>
      <c r="K152" s="10" t="n">
        <f aca="false">IF(I152="","",MAX(0,1-I152-J152))</f>
        <v>0</v>
      </c>
      <c r="L152" s="0" t="str">
        <f aca="false">IF(I152="","",IF(I152&gt;=0.5+Config!$B$6,"OVER",IF(J152&gt;=0.5+Config!$B$6,"UNDER","—")))</f>
        <v>OVER</v>
      </c>
      <c r="N152" s="0" t="n">
        <v>33.2</v>
      </c>
      <c r="O152" s="10" t="n">
        <v>0.4</v>
      </c>
      <c r="P152" s="10" t="n">
        <v>0.5</v>
      </c>
      <c r="Q152" s="10" t="n">
        <v>0.67</v>
      </c>
      <c r="R152" s="9" t="s">
        <v>1070</v>
      </c>
      <c r="S152" s="0" t="n">
        <v>-1</v>
      </c>
      <c r="T152" s="0" t="str">
        <f aca="false">INDEX(Calc!$G$2:$G$105,MATCH($W152,Calc!$A$2:$A$105,0))&amp;" / "&amp;INDEX(Calc!$H$2:$H$105,MATCH($W152,Calc!$A$2:$A$105,0))</f>
        <v>Ancient / Dust2</v>
      </c>
      <c r="U152" s="0" t="str">
        <f aca="false">TEXT(INDEX(Calc!$J$2:$J$105,MATCH($W152,Calc!$A$2:$A$105,0)),"0.0")&amp;" / "&amp;TEXT(INDEX(Calc!$K$2:$K$105,MATCH($W152,Calc!$A$2:$A$105,0)),"0.0")</f>
        <v>21.5 / 21.4</v>
      </c>
      <c r="V152" s="0" t="str">
        <f aca="false">IFERROR(INDEX(Calc!$AQ$2:$AQ$105,MATCH($W152,Calc!$A$2:$A$105,0)),"")</f>
        <v/>
      </c>
      <c r="W152" s="9" t="s">
        <v>1069</v>
      </c>
      <c r="X152" s="9" t="s">
        <v>891</v>
      </c>
      <c r="Y152" s="0" t="str">
        <f aca="false">W152&amp;"|"&amp;X152</f>
        <v>9o5rlocll7u8d8u|CS2 · PRIV vs ALL|K12</v>
      </c>
      <c r="Z152" s="11" t="n">
        <f aca="false">IFERROR(INDEX(CHOOSE(MATCH($X152,{"K1","K2","K3","K12","K13","H1","H2","H3","H12","H13"},0),Calc!$BA$2:$BA$105,Calc!$BB$2:$BB$105,Calc!$BC$2:$BC$105,Calc!$BD$2:$BD$105,Calc!$BE$2:$BE$105,Calc!$BF$2:$BF$105,Calc!$BG$2:$BG$105,Calc!$BH$2:$BH$105,Calc!$BI$2:$BI$105,Calc!$BJ$2:$BJ$105),MATCH($W152,Calc!$A$2:$A$105,0)),"")</f>
        <v>33.2121691520812</v>
      </c>
      <c r="AA152" s="11" t="n">
        <f aca="false">IF(Z152="","",IF(LEFT($X152,1)="H",SQRT(Z152*(IFERROR(INDEX(Calc!$AP$2:$AP$105,MATCH($W152,Calc!$A$2:$A$105,0)),0.5)*Config!$B$5+1-IFERROR(INDEX(Calc!$AP$2:$AP$105,MATCH($W152,Calc!$A$2:$A$105,0)),0.5))),SQRT(Z152*Config!$B$5)))</f>
        <v>6.8188735736127</v>
      </c>
      <c r="AB152" s="10" t="n">
        <f aca="false">IF(OR(F152="",Z152="",N(AA152)&lt;=0),"",1-NORMDIST(FLOOR(F152,1)+0.5,Z152,AA152,TRUE()))</f>
        <v>0.654590717551951</v>
      </c>
      <c r="AC152" s="10" t="n">
        <f aca="false">IF(AB152="","",NORMDIST(CEILING(F152,1)-0.5,Z152,AA152,TRUE()))</f>
        <v>0.345409282448049</v>
      </c>
      <c r="AD152" s="0" t="str">
        <f aca="false">IF(AB152="","",IF(AB152&gt;=0.5+Config!$B$6,"OVER",IF(AC152&gt;=0.5+Config!$B$6,"UNDER","—")))</f>
        <v>OVER</v>
      </c>
      <c r="AE152" s="13" t="n">
        <f aca="false">IFERROR(Z152/G152,"")</f>
        <v>0.987827728517463</v>
      </c>
    </row>
    <row r="153" customFormat="false" ht="15" hidden="false" customHeight="false" outlineLevel="0" collapsed="false">
      <c r="A153" s="0" t="s">
        <v>775</v>
      </c>
      <c r="B153" s="0" t="s">
        <v>785</v>
      </c>
      <c r="C153" s="0" t="s">
        <v>1071</v>
      </c>
      <c r="D153" s="0" t="s">
        <v>790</v>
      </c>
      <c r="E153" s="0" t="s">
        <v>893</v>
      </c>
      <c r="F153" s="0" t="n">
        <v>16.5</v>
      </c>
      <c r="G153" s="11" t="n">
        <f aca="false">IFERROR(INDEX(CHOOSE(MATCH($X153,{"K1","K2","K3","K12","K13","H1","H2","H3","H12","H13"},0),Calc!$V$2:$V$105,Calc!$AC$2:$AC$105,Calc!$AJ$2:$AJ$105,Calc!$AL$2:$AL$105,Calc!$AM$2:$AM$105,Calc!$W$2:$W$105,Calc!$AD$2:$AD$105,Calc!$AK$2:$AK$105,Calc!$AN$2:$AN$105,Calc!$AO$2:$AO$105),MATCH($W153,Calc!$A$2:$A$105,0)),"")</f>
        <v>16.5439518954545</v>
      </c>
      <c r="H153" s="11" t="n">
        <f aca="false">IF(G153="","",IF(LEFT($X153,1)="H",SQRT(G153*(IFERROR(INDEX(Calc!$AP$2:$AP$105,MATCH($W153,Calc!$A$2:$A$105,0)),0.5)*Config!$B$5+1-IFERROR(INDEX(Calc!$AP$2:$AP$105,MATCH($W153,Calc!$A$2:$A$105,0)),0.5))),SQRT(G153*Config!$B$5)))</f>
        <v>4.53169336624172</v>
      </c>
      <c r="I153" s="10" t="n">
        <f aca="false">IF(OR(F153="",G153="",N(H153)&lt;=0),"",1-NORMDIST(FLOOR(F153,1)+0.5,G153,H153,TRUE()))</f>
        <v>0.503869192615218</v>
      </c>
      <c r="J153" s="10" t="n">
        <f aca="false">IF(I153="","",NORMDIST(CEILING(F153,1)-0.5,G153,H153,TRUE()))</f>
        <v>0.496130807384782</v>
      </c>
      <c r="K153" s="10" t="n">
        <f aca="false">IF(I153="","",MAX(0,1-I153-J153))</f>
        <v>0</v>
      </c>
      <c r="L153" s="0" t="str">
        <f aca="false">IF(I153="","",IF(I153&gt;=0.5+Config!$B$6,"OVER",IF(J153&gt;=0.5+Config!$B$6,"UNDER","—")))</f>
        <v>—</v>
      </c>
      <c r="N153" s="0" t="n">
        <v>17.3</v>
      </c>
      <c r="O153" s="10" t="n">
        <v>0.8</v>
      </c>
      <c r="P153" s="10" t="n">
        <v>0.7</v>
      </c>
      <c r="Q153" s="10" t="n">
        <v>0.53</v>
      </c>
      <c r="R153" s="9" t="s">
        <v>971</v>
      </c>
      <c r="S153" s="0" t="n">
        <v>-1</v>
      </c>
      <c r="T153" s="0" t="str">
        <f aca="false">INDEX(Calc!$G$2:$G$105,MATCH($W153,Calc!$A$2:$A$105,0))&amp;" / "&amp;INDEX(Calc!$H$2:$H$105,MATCH($W153,Calc!$A$2:$A$105,0))</f>
        <v>Ancient / Dust2</v>
      </c>
      <c r="U153" s="0" t="str">
        <f aca="false">TEXT(INDEX(Calc!$J$2:$J$105,MATCH($W153,Calc!$A$2:$A$105,0)),"0.0")&amp;" / "&amp;TEXT(INDEX(Calc!$K$2:$K$105,MATCH($W153,Calc!$A$2:$A$105,0)),"0.0")</f>
        <v>21.5 / 21.4</v>
      </c>
      <c r="V153" s="0" t="str">
        <f aca="false">IFERROR(INDEX(Calc!$AQ$2:$AQ$105,MATCH($W153,Calc!$A$2:$A$105,0)),"")</f>
        <v/>
      </c>
      <c r="W153" s="9" t="s">
        <v>1072</v>
      </c>
      <c r="X153" s="9" t="s">
        <v>896</v>
      </c>
      <c r="Y153" s="0" t="str">
        <f aca="false">W153&amp;"|"&amp;X153</f>
        <v>7ktwlxlmswh9ifd|CS2 · PRIV vs ALL|H12</v>
      </c>
      <c r="Z153" s="11" t="n">
        <f aca="false">IFERROR(INDEX(CHOOSE(MATCH($X153,{"K1","K2","K3","K12","K13","H1","H2","H3","H12","H13"},0),Calc!$BA$2:$BA$105,Calc!$BB$2:$BB$105,Calc!$BC$2:$BC$105,Calc!$BD$2:$BD$105,Calc!$BE$2:$BE$105,Calc!$BF$2:$BF$105,Calc!$BG$2:$BG$105,Calc!$BH$2:$BH$105,Calc!$BI$2:$BI$105,Calc!$BJ$2:$BJ$105),MATCH($W153,Calc!$A$2:$A$105,0)),"")</f>
        <v>16.3475714228221</v>
      </c>
      <c r="AA153" s="11" t="n">
        <f aca="false">IF(Z153="","",IF(LEFT($X153,1)="H",SQRT(Z153*(IFERROR(INDEX(Calc!$AP$2:$AP$105,MATCH($W153,Calc!$A$2:$A$105,0)),0.5)*Config!$B$5+1-IFERROR(INDEX(Calc!$AP$2:$AP$105,MATCH($W153,Calc!$A$2:$A$105,0)),0.5))),SQRT(Z153*Config!$B$5)))</f>
        <v>4.50471695763663</v>
      </c>
      <c r="AB153" s="10" t="n">
        <f aca="false">IF(OR(F153="",Z153="",N(AA153)&lt;=0),"",1-NORMDIST(FLOOR(F153,1)+0.5,Z153,AA153,TRUE()))</f>
        <v>0.486503346972897</v>
      </c>
      <c r="AC153" s="10" t="n">
        <f aca="false">IF(AB153="","",NORMDIST(CEILING(F153,1)-0.5,Z153,AA153,TRUE()))</f>
        <v>0.513496653027104</v>
      </c>
      <c r="AD153" s="0" t="str">
        <f aca="false">IF(AB153="","",IF(AB153&gt;=0.5+Config!$B$6,"OVER",IF(AC153&gt;=0.5+Config!$B$6,"UNDER","—")))</f>
        <v>—</v>
      </c>
      <c r="AE153" s="13" t="n">
        <f aca="false">IFERROR(Z153/G153,"")</f>
        <v>0.988129772506993</v>
      </c>
    </row>
    <row r="154" customFormat="false" ht="15" hidden="false" customHeight="false" outlineLevel="0" collapsed="false">
      <c r="A154" s="0" t="s">
        <v>775</v>
      </c>
      <c r="B154" s="0" t="s">
        <v>785</v>
      </c>
      <c r="C154" s="0" t="s">
        <v>1071</v>
      </c>
      <c r="D154" s="0" t="s">
        <v>790</v>
      </c>
      <c r="E154" s="0" t="s">
        <v>888</v>
      </c>
      <c r="F154" s="0" t="n">
        <v>26.5</v>
      </c>
      <c r="G154" s="11" t="n">
        <f aca="false">IFERROR(INDEX(CHOOSE(MATCH($X154,{"K1","K2","K3","K12","K13","H1","H2","H3","H12","H13"},0),Calc!$V$2:$V$105,Calc!$AC$2:$AC$105,Calc!$AJ$2:$AJ$105,Calc!$AL$2:$AL$105,Calc!$AM$2:$AM$105,Calc!$W$2:$W$105,Calc!$AD$2:$AD$105,Calc!$AK$2:$AK$105,Calc!$AN$2:$AN$105,Calc!$AO$2:$AO$105),MATCH($W154,Calc!$A$2:$A$105,0)),"")</f>
        <v>27.4230727272727</v>
      </c>
      <c r="H154" s="11" t="n">
        <f aca="false">IF(G154="","",IF(LEFT($X154,1)="H",SQRT(G154*(IFERROR(INDEX(Calc!$AP$2:$AP$105,MATCH($W154,Calc!$A$2:$A$105,0)),0.5)*Config!$B$5+1-IFERROR(INDEX(Calc!$AP$2:$AP$105,MATCH($W154,Calc!$A$2:$A$105,0)),0.5))),SQRT(G154*Config!$B$5)))</f>
        <v>6.19615217842346</v>
      </c>
      <c r="I154" s="10" t="n">
        <f aca="false">IF(OR(F154="",G154="",N(H154)&lt;=0),"",1-NORMDIST(FLOOR(F154,1)+0.5,G154,H154,TRUE()))</f>
        <v>0.559213380946141</v>
      </c>
      <c r="J154" s="10" t="n">
        <f aca="false">IF(I154="","",NORMDIST(CEILING(F154,1)-0.5,G154,H154,TRUE()))</f>
        <v>0.440786619053859</v>
      </c>
      <c r="K154" s="10" t="n">
        <f aca="false">IF(I154="","",MAX(0,1-I154-J154))</f>
        <v>0</v>
      </c>
      <c r="L154" s="0" t="str">
        <f aca="false">IF(I154="","",IF(I154&gt;=0.5+Config!$B$6,"OVER",IF(J154&gt;=0.5+Config!$B$6,"UNDER","—")))</f>
        <v>OVER</v>
      </c>
      <c r="N154" s="0" t="n">
        <v>28</v>
      </c>
      <c r="O154" s="10" t="n">
        <v>0.4</v>
      </c>
      <c r="P154" s="10" t="n">
        <v>0.5</v>
      </c>
      <c r="Q154" s="10" t="n">
        <v>0.47</v>
      </c>
      <c r="R154" s="9" t="s">
        <v>971</v>
      </c>
      <c r="S154" s="0" t="n">
        <v>-2</v>
      </c>
      <c r="T154" s="0" t="str">
        <f aca="false">INDEX(Calc!$G$2:$G$105,MATCH($W154,Calc!$A$2:$A$105,0))&amp;" / "&amp;INDEX(Calc!$H$2:$H$105,MATCH($W154,Calc!$A$2:$A$105,0))</f>
        <v>Ancient / Dust2</v>
      </c>
      <c r="U154" s="0" t="str">
        <f aca="false">TEXT(INDEX(Calc!$J$2:$J$105,MATCH($W154,Calc!$A$2:$A$105,0)),"0.0")&amp;" / "&amp;TEXT(INDEX(Calc!$K$2:$K$105,MATCH($W154,Calc!$A$2:$A$105,0)),"0.0")</f>
        <v>21.5 / 21.4</v>
      </c>
      <c r="V154" s="0" t="str">
        <f aca="false">IFERROR(INDEX(Calc!$AQ$2:$AQ$105,MATCH($W154,Calc!$A$2:$A$105,0)),"")</f>
        <v/>
      </c>
      <c r="W154" s="9" t="s">
        <v>1072</v>
      </c>
      <c r="X154" s="9" t="s">
        <v>891</v>
      </c>
      <c r="Y154" s="0" t="str">
        <f aca="false">W154&amp;"|"&amp;X154</f>
        <v>7ktwlxlmswh9ifd|CS2 · PRIV vs ALL|K12</v>
      </c>
      <c r="Z154" s="11" t="n">
        <f aca="false">IFERROR(INDEX(CHOOSE(MATCH($X154,{"K1","K2","K3","K12","K13","H1","H2","H3","H12","H13"},0),Calc!$BA$2:$BA$105,Calc!$BB$2:$BB$105,Calc!$BC$2:$BC$105,Calc!$BD$2:$BD$105,Calc!$BE$2:$BE$105,Calc!$BF$2:$BF$105,Calc!$BG$2:$BG$105,Calc!$BH$2:$BH$105,Calc!$BI$2:$BI$105,Calc!$BJ$2:$BJ$105),MATCH($W154,Calc!$A$2:$A$105,0)),"")</f>
        <v>27.1004604469816</v>
      </c>
      <c r="AA154" s="11" t="n">
        <f aca="false">IF(Z154="","",IF(LEFT($X154,1)="H",SQRT(Z154*(IFERROR(INDEX(Calc!$AP$2:$AP$105,MATCH($W154,Calc!$A$2:$A$105,0)),0.5)*Config!$B$5+1-IFERROR(INDEX(Calc!$AP$2:$AP$105,MATCH($W154,Calc!$A$2:$A$105,0)),0.5))),SQRT(Z154*Config!$B$5)))</f>
        <v>6.15959776493354</v>
      </c>
      <c r="AB154" s="10" t="n">
        <f aca="false">IF(OR(F154="",Z154="",N(AA154)&lt;=0),"",1-NORMDIST(FLOOR(F154,1)+0.5,Z154,AA154,TRUE()))</f>
        <v>0.538828865231607</v>
      </c>
      <c r="AC154" s="10" t="n">
        <f aca="false">IF(AB154="","",NORMDIST(CEILING(F154,1)-0.5,Z154,AA154,TRUE()))</f>
        <v>0.461171134768393</v>
      </c>
      <c r="AD154" s="0" t="str">
        <f aca="false">IF(AB154="","",IF(AB154&gt;=0.5+Config!$B$6,"OVER",IF(AC154&gt;=0.5+Config!$B$6,"UNDER","—")))</f>
        <v>—</v>
      </c>
      <c r="AE154" s="13" t="n">
        <f aca="false">IFERROR(Z154/G154,"")</f>
        <v>0.988235735524623</v>
      </c>
    </row>
    <row r="155" customFormat="false" ht="15" hidden="false" customHeight="false" outlineLevel="0" collapsed="false">
      <c r="A155" s="0" t="s">
        <v>775</v>
      </c>
      <c r="B155" s="0" t="s">
        <v>785</v>
      </c>
      <c r="C155" s="0" t="s">
        <v>1073</v>
      </c>
      <c r="D155" s="0" t="s">
        <v>790</v>
      </c>
      <c r="E155" s="0" t="s">
        <v>893</v>
      </c>
      <c r="F155" s="0" t="n">
        <v>16.5</v>
      </c>
      <c r="G155" s="11" t="n">
        <f aca="false">IFERROR(INDEX(CHOOSE(MATCH($X155,{"K1","K2","K3","K12","K13","H1","H2","H3","H12","H13"},0),Calc!$V$2:$V$105,Calc!$AC$2:$AC$105,Calc!$AJ$2:$AJ$105,Calc!$AL$2:$AL$105,Calc!$AM$2:$AM$105,Calc!$W$2:$W$105,Calc!$AD$2:$AD$105,Calc!$AK$2:$AK$105,Calc!$AN$2:$AN$105,Calc!$AO$2:$AO$105),MATCH($W155,Calc!$A$2:$A$105,0)),"")</f>
        <v>17.3877404352617</v>
      </c>
      <c r="H155" s="11" t="n">
        <f aca="false">IF(G155="","",IF(LEFT($X155,1)="H",SQRT(G155*(IFERROR(INDEX(Calc!$AP$2:$AP$105,MATCH($W155,Calc!$A$2:$A$105,0)),0.5)*Config!$B$5+1-IFERROR(INDEX(Calc!$AP$2:$AP$105,MATCH($W155,Calc!$A$2:$A$105,0)),0.5))),SQRT(G155*Config!$B$5)))</f>
        <v>4.62930663706127</v>
      </c>
      <c r="I155" s="10" t="n">
        <f aca="false">IF(OR(F155="",G155="",N(H155)&lt;=0),"",1-NORMDIST(FLOOR(F155,1)+0.5,G155,H155,TRUE()))</f>
        <v>0.576036978486489</v>
      </c>
      <c r="J155" s="10" t="n">
        <f aca="false">IF(I155="","",NORMDIST(CEILING(F155,1)-0.5,G155,H155,TRUE()))</f>
        <v>0.423963021513511</v>
      </c>
      <c r="K155" s="10" t="n">
        <f aca="false">IF(I155="","",MAX(0,1-I155-J155))</f>
        <v>0</v>
      </c>
      <c r="L155" s="0" t="str">
        <f aca="false">IF(I155="","",IF(I155&gt;=0.5+Config!$B$6,"OVER",IF(J155&gt;=0.5+Config!$B$6,"UNDER","—")))</f>
        <v>OVER</v>
      </c>
      <c r="N155" s="0" t="n">
        <v>18</v>
      </c>
      <c r="O155" s="10" t="n">
        <v>0.8</v>
      </c>
      <c r="P155" s="10" t="n">
        <v>0.6</v>
      </c>
      <c r="Q155" s="10" t="n">
        <v>0.6</v>
      </c>
      <c r="R155" s="9" t="s">
        <v>971</v>
      </c>
      <c r="S155" s="0" t="n">
        <v>3</v>
      </c>
      <c r="T155" s="0" t="str">
        <f aca="false">INDEX(Calc!$G$2:$G$105,MATCH($W155,Calc!$A$2:$A$105,0))&amp;" / "&amp;INDEX(Calc!$H$2:$H$105,MATCH($W155,Calc!$A$2:$A$105,0))</f>
        <v>Ancient / Dust2</v>
      </c>
      <c r="U155" s="0" t="str">
        <f aca="false">TEXT(INDEX(Calc!$J$2:$J$105,MATCH($W155,Calc!$A$2:$A$105,0)),"0.0")&amp;" / "&amp;TEXT(INDEX(Calc!$K$2:$K$105,MATCH($W155,Calc!$A$2:$A$105,0)),"0.0")</f>
        <v>21.5 / 21.4</v>
      </c>
      <c r="V155" s="0" t="str">
        <f aca="false">IFERROR(INDEX(Calc!$AQ$2:$AQ$105,MATCH($W155,Calc!$A$2:$A$105,0)),"")</f>
        <v/>
      </c>
      <c r="W155" s="9" t="s">
        <v>1074</v>
      </c>
      <c r="X155" s="9" t="s">
        <v>896</v>
      </c>
      <c r="Y155" s="0" t="str">
        <f aca="false">W155&amp;"|"&amp;X155</f>
        <v>sqc0ysaaur7o8rm|CS2 · PRIV vs ALL|H12</v>
      </c>
      <c r="Z155" s="11" t="n">
        <f aca="false">IFERROR(INDEX(CHOOSE(MATCH($X155,{"K1","K2","K3","K12","K13","H1","H2","H3","H12","H13"},0),Calc!$BA$2:$BA$105,Calc!$BB$2:$BB$105,Calc!$BC$2:$BC$105,Calc!$BD$2:$BD$105,Calc!$BE$2:$BE$105,Calc!$BF$2:$BF$105,Calc!$BG$2:$BG$105,Calc!$BH$2:$BH$105,Calc!$BI$2:$BI$105,Calc!$BJ$2:$BJ$105),MATCH($W155,Calc!$A$2:$A$105,0)),"")</f>
        <v>17.1958336304902</v>
      </c>
      <c r="AA155" s="11" t="n">
        <f aca="false">IF(Z155="","",IF(LEFT($X155,1)="H",SQRT(Z155*(IFERROR(INDEX(Calc!$AP$2:$AP$105,MATCH($W155,Calc!$A$2:$A$105,0)),0.5)*Config!$B$5+1-IFERROR(INDEX(Calc!$AP$2:$AP$105,MATCH($W155,Calc!$A$2:$A$105,0)),0.5))),SQRT(Z155*Config!$B$5)))</f>
        <v>4.603689152338</v>
      </c>
      <c r="AB155" s="10" t="n">
        <f aca="false">IF(OR(F155="",Z155="",N(AA155)&lt;=0),"",1-NORMDIST(FLOOR(F155,1)+0.5,Z155,AA155,TRUE()))</f>
        <v>0.56007010625078</v>
      </c>
      <c r="AC155" s="10" t="n">
        <f aca="false">IF(AB155="","",NORMDIST(CEILING(F155,1)-0.5,Z155,AA155,TRUE()))</f>
        <v>0.43992989374922</v>
      </c>
      <c r="AD155" s="0" t="str">
        <f aca="false">IF(AB155="","",IF(AB155&gt;=0.5+Config!$B$6,"OVER",IF(AC155&gt;=0.5+Config!$B$6,"UNDER","—")))</f>
        <v>OVER</v>
      </c>
      <c r="AE155" s="13" t="n">
        <f aca="false">IFERROR(Z155/G155,"")</f>
        <v>0.988963096988593</v>
      </c>
    </row>
    <row r="156" customFormat="false" ht="15" hidden="false" customHeight="false" outlineLevel="0" collapsed="false">
      <c r="A156" s="0" t="s">
        <v>775</v>
      </c>
      <c r="B156" s="0" t="s">
        <v>785</v>
      </c>
      <c r="C156" s="0" t="s">
        <v>1073</v>
      </c>
      <c r="D156" s="0" t="s">
        <v>790</v>
      </c>
      <c r="E156" s="0" t="s">
        <v>888</v>
      </c>
      <c r="F156" s="0" t="n">
        <v>28.5</v>
      </c>
      <c r="G156" s="11" t="n">
        <f aca="false">IFERROR(INDEX(CHOOSE(MATCH($X156,{"K1","K2","K3","K12","K13","H1","H2","H3","H12","H13"},0),Calc!$V$2:$V$105,Calc!$AC$2:$AC$105,Calc!$AJ$2:$AJ$105,Calc!$AL$2:$AL$105,Calc!$AM$2:$AM$105,Calc!$W$2:$W$105,Calc!$AD$2:$AD$105,Calc!$AK$2:$AK$105,Calc!$AN$2:$AN$105,Calc!$AO$2:$AO$105),MATCH($W156,Calc!$A$2:$A$105,0)),"")</f>
        <v>29.9137272727273</v>
      </c>
      <c r="H156" s="11" t="n">
        <f aca="false">IF(G156="","",IF(LEFT($X156,1)="H",SQRT(G156*(IFERROR(INDEX(Calc!$AP$2:$AP$105,MATCH($W156,Calc!$A$2:$A$105,0)),0.5)*Config!$B$5+1-IFERROR(INDEX(Calc!$AP$2:$AP$105,MATCH($W156,Calc!$A$2:$A$105,0)),0.5))),SQRT(G156*Config!$B$5)))</f>
        <v>6.47141546972671</v>
      </c>
      <c r="I156" s="10" t="n">
        <f aca="false">IF(OR(F156="",G156="",N(H156)&lt;=0),"",1-NORMDIST(FLOOR(F156,1)+0.5,G156,H156,TRUE()))</f>
        <v>0.586463546944594</v>
      </c>
      <c r="J156" s="10" t="n">
        <f aca="false">IF(I156="","",NORMDIST(CEILING(F156,1)-0.5,G156,H156,TRUE()))</f>
        <v>0.413536453055407</v>
      </c>
      <c r="K156" s="10" t="n">
        <f aca="false">IF(I156="","",MAX(0,1-I156-J156))</f>
        <v>0</v>
      </c>
      <c r="L156" s="0" t="str">
        <f aca="false">IF(I156="","",IF(I156&gt;=0.5+Config!$B$6,"OVER",IF(J156&gt;=0.5+Config!$B$6,"UNDER","—")))</f>
        <v>OVER</v>
      </c>
      <c r="N156" s="0" t="n">
        <v>31.2</v>
      </c>
      <c r="O156" s="10" t="n">
        <v>0.6</v>
      </c>
      <c r="P156" s="10" t="n">
        <v>0.5</v>
      </c>
      <c r="Q156" s="10" t="n">
        <v>0.6</v>
      </c>
      <c r="R156" s="9" t="s">
        <v>971</v>
      </c>
      <c r="S156" s="0" t="n">
        <v>-1</v>
      </c>
      <c r="T156" s="0" t="str">
        <f aca="false">INDEX(Calc!$G$2:$G$105,MATCH($W156,Calc!$A$2:$A$105,0))&amp;" / "&amp;INDEX(Calc!$H$2:$H$105,MATCH($W156,Calc!$A$2:$A$105,0))</f>
        <v>Ancient / Dust2</v>
      </c>
      <c r="U156" s="0" t="str">
        <f aca="false">TEXT(INDEX(Calc!$J$2:$J$105,MATCH($W156,Calc!$A$2:$A$105,0)),"0.0")&amp;" / "&amp;TEXT(INDEX(Calc!$K$2:$K$105,MATCH($W156,Calc!$A$2:$A$105,0)),"0.0")</f>
        <v>21.5 / 21.4</v>
      </c>
      <c r="V156" s="0" t="str">
        <f aca="false">IFERROR(INDEX(Calc!$AQ$2:$AQ$105,MATCH($W156,Calc!$A$2:$A$105,0)),"")</f>
        <v/>
      </c>
      <c r="W156" s="9" t="s">
        <v>1074</v>
      </c>
      <c r="X156" s="9" t="s">
        <v>891</v>
      </c>
      <c r="Y156" s="0" t="str">
        <f aca="false">W156&amp;"|"&amp;X156</f>
        <v>sqc0ysaaur7o8rm|CS2 · PRIV vs ALL|K12</v>
      </c>
      <c r="Z156" s="11" t="n">
        <f aca="false">IFERROR(INDEX(CHOOSE(MATCH($X156,{"K1","K2","K3","K12","K13","H1","H2","H3","H12","H13"},0),Calc!$BA$2:$BA$105,Calc!$BB$2:$BB$105,Calc!$BC$2:$BC$105,Calc!$BD$2:$BD$105,Calc!$BE$2:$BE$105,Calc!$BF$2:$BF$105,Calc!$BG$2:$BG$105,Calc!$BH$2:$BH$105,Calc!$BI$2:$BI$105,Calc!$BJ$2:$BJ$105),MATCH($W156,Calc!$A$2:$A$105,0)),"")</f>
        <v>29.5880832343417</v>
      </c>
      <c r="AA156" s="11" t="n">
        <f aca="false">IF(Z156="","",IF(LEFT($X156,1)="H",SQRT(Z156*(IFERROR(INDEX(Calc!$AP$2:$AP$105,MATCH($W156,Calc!$A$2:$A$105,0)),0.5)*Config!$B$5+1-IFERROR(INDEX(Calc!$AP$2:$AP$105,MATCH($W156,Calc!$A$2:$A$105,0)),0.5))),SQRT(Z156*Config!$B$5)))</f>
        <v>6.43609481969295</v>
      </c>
      <c r="AB156" s="10" t="n">
        <f aca="false">IF(OR(F156="",Z156="",N(AA156)&lt;=0),"",1-NORMDIST(FLOOR(F156,1)+0.5,Z156,AA156,TRUE()))</f>
        <v>0.567125095700376</v>
      </c>
      <c r="AC156" s="10" t="n">
        <f aca="false">IF(AB156="","",NORMDIST(CEILING(F156,1)-0.5,Z156,AA156,TRUE()))</f>
        <v>0.432874904299624</v>
      </c>
      <c r="AD156" s="0" t="str">
        <f aca="false">IF(AB156="","",IF(AB156&gt;=0.5+Config!$B$6,"OVER",IF(AC156&gt;=0.5+Config!$B$6,"UNDER","—")))</f>
        <v>OVER</v>
      </c>
      <c r="AE156" s="13" t="n">
        <f aca="false">IFERROR(Z156/G156,"")</f>
        <v>0.989113892915564</v>
      </c>
    </row>
    <row r="157" customFormat="false" ht="15" hidden="false" customHeight="false" outlineLevel="0" collapsed="false">
      <c r="A157" s="0" t="s">
        <v>775</v>
      </c>
      <c r="B157" s="0" t="s">
        <v>785</v>
      </c>
      <c r="C157" s="0" t="s">
        <v>1075</v>
      </c>
      <c r="D157" s="0" t="s">
        <v>790</v>
      </c>
      <c r="E157" s="0" t="s">
        <v>888</v>
      </c>
      <c r="F157" s="0" t="n">
        <v>30.5</v>
      </c>
      <c r="G157" s="11" t="n">
        <f aca="false">IFERROR(INDEX(CHOOSE(MATCH($X157,{"K1","K2","K3","K12","K13","H1","H2","H3","H12","H13"},0),Calc!$V$2:$V$105,Calc!$AC$2:$AC$105,Calc!$AJ$2:$AJ$105,Calc!$AL$2:$AL$105,Calc!$AM$2:$AM$105,Calc!$W$2:$W$105,Calc!$AD$2:$AD$105,Calc!$AK$2:$AK$105,Calc!$AN$2:$AN$105,Calc!$AO$2:$AO$105),MATCH($W157,Calc!$A$2:$A$105,0)),"")</f>
        <v>33.4789636363636</v>
      </c>
      <c r="H157" s="11" t="n">
        <f aca="false">IF(G157="","",IF(LEFT($X157,1)="H",SQRT(G157*(IFERROR(INDEX(Calc!$AP$2:$AP$105,MATCH($W157,Calc!$A$2:$A$105,0)),0.5)*Config!$B$5+1-IFERROR(INDEX(Calc!$AP$2:$AP$105,MATCH($W157,Calc!$A$2:$A$105,0)),0.5))),SQRT(G157*Config!$B$5)))</f>
        <v>6.84620691265675</v>
      </c>
      <c r="I157" s="10" t="n">
        <f aca="false">IF(OR(F157="",G157="",N(H157)&lt;=0),"",1-NORMDIST(FLOOR(F157,1)+0.5,G157,H157,TRUE()))</f>
        <v>0.66826456734044</v>
      </c>
      <c r="J157" s="10" t="n">
        <f aca="false">IF(I157="","",NORMDIST(CEILING(F157,1)-0.5,G157,H157,TRUE()))</f>
        <v>0.33173543265956</v>
      </c>
      <c r="K157" s="10" t="n">
        <f aca="false">IF(I157="","",MAX(0,1-I157-J157))</f>
        <v>0</v>
      </c>
      <c r="L157" s="0" t="str">
        <f aca="false">IF(I157="","",IF(I157&gt;=0.5+Config!$B$6,"OVER",IF(J157&gt;=0.5+Config!$B$6,"UNDER","—")))</f>
        <v>OVER</v>
      </c>
      <c r="N157" s="0" t="n">
        <v>32.1</v>
      </c>
      <c r="O157" s="10" t="n">
        <v>0.6</v>
      </c>
      <c r="P157" s="10" t="n">
        <v>0.6</v>
      </c>
      <c r="Q157" s="10" t="n">
        <v>0.53</v>
      </c>
      <c r="R157" s="9" t="s">
        <v>971</v>
      </c>
      <c r="S157" s="0" t="n">
        <v>-1</v>
      </c>
      <c r="T157" s="0" t="str">
        <f aca="false">INDEX(Calc!$G$2:$G$105,MATCH($W157,Calc!$A$2:$A$105,0))&amp;" / "&amp;INDEX(Calc!$H$2:$H$105,MATCH($W157,Calc!$A$2:$A$105,0))</f>
        <v>Ancient / Dust2</v>
      </c>
      <c r="U157" s="0" t="str">
        <f aca="false">TEXT(INDEX(Calc!$J$2:$J$105,MATCH($W157,Calc!$A$2:$A$105,0)),"0.0")&amp;" / "&amp;TEXT(INDEX(Calc!$K$2:$K$105,MATCH($W157,Calc!$A$2:$A$105,0)),"0.0")</f>
        <v>21.5 / 21.4</v>
      </c>
      <c r="V157" s="0" t="str">
        <f aca="false">IFERROR(INDEX(Calc!$AQ$2:$AQ$105,MATCH($W157,Calc!$A$2:$A$105,0)),"")</f>
        <v/>
      </c>
      <c r="W157" s="9" t="s">
        <v>1076</v>
      </c>
      <c r="X157" s="9" t="s">
        <v>891</v>
      </c>
      <c r="Y157" s="0" t="str">
        <f aca="false">W157&amp;"|"&amp;X157</f>
        <v>m5gpzgv9dxw9wy5|CS2 · PRIV vs ALL|K12</v>
      </c>
      <c r="Z157" s="11" t="n">
        <f aca="false">IFERROR(INDEX(CHOOSE(MATCH($X157,{"K1","K2","K3","K12","K13","H1","H2","H3","H12","H13"},0),Calc!$BA$2:$BA$105,Calc!$BB$2:$BB$105,Calc!$BC$2:$BC$105,Calc!$BD$2:$BD$105,Calc!$BE$2:$BE$105,Calc!$BF$2:$BF$105,Calc!$BG$2:$BG$105,Calc!$BH$2:$BH$105,Calc!$BI$2:$BI$105,Calc!$BJ$2:$BJ$105),MATCH($W157,Calc!$A$2:$A$105,0)),"")</f>
        <v>33.0811125438559</v>
      </c>
      <c r="AA157" s="11" t="n">
        <f aca="false">IF(Z157="","",IF(LEFT($X157,1)="H",SQRT(Z157*(IFERROR(INDEX(Calc!$AP$2:$AP$105,MATCH($W157,Calc!$A$2:$A$105,0)),0.5)*Config!$B$5+1-IFERROR(INDEX(Calc!$AP$2:$AP$105,MATCH($W157,Calc!$A$2:$A$105,0)),0.5))),SQRT(Z157*Config!$B$5)))</f>
        <v>6.80540649494196</v>
      </c>
      <c r="AB157" s="10" t="n">
        <f aca="false">IF(OR(F157="",Z157="",N(AA157)&lt;=0),"",1-NORMDIST(FLOOR(F157,1)+0.5,Z157,AA157,TRUE()))</f>
        <v>0.647757732143987</v>
      </c>
      <c r="AC157" s="10" t="n">
        <f aca="false">IF(AB157="","",NORMDIST(CEILING(F157,1)-0.5,Z157,AA157,TRUE()))</f>
        <v>0.352242267856013</v>
      </c>
      <c r="AD157" s="0" t="str">
        <f aca="false">IF(AB157="","",IF(AB157&gt;=0.5+Config!$B$6,"OVER",IF(AC157&gt;=0.5+Config!$B$6,"UNDER","—")))</f>
        <v>OVER</v>
      </c>
      <c r="AE157" s="13" t="n">
        <f aca="false">IFERROR(Z157/G157,"")</f>
        <v>0.98811638565551</v>
      </c>
    </row>
    <row r="158" customFormat="false" ht="15" hidden="false" customHeight="false" outlineLevel="0" collapsed="false">
      <c r="A158" s="0" t="s">
        <v>775</v>
      </c>
      <c r="B158" s="0" t="s">
        <v>830</v>
      </c>
      <c r="C158" s="0" t="s">
        <v>1077</v>
      </c>
      <c r="D158" s="0" t="s">
        <v>833</v>
      </c>
      <c r="E158" s="0" t="s">
        <v>893</v>
      </c>
      <c r="F158" s="0" t="n">
        <v>16</v>
      </c>
      <c r="G158" s="11" t="n">
        <f aca="false">IFERROR(INDEX(CHOOSE(MATCH($X158,{"K1","K2","K3","K12","K13","H1","H2","H3","H12","H13"},0),Calc!$V$2:$V$105,Calc!$AC$2:$AC$105,Calc!$AJ$2:$AJ$105,Calc!$AL$2:$AL$105,Calc!$AM$2:$AM$105,Calc!$W$2:$W$105,Calc!$AD$2:$AD$105,Calc!$AK$2:$AK$105,Calc!$AN$2:$AN$105,Calc!$AO$2:$AO$105),MATCH($W158,Calc!$A$2:$A$105,0)),"")</f>
        <v>16.1304128691358</v>
      </c>
      <c r="H158" s="11" t="n">
        <f aca="false">IF(G158="","",IF(LEFT($X158,1)="H",SQRT(G158*(IFERROR(INDEX(Calc!$AP$2:$AP$105,MATCH($W158,Calc!$A$2:$A$105,0)),0.5)*Config!$B$5+1-IFERROR(INDEX(Calc!$AP$2:$AP$105,MATCH($W158,Calc!$A$2:$A$105,0)),0.5))),SQRT(G158*Config!$B$5)))</f>
        <v>4.39901550214551</v>
      </c>
      <c r="I158" s="10" t="n">
        <f aca="false">IF(OR(F158="",G158="",N(H158)&lt;=0),"",1-NORMDIST(FLOOR(F158,1)+0.5,G158,H158,TRUE()))</f>
        <v>0.466521905498554</v>
      </c>
      <c r="J158" s="10" t="n">
        <f aca="false">IF(I158="","",NORMDIST(CEILING(F158,1)-0.5,G158,H158,TRUE()))</f>
        <v>0.443023580685674</v>
      </c>
      <c r="K158" s="10" t="n">
        <f aca="false">IF(I158="","",MAX(0,1-I158-J158))</f>
        <v>0.0904545138157711</v>
      </c>
      <c r="L158" s="0" t="str">
        <f aca="false">IF(I158="","",IF(I158&gt;=0.5+Config!$B$6,"OVER",IF(J158&gt;=0.5+Config!$B$6,"UNDER","—")))</f>
        <v>—</v>
      </c>
      <c r="N158" s="0" t="n">
        <v>17</v>
      </c>
      <c r="O158" s="10" t="n">
        <v>0.6</v>
      </c>
      <c r="P158" s="10" t="n">
        <v>0.7</v>
      </c>
      <c r="Q158" s="10" t="n">
        <v>0.6</v>
      </c>
      <c r="R158" s="9" t="s">
        <v>889</v>
      </c>
      <c r="S158" s="0" t="n">
        <v>3</v>
      </c>
      <c r="T158" s="0" t="str">
        <f aca="false">INDEX(Calc!$G$2:$G$105,MATCH($W158,Calc!$A$2:$A$105,0))&amp;" / "&amp;INDEX(Calc!$H$2:$H$105,MATCH($W158,Calc!$A$2:$A$105,0))</f>
        <v>Cache / Nuke</v>
      </c>
      <c r="U158" s="0" t="str">
        <f aca="false">TEXT(INDEX(Calc!$J$2:$J$105,MATCH($W158,Calc!$A$2:$A$105,0)),"0.0")&amp;" / "&amp;TEXT(INDEX(Calc!$K$2:$K$105,MATCH($W158,Calc!$A$2:$A$105,0)),"0.0")</f>
        <v>21.2 / 21.1</v>
      </c>
      <c r="V158" s="0" t="str">
        <f aca="false">IFERROR(INDEX(Calc!$AQ$2:$AQ$105,MATCH($W158,Calc!$A$2:$A$105,0)),"")</f>
        <v/>
      </c>
      <c r="W158" s="9" t="s">
        <v>1078</v>
      </c>
      <c r="X158" s="9" t="s">
        <v>896</v>
      </c>
      <c r="Y158" s="0" t="str">
        <f aca="false">W158&amp;"|"&amp;X158</f>
        <v>xvvfmhrcbb80sbg|CS2 · SAW vs SIN|H12</v>
      </c>
      <c r="Z158" s="11" t="n">
        <f aca="false">IFERROR(INDEX(CHOOSE(MATCH($X158,{"K1","K2","K3","K12","K13","H1","H2","H3","H12","H13"},0),Calc!$BA$2:$BA$105,Calc!$BB$2:$BB$105,Calc!$BC$2:$BC$105,Calc!$BD$2:$BD$105,Calc!$BE$2:$BE$105,Calc!$BF$2:$BF$105,Calc!$BG$2:$BG$105,Calc!$BH$2:$BH$105,Calc!$BI$2:$BI$105,Calc!$BJ$2:$BJ$105),MATCH($W158,Calc!$A$2:$A$105,0)),"")</f>
        <v>15.3251537789043</v>
      </c>
      <c r="AA158" s="11" t="n">
        <f aca="false">IF(Z158="","",IF(LEFT($X158,1)="H",SQRT(Z158*(IFERROR(INDEX(Calc!$AP$2:$AP$105,MATCH($W158,Calc!$A$2:$A$105,0)),0.5)*Config!$B$5+1-IFERROR(INDEX(Calc!$AP$2:$AP$105,MATCH($W158,Calc!$A$2:$A$105,0)),0.5))),SQRT(Z158*Config!$B$5)))</f>
        <v>4.28780642976938</v>
      </c>
      <c r="AB158" s="10" t="n">
        <f aca="false">IF(OR(F158="",Z158="",N(AA158)&lt;=0),"",1-NORMDIST(FLOOR(F158,1)+0.5,Z158,AA158,TRUE()))</f>
        <v>0.392043452561651</v>
      </c>
      <c r="AC158" s="10" t="n">
        <f aca="false">IF(AB158="","",NORMDIST(CEILING(F158,1)-0.5,Z158,AA158,TRUE()))</f>
        <v>0.516263379655089</v>
      </c>
      <c r="AD158" s="0" t="str">
        <f aca="false">IF(AB158="","",IF(AB158&gt;=0.5+Config!$B$6,"OVER",IF(AC158&gt;=0.5+Config!$B$6,"UNDER","—")))</f>
        <v>—</v>
      </c>
      <c r="AE158" s="13" t="n">
        <f aca="false">IFERROR(Z158/G158,"")</f>
        <v>0.950078209605394</v>
      </c>
    </row>
    <row r="159" customFormat="false" ht="15" hidden="false" customHeight="false" outlineLevel="0" collapsed="false">
      <c r="A159" s="0" t="s">
        <v>775</v>
      </c>
      <c r="B159" s="0" t="s">
        <v>830</v>
      </c>
      <c r="C159" s="0" t="s">
        <v>1077</v>
      </c>
      <c r="D159" s="0" t="s">
        <v>833</v>
      </c>
      <c r="E159" s="0" t="s">
        <v>888</v>
      </c>
      <c r="F159" s="0" t="n">
        <v>29.5</v>
      </c>
      <c r="G159" s="11" t="n">
        <f aca="false">IFERROR(INDEX(CHOOSE(MATCH($X159,{"K1","K2","K3","K12","K13","H1","H2","H3","H12","H13"},0),Calc!$V$2:$V$105,Calc!$AC$2:$AC$105,Calc!$AJ$2:$AJ$105,Calc!$AL$2:$AL$105,Calc!$AM$2:$AM$105,Calc!$W$2:$W$105,Calc!$AD$2:$AD$105,Calc!$AK$2:$AK$105,Calc!$AN$2:$AN$105,Calc!$AO$2:$AO$105),MATCH($W159,Calc!$A$2:$A$105,0)),"")</f>
        <v>32.3124888888889</v>
      </c>
      <c r="H159" s="11" t="n">
        <f aca="false">IF(G159="","",IF(LEFT($X159,1)="H",SQRT(G159*(IFERROR(INDEX(Calc!$AP$2:$AP$105,MATCH($W159,Calc!$A$2:$A$105,0)),0.5)*Config!$B$5+1-IFERROR(INDEX(Calc!$AP$2:$AP$105,MATCH($W159,Calc!$A$2:$A$105,0)),0.5))),SQRT(G159*Config!$B$5)))</f>
        <v>6.72588168528442</v>
      </c>
      <c r="I159" s="10" t="n">
        <f aca="false">IF(OR(F159="",G159="",N(H159)&lt;=0),"",1-NORMDIST(FLOOR(F159,1)+0.5,G159,H159,TRUE()))</f>
        <v>0.66208461541303</v>
      </c>
      <c r="J159" s="10" t="n">
        <f aca="false">IF(I159="","",NORMDIST(CEILING(F159,1)-0.5,G159,H159,TRUE()))</f>
        <v>0.33791538458697</v>
      </c>
      <c r="K159" s="10" t="n">
        <f aca="false">IF(I159="","",MAX(0,1-I159-J159))</f>
        <v>0</v>
      </c>
      <c r="L159" s="0" t="str">
        <f aca="false">IF(I159="","",IF(I159&gt;=0.5+Config!$B$6,"OVER",IF(J159&gt;=0.5+Config!$B$6,"UNDER","—")))</f>
        <v>OVER</v>
      </c>
      <c r="M159" s="0" t="n">
        <v>28.5</v>
      </c>
      <c r="N159" s="0" t="n">
        <v>32.8</v>
      </c>
      <c r="O159" s="10" t="n">
        <v>0.4</v>
      </c>
      <c r="P159" s="10" t="n">
        <v>0.7</v>
      </c>
      <c r="Q159" s="10" t="n">
        <v>0.6</v>
      </c>
      <c r="R159" s="9" t="s">
        <v>889</v>
      </c>
      <c r="S159" s="0" t="n">
        <v>2</v>
      </c>
      <c r="T159" s="0" t="str">
        <f aca="false">INDEX(Calc!$G$2:$G$105,MATCH($W159,Calc!$A$2:$A$105,0))&amp;" / "&amp;INDEX(Calc!$H$2:$H$105,MATCH($W159,Calc!$A$2:$A$105,0))</f>
        <v>Cache / Nuke</v>
      </c>
      <c r="U159" s="0" t="str">
        <f aca="false">TEXT(INDEX(Calc!$J$2:$J$105,MATCH($W159,Calc!$A$2:$A$105,0)),"0.0")&amp;" / "&amp;TEXT(INDEX(Calc!$K$2:$K$105,MATCH($W159,Calc!$A$2:$A$105,0)),"0.0")</f>
        <v>21.2 / 21.1</v>
      </c>
      <c r="V159" s="0" t="str">
        <f aca="false">IFERROR(INDEX(Calc!$AQ$2:$AQ$105,MATCH($W159,Calc!$A$2:$A$105,0)),"")</f>
        <v/>
      </c>
      <c r="W159" s="9" t="s">
        <v>1078</v>
      </c>
      <c r="X159" s="9" t="s">
        <v>891</v>
      </c>
      <c r="Y159" s="0" t="str">
        <f aca="false">W159&amp;"|"&amp;X159</f>
        <v>xvvfmhrcbb80sbg|CS2 · SAW vs SIN|K12</v>
      </c>
      <c r="Z159" s="11" t="n">
        <f aca="false">IFERROR(INDEX(CHOOSE(MATCH($X159,{"K1","K2","K3","K12","K13","H1","H2","H3","H12","H13"},0),Calc!$BA$2:$BA$105,Calc!$BB$2:$BB$105,Calc!$BC$2:$BC$105,Calc!$BD$2:$BD$105,Calc!$BE$2:$BE$105,Calc!$BF$2:$BF$105,Calc!$BG$2:$BG$105,Calc!$BH$2:$BH$105,Calc!$BI$2:$BI$105,Calc!$BJ$2:$BJ$105),MATCH($W159,Calc!$A$2:$A$105,0)),"")</f>
        <v>30.7374577170548</v>
      </c>
      <c r="AA159" s="11" t="n">
        <f aca="false">IF(Z159="","",IF(LEFT($X159,1)="H",SQRT(Z159*(IFERROR(INDEX(Calc!$AP$2:$AP$105,MATCH($W159,Calc!$A$2:$A$105,0)),0.5)*Config!$B$5+1-IFERROR(INDEX(Calc!$AP$2:$AP$105,MATCH($W159,Calc!$A$2:$A$105,0)),0.5))),SQRT(Z159*Config!$B$5)))</f>
        <v>6.55991164604194</v>
      </c>
      <c r="AB159" s="10" t="n">
        <f aca="false">IF(OR(F159="",Z159="",N(AA159)&lt;=0),"",1-NORMDIST(FLOOR(F159,1)+0.5,Z159,AA159,TRUE()))</f>
        <v>0.574812270009311</v>
      </c>
      <c r="AC159" s="10" t="n">
        <f aca="false">IF(AB159="","",NORMDIST(CEILING(F159,1)-0.5,Z159,AA159,TRUE()))</f>
        <v>0.425187729990689</v>
      </c>
      <c r="AD159" s="0" t="str">
        <f aca="false">IF(AB159="","",IF(AB159&gt;=0.5+Config!$B$6,"OVER",IF(AC159&gt;=0.5+Config!$B$6,"UNDER","—")))</f>
        <v>OVER</v>
      </c>
      <c r="AE159" s="13" t="n">
        <f aca="false">IFERROR(Z159/G159,"")</f>
        <v>0.951256271924763</v>
      </c>
    </row>
    <row r="160" customFormat="false" ht="15" hidden="false" customHeight="false" outlineLevel="0" collapsed="false">
      <c r="A160" s="0" t="s">
        <v>775</v>
      </c>
      <c r="B160" s="0" t="s">
        <v>830</v>
      </c>
      <c r="C160" s="0" t="s">
        <v>1079</v>
      </c>
      <c r="D160" s="0" t="s">
        <v>833</v>
      </c>
      <c r="E160" s="0" t="s">
        <v>893</v>
      </c>
      <c r="F160" s="0" t="n">
        <v>15</v>
      </c>
      <c r="G160" s="11" t="n">
        <f aca="false">IFERROR(INDEX(CHOOSE(MATCH($X160,{"K1","K2","K3","K12","K13","H1","H2","H3","H12","H13"},0),Calc!$V$2:$V$105,Calc!$AC$2:$AC$105,Calc!$AJ$2:$AJ$105,Calc!$AL$2:$AL$105,Calc!$AM$2:$AM$105,Calc!$W$2:$W$105,Calc!$AD$2:$AD$105,Calc!$AK$2:$AK$105,Calc!$AN$2:$AN$105,Calc!$AO$2:$AO$105),MATCH($W160,Calc!$A$2:$A$105,0)),"")</f>
        <v>15.362464362963</v>
      </c>
      <c r="H160" s="11" t="n">
        <f aca="false">IF(G160="","",IF(LEFT($X160,1)="H",SQRT(G160*(IFERROR(INDEX(Calc!$AP$2:$AP$105,MATCH($W160,Calc!$A$2:$A$105,0)),0.5)*Config!$B$5+1-IFERROR(INDEX(Calc!$AP$2:$AP$105,MATCH($W160,Calc!$A$2:$A$105,0)),0.5))),SQRT(G160*Config!$B$5)))</f>
        <v>4.30138158178811</v>
      </c>
      <c r="I160" s="10" t="n">
        <f aca="false">IF(OR(F160="",G160="",N(H160)&lt;=0),"",1-NORMDIST(FLOOR(F160,1)+0.5,G160,H160,TRUE()))</f>
        <v>0.487246090224299</v>
      </c>
      <c r="J160" s="10" t="n">
        <f aca="false">IF(I160="","",NORMDIST(CEILING(F160,1)-0.5,G160,H160,TRUE()))</f>
        <v>0.420541383288117</v>
      </c>
      <c r="K160" s="10" t="n">
        <f aca="false">IF(I160="","",MAX(0,1-I160-J160))</f>
        <v>0.0922125264875844</v>
      </c>
      <c r="L160" s="0" t="str">
        <f aca="false">IF(I160="","",IF(I160&gt;=0.5+Config!$B$6,"OVER",IF(J160&gt;=0.5+Config!$B$6,"UNDER","—")))</f>
        <v>—</v>
      </c>
      <c r="N160" s="0" t="n">
        <v>16.2</v>
      </c>
      <c r="O160" s="10" t="n">
        <v>0.8</v>
      </c>
      <c r="P160" s="10" t="n">
        <v>0.7</v>
      </c>
      <c r="Q160" s="10" t="n">
        <v>0.67</v>
      </c>
      <c r="R160" s="9" t="s">
        <v>907</v>
      </c>
      <c r="S160" s="0" t="n">
        <v>4</v>
      </c>
      <c r="T160" s="0" t="str">
        <f aca="false">INDEX(Calc!$G$2:$G$105,MATCH($W160,Calc!$A$2:$A$105,0))&amp;" / "&amp;INDEX(Calc!$H$2:$H$105,MATCH($W160,Calc!$A$2:$A$105,0))</f>
        <v>Cache / Nuke</v>
      </c>
      <c r="U160" s="0" t="str">
        <f aca="false">TEXT(INDEX(Calc!$J$2:$J$105,MATCH($W160,Calc!$A$2:$A$105,0)),"0.0")&amp;" / "&amp;TEXT(INDEX(Calc!$K$2:$K$105,MATCH($W160,Calc!$A$2:$A$105,0)),"0.0")</f>
        <v>21.2 / 21.1</v>
      </c>
      <c r="V160" s="0" t="str">
        <f aca="false">IFERROR(INDEX(Calc!$AQ$2:$AQ$105,MATCH($W160,Calc!$A$2:$A$105,0)),"")</f>
        <v/>
      </c>
      <c r="W160" s="9" t="s">
        <v>1080</v>
      </c>
      <c r="X160" s="9" t="s">
        <v>896</v>
      </c>
      <c r="Y160" s="0" t="str">
        <f aca="false">W160&amp;"|"&amp;X160</f>
        <v>kydgyu0yno6fmgg|CS2 · SAW vs SIN|H12</v>
      </c>
      <c r="Z160" s="11" t="n">
        <f aca="false">IFERROR(INDEX(CHOOSE(MATCH($X160,{"K1","K2","K3","K12","K13","H1","H2","H3","H12","H13"},0),Calc!$BA$2:$BA$105,Calc!$BB$2:$BB$105,Calc!$BC$2:$BC$105,Calc!$BD$2:$BD$105,Calc!$BE$2:$BE$105,Calc!$BF$2:$BF$105,Calc!$BG$2:$BG$105,Calc!$BH$2:$BH$105,Calc!$BI$2:$BI$105,Calc!$BJ$2:$BJ$105),MATCH($W160,Calc!$A$2:$A$105,0)),"")</f>
        <v>14.6361527894386</v>
      </c>
      <c r="AA160" s="11" t="n">
        <f aca="false">IF(Z160="","",IF(LEFT($X160,1)="H",SQRT(Z160*(IFERROR(INDEX(Calc!$AP$2:$AP$105,MATCH($W160,Calc!$A$2:$A$105,0)),0.5)*Config!$B$5+1-IFERROR(INDEX(Calc!$AP$2:$AP$105,MATCH($W160,Calc!$A$2:$A$105,0)),0.5))),SQRT(Z160*Config!$B$5)))</f>
        <v>4.19846941893139</v>
      </c>
      <c r="AB160" s="10" t="n">
        <f aca="false">IF(OR(F160="",Z160="",N(AA160)&lt;=0),"",1-NORMDIST(FLOOR(F160,1)+0.5,Z160,AA160,TRUE()))</f>
        <v>0.418491971598375</v>
      </c>
      <c r="AC160" s="10" t="n">
        <f aca="false">IF(AB160="","",NORMDIST(CEILING(F160,1)-0.5,Z160,AA160,TRUE()))</f>
        <v>0.487064908671063</v>
      </c>
      <c r="AD160" s="0" t="str">
        <f aca="false">IF(AB160="","",IF(AB160&gt;=0.5+Config!$B$6,"OVER",IF(AC160&gt;=0.5+Config!$B$6,"UNDER","—")))</f>
        <v>—</v>
      </c>
      <c r="AE160" s="13" t="n">
        <f aca="false">IFERROR(Z160/G160,"")</f>
        <v>0.95272167561375</v>
      </c>
    </row>
    <row r="161" customFormat="false" ht="15" hidden="false" customHeight="false" outlineLevel="0" collapsed="false">
      <c r="A161" s="0" t="s">
        <v>775</v>
      </c>
      <c r="B161" s="0" t="s">
        <v>830</v>
      </c>
      <c r="C161" s="0" t="s">
        <v>1079</v>
      </c>
      <c r="D161" s="0" t="s">
        <v>833</v>
      </c>
      <c r="E161" s="0" t="s">
        <v>888</v>
      </c>
      <c r="F161" s="0" t="n">
        <v>29.5</v>
      </c>
      <c r="G161" s="11" t="n">
        <f aca="false">IFERROR(INDEX(CHOOSE(MATCH($X161,{"K1","K2","K3","K12","K13","H1","H2","H3","H12","H13"},0),Calc!$V$2:$V$105,Calc!$AC$2:$AC$105,Calc!$AJ$2:$AJ$105,Calc!$AL$2:$AL$105,Calc!$AM$2:$AM$105,Calc!$W$2:$W$105,Calc!$AD$2:$AD$105,Calc!$AK$2:$AK$105,Calc!$AN$2:$AN$105,Calc!$AO$2:$AO$105),MATCH($W161,Calc!$A$2:$A$105,0)),"")</f>
        <v>30.0699333333333</v>
      </c>
      <c r="H161" s="11" t="n">
        <f aca="false">IF(G161="","",IF(LEFT($X161,1)="H",SQRT(G161*(IFERROR(INDEX(Calc!$AP$2:$AP$105,MATCH($W161,Calc!$A$2:$A$105,0)),0.5)*Config!$B$5+1-IFERROR(INDEX(Calc!$AP$2:$AP$105,MATCH($W161,Calc!$A$2:$A$105,0)),0.5))),SQRT(G161*Config!$B$5)))</f>
        <v>6.48828996474932</v>
      </c>
      <c r="I161" s="10" t="n">
        <f aca="false">IF(OR(F161="",G161="",N(H161)&lt;=0),"",1-NORMDIST(FLOOR(F161,1)+0.5,G161,H161,TRUE()))</f>
        <v>0.534998196388661</v>
      </c>
      <c r="J161" s="10" t="n">
        <f aca="false">IF(I161="","",NORMDIST(CEILING(F161,1)-0.5,G161,H161,TRUE()))</f>
        <v>0.465001803611339</v>
      </c>
      <c r="K161" s="10" t="n">
        <f aca="false">IF(I161="","",MAX(0,1-I161-J161))</f>
        <v>0</v>
      </c>
      <c r="L161" s="0" t="str">
        <f aca="false">IF(I161="","",IF(I161&gt;=0.5+Config!$B$6,"OVER",IF(J161&gt;=0.5+Config!$B$6,"UNDER","—")))</f>
        <v>—</v>
      </c>
      <c r="M161" s="0" t="n">
        <v>28.92</v>
      </c>
      <c r="N161" s="0" t="n">
        <v>29.5</v>
      </c>
      <c r="O161" s="10" t="n">
        <v>0.6</v>
      </c>
      <c r="P161" s="10" t="n">
        <v>0.4</v>
      </c>
      <c r="Q161" s="10" t="n">
        <v>0.47</v>
      </c>
      <c r="R161" s="9" t="s">
        <v>907</v>
      </c>
      <c r="S161" s="0" t="n">
        <v>-1</v>
      </c>
      <c r="T161" s="0" t="str">
        <f aca="false">INDEX(Calc!$G$2:$G$105,MATCH($W161,Calc!$A$2:$A$105,0))&amp;" / "&amp;INDEX(Calc!$H$2:$H$105,MATCH($W161,Calc!$A$2:$A$105,0))</f>
        <v>Cache / Nuke</v>
      </c>
      <c r="U161" s="0" t="str">
        <f aca="false">TEXT(INDEX(Calc!$J$2:$J$105,MATCH($W161,Calc!$A$2:$A$105,0)),"0.0")&amp;" / "&amp;TEXT(INDEX(Calc!$K$2:$K$105,MATCH($W161,Calc!$A$2:$A$105,0)),"0.0")</f>
        <v>21.2 / 21.1</v>
      </c>
      <c r="V161" s="0" t="str">
        <f aca="false">IFERROR(INDEX(Calc!$AQ$2:$AQ$105,MATCH($W161,Calc!$A$2:$A$105,0)),"")</f>
        <v/>
      </c>
      <c r="W161" s="9" t="s">
        <v>1080</v>
      </c>
      <c r="X161" s="9" t="s">
        <v>891</v>
      </c>
      <c r="Y161" s="0" t="str">
        <f aca="false">W161&amp;"|"&amp;X161</f>
        <v>kydgyu0yno6fmgg|CS2 · SAW vs SIN|K12</v>
      </c>
      <c r="Z161" s="11" t="n">
        <f aca="false">IFERROR(INDEX(CHOOSE(MATCH($X161,{"K1","K2","K3","K12","K13","H1","H2","H3","H12","H13"},0),Calc!$BA$2:$BA$105,Calc!$BB$2:$BB$105,Calc!$BC$2:$BC$105,Calc!$BD$2:$BD$105,Calc!$BE$2:$BE$105,Calc!$BF$2:$BF$105,Calc!$BG$2:$BG$105,Calc!$BH$2:$BH$105,Calc!$BI$2:$BI$105,Calc!$BJ$2:$BJ$105),MATCH($W161,Calc!$A$2:$A$105,0)),"")</f>
        <v>28.6733111560984</v>
      </c>
      <c r="AA161" s="11" t="n">
        <f aca="false">IF(Z161="","",IF(LEFT($X161,1)="H",SQRT(Z161*(IFERROR(INDEX(Calc!$AP$2:$AP$105,MATCH($W161,Calc!$A$2:$A$105,0)),0.5)*Config!$B$5+1-IFERROR(INDEX(Calc!$AP$2:$AP$105,MATCH($W161,Calc!$A$2:$A$105,0)),0.5))),SQRT(Z161*Config!$B$5)))</f>
        <v>6.33582162142667</v>
      </c>
      <c r="AB161" s="10" t="n">
        <f aca="false">IF(OR(F161="",Z161="",N(AA161)&lt;=0),"",1-NORMDIST(FLOOR(F161,1)+0.5,Z161,AA161,TRUE()))</f>
        <v>0.448093910234731</v>
      </c>
      <c r="AC161" s="10" t="n">
        <f aca="false">IF(AB161="","",NORMDIST(CEILING(F161,1)-0.5,Z161,AA161,TRUE()))</f>
        <v>0.551906089765269</v>
      </c>
      <c r="AD161" s="0" t="str">
        <f aca="false">IF(AB161="","",IF(AB161&gt;=0.5+Config!$B$6,"OVER",IF(AC161&gt;=0.5+Config!$B$6,"UNDER","—")))</f>
        <v>UNDER</v>
      </c>
      <c r="AE161" s="13" t="n">
        <f aca="false">IFERROR(Z161/G161,"")</f>
        <v>0.953554197751187</v>
      </c>
    </row>
    <row r="162" customFormat="false" ht="15" hidden="false" customHeight="false" outlineLevel="0" collapsed="false">
      <c r="A162" s="0" t="s">
        <v>775</v>
      </c>
      <c r="B162" s="0" t="s">
        <v>830</v>
      </c>
      <c r="C162" s="0" t="s">
        <v>1081</v>
      </c>
      <c r="D162" s="0" t="s">
        <v>833</v>
      </c>
      <c r="E162" s="0" t="s">
        <v>893</v>
      </c>
      <c r="F162" s="0" t="n">
        <v>13.5</v>
      </c>
      <c r="G162" s="11" t="n">
        <f aca="false">IFERROR(INDEX(CHOOSE(MATCH($X162,{"K1","K2","K3","K12","K13","H1","H2","H3","H12","H13"},0),Calc!$V$2:$V$105,Calc!$AC$2:$AC$105,Calc!$AJ$2:$AJ$105,Calc!$AL$2:$AL$105,Calc!$AM$2:$AM$105,Calc!$W$2:$W$105,Calc!$AD$2:$AD$105,Calc!$AK$2:$AK$105,Calc!$AN$2:$AN$105,Calc!$AO$2:$AO$105),MATCH($W162,Calc!$A$2:$A$105,0)),"")</f>
        <v>13.1403618765432</v>
      </c>
      <c r="H162" s="11" t="n">
        <f aca="false">IF(G162="","",IF(LEFT($X162,1)="H",SQRT(G162*(IFERROR(INDEX(Calc!$AP$2:$AP$105,MATCH($W162,Calc!$A$2:$A$105,0)),0.5)*Config!$B$5+1-IFERROR(INDEX(Calc!$AP$2:$AP$105,MATCH($W162,Calc!$A$2:$A$105,0)),0.5))),SQRT(G162*Config!$B$5)))</f>
        <v>3.98931457688317</v>
      </c>
      <c r="I162" s="10" t="n">
        <f aca="false">IF(OR(F162="",G162="",N(H162)&lt;=0),"",1-NORMDIST(FLOOR(F162,1)+0.5,G162,H162,TRUE()))</f>
        <v>0.46408386747727</v>
      </c>
      <c r="J162" s="10" t="n">
        <f aca="false">IF(I162="","",NORMDIST(CEILING(F162,1)-0.5,G162,H162,TRUE()))</f>
        <v>0.53591613252273</v>
      </c>
      <c r="K162" s="10" t="n">
        <f aca="false">IF(I162="","",MAX(0,1-I162-J162))</f>
        <v>0</v>
      </c>
      <c r="L162" s="0" t="str">
        <f aca="false">IF(I162="","",IF(I162&gt;=0.5+Config!$B$6,"OVER",IF(J162&gt;=0.5+Config!$B$6,"UNDER","—")))</f>
        <v>—</v>
      </c>
      <c r="N162" s="0" t="n">
        <v>12.1</v>
      </c>
      <c r="O162" s="10" t="n">
        <v>0.6</v>
      </c>
      <c r="P162" s="10" t="n">
        <v>0.4</v>
      </c>
      <c r="Q162" s="10" t="n">
        <v>0.47</v>
      </c>
      <c r="R162" s="9" t="s">
        <v>889</v>
      </c>
      <c r="S162" s="0" t="n">
        <v>-1</v>
      </c>
      <c r="T162" s="0" t="str">
        <f aca="false">INDEX(Calc!$G$2:$G$105,MATCH($W162,Calc!$A$2:$A$105,0))&amp;" / "&amp;INDEX(Calc!$H$2:$H$105,MATCH($W162,Calc!$A$2:$A$105,0))</f>
        <v>Cache / Nuke</v>
      </c>
      <c r="U162" s="0" t="str">
        <f aca="false">TEXT(INDEX(Calc!$J$2:$J$105,MATCH($W162,Calc!$A$2:$A$105,0)),"0.0")&amp;" / "&amp;TEXT(INDEX(Calc!$K$2:$K$105,MATCH($W162,Calc!$A$2:$A$105,0)),"0.0")</f>
        <v>21.2 / 21.1</v>
      </c>
      <c r="V162" s="0" t="str">
        <f aca="false">IFERROR(INDEX(Calc!$AQ$2:$AQ$105,MATCH($W162,Calc!$A$2:$A$105,0)),"")</f>
        <v/>
      </c>
      <c r="W162" s="9" t="s">
        <v>1082</v>
      </c>
      <c r="X162" s="9" t="s">
        <v>896</v>
      </c>
      <c r="Y162" s="0" t="str">
        <f aca="false">W162&amp;"|"&amp;X162</f>
        <v>1s3tek2ny0plcv8|CS2 · SAW vs SIN|H12</v>
      </c>
      <c r="Z162" s="11" t="n">
        <f aca="false">IFERROR(INDEX(CHOOSE(MATCH($X162,{"K1","K2","K3","K12","K13","H1","H2","H3","H12","H13"},0),Calc!$BA$2:$BA$105,Calc!$BB$2:$BB$105,Calc!$BC$2:$BC$105,Calc!$BD$2:$BD$105,Calc!$BE$2:$BE$105,Calc!$BF$2:$BF$105,Calc!$BG$2:$BG$105,Calc!$BH$2:$BH$105,Calc!$BI$2:$BI$105,Calc!$BJ$2:$BJ$105),MATCH($W162,Calc!$A$2:$A$105,0)),"")</f>
        <v>12.5020011623135</v>
      </c>
      <c r="AA162" s="11" t="n">
        <f aca="false">IF(Z162="","",IF(LEFT($X162,1)="H",SQRT(Z162*(IFERROR(INDEX(Calc!$AP$2:$AP$105,MATCH($W162,Calc!$A$2:$A$105,0)),0.5)*Config!$B$5+1-IFERROR(INDEX(Calc!$AP$2:$AP$105,MATCH($W162,Calc!$A$2:$A$105,0)),0.5))),SQRT(Z162*Config!$B$5)))</f>
        <v>3.89120748441298</v>
      </c>
      <c r="AB162" s="10" t="n">
        <f aca="false">IF(OR(F162="",Z162="",N(AA162)&lt;=0),"",1-NORMDIST(FLOOR(F162,1)+0.5,Z162,AA162,TRUE()))</f>
        <v>0.39879190235067</v>
      </c>
      <c r="AC162" s="10" t="n">
        <f aca="false">IF(AB162="","",NORMDIST(CEILING(F162,1)-0.5,Z162,AA162,TRUE()))</f>
        <v>0.60120809764933</v>
      </c>
      <c r="AD162" s="0" t="str">
        <f aca="false">IF(AB162="","",IF(AB162&gt;=0.5+Config!$B$6,"OVER",IF(AC162&gt;=0.5+Config!$B$6,"UNDER","—")))</f>
        <v>UNDER</v>
      </c>
      <c r="AE162" s="13" t="n">
        <f aca="false">IFERROR(Z162/G162,"")</f>
        <v>0.951419852799548</v>
      </c>
    </row>
    <row r="163" customFormat="false" ht="15" hidden="false" customHeight="false" outlineLevel="0" collapsed="false">
      <c r="A163" s="0" t="s">
        <v>775</v>
      </c>
      <c r="B163" s="0" t="s">
        <v>830</v>
      </c>
      <c r="C163" s="0" t="s">
        <v>1081</v>
      </c>
      <c r="D163" s="0" t="s">
        <v>833</v>
      </c>
      <c r="E163" s="0" t="s">
        <v>888</v>
      </c>
      <c r="F163" s="0" t="n">
        <v>25</v>
      </c>
      <c r="G163" s="11" t="n">
        <f aca="false">IFERROR(INDEX(CHOOSE(MATCH($X163,{"K1","K2","K3","K12","K13","H1","H2","H3","H12","H13"},0),Calc!$V$2:$V$105,Calc!$AC$2:$AC$105,Calc!$AJ$2:$AJ$105,Calc!$AL$2:$AL$105,Calc!$AM$2:$AM$105,Calc!$W$2:$W$105,Calc!$AD$2:$AD$105,Calc!$AK$2:$AK$105,Calc!$AN$2:$AN$105,Calc!$AO$2:$AO$105),MATCH($W163,Calc!$A$2:$A$105,0)),"")</f>
        <v>24.8958</v>
      </c>
      <c r="H163" s="11" t="n">
        <f aca="false">IF(G163="","",IF(LEFT($X163,1)="H",SQRT(G163*(IFERROR(INDEX(Calc!$AP$2:$AP$105,MATCH($W163,Calc!$A$2:$A$105,0)),0.5)*Config!$B$5+1-IFERROR(INDEX(Calc!$AP$2:$AP$105,MATCH($W163,Calc!$A$2:$A$105,0)),0.5))),SQRT(G163*Config!$B$5)))</f>
        <v>5.90373779905578</v>
      </c>
      <c r="I163" s="10" t="n">
        <f aca="false">IF(OR(F163="",G163="",N(H163)&lt;=0),"",1-NORMDIST(FLOOR(F163,1)+0.5,G163,H163,TRUE()))</f>
        <v>0.459242632002155</v>
      </c>
      <c r="J163" s="10" t="n">
        <f aca="false">IF(I163="","",NORMDIST(CEILING(F163,1)-0.5,G163,H163,TRUE()))</f>
        <v>0.473274025031557</v>
      </c>
      <c r="K163" s="10" t="n">
        <f aca="false">IF(I163="","",MAX(0,1-I163-J163))</f>
        <v>0.0674833429662875</v>
      </c>
      <c r="L163" s="0" t="str">
        <f aca="false">IF(I163="","",IF(I163&gt;=0.5+Config!$B$6,"OVER",IF(J163&gt;=0.5+Config!$B$6,"UNDER","—")))</f>
        <v>—</v>
      </c>
      <c r="M163" s="0" t="n">
        <v>23.98</v>
      </c>
      <c r="N163" s="0" t="n">
        <v>24.2</v>
      </c>
      <c r="O163" s="10" t="n">
        <v>0.6</v>
      </c>
      <c r="P163" s="10" t="n">
        <v>0.5</v>
      </c>
      <c r="Q163" s="10" t="n">
        <v>0.53</v>
      </c>
      <c r="R163" s="9" t="s">
        <v>894</v>
      </c>
      <c r="S163" s="0" t="n">
        <v>-1</v>
      </c>
      <c r="T163" s="0" t="str">
        <f aca="false">INDEX(Calc!$G$2:$G$105,MATCH($W163,Calc!$A$2:$A$105,0))&amp;" / "&amp;INDEX(Calc!$H$2:$H$105,MATCH($W163,Calc!$A$2:$A$105,0))</f>
        <v>Cache / Nuke</v>
      </c>
      <c r="U163" s="0" t="str">
        <f aca="false">TEXT(INDEX(Calc!$J$2:$J$105,MATCH($W163,Calc!$A$2:$A$105,0)),"0.0")&amp;" / "&amp;TEXT(INDEX(Calc!$K$2:$K$105,MATCH($W163,Calc!$A$2:$A$105,0)),"0.0")</f>
        <v>21.2 / 21.1</v>
      </c>
      <c r="V163" s="0" t="str">
        <f aca="false">IFERROR(INDEX(Calc!$AQ$2:$AQ$105,MATCH($W163,Calc!$A$2:$A$105,0)),"")</f>
        <v/>
      </c>
      <c r="W163" s="9" t="s">
        <v>1082</v>
      </c>
      <c r="X163" s="9" t="s">
        <v>891</v>
      </c>
      <c r="Y163" s="0" t="str">
        <f aca="false">W163&amp;"|"&amp;X163</f>
        <v>1s3tek2ny0plcv8|CS2 · SAW vs SIN|K12</v>
      </c>
      <c r="Z163" s="11" t="n">
        <f aca="false">IFERROR(INDEX(CHOOSE(MATCH($X163,{"K1","K2","K3","K12","K13","H1","H2","H3","H12","H13"},0),Calc!$BA$2:$BA$105,Calc!$BB$2:$BB$105,Calc!$BC$2:$BC$105,Calc!$BD$2:$BD$105,Calc!$BE$2:$BE$105,Calc!$BF$2:$BF$105,Calc!$BG$2:$BG$105,Calc!$BH$2:$BH$105,Calc!$BI$2:$BI$105,Calc!$BJ$2:$BJ$105),MATCH($W163,Calc!$A$2:$A$105,0)),"")</f>
        <v>23.7051843509801</v>
      </c>
      <c r="AA163" s="11" t="n">
        <f aca="false">IF(Z163="","",IF(LEFT($X163,1)="H",SQRT(Z163*(IFERROR(INDEX(Calc!$AP$2:$AP$105,MATCH($W163,Calc!$A$2:$A$105,0)),0.5)*Config!$B$5+1-IFERROR(INDEX(Calc!$AP$2:$AP$105,MATCH($W163,Calc!$A$2:$A$105,0)),0.5))),SQRT(Z163*Config!$B$5)))</f>
        <v>5.76083831498265</v>
      </c>
      <c r="AB163" s="10" t="n">
        <f aca="false">IF(OR(F163="",Z163="",N(AA163)&lt;=0),"",1-NORMDIST(FLOOR(F163,1)+0.5,Z163,AA163,TRUE()))</f>
        <v>0.37768952277375</v>
      </c>
      <c r="AC163" s="10" t="n">
        <f aca="false">IF(AB163="","",NORMDIST(CEILING(F163,1)-0.5,Z163,AA163,TRUE()))</f>
        <v>0.554867441559943</v>
      </c>
      <c r="AD163" s="0" t="str">
        <f aca="false">IF(AB163="","",IF(AB163&gt;=0.5+Config!$B$6,"OVER",IF(AC163&gt;=0.5+Config!$B$6,"UNDER","—")))</f>
        <v>UNDER</v>
      </c>
      <c r="AE163" s="13" t="n">
        <f aca="false">IFERROR(Z163/G163,"")</f>
        <v>0.952176043789721</v>
      </c>
    </row>
    <row r="164" customFormat="false" ht="15" hidden="false" customHeight="false" outlineLevel="0" collapsed="false">
      <c r="A164" s="0" t="s">
        <v>775</v>
      </c>
      <c r="B164" s="0" t="s">
        <v>830</v>
      </c>
      <c r="C164" s="0" t="s">
        <v>1083</v>
      </c>
      <c r="D164" s="0" t="s">
        <v>833</v>
      </c>
      <c r="E164" s="0" t="s">
        <v>893</v>
      </c>
      <c r="F164" s="0" t="n">
        <v>16.5</v>
      </c>
      <c r="G164" s="11" t="n">
        <f aca="false">IFERROR(INDEX(CHOOSE(MATCH($X164,{"K1","K2","K3","K12","K13","H1","H2","H3","H12","H13"},0),Calc!$V$2:$V$105,Calc!$AC$2:$AC$105,Calc!$AJ$2:$AJ$105,Calc!$AL$2:$AL$105,Calc!$AM$2:$AM$105,Calc!$W$2:$W$105,Calc!$AD$2:$AD$105,Calc!$AK$2:$AK$105,Calc!$AN$2:$AN$105,Calc!$AO$2:$AO$105),MATCH($W164,Calc!$A$2:$A$105,0)),"")</f>
        <v>14.0576991753086</v>
      </c>
      <c r="H164" s="11" t="n">
        <f aca="false">IF(G164="","",IF(LEFT($X164,1)="H",SQRT(G164*(IFERROR(INDEX(Calc!$AP$2:$AP$105,MATCH($W164,Calc!$A$2:$A$105,0)),0.5)*Config!$B$5+1-IFERROR(INDEX(Calc!$AP$2:$AP$105,MATCH($W164,Calc!$A$2:$A$105,0)),0.5))),SQRT(G164*Config!$B$5)))</f>
        <v>4.13341033191206</v>
      </c>
      <c r="I164" s="10" t="n">
        <f aca="false">IF(OR(F164="",G164="",N(H164)&lt;=0),"",1-NORMDIST(FLOOR(F164,1)+0.5,G164,H164,TRUE()))</f>
        <v>0.27730435894748</v>
      </c>
      <c r="J164" s="10" t="n">
        <f aca="false">IF(I164="","",NORMDIST(CEILING(F164,1)-0.5,G164,H164,TRUE()))</f>
        <v>0.72269564105252</v>
      </c>
      <c r="K164" s="10" t="n">
        <f aca="false">IF(I164="","",MAX(0,1-I164-J164))</f>
        <v>0</v>
      </c>
      <c r="L164" s="0" t="str">
        <f aca="false">IF(I164="","",IF(I164&gt;=0.5+Config!$B$6,"OVER",IF(J164&gt;=0.5+Config!$B$6,"UNDER","—")))</f>
        <v>UNDER</v>
      </c>
      <c r="N164" s="0" t="n">
        <v>16.6</v>
      </c>
      <c r="O164" s="10" t="n">
        <v>0.4</v>
      </c>
      <c r="P164" s="10" t="n">
        <v>0.5</v>
      </c>
      <c r="Q164" s="10" t="n">
        <v>0.47</v>
      </c>
      <c r="R164" s="9" t="s">
        <v>889</v>
      </c>
      <c r="S164" s="0" t="n">
        <v>2</v>
      </c>
      <c r="T164" s="0" t="str">
        <f aca="false">INDEX(Calc!$G$2:$G$105,MATCH($W164,Calc!$A$2:$A$105,0))&amp;" / "&amp;INDEX(Calc!$H$2:$H$105,MATCH($W164,Calc!$A$2:$A$105,0))</f>
        <v>Cache / Nuke</v>
      </c>
      <c r="U164" s="0" t="str">
        <f aca="false">TEXT(INDEX(Calc!$J$2:$J$105,MATCH($W164,Calc!$A$2:$A$105,0)),"0.0")&amp;" / "&amp;TEXT(INDEX(Calc!$K$2:$K$105,MATCH($W164,Calc!$A$2:$A$105,0)),"0.0")</f>
        <v>21.2 / 21.1</v>
      </c>
      <c r="V164" s="0" t="str">
        <f aca="false">IFERROR(INDEX(Calc!$AQ$2:$AQ$105,MATCH($W164,Calc!$A$2:$A$105,0)),"")</f>
        <v/>
      </c>
      <c r="W164" s="9" t="s">
        <v>1084</v>
      </c>
      <c r="X164" s="9" t="s">
        <v>896</v>
      </c>
      <c r="Y164" s="0" t="str">
        <f aca="false">W164&amp;"|"&amp;X164</f>
        <v>wmlzs7f7r7rjkdf|CS2 · SAW vs SIN|H12</v>
      </c>
      <c r="Z164" s="11" t="n">
        <f aca="false">IFERROR(INDEX(CHOOSE(MATCH($X164,{"K1","K2","K3","K12","K13","H1","H2","H3","H12","H13"},0),Calc!$BA$2:$BA$105,Calc!$BB$2:$BB$105,Calc!$BC$2:$BC$105,Calc!$BD$2:$BD$105,Calc!$BE$2:$BE$105,Calc!$BF$2:$BF$105,Calc!$BG$2:$BG$105,Calc!$BH$2:$BH$105,Calc!$BI$2:$BI$105,Calc!$BJ$2:$BJ$105),MATCH($W164,Calc!$A$2:$A$105,0)),"")</f>
        <v>13.3631427083241</v>
      </c>
      <c r="AA164" s="11" t="n">
        <f aca="false">IF(Z164="","",IF(LEFT($X164,1)="H",SQRT(Z164*(IFERROR(INDEX(Calc!$AP$2:$AP$105,MATCH($W164,Calc!$A$2:$A$105,0)),0.5)*Config!$B$5+1-IFERROR(INDEX(Calc!$AP$2:$AP$105,MATCH($W164,Calc!$A$2:$A$105,0)),0.5))),SQRT(Z164*Config!$B$5)))</f>
        <v>4.03000607805845</v>
      </c>
      <c r="AB164" s="10" t="n">
        <f aca="false">IF(OR(F164="",Z164="",N(AA164)&lt;=0),"",1-NORMDIST(FLOOR(F164,1)+0.5,Z164,AA164,TRUE()))</f>
        <v>0.218173890427524</v>
      </c>
      <c r="AC164" s="10" t="n">
        <f aca="false">IF(AB164="","",NORMDIST(CEILING(F164,1)-0.5,Z164,AA164,TRUE()))</f>
        <v>0.781826109572476</v>
      </c>
      <c r="AD164" s="0" t="str">
        <f aca="false">IF(AB164="","",IF(AB164&gt;=0.5+Config!$B$6,"OVER",IF(AC164&gt;=0.5+Config!$B$6,"UNDER","—")))</f>
        <v>UNDER</v>
      </c>
      <c r="AE164" s="13" t="n">
        <f aca="false">IFERROR(Z164/G164,"")</f>
        <v>0.950592450562287</v>
      </c>
    </row>
    <row r="165" customFormat="false" ht="15" hidden="false" customHeight="false" outlineLevel="0" collapsed="false">
      <c r="A165" s="0" t="s">
        <v>775</v>
      </c>
      <c r="B165" s="0" t="s">
        <v>830</v>
      </c>
      <c r="C165" s="0" t="s">
        <v>1083</v>
      </c>
      <c r="D165" s="0" t="s">
        <v>833</v>
      </c>
      <c r="E165" s="0" t="s">
        <v>888</v>
      </c>
      <c r="F165" s="0" t="n">
        <v>27.5</v>
      </c>
      <c r="G165" s="11" t="n">
        <f aca="false">IFERROR(INDEX(CHOOSE(MATCH($X165,{"K1","K2","K3","K12","K13","H1","H2","H3","H12","H13"},0),Calc!$V$2:$V$105,Calc!$AC$2:$AC$105,Calc!$AJ$2:$AJ$105,Calc!$AL$2:$AL$105,Calc!$AM$2:$AM$105,Calc!$W$2:$W$105,Calc!$AD$2:$AD$105,Calc!$AK$2:$AK$105,Calc!$AN$2:$AN$105,Calc!$AO$2:$AO$105),MATCH($W165,Calc!$A$2:$A$105,0)),"")</f>
        <v>26.1108666666667</v>
      </c>
      <c r="H165" s="11" t="n">
        <f aca="false">IF(G165="","",IF(LEFT($X165,1)="H",SQRT(G165*(IFERROR(INDEX(Calc!$AP$2:$AP$105,MATCH($W165,Calc!$A$2:$A$105,0)),0.5)*Config!$B$5+1-IFERROR(INDEX(Calc!$AP$2:$AP$105,MATCH($W165,Calc!$A$2:$A$105,0)),0.5))),SQRT(G165*Config!$B$5)))</f>
        <v>6.04609074802333</v>
      </c>
      <c r="I165" s="10" t="n">
        <f aca="false">IF(OR(F165="",G165="",N(H165)&lt;=0),"",1-NORMDIST(FLOOR(F165,1)+0.5,G165,H165,TRUE()))</f>
        <v>0.409140193176183</v>
      </c>
      <c r="J165" s="10" t="n">
        <f aca="false">IF(I165="","",NORMDIST(CEILING(F165,1)-0.5,G165,H165,TRUE()))</f>
        <v>0.590859806823817</v>
      </c>
      <c r="K165" s="10" t="n">
        <f aca="false">IF(I165="","",MAX(0,1-I165-J165))</f>
        <v>0</v>
      </c>
      <c r="L165" s="0" t="str">
        <f aca="false">IF(I165="","",IF(I165&gt;=0.5+Config!$B$6,"OVER",IF(J165&gt;=0.5+Config!$B$6,"UNDER","—")))</f>
        <v>UNDER</v>
      </c>
      <c r="M165" s="0" t="n">
        <v>26.45</v>
      </c>
      <c r="N165" s="0" t="n">
        <v>30</v>
      </c>
      <c r="O165" s="10" t="n">
        <v>0.8</v>
      </c>
      <c r="P165" s="10" t="n">
        <v>0.7</v>
      </c>
      <c r="Q165" s="10" t="n">
        <v>0.53</v>
      </c>
      <c r="R165" s="9" t="s">
        <v>894</v>
      </c>
      <c r="S165" s="0" t="n">
        <v>3</v>
      </c>
      <c r="T165" s="0" t="str">
        <f aca="false">INDEX(Calc!$G$2:$G$105,MATCH($W165,Calc!$A$2:$A$105,0))&amp;" / "&amp;INDEX(Calc!$H$2:$H$105,MATCH($W165,Calc!$A$2:$A$105,0))</f>
        <v>Cache / Nuke</v>
      </c>
      <c r="U165" s="0" t="str">
        <f aca="false">TEXT(INDEX(Calc!$J$2:$J$105,MATCH($W165,Calc!$A$2:$A$105,0)),"0.0")&amp;" / "&amp;TEXT(INDEX(Calc!$K$2:$K$105,MATCH($W165,Calc!$A$2:$A$105,0)),"0.0")</f>
        <v>21.2 / 21.1</v>
      </c>
      <c r="V165" s="0" t="str">
        <f aca="false">IFERROR(INDEX(Calc!$AQ$2:$AQ$105,MATCH($W165,Calc!$A$2:$A$105,0)),"")</f>
        <v/>
      </c>
      <c r="W165" s="9" t="s">
        <v>1084</v>
      </c>
      <c r="X165" s="9" t="s">
        <v>891</v>
      </c>
      <c r="Y165" s="0" t="str">
        <f aca="false">W165&amp;"|"&amp;X165</f>
        <v>wmlzs7f7r7rjkdf|CS2 · SAW vs SIN|K12</v>
      </c>
      <c r="Z165" s="11" t="n">
        <f aca="false">IFERROR(INDEX(CHOOSE(MATCH($X165,{"K1","K2","K3","K12","K13","H1","H2","H3","H12","H13"},0),Calc!$BA$2:$BA$105,Calc!$BB$2:$BB$105,Calc!$BC$2:$BC$105,Calc!$BD$2:$BD$105,Calc!$BE$2:$BE$105,Calc!$BF$2:$BF$105,Calc!$BG$2:$BG$105,Calc!$BH$2:$BH$105,Calc!$BI$2:$BI$105,Calc!$BJ$2:$BJ$105),MATCH($W165,Calc!$A$2:$A$105,0)),"")</f>
        <v>24.8256391901633</v>
      </c>
      <c r="AA165" s="11" t="n">
        <f aca="false">IF(Z165="","",IF(LEFT($X165,1)="H",SQRT(Z165*(IFERROR(INDEX(Calc!$AP$2:$AP$105,MATCH($W165,Calc!$A$2:$A$105,0)),0.5)*Config!$B$5+1-IFERROR(INDEX(Calc!$AP$2:$AP$105,MATCH($W165,Calc!$A$2:$A$105,0)),0.5))),SQRT(Z165*Config!$B$5)))</f>
        <v>5.89541303610092</v>
      </c>
      <c r="AB165" s="10" t="n">
        <f aca="false">IF(OR(F165="",Z165="",N(AA165)&lt;=0),"",1-NORMDIST(FLOOR(F165,1)+0.5,Z165,AA165,TRUE()))</f>
        <v>0.325046077027099</v>
      </c>
      <c r="AC165" s="10" t="n">
        <f aca="false">IF(AB165="","",NORMDIST(CEILING(F165,1)-0.5,Z165,AA165,TRUE()))</f>
        <v>0.674953922972901</v>
      </c>
      <c r="AD165" s="0" t="str">
        <f aca="false">IF(AB165="","",IF(AB165&gt;=0.5+Config!$B$6,"OVER",IF(AC165&gt;=0.5+Config!$B$6,"UNDER","—")))</f>
        <v>UNDER</v>
      </c>
      <c r="AE165" s="13" t="n">
        <f aca="false">IFERROR(Z165/G165,"")</f>
        <v>0.95077806137534</v>
      </c>
    </row>
    <row r="166" customFormat="false" ht="15" hidden="false" customHeight="false" outlineLevel="0" collapsed="false">
      <c r="A166" s="0" t="s">
        <v>775</v>
      </c>
      <c r="B166" s="0" t="s">
        <v>830</v>
      </c>
      <c r="C166" s="0" t="s">
        <v>1085</v>
      </c>
      <c r="D166" s="0" t="s">
        <v>833</v>
      </c>
      <c r="E166" s="0" t="s">
        <v>893</v>
      </c>
      <c r="F166" s="0" t="n">
        <v>11.5</v>
      </c>
      <c r="G166" s="11" t="n">
        <f aca="false">IFERROR(INDEX(CHOOSE(MATCH($X166,{"K1","K2","K3","K12","K13","H1","H2","H3","H12","H13"},0),Calc!$V$2:$V$105,Calc!$AC$2:$AC$105,Calc!$AJ$2:$AJ$105,Calc!$AL$2:$AL$105,Calc!$AM$2:$AM$105,Calc!$W$2:$W$105,Calc!$AD$2:$AD$105,Calc!$AK$2:$AK$105,Calc!$AN$2:$AN$105,Calc!$AO$2:$AO$105),MATCH($W166,Calc!$A$2:$A$105,0)),"")</f>
        <v>11.1430753296296</v>
      </c>
      <c r="H166" s="11" t="n">
        <f aca="false">IF(G166="","",IF(LEFT($X166,1)="H",SQRT(G166*(IFERROR(INDEX(Calc!$AP$2:$AP$105,MATCH($W166,Calc!$A$2:$A$105,0)),0.5)*Config!$B$5+1-IFERROR(INDEX(Calc!$AP$2:$AP$105,MATCH($W166,Calc!$A$2:$A$105,0)),0.5))),SQRT(G166*Config!$B$5)))</f>
        <v>3.56312821824708</v>
      </c>
      <c r="I166" s="10" t="n">
        <f aca="false">IF(OR(F166="",G166="",N(H166)&lt;=0),"",1-NORMDIST(FLOOR(F166,1)+0.5,G166,H166,TRUE()))</f>
        <v>0.460103999935238</v>
      </c>
      <c r="J166" s="10" t="n">
        <f aca="false">IF(I166="","",NORMDIST(CEILING(F166,1)-0.5,G166,H166,TRUE()))</f>
        <v>0.539896000064762</v>
      </c>
      <c r="K166" s="10" t="n">
        <f aca="false">IF(I166="","",MAX(0,1-I166-J166))</f>
        <v>0</v>
      </c>
      <c r="L166" s="0" t="str">
        <f aca="false">IF(I166="","",IF(I166&gt;=0.5+Config!$B$6,"OVER",IF(J166&gt;=0.5+Config!$B$6,"UNDER","—")))</f>
        <v>—</v>
      </c>
      <c r="N166" s="0" t="n">
        <v>12.2</v>
      </c>
      <c r="O166" s="10" t="n">
        <v>0.6</v>
      </c>
      <c r="P166" s="10" t="n">
        <v>0.6</v>
      </c>
      <c r="Q166" s="10" t="n">
        <v>0.47</v>
      </c>
      <c r="R166" s="9" t="s">
        <v>894</v>
      </c>
      <c r="S166" s="0" t="n">
        <v>-1</v>
      </c>
      <c r="T166" s="0" t="str">
        <f aca="false">INDEX(Calc!$G$2:$G$105,MATCH($W166,Calc!$A$2:$A$105,0))&amp;" / "&amp;INDEX(Calc!$H$2:$H$105,MATCH($W166,Calc!$A$2:$A$105,0))</f>
        <v>Cache / Nuke</v>
      </c>
      <c r="U166" s="0" t="str">
        <f aca="false">TEXT(INDEX(Calc!$J$2:$J$105,MATCH($W166,Calc!$A$2:$A$105,0)),"0.0")&amp;" / "&amp;TEXT(INDEX(Calc!$K$2:$K$105,MATCH($W166,Calc!$A$2:$A$105,0)),"0.0")</f>
        <v>21.2 / 21.1</v>
      </c>
      <c r="V166" s="0" t="str">
        <f aca="false">IFERROR(INDEX(Calc!$AQ$2:$AQ$105,MATCH($W166,Calc!$A$2:$A$105,0)),"")</f>
        <v/>
      </c>
      <c r="W166" s="9" t="s">
        <v>1086</v>
      </c>
      <c r="X166" s="9" t="s">
        <v>896</v>
      </c>
      <c r="Y166" s="0" t="str">
        <f aca="false">W166&amp;"|"&amp;X166</f>
        <v>fdlb7vusl2zjbn9|CS2 · SAW vs SIN|H12</v>
      </c>
      <c r="Z166" s="11" t="n">
        <f aca="false">IFERROR(INDEX(CHOOSE(MATCH($X166,{"K1","K2","K3","K12","K13","H1","H2","H3","H12","H13"},0),Calc!$BA$2:$BA$105,Calc!$BB$2:$BB$105,Calc!$BC$2:$BC$105,Calc!$BD$2:$BD$105,Calc!$BE$2:$BE$105,Calc!$BF$2:$BF$105,Calc!$BG$2:$BG$105,Calc!$BH$2:$BH$105,Calc!$BI$2:$BI$105,Calc!$BJ$2:$BJ$105),MATCH($W166,Calc!$A$2:$A$105,0)),"")</f>
        <v>10.6052342185149</v>
      </c>
      <c r="AA166" s="11" t="n">
        <f aca="false">IF(Z166="","",IF(LEFT($X166,1)="H",SQRT(Z166*(IFERROR(INDEX(Calc!$AP$2:$AP$105,MATCH($W166,Calc!$A$2:$A$105,0)),0.5)*Config!$B$5+1-IFERROR(INDEX(Calc!$AP$2:$AP$105,MATCH($W166,Calc!$A$2:$A$105,0)),0.5))),SQRT(Z166*Config!$B$5)))</f>
        <v>3.47607429047961</v>
      </c>
      <c r="AB166" s="10" t="n">
        <f aca="false">IF(OR(F166="",Z166="",N(AA166)&lt;=0),"",1-NORMDIST(FLOOR(F166,1)+0.5,Z166,AA166,TRUE()))</f>
        <v>0.398432307994973</v>
      </c>
      <c r="AC166" s="10" t="n">
        <f aca="false">IF(AB166="","",NORMDIST(CEILING(F166,1)-0.5,Z166,AA166,TRUE()))</f>
        <v>0.601567692005027</v>
      </c>
      <c r="AD166" s="0" t="str">
        <f aca="false">IF(AB166="","",IF(AB166&gt;=0.5+Config!$B$6,"OVER",IF(AC166&gt;=0.5+Config!$B$6,"UNDER","—")))</f>
        <v>UNDER</v>
      </c>
      <c r="AE166" s="13" t="n">
        <f aca="false">IFERROR(Z166/G166,"")</f>
        <v>0.951733153083462</v>
      </c>
    </row>
    <row r="167" customFormat="false" ht="15" hidden="false" customHeight="false" outlineLevel="0" collapsed="false">
      <c r="A167" s="0" t="s">
        <v>775</v>
      </c>
      <c r="B167" s="0" t="s">
        <v>830</v>
      </c>
      <c r="C167" s="0" t="s">
        <v>1085</v>
      </c>
      <c r="D167" s="0" t="s">
        <v>833</v>
      </c>
      <c r="E167" s="0" t="s">
        <v>888</v>
      </c>
      <c r="F167" s="0" t="n">
        <v>31</v>
      </c>
      <c r="G167" s="11" t="n">
        <f aca="false">IFERROR(INDEX(CHOOSE(MATCH($X167,{"K1","K2","K3","K12","K13","H1","H2","H3","H12","H13"},0),Calc!$V$2:$V$105,Calc!$AC$2:$AC$105,Calc!$AJ$2:$AJ$105,Calc!$AL$2:$AL$105,Calc!$AM$2:$AM$105,Calc!$W$2:$W$105,Calc!$AD$2:$AD$105,Calc!$AK$2:$AK$105,Calc!$AN$2:$AN$105,Calc!$AO$2:$AO$105),MATCH($W167,Calc!$A$2:$A$105,0)),"")</f>
        <v>31.9854555555556</v>
      </c>
      <c r="H167" s="11" t="n">
        <f aca="false">IF(G167="","",IF(LEFT($X167,1)="H",SQRT(G167*(IFERROR(INDEX(Calc!$AP$2:$AP$105,MATCH($W167,Calc!$A$2:$A$105,0)),0.5)*Config!$B$5+1-IFERROR(INDEX(Calc!$AP$2:$AP$105,MATCH($W167,Calc!$A$2:$A$105,0)),0.5))),SQRT(G167*Config!$B$5)))</f>
        <v>6.69175894498433</v>
      </c>
      <c r="I167" s="10" t="n">
        <f aca="false">IF(OR(F167="",G167="",N(H167)&lt;=0),"",1-NORMDIST(FLOOR(F167,1)+0.5,G167,H167,TRUE()))</f>
        <v>0.528916015665364</v>
      </c>
      <c r="J167" s="10" t="n">
        <f aca="false">IF(I167="","",NORMDIST(CEILING(F167,1)-0.5,G167,H167,TRUE()))</f>
        <v>0.412163626690135</v>
      </c>
      <c r="K167" s="10" t="n">
        <f aca="false">IF(I167="","",MAX(0,1-I167-J167))</f>
        <v>0.0589203576445003</v>
      </c>
      <c r="L167" s="0" t="str">
        <f aca="false">IF(I167="","",IF(I167&gt;=0.5+Config!$B$6,"OVER",IF(J167&gt;=0.5+Config!$B$6,"UNDER","—")))</f>
        <v>—</v>
      </c>
      <c r="M167" s="0" t="n">
        <v>29.72</v>
      </c>
      <c r="N167" s="0" t="n">
        <v>33.1</v>
      </c>
      <c r="O167" s="10" t="n">
        <v>0.8</v>
      </c>
      <c r="P167" s="10" t="n">
        <v>0.6</v>
      </c>
      <c r="Q167" s="10" t="n">
        <v>0.67</v>
      </c>
      <c r="R167" s="9" t="s">
        <v>894</v>
      </c>
      <c r="S167" s="0" t="n">
        <v>2</v>
      </c>
      <c r="T167" s="0" t="str">
        <f aca="false">INDEX(Calc!$G$2:$G$105,MATCH($W167,Calc!$A$2:$A$105,0))&amp;" / "&amp;INDEX(Calc!$H$2:$H$105,MATCH($W167,Calc!$A$2:$A$105,0))</f>
        <v>Cache / Nuke</v>
      </c>
      <c r="U167" s="0" t="str">
        <f aca="false">TEXT(INDEX(Calc!$J$2:$J$105,MATCH($W167,Calc!$A$2:$A$105,0)),"0.0")&amp;" / "&amp;TEXT(INDEX(Calc!$K$2:$K$105,MATCH($W167,Calc!$A$2:$A$105,0)),"0.0")</f>
        <v>21.2 / 21.1</v>
      </c>
      <c r="V167" s="0" t="str">
        <f aca="false">IFERROR(INDEX(Calc!$AQ$2:$AQ$105,MATCH($W167,Calc!$A$2:$A$105,0)),"")</f>
        <v/>
      </c>
      <c r="W167" s="9" t="s">
        <v>1086</v>
      </c>
      <c r="X167" s="9" t="s">
        <v>891</v>
      </c>
      <c r="Y167" s="0" t="str">
        <f aca="false">W167&amp;"|"&amp;X167</f>
        <v>fdlb7vusl2zjbn9|CS2 · SAW vs SIN|K12</v>
      </c>
      <c r="Z167" s="11" t="n">
        <f aca="false">IFERROR(INDEX(CHOOSE(MATCH($X167,{"K1","K2","K3","K12","K13","H1","H2","H3","H12","H13"},0),Calc!$BA$2:$BA$105,Calc!$BB$2:$BB$105,Calc!$BC$2:$BC$105,Calc!$BD$2:$BD$105,Calc!$BE$2:$BE$105,Calc!$BF$2:$BF$105,Calc!$BG$2:$BG$105,Calc!$BH$2:$BH$105,Calc!$BI$2:$BI$105,Calc!$BJ$2:$BJ$105),MATCH($W167,Calc!$A$2:$A$105,0)),"")</f>
        <v>30.4364772996509</v>
      </c>
      <c r="AA167" s="11" t="n">
        <f aca="false">IF(Z167="","",IF(LEFT($X167,1)="H",SQRT(Z167*(IFERROR(INDEX(Calc!$AP$2:$AP$105,MATCH($W167,Calc!$A$2:$A$105,0)),0.5)*Config!$B$5+1-IFERROR(INDEX(Calc!$AP$2:$AP$105,MATCH($W167,Calc!$A$2:$A$105,0)),0.5))),SQRT(Z167*Config!$B$5)))</f>
        <v>6.52771539051077</v>
      </c>
      <c r="AB167" s="10" t="n">
        <f aca="false">IF(OR(F167="",Z167="",N(AA167)&lt;=0),"",1-NORMDIST(FLOOR(F167,1)+0.5,Z167,AA167,TRUE()))</f>
        <v>0.435289064762159</v>
      </c>
      <c r="AC167" s="10" t="n">
        <f aca="false">IF(AB167="","",NORMDIST(CEILING(F167,1)-0.5,Z167,AA167,TRUE()))</f>
        <v>0.503882137847323</v>
      </c>
      <c r="AD167" s="0" t="str">
        <f aca="false">IF(AB167="","",IF(AB167&gt;=0.5+Config!$B$6,"OVER",IF(AC167&gt;=0.5+Config!$B$6,"UNDER","—")))</f>
        <v>—</v>
      </c>
      <c r="AE167" s="13" t="n">
        <f aca="false">IFERROR(Z167/G167,"")</f>
        <v>0.95157241849458</v>
      </c>
    </row>
    <row r="168" customFormat="false" ht="15" hidden="false" customHeight="false" outlineLevel="0" collapsed="false">
      <c r="A168" s="0" t="s">
        <v>775</v>
      </c>
      <c r="B168" s="0" t="s">
        <v>830</v>
      </c>
      <c r="C168" s="0" t="s">
        <v>1087</v>
      </c>
      <c r="D168" s="0" t="s">
        <v>834</v>
      </c>
      <c r="E168" s="0" t="s">
        <v>893</v>
      </c>
      <c r="F168" s="0" t="n">
        <v>14.5</v>
      </c>
      <c r="G168" s="11" t="n">
        <f aca="false">IFERROR(INDEX(CHOOSE(MATCH($X168,{"K1","K2","K3","K12","K13","H1","H2","H3","H12","H13"},0),Calc!$V$2:$V$105,Calc!$AC$2:$AC$105,Calc!$AJ$2:$AJ$105,Calc!$AL$2:$AL$105,Calc!$AM$2:$AM$105,Calc!$W$2:$W$105,Calc!$AD$2:$AD$105,Calc!$AK$2:$AK$105,Calc!$AN$2:$AN$105,Calc!$AO$2:$AO$105),MATCH($W168,Calc!$A$2:$A$105,0)),"")</f>
        <v>18.2261818727273</v>
      </c>
      <c r="H168" s="11" t="n">
        <f aca="false">IF(G168="","",IF(LEFT($X168,1)="H",SQRT(G168*(IFERROR(INDEX(Calc!$AP$2:$AP$105,MATCH($W168,Calc!$A$2:$A$105,0)),0.5)*Config!$B$5+1-IFERROR(INDEX(Calc!$AP$2:$AP$105,MATCH($W168,Calc!$A$2:$A$105,0)),0.5))),SQRT(G168*Config!$B$5)))</f>
        <v>4.77888680231873</v>
      </c>
      <c r="I168" s="10" t="n">
        <f aca="false">IF(OR(F168="",G168="",N(H168)&lt;=0),"",1-NORMDIST(FLOOR(F168,1)+0.5,G168,H168,TRUE()))</f>
        <v>0.782221424553625</v>
      </c>
      <c r="J168" s="10" t="n">
        <f aca="false">IF(I168="","",NORMDIST(CEILING(F168,1)-0.5,G168,H168,TRUE()))</f>
        <v>0.217778575446375</v>
      </c>
      <c r="K168" s="10" t="n">
        <f aca="false">IF(I168="","",MAX(0,1-I168-J168))</f>
        <v>0</v>
      </c>
      <c r="L168" s="0" t="str">
        <f aca="false">IF(I168="","",IF(I168&gt;=0.5+Config!$B$6,"OVER",IF(J168&gt;=0.5+Config!$B$6,"UNDER","—")))</f>
        <v>OVER</v>
      </c>
      <c r="N168" s="0" t="n">
        <v>17.2</v>
      </c>
      <c r="O168" s="10" t="n">
        <v>0.4</v>
      </c>
      <c r="P168" s="10" t="n">
        <v>0.7</v>
      </c>
      <c r="Q168" s="10" t="n">
        <v>0.73</v>
      </c>
      <c r="R168" s="9" t="s">
        <v>894</v>
      </c>
      <c r="S168" s="0" t="n">
        <v>-3</v>
      </c>
      <c r="T168" s="0" t="str">
        <f aca="false">INDEX(Calc!$G$2:$G$105,MATCH($W168,Calc!$A$2:$A$105,0))&amp;" / "&amp;INDEX(Calc!$H$2:$H$105,MATCH($W168,Calc!$A$2:$A$105,0))</f>
        <v>Cache / Nuke</v>
      </c>
      <c r="U168" s="0" t="str">
        <f aca="false">TEXT(INDEX(Calc!$J$2:$J$105,MATCH($W168,Calc!$A$2:$A$105,0)),"0.0")&amp;" / "&amp;TEXT(INDEX(Calc!$K$2:$K$105,MATCH($W168,Calc!$A$2:$A$105,0)),"0.0")</f>
        <v>21.2 / 21.1</v>
      </c>
      <c r="V168" s="0" t="str">
        <f aca="false">IFERROR(INDEX(Calc!$AQ$2:$AQ$105,MATCH($W168,Calc!$A$2:$A$105,0)),"")</f>
        <v/>
      </c>
      <c r="W168" s="9" t="s">
        <v>1088</v>
      </c>
      <c r="X168" s="9" t="s">
        <v>896</v>
      </c>
      <c r="Y168" s="0" t="str">
        <f aca="false">W168&amp;"|"&amp;X168</f>
        <v>8aai8x2gzwv7n81|CS2 · SAW vs SIN|H12</v>
      </c>
      <c r="Z168" s="11" t="n">
        <f aca="false">IFERROR(INDEX(CHOOSE(MATCH($X168,{"K1","K2","K3","K12","K13","H1","H2","H3","H12","H13"},0),Calc!$BA$2:$BA$105,Calc!$BB$2:$BB$105,Calc!$BC$2:$BC$105,Calc!$BD$2:$BD$105,Calc!$BE$2:$BE$105,Calc!$BF$2:$BF$105,Calc!$BG$2:$BG$105,Calc!$BH$2:$BH$105,Calc!$BI$2:$BI$105,Calc!$BJ$2:$BJ$105),MATCH($W168,Calc!$A$2:$A$105,0)),"")</f>
        <v>18.5296254294842</v>
      </c>
      <c r="AA168" s="11" t="n">
        <f aca="false">IF(Z168="","",IF(LEFT($X168,1)="H",SQRT(Z168*(IFERROR(INDEX(Calc!$AP$2:$AP$105,MATCH($W168,Calc!$A$2:$A$105,0)),0.5)*Config!$B$5+1-IFERROR(INDEX(Calc!$AP$2:$AP$105,MATCH($W168,Calc!$A$2:$A$105,0)),0.5))),SQRT(Z168*Config!$B$5)))</f>
        <v>4.81850388876604</v>
      </c>
      <c r="AB168" s="10" t="n">
        <f aca="false">IF(OR(F168="",Z168="",N(AA168)&lt;=0),"",1-NORMDIST(FLOOR(F168,1)+0.5,Z168,AA168,TRUE()))</f>
        <v>0.798501707465304</v>
      </c>
      <c r="AC168" s="10" t="n">
        <f aca="false">IF(AB168="","",NORMDIST(CEILING(F168,1)-0.5,Z168,AA168,TRUE()))</f>
        <v>0.201498292534696</v>
      </c>
      <c r="AD168" s="0" t="str">
        <f aca="false">IF(AB168="","",IF(AB168&gt;=0.5+Config!$B$6,"OVER",IF(AC168&gt;=0.5+Config!$B$6,"UNDER","—")))</f>
        <v>OVER</v>
      </c>
      <c r="AE168" s="13" t="n">
        <f aca="false">IFERROR(Z168/G168,"")</f>
        <v>1.01664877256662</v>
      </c>
    </row>
    <row r="169" customFormat="false" ht="15" hidden="false" customHeight="false" outlineLevel="0" collapsed="false">
      <c r="A169" s="0" t="s">
        <v>775</v>
      </c>
      <c r="B169" s="0" t="s">
        <v>830</v>
      </c>
      <c r="C169" s="0" t="s">
        <v>1087</v>
      </c>
      <c r="D169" s="0" t="s">
        <v>834</v>
      </c>
      <c r="E169" s="0" t="s">
        <v>888</v>
      </c>
      <c r="F169" s="0" t="n">
        <v>26.5</v>
      </c>
      <c r="G169" s="11" t="n">
        <f aca="false">IFERROR(INDEX(CHOOSE(MATCH($X169,{"K1","K2","K3","K12","K13","H1","H2","H3","H12","H13"},0),Calc!$V$2:$V$105,Calc!$AC$2:$AC$105,Calc!$AJ$2:$AJ$105,Calc!$AL$2:$AL$105,Calc!$AM$2:$AM$105,Calc!$W$2:$W$105,Calc!$AD$2:$AD$105,Calc!$AK$2:$AK$105,Calc!$AN$2:$AN$105,Calc!$AO$2:$AO$105),MATCH($W169,Calc!$A$2:$A$105,0)),"")</f>
        <v>28.8138909090909</v>
      </c>
      <c r="H169" s="11" t="n">
        <f aca="false">IF(G169="","",IF(LEFT($X169,1)="H",SQRT(G169*(IFERROR(INDEX(Calc!$AP$2:$AP$105,MATCH($W169,Calc!$A$2:$A$105,0)),0.5)*Config!$B$5+1-IFERROR(INDEX(Calc!$AP$2:$AP$105,MATCH($W169,Calc!$A$2:$A$105,0)),0.5))),SQRT(G169*Config!$B$5)))</f>
        <v>6.3513342907398</v>
      </c>
      <c r="I169" s="10" t="n">
        <f aca="false">IF(OR(F169="",G169="",N(H169)&lt;=0),"",1-NORMDIST(FLOOR(F169,1)+0.5,G169,H169,TRUE()))</f>
        <v>0.642188867835955</v>
      </c>
      <c r="J169" s="10" t="n">
        <f aca="false">IF(I169="","",NORMDIST(CEILING(F169,1)-0.5,G169,H169,TRUE()))</f>
        <v>0.357811132164045</v>
      </c>
      <c r="K169" s="10" t="n">
        <f aca="false">IF(I169="","",MAX(0,1-I169-J169))</f>
        <v>0</v>
      </c>
      <c r="L169" s="0" t="str">
        <f aca="false">IF(I169="","",IF(I169&gt;=0.5+Config!$B$6,"OVER",IF(J169&gt;=0.5+Config!$B$6,"UNDER","—")))</f>
        <v>OVER</v>
      </c>
      <c r="M169" s="0" t="n">
        <v>26.39</v>
      </c>
      <c r="N169" s="0" t="n">
        <v>28.7</v>
      </c>
      <c r="O169" s="10" t="n">
        <v>0.4</v>
      </c>
      <c r="P169" s="10" t="n">
        <v>0.7</v>
      </c>
      <c r="Q169" s="10" t="n">
        <v>0.6</v>
      </c>
      <c r="R169" s="9" t="s">
        <v>894</v>
      </c>
      <c r="S169" s="0" t="n">
        <v>-3</v>
      </c>
      <c r="T169" s="0" t="str">
        <f aca="false">INDEX(Calc!$G$2:$G$105,MATCH($W169,Calc!$A$2:$A$105,0))&amp;" / "&amp;INDEX(Calc!$H$2:$H$105,MATCH($W169,Calc!$A$2:$A$105,0))</f>
        <v>Cache / Nuke</v>
      </c>
      <c r="U169" s="0" t="str">
        <f aca="false">TEXT(INDEX(Calc!$J$2:$J$105,MATCH($W169,Calc!$A$2:$A$105,0)),"0.0")&amp;" / "&amp;TEXT(INDEX(Calc!$K$2:$K$105,MATCH($W169,Calc!$A$2:$A$105,0)),"0.0")</f>
        <v>21.2 / 21.1</v>
      </c>
      <c r="V169" s="0" t="str">
        <f aca="false">IFERROR(INDEX(Calc!$AQ$2:$AQ$105,MATCH($W169,Calc!$A$2:$A$105,0)),"")</f>
        <v/>
      </c>
      <c r="W169" s="9" t="s">
        <v>1088</v>
      </c>
      <c r="X169" s="9" t="s">
        <v>891</v>
      </c>
      <c r="Y169" s="0" t="str">
        <f aca="false">W169&amp;"|"&amp;X169</f>
        <v>8aai8x2gzwv7n81|CS2 · SAW vs SIN|K12</v>
      </c>
      <c r="Z169" s="11" t="n">
        <f aca="false">IFERROR(INDEX(CHOOSE(MATCH($X169,{"K1","K2","K3","K12","K13","H1","H2","H3","H12","H13"},0),Calc!$BA$2:$BA$105,Calc!$BB$2:$BB$105,Calc!$BC$2:$BC$105,Calc!$BD$2:$BD$105,Calc!$BE$2:$BE$105,Calc!$BF$2:$BF$105,Calc!$BG$2:$BG$105,Calc!$BH$2:$BH$105,Calc!$BI$2:$BI$105,Calc!$BJ$2:$BJ$105),MATCH($W169,Calc!$A$2:$A$105,0)),"")</f>
        <v>29.2781806437689</v>
      </c>
      <c r="AA169" s="11" t="n">
        <f aca="false">IF(Z169="","",IF(LEFT($X169,1)="H",SQRT(Z169*(IFERROR(INDEX(Calc!$AP$2:$AP$105,MATCH($W169,Calc!$A$2:$A$105,0)),0.5)*Config!$B$5+1-IFERROR(INDEX(Calc!$AP$2:$AP$105,MATCH($W169,Calc!$A$2:$A$105,0)),0.5))),SQRT(Z169*Config!$B$5)))</f>
        <v>6.40230059441733</v>
      </c>
      <c r="AB169" s="10" t="n">
        <f aca="false">IF(OR(F169="",Z169="",N(AA169)&lt;=0),"",1-NORMDIST(FLOOR(F169,1)+0.5,Z169,AA169,TRUE()))</f>
        <v>0.667832084164836</v>
      </c>
      <c r="AC169" s="10" t="n">
        <f aca="false">IF(AB169="","",NORMDIST(CEILING(F169,1)-0.5,Z169,AA169,TRUE()))</f>
        <v>0.332167915835164</v>
      </c>
      <c r="AD169" s="0" t="str">
        <f aca="false">IF(AB169="","",IF(AB169&gt;=0.5+Config!$B$6,"OVER",IF(AC169&gt;=0.5+Config!$B$6,"UNDER","—")))</f>
        <v>OVER</v>
      </c>
      <c r="AE169" s="13" t="n">
        <f aca="false">IFERROR(Z169/G169,"")</f>
        <v>1.01611339947607</v>
      </c>
    </row>
    <row r="170" customFormat="false" ht="15" hidden="false" customHeight="false" outlineLevel="0" collapsed="false">
      <c r="A170" s="0" t="s">
        <v>775</v>
      </c>
      <c r="B170" s="0" t="s">
        <v>830</v>
      </c>
      <c r="C170" s="0" t="s">
        <v>1089</v>
      </c>
      <c r="D170" s="0" t="s">
        <v>834</v>
      </c>
      <c r="E170" s="0" t="s">
        <v>893</v>
      </c>
      <c r="F170" s="0" t="n">
        <v>15.5</v>
      </c>
      <c r="G170" s="11" t="n">
        <f aca="false">IFERROR(INDEX(CHOOSE(MATCH($X170,{"K1","K2","K3","K12","K13","H1","H2","H3","H12","H13"},0),Calc!$V$2:$V$105,Calc!$AC$2:$AC$105,Calc!$AJ$2:$AJ$105,Calc!$AL$2:$AL$105,Calc!$AM$2:$AM$105,Calc!$W$2:$W$105,Calc!$AD$2:$AD$105,Calc!$AK$2:$AK$105,Calc!$AN$2:$AN$105,Calc!$AO$2:$AO$105),MATCH($W170,Calc!$A$2:$A$105,0)),"")</f>
        <v>13.4663175842975</v>
      </c>
      <c r="H170" s="11" t="n">
        <f aca="false">IF(G170="","",IF(LEFT($X170,1)="H",SQRT(G170*(IFERROR(INDEX(Calc!$AP$2:$AP$105,MATCH($W170,Calc!$A$2:$A$105,0)),0.5)*Config!$B$5+1-IFERROR(INDEX(Calc!$AP$2:$AP$105,MATCH($W170,Calc!$A$2:$A$105,0)),0.5))),SQRT(G170*Config!$B$5)))</f>
        <v>4.01257184647033</v>
      </c>
      <c r="I170" s="10" t="n">
        <f aca="false">IF(OR(F170="",G170="",N(H170)&lt;=0),"",1-NORMDIST(FLOOR(F170,1)+0.5,G170,H170,TRUE()))</f>
        <v>0.30613787197817</v>
      </c>
      <c r="J170" s="10" t="n">
        <f aca="false">IF(I170="","",NORMDIST(CEILING(F170,1)-0.5,G170,H170,TRUE()))</f>
        <v>0.69386212802183</v>
      </c>
      <c r="K170" s="10" t="n">
        <f aca="false">IF(I170="","",MAX(0,1-I170-J170))</f>
        <v>0</v>
      </c>
      <c r="L170" s="0" t="str">
        <f aca="false">IF(I170="","",IF(I170&gt;=0.5+Config!$B$6,"OVER",IF(J170&gt;=0.5+Config!$B$6,"UNDER","—")))</f>
        <v>UNDER</v>
      </c>
      <c r="N170" s="0" t="n">
        <v>13.5</v>
      </c>
      <c r="O170" s="10" t="n">
        <v>0.4</v>
      </c>
      <c r="P170" s="10" t="n">
        <v>0.3</v>
      </c>
      <c r="Q170" s="10" t="n">
        <v>0.27</v>
      </c>
      <c r="R170" s="9" t="s">
        <v>889</v>
      </c>
      <c r="S170" s="0" t="n">
        <v>-1</v>
      </c>
      <c r="T170" s="0" t="str">
        <f aca="false">INDEX(Calc!$G$2:$G$105,MATCH($W170,Calc!$A$2:$A$105,0))&amp;" / "&amp;INDEX(Calc!$H$2:$H$105,MATCH($W170,Calc!$A$2:$A$105,0))</f>
        <v>Cache / Nuke</v>
      </c>
      <c r="U170" s="0" t="str">
        <f aca="false">TEXT(INDEX(Calc!$J$2:$J$105,MATCH($W170,Calc!$A$2:$A$105,0)),"0.0")&amp;" / "&amp;TEXT(INDEX(Calc!$K$2:$K$105,MATCH($W170,Calc!$A$2:$A$105,0)),"0.0")</f>
        <v>21.2 / 21.1</v>
      </c>
      <c r="V170" s="0" t="str">
        <f aca="false">IFERROR(INDEX(Calc!$AQ$2:$AQ$105,MATCH($W170,Calc!$A$2:$A$105,0)),"")</f>
        <v/>
      </c>
      <c r="W170" s="9" t="s">
        <v>1090</v>
      </c>
      <c r="X170" s="9" t="s">
        <v>896</v>
      </c>
      <c r="Y170" s="0" t="str">
        <f aca="false">W170&amp;"|"&amp;X170</f>
        <v>lsulnpetantoynq|CS2 · SAW vs SIN|H12</v>
      </c>
      <c r="Z170" s="11" t="n">
        <f aca="false">IFERROR(INDEX(CHOOSE(MATCH($X170,{"K1","K2","K3","K12","K13","H1","H2","H3","H12","H13"},0),Calc!$BA$2:$BA$105,Calc!$BB$2:$BB$105,Calc!$BC$2:$BC$105,Calc!$BD$2:$BD$105,Calc!$BE$2:$BE$105,Calc!$BF$2:$BF$105,Calc!$BG$2:$BG$105,Calc!$BH$2:$BH$105,Calc!$BI$2:$BI$105,Calc!$BJ$2:$BJ$105),MATCH($W170,Calc!$A$2:$A$105,0)),"")</f>
        <v>13.7041687548987</v>
      </c>
      <c r="AA170" s="11" t="n">
        <f aca="false">IF(Z170="","",IF(LEFT($X170,1)="H",SQRT(Z170*(IFERROR(INDEX(Calc!$AP$2:$AP$105,MATCH($W170,Calc!$A$2:$A$105,0)),0.5)*Config!$B$5+1-IFERROR(INDEX(Calc!$AP$2:$AP$105,MATCH($W170,Calc!$A$2:$A$105,0)),0.5))),SQRT(Z170*Config!$B$5)))</f>
        <v>4.04785311120435</v>
      </c>
      <c r="AB170" s="10" t="n">
        <f aca="false">IF(OR(F170="",Z170="",N(AA170)&lt;=0),"",1-NORMDIST(FLOOR(F170,1)+0.5,Z170,AA170,TRUE()))</f>
        <v>0.328647716819291</v>
      </c>
      <c r="AC170" s="10" t="n">
        <f aca="false">IF(AB170="","",NORMDIST(CEILING(F170,1)-0.5,Z170,AA170,TRUE()))</f>
        <v>0.67135228318071</v>
      </c>
      <c r="AD170" s="0" t="str">
        <f aca="false">IF(AB170="","",IF(AB170&gt;=0.5+Config!$B$6,"OVER",IF(AC170&gt;=0.5+Config!$B$6,"UNDER","—")))</f>
        <v>UNDER</v>
      </c>
      <c r="AE170" s="13" t="n">
        <f aca="false">IFERROR(Z170/G170,"")</f>
        <v>1.01766267348979</v>
      </c>
    </row>
    <row r="171" customFormat="false" ht="15" hidden="false" customHeight="false" outlineLevel="0" collapsed="false">
      <c r="A171" s="0" t="s">
        <v>775</v>
      </c>
      <c r="B171" s="0" t="s">
        <v>830</v>
      </c>
      <c r="C171" s="0" t="s">
        <v>1089</v>
      </c>
      <c r="D171" s="0" t="s">
        <v>834</v>
      </c>
      <c r="E171" s="0" t="s">
        <v>888</v>
      </c>
      <c r="F171" s="0" t="n">
        <v>28.5</v>
      </c>
      <c r="G171" s="11" t="n">
        <f aca="false">IFERROR(INDEX(CHOOSE(MATCH($X171,{"K1","K2","K3","K12","K13","H1","H2","H3","H12","H13"},0),Calc!$V$2:$V$105,Calc!$AC$2:$AC$105,Calc!$AJ$2:$AJ$105,Calc!$AL$2:$AL$105,Calc!$AM$2:$AM$105,Calc!$W$2:$W$105,Calc!$AD$2:$AD$105,Calc!$AK$2:$AK$105,Calc!$AN$2:$AN$105,Calc!$AO$2:$AO$105),MATCH($W171,Calc!$A$2:$A$105,0)),"")</f>
        <v>27.5342636363636</v>
      </c>
      <c r="H171" s="11" t="n">
        <f aca="false">IF(G171="","",IF(LEFT($X171,1)="H",SQRT(G171*(IFERROR(INDEX(Calc!$AP$2:$AP$105,MATCH($W171,Calc!$A$2:$A$105,0)),0.5)*Config!$B$5+1-IFERROR(INDEX(Calc!$AP$2:$AP$105,MATCH($W171,Calc!$A$2:$A$105,0)),0.5))),SQRT(G171*Config!$B$5)))</f>
        <v>6.20870107920401</v>
      </c>
      <c r="I171" s="10" t="n">
        <f aca="false">IF(OR(F171="",G171="",N(H171)&lt;=0),"",1-NORMDIST(FLOOR(F171,1)+0.5,G171,H171,TRUE()))</f>
        <v>0.438195589341946</v>
      </c>
      <c r="J171" s="10" t="n">
        <f aca="false">IF(I171="","",NORMDIST(CEILING(F171,1)-0.5,G171,H171,TRUE()))</f>
        <v>0.561804410658054</v>
      </c>
      <c r="K171" s="10" t="n">
        <f aca="false">IF(I171="","",MAX(0,1-I171-J171))</f>
        <v>0</v>
      </c>
      <c r="L171" s="0" t="str">
        <f aca="false">IF(I171="","",IF(I171&gt;=0.5+Config!$B$6,"OVER",IF(J171&gt;=0.5+Config!$B$6,"UNDER","—")))</f>
        <v>UNDER</v>
      </c>
      <c r="M171" s="0" t="n">
        <v>28.97</v>
      </c>
      <c r="N171" s="0" t="n">
        <v>27.6</v>
      </c>
      <c r="O171" s="10" t="n">
        <v>0.4</v>
      </c>
      <c r="P171" s="10" t="n">
        <v>0.4</v>
      </c>
      <c r="Q171" s="10" t="n">
        <v>0.33</v>
      </c>
      <c r="R171" s="9" t="s">
        <v>889</v>
      </c>
      <c r="S171" s="0" t="n">
        <v>-1</v>
      </c>
      <c r="T171" s="0" t="str">
        <f aca="false">INDEX(Calc!$G$2:$G$105,MATCH($W171,Calc!$A$2:$A$105,0))&amp;" / "&amp;INDEX(Calc!$H$2:$H$105,MATCH($W171,Calc!$A$2:$A$105,0))</f>
        <v>Cache / Nuke</v>
      </c>
      <c r="U171" s="0" t="str">
        <f aca="false">TEXT(INDEX(Calc!$J$2:$J$105,MATCH($W171,Calc!$A$2:$A$105,0)),"0.0")&amp;" / "&amp;TEXT(INDEX(Calc!$K$2:$K$105,MATCH($W171,Calc!$A$2:$A$105,0)),"0.0")</f>
        <v>21.2 / 21.1</v>
      </c>
      <c r="V171" s="0" t="str">
        <f aca="false">IFERROR(INDEX(Calc!$AQ$2:$AQ$105,MATCH($W171,Calc!$A$2:$A$105,0)),"")</f>
        <v/>
      </c>
      <c r="W171" s="9" t="s">
        <v>1090</v>
      </c>
      <c r="X171" s="9" t="s">
        <v>891</v>
      </c>
      <c r="Y171" s="0" t="str">
        <f aca="false">W171&amp;"|"&amp;X171</f>
        <v>lsulnpetantoynq|CS2 · SAW vs SIN|K12</v>
      </c>
      <c r="Z171" s="11" t="n">
        <f aca="false">IFERROR(INDEX(CHOOSE(MATCH($X171,{"K1","K2","K3","K12","K13","H1","H2","H3","H12","H13"},0),Calc!$BA$2:$BA$105,Calc!$BB$2:$BB$105,Calc!$BC$2:$BC$105,Calc!$BD$2:$BD$105,Calc!$BE$2:$BE$105,Calc!$BF$2:$BF$105,Calc!$BG$2:$BG$105,Calc!$BH$2:$BH$105,Calc!$BI$2:$BI$105,Calc!$BJ$2:$BJ$105),MATCH($W171,Calc!$A$2:$A$105,0)),"")</f>
        <v>27.9884333984129</v>
      </c>
      <c r="AA171" s="11" t="n">
        <f aca="false">IF(Z171="","",IF(LEFT($X171,1)="H",SQRT(Z171*(IFERROR(INDEX(Calc!$AP$2:$AP$105,MATCH($W171,Calc!$A$2:$A$105,0)),0.5)*Config!$B$5+1-IFERROR(INDEX(Calc!$AP$2:$AP$105,MATCH($W171,Calc!$A$2:$A$105,0)),0.5))),SQRT(Z171*Config!$B$5)))</f>
        <v>6.25969701804952</v>
      </c>
      <c r="AB171" s="10" t="n">
        <f aca="false">IF(OR(F171="",Z171="",N(AA171)&lt;=0),"",1-NORMDIST(FLOOR(F171,1)+0.5,Z171,AA171,TRUE()))</f>
        <v>0.467433152215949</v>
      </c>
      <c r="AC171" s="10" t="n">
        <f aca="false">IF(AB171="","",NORMDIST(CEILING(F171,1)-0.5,Z171,AA171,TRUE()))</f>
        <v>0.532566847784051</v>
      </c>
      <c r="AD171" s="0" t="str">
        <f aca="false">IF(AB171="","",IF(AB171&gt;=0.5+Config!$B$6,"OVER",IF(AC171&gt;=0.5+Config!$B$6,"UNDER","—")))</f>
        <v>—</v>
      </c>
      <c r="AE171" s="13" t="n">
        <f aca="false">IFERROR(Z171/G171,"")</f>
        <v>1.01649471248069</v>
      </c>
    </row>
    <row r="172" customFormat="false" ht="15" hidden="false" customHeight="false" outlineLevel="0" collapsed="false">
      <c r="A172" s="0" t="s">
        <v>775</v>
      </c>
      <c r="B172" s="0" t="s">
        <v>830</v>
      </c>
      <c r="C172" s="0" t="s">
        <v>1091</v>
      </c>
      <c r="D172" s="0" t="s">
        <v>834</v>
      </c>
      <c r="E172" s="0" t="s">
        <v>893</v>
      </c>
      <c r="F172" s="0" t="n">
        <v>9.5</v>
      </c>
      <c r="G172" s="11" t="n">
        <f aca="false">IFERROR(INDEX(CHOOSE(MATCH($X172,{"K1","K2","K3","K12","K13","H1","H2","H3","H12","H13"},0),Calc!$V$2:$V$105,Calc!$AC$2:$AC$105,Calc!$AJ$2:$AJ$105,Calc!$AL$2:$AL$105,Calc!$AM$2:$AM$105,Calc!$W$2:$W$105,Calc!$AD$2:$AD$105,Calc!$AK$2:$AK$105,Calc!$AN$2:$AN$105,Calc!$AO$2:$AO$105),MATCH($W172,Calc!$A$2:$A$105,0)),"")</f>
        <v>7.19912509090909</v>
      </c>
      <c r="H172" s="11" t="n">
        <f aca="false">IF(G172="","",IF(LEFT($X172,1)="H",SQRT(G172*(IFERROR(INDEX(Calc!$AP$2:$AP$105,MATCH($W172,Calc!$A$2:$A$105,0)),0.5)*Config!$B$5+1-IFERROR(INDEX(Calc!$AP$2:$AP$105,MATCH($W172,Calc!$A$2:$A$105,0)),0.5))),SQRT(G172*Config!$B$5)))</f>
        <v>2.83442652167961</v>
      </c>
      <c r="I172" s="10" t="n">
        <f aca="false">IF(OR(F172="",G172="",N(H172)&lt;=0),"",1-NORMDIST(FLOOR(F172,1)+0.5,G172,H172,TRUE()))</f>
        <v>0.208464594592615</v>
      </c>
      <c r="J172" s="10" t="n">
        <f aca="false">IF(I172="","",NORMDIST(CEILING(F172,1)-0.5,G172,H172,TRUE()))</f>
        <v>0.791535405407385</v>
      </c>
      <c r="K172" s="10" t="n">
        <f aca="false">IF(I172="","",MAX(0,1-I172-J172))</f>
        <v>0</v>
      </c>
      <c r="L172" s="0" t="str">
        <f aca="false">IF(I172="","",IF(I172&gt;=0.5+Config!$B$6,"OVER",IF(J172&gt;=0.5+Config!$B$6,"UNDER","—")))</f>
        <v>UNDER</v>
      </c>
      <c r="N172" s="0" t="n">
        <v>8.9</v>
      </c>
      <c r="O172" s="10" t="n">
        <v>0.2</v>
      </c>
      <c r="P172" s="10" t="n">
        <v>0.4</v>
      </c>
      <c r="Q172" s="10" t="n">
        <v>0.4</v>
      </c>
      <c r="R172" s="9" t="s">
        <v>889</v>
      </c>
      <c r="S172" s="0" t="n">
        <v>-2</v>
      </c>
      <c r="T172" s="0" t="str">
        <f aca="false">INDEX(Calc!$G$2:$G$105,MATCH($W172,Calc!$A$2:$A$105,0))&amp;" / "&amp;INDEX(Calc!$H$2:$H$105,MATCH($W172,Calc!$A$2:$A$105,0))</f>
        <v>Cache / Nuke</v>
      </c>
      <c r="U172" s="0" t="str">
        <f aca="false">TEXT(INDEX(Calc!$J$2:$J$105,MATCH($W172,Calc!$A$2:$A$105,0)),"0.0")&amp;" / "&amp;TEXT(INDEX(Calc!$K$2:$K$105,MATCH($W172,Calc!$A$2:$A$105,0)),"0.0")</f>
        <v>21.2 / 21.1</v>
      </c>
      <c r="V172" s="0" t="str">
        <f aca="false">IFERROR(INDEX(Calc!$AQ$2:$AQ$105,MATCH($W172,Calc!$A$2:$A$105,0)),"")</f>
        <v/>
      </c>
      <c r="W172" s="9" t="s">
        <v>1092</v>
      </c>
      <c r="X172" s="9" t="s">
        <v>896</v>
      </c>
      <c r="Y172" s="0" t="str">
        <f aca="false">W172&amp;"|"&amp;X172</f>
        <v>1hopqlnjw3mlmoz|CS2 · SAW vs SIN|H12</v>
      </c>
      <c r="Z172" s="11" t="n">
        <f aca="false">IFERROR(INDEX(CHOOSE(MATCH($X172,{"K1","K2","K3","K12","K13","H1","H2","H3","H12","H13"},0),Calc!$BA$2:$BA$105,Calc!$BB$2:$BB$105,Calc!$BC$2:$BC$105,Calc!$BD$2:$BD$105,Calc!$BE$2:$BE$105,Calc!$BF$2:$BF$105,Calc!$BG$2:$BG$105,Calc!$BH$2:$BH$105,Calc!$BI$2:$BI$105,Calc!$BJ$2:$BJ$105),MATCH($W172,Calc!$A$2:$A$105,0)),"")</f>
        <v>7.34041021157367</v>
      </c>
      <c r="AA172" s="11" t="n">
        <f aca="false">IF(Z172="","",IF(LEFT($X172,1)="H",SQRT(Z172*(IFERROR(INDEX(Calc!$AP$2:$AP$105,MATCH($W172,Calc!$A$2:$A$105,0)),0.5)*Config!$B$5+1-IFERROR(INDEX(Calc!$AP$2:$AP$105,MATCH($W172,Calc!$A$2:$A$105,0)),0.5))),SQRT(Z172*Config!$B$5)))</f>
        <v>2.86210464469774</v>
      </c>
      <c r="AB172" s="10" t="n">
        <f aca="false">IF(OR(F172="",Z172="",N(AA172)&lt;=0),"",1-NORMDIST(FLOOR(F172,1)+0.5,Z172,AA172,TRUE()))</f>
        <v>0.225260698837038</v>
      </c>
      <c r="AC172" s="10" t="n">
        <f aca="false">IF(AB172="","",NORMDIST(CEILING(F172,1)-0.5,Z172,AA172,TRUE()))</f>
        <v>0.774739301162962</v>
      </c>
      <c r="AD172" s="0" t="str">
        <f aca="false">IF(AB172="","",IF(AB172&gt;=0.5+Config!$B$6,"OVER",IF(AC172&gt;=0.5+Config!$B$6,"UNDER","—")))</f>
        <v>UNDER</v>
      </c>
      <c r="AE172" s="13" t="n">
        <f aca="false">IFERROR(Z172/G172,"")</f>
        <v>1.01962531819915</v>
      </c>
    </row>
    <row r="173" customFormat="false" ht="15" hidden="false" customHeight="false" outlineLevel="0" collapsed="false">
      <c r="A173" s="0" t="s">
        <v>775</v>
      </c>
      <c r="B173" s="0" t="s">
        <v>830</v>
      </c>
      <c r="C173" s="0" t="s">
        <v>1091</v>
      </c>
      <c r="D173" s="0" t="s">
        <v>834</v>
      </c>
      <c r="E173" s="0" t="s">
        <v>888</v>
      </c>
      <c r="F173" s="0" t="n">
        <v>28.5</v>
      </c>
      <c r="G173" s="11" t="n">
        <f aca="false">IFERROR(INDEX(CHOOSE(MATCH($X173,{"K1","K2","K3","K12","K13","H1","H2","H3","H12","H13"},0),Calc!$V$2:$V$105,Calc!$AC$2:$AC$105,Calc!$AJ$2:$AJ$105,Calc!$AL$2:$AL$105,Calc!$AM$2:$AM$105,Calc!$W$2:$W$105,Calc!$AD$2:$AD$105,Calc!$AK$2:$AK$105,Calc!$AN$2:$AN$105,Calc!$AO$2:$AO$105),MATCH($W173,Calc!$A$2:$A$105,0)),"")</f>
        <v>24.832</v>
      </c>
      <c r="H173" s="11" t="n">
        <f aca="false">IF(G173="","",IF(LEFT($X173,1)="H",SQRT(G173*(IFERROR(INDEX(Calc!$AP$2:$AP$105,MATCH($W173,Calc!$A$2:$A$105,0)),0.5)*Config!$B$5+1-IFERROR(INDEX(Calc!$AP$2:$AP$105,MATCH($W173,Calc!$A$2:$A$105,0)),0.5))),SQRT(G173*Config!$B$5)))</f>
        <v>5.89616824726025</v>
      </c>
      <c r="I173" s="10" t="n">
        <f aca="false">IF(OR(F173="",G173="",N(H173)&lt;=0),"",1-NORMDIST(FLOOR(F173,1)+0.5,G173,H173,TRUE()))</f>
        <v>0.266938406901595</v>
      </c>
      <c r="J173" s="10" t="n">
        <f aca="false">IF(I173="","",NORMDIST(CEILING(F173,1)-0.5,G173,H173,TRUE()))</f>
        <v>0.733061593098405</v>
      </c>
      <c r="K173" s="10" t="n">
        <f aca="false">IF(I173="","",MAX(0,1-I173-J173))</f>
        <v>0</v>
      </c>
      <c r="L173" s="0" t="str">
        <f aca="false">IF(I173="","",IF(I173&gt;=0.5+Config!$B$6,"OVER",IF(J173&gt;=0.5+Config!$B$6,"UNDER","—")))</f>
        <v>UNDER</v>
      </c>
      <c r="M173" s="0" t="n">
        <v>28.97</v>
      </c>
      <c r="N173" s="0" t="n">
        <v>26.8</v>
      </c>
      <c r="O173" s="10" t="n">
        <v>0</v>
      </c>
      <c r="P173" s="10" t="n">
        <v>0.3</v>
      </c>
      <c r="Q173" s="10" t="n">
        <v>0.4</v>
      </c>
      <c r="R173" s="9" t="s">
        <v>894</v>
      </c>
      <c r="S173" s="0" t="n">
        <v>-5</v>
      </c>
      <c r="T173" s="0" t="str">
        <f aca="false">INDEX(Calc!$G$2:$G$105,MATCH($W173,Calc!$A$2:$A$105,0))&amp;" / "&amp;INDEX(Calc!$H$2:$H$105,MATCH($W173,Calc!$A$2:$A$105,0))</f>
        <v>Cache / Nuke</v>
      </c>
      <c r="U173" s="0" t="str">
        <f aca="false">TEXT(INDEX(Calc!$J$2:$J$105,MATCH($W173,Calc!$A$2:$A$105,0)),"0.0")&amp;" / "&amp;TEXT(INDEX(Calc!$K$2:$K$105,MATCH($W173,Calc!$A$2:$A$105,0)),"0.0")</f>
        <v>21.2 / 21.1</v>
      </c>
      <c r="V173" s="0" t="str">
        <f aca="false">IFERROR(INDEX(Calc!$AQ$2:$AQ$105,MATCH($W173,Calc!$A$2:$A$105,0)),"")</f>
        <v/>
      </c>
      <c r="W173" s="9" t="s">
        <v>1092</v>
      </c>
      <c r="X173" s="9" t="s">
        <v>891</v>
      </c>
      <c r="Y173" s="0" t="str">
        <f aca="false">W173&amp;"|"&amp;X173</f>
        <v>1hopqlnjw3mlmoz|CS2 · SAW vs SIN|K12</v>
      </c>
      <c r="Z173" s="11" t="n">
        <f aca="false">IFERROR(INDEX(CHOOSE(MATCH($X173,{"K1","K2","K3","K12","K13","H1","H2","H3","H12","H13"},0),Calc!$BA$2:$BA$105,Calc!$BB$2:$BB$105,Calc!$BC$2:$BC$105,Calc!$BD$2:$BD$105,Calc!$BE$2:$BE$105,Calc!$BF$2:$BF$105,Calc!$BG$2:$BG$105,Calc!$BH$2:$BH$105,Calc!$BI$2:$BI$105,Calc!$BJ$2:$BJ$105),MATCH($W173,Calc!$A$2:$A$105,0)),"")</f>
        <v>25.2571077593907</v>
      </c>
      <c r="AA173" s="11" t="n">
        <f aca="false">IF(Z173="","",IF(LEFT($X173,1)="H",SQRT(Z173*(IFERROR(INDEX(Calc!$AP$2:$AP$105,MATCH($W173,Calc!$A$2:$A$105,0)),0.5)*Config!$B$5+1-IFERROR(INDEX(Calc!$AP$2:$AP$105,MATCH($W173,Calc!$A$2:$A$105,0)),0.5))),SQRT(Z173*Config!$B$5)))</f>
        <v>5.94642336729794</v>
      </c>
      <c r="AB173" s="10" t="n">
        <f aca="false">IF(OR(F173="",Z173="",N(AA173)&lt;=0),"",1-NORMDIST(FLOOR(F173,1)+0.5,Z173,AA173,TRUE()))</f>
        <v>0.292755817836859</v>
      </c>
      <c r="AC173" s="10" t="n">
        <f aca="false">IF(AB173="","",NORMDIST(CEILING(F173,1)-0.5,Z173,AA173,TRUE()))</f>
        <v>0.707244182163141</v>
      </c>
      <c r="AD173" s="0" t="str">
        <f aca="false">IF(AB173="","",IF(AB173&gt;=0.5+Config!$B$6,"OVER",IF(AC173&gt;=0.5+Config!$B$6,"UNDER","—")))</f>
        <v>UNDER</v>
      </c>
      <c r="AE173" s="13" t="n">
        <f aca="false">IFERROR(Z173/G173,"")</f>
        <v>1.01711935242392</v>
      </c>
    </row>
    <row r="174" customFormat="false" ht="15" hidden="false" customHeight="false" outlineLevel="0" collapsed="false">
      <c r="A174" s="0" t="s">
        <v>775</v>
      </c>
      <c r="B174" s="0" t="s">
        <v>830</v>
      </c>
      <c r="C174" s="0" t="s">
        <v>1093</v>
      </c>
      <c r="D174" s="0" t="s">
        <v>834</v>
      </c>
      <c r="E174" s="0" t="s">
        <v>893</v>
      </c>
      <c r="F174" s="0" t="n">
        <v>15.5</v>
      </c>
      <c r="G174" s="11" t="n">
        <f aca="false">IFERROR(INDEX(CHOOSE(MATCH($X174,{"K1","K2","K3","K12","K13","H1","H2","H3","H12","H13"},0),Calc!$V$2:$V$105,Calc!$AC$2:$AC$105,Calc!$AJ$2:$AJ$105,Calc!$AL$2:$AL$105,Calc!$AM$2:$AM$105,Calc!$W$2:$W$105,Calc!$AD$2:$AD$105,Calc!$AK$2:$AK$105,Calc!$AN$2:$AN$105,Calc!$AO$2:$AO$105),MATCH($W174,Calc!$A$2:$A$105,0)),"")</f>
        <v>16.1788068090909</v>
      </c>
      <c r="H174" s="11" t="n">
        <f aca="false">IF(G174="","",IF(LEFT($X174,1)="H",SQRT(G174*(IFERROR(INDEX(Calc!$AP$2:$AP$105,MATCH($W174,Calc!$A$2:$A$105,0)),0.5)*Config!$B$5+1-IFERROR(INDEX(Calc!$AP$2:$AP$105,MATCH($W174,Calc!$A$2:$A$105,0)),0.5))),SQRT(G174*Config!$B$5)))</f>
        <v>4.4576656097022</v>
      </c>
      <c r="I174" s="10" t="n">
        <f aca="false">IF(OR(F174="",G174="",N(H174)&lt;=0),"",1-NORMDIST(FLOOR(F174,1)+0.5,G174,H174,TRUE()))</f>
        <v>0.560516374786199</v>
      </c>
      <c r="J174" s="10" t="n">
        <f aca="false">IF(I174="","",NORMDIST(CEILING(F174,1)-0.5,G174,H174,TRUE()))</f>
        <v>0.439483625213802</v>
      </c>
      <c r="K174" s="10" t="n">
        <f aca="false">IF(I174="","",MAX(0,1-I174-J174))</f>
        <v>0</v>
      </c>
      <c r="L174" s="0" t="str">
        <f aca="false">IF(I174="","",IF(I174&gt;=0.5+Config!$B$6,"OVER",IF(J174&gt;=0.5+Config!$B$6,"UNDER","—")))</f>
        <v>OVER</v>
      </c>
      <c r="N174" s="0" t="n">
        <v>15.6</v>
      </c>
      <c r="O174" s="10" t="n">
        <v>0.2</v>
      </c>
      <c r="P174" s="10" t="n">
        <v>0.4</v>
      </c>
      <c r="Q174" s="10" t="n">
        <v>0.33</v>
      </c>
      <c r="R174" s="9" t="s">
        <v>894</v>
      </c>
      <c r="S174" s="0" t="n">
        <v>-3</v>
      </c>
      <c r="T174" s="0" t="str">
        <f aca="false">INDEX(Calc!$G$2:$G$105,MATCH($W174,Calc!$A$2:$A$105,0))&amp;" / "&amp;INDEX(Calc!$H$2:$H$105,MATCH($W174,Calc!$A$2:$A$105,0))</f>
        <v>Cache / Nuke</v>
      </c>
      <c r="U174" s="0" t="str">
        <f aca="false">TEXT(INDEX(Calc!$J$2:$J$105,MATCH($W174,Calc!$A$2:$A$105,0)),"0.0")&amp;" / "&amp;TEXT(INDEX(Calc!$K$2:$K$105,MATCH($W174,Calc!$A$2:$A$105,0)),"0.0")</f>
        <v>21.2 / 21.1</v>
      </c>
      <c r="V174" s="0" t="str">
        <f aca="false">IFERROR(INDEX(Calc!$AQ$2:$AQ$105,MATCH($W174,Calc!$A$2:$A$105,0)),"")</f>
        <v/>
      </c>
      <c r="W174" s="9" t="s">
        <v>1094</v>
      </c>
      <c r="X174" s="9" t="s">
        <v>896</v>
      </c>
      <c r="Y174" s="0" t="str">
        <f aca="false">W174&amp;"|"&amp;X174</f>
        <v>ve4e5j5hk63t18f|CS2 · SAW vs SIN|H12</v>
      </c>
      <c r="Z174" s="11" t="n">
        <f aca="false">IFERROR(INDEX(CHOOSE(MATCH($X174,{"K1","K2","K3","K12","K13","H1","H2","H3","H12","H13"},0),Calc!$BA$2:$BA$105,Calc!$BB$2:$BB$105,Calc!$BC$2:$BC$105,Calc!$BD$2:$BD$105,Calc!$BE$2:$BE$105,Calc!$BF$2:$BF$105,Calc!$BG$2:$BG$105,Calc!$BH$2:$BH$105,Calc!$BI$2:$BI$105,Calc!$BJ$2:$BJ$105),MATCH($W174,Calc!$A$2:$A$105,0)),"")</f>
        <v>16.4512300030498</v>
      </c>
      <c r="AA174" s="11" t="n">
        <f aca="false">IF(Z174="","",IF(LEFT($X174,1)="H",SQRT(Z174*(IFERROR(INDEX(Calc!$AP$2:$AP$105,MATCH($W174,Calc!$A$2:$A$105,0)),0.5)*Config!$B$5+1-IFERROR(INDEX(Calc!$AP$2:$AP$105,MATCH($W174,Calc!$A$2:$A$105,0)),0.5))),SQRT(Z174*Config!$B$5)))</f>
        <v>4.49503864121862</v>
      </c>
      <c r="AB174" s="10" t="n">
        <f aca="false">IF(OR(F174="",Z174="",N(AA174)&lt;=0),"",1-NORMDIST(FLOOR(F174,1)+0.5,Z174,AA174,TRUE()))</f>
        <v>0.583797373218921</v>
      </c>
      <c r="AC174" s="10" t="n">
        <f aca="false">IF(AB174="","",NORMDIST(CEILING(F174,1)-0.5,Z174,AA174,TRUE()))</f>
        <v>0.416202626781079</v>
      </c>
      <c r="AD174" s="0" t="str">
        <f aca="false">IF(AB174="","",IF(AB174&gt;=0.5+Config!$B$6,"OVER",IF(AC174&gt;=0.5+Config!$B$6,"UNDER","—")))</f>
        <v>OVER</v>
      </c>
      <c r="AE174" s="13" t="n">
        <f aca="false">IFERROR(Z174/G174,"")</f>
        <v>1.01683827473642</v>
      </c>
    </row>
    <row r="175" customFormat="false" ht="15" hidden="false" customHeight="false" outlineLevel="0" collapsed="false">
      <c r="A175" s="0" t="s">
        <v>775</v>
      </c>
      <c r="B175" s="0" t="s">
        <v>830</v>
      </c>
      <c r="C175" s="0" t="s">
        <v>1093</v>
      </c>
      <c r="D175" s="0" t="s">
        <v>834</v>
      </c>
      <c r="E175" s="0" t="s">
        <v>888</v>
      </c>
      <c r="F175" s="0" t="n">
        <v>27.5</v>
      </c>
      <c r="G175" s="11" t="n">
        <f aca="false">IFERROR(INDEX(CHOOSE(MATCH($X175,{"K1","K2","K3","K12","K13","H1","H2","H3","H12","H13"},0),Calc!$V$2:$V$105,Calc!$AC$2:$AC$105,Calc!$AJ$2:$AJ$105,Calc!$AL$2:$AL$105,Calc!$AM$2:$AM$105,Calc!$W$2:$W$105,Calc!$AD$2:$AD$105,Calc!$AK$2:$AK$105,Calc!$AN$2:$AN$105,Calc!$AO$2:$AO$105),MATCH($W175,Calc!$A$2:$A$105,0)),"")</f>
        <v>28.3592090909091</v>
      </c>
      <c r="H175" s="11" t="n">
        <f aca="false">IF(G175="","",IF(LEFT($X175,1)="H",SQRT(G175*(IFERROR(INDEX(Calc!$AP$2:$AP$105,MATCH($W175,Calc!$A$2:$A$105,0)),0.5)*Config!$B$5+1-IFERROR(INDEX(Calc!$AP$2:$AP$105,MATCH($W175,Calc!$A$2:$A$105,0)),0.5))),SQRT(G175*Config!$B$5)))</f>
        <v>6.30102314924114</v>
      </c>
      <c r="I175" s="10" t="n">
        <f aca="false">IF(OR(F175="",G175="",N(H175)&lt;=0),"",1-NORMDIST(FLOOR(F175,1)+0.5,G175,H175,TRUE()))</f>
        <v>0.554231751935585</v>
      </c>
      <c r="J175" s="10" t="n">
        <f aca="false">IF(I175="","",NORMDIST(CEILING(F175,1)-0.5,G175,H175,TRUE()))</f>
        <v>0.445768248064415</v>
      </c>
      <c r="K175" s="10" t="n">
        <f aca="false">IF(I175="","",MAX(0,1-I175-J175))</f>
        <v>0</v>
      </c>
      <c r="L175" s="0" t="str">
        <f aca="false">IF(I175="","",IF(I175&gt;=0.5+Config!$B$6,"OVER",IF(J175&gt;=0.5+Config!$B$6,"UNDER","—")))</f>
        <v>OVER</v>
      </c>
      <c r="M175" s="0" t="n">
        <v>27.23</v>
      </c>
      <c r="N175" s="0" t="n">
        <v>28.2</v>
      </c>
      <c r="O175" s="10" t="n">
        <v>0.6</v>
      </c>
      <c r="P175" s="10" t="n">
        <v>0.7</v>
      </c>
      <c r="Q175" s="10" t="n">
        <v>0.53</v>
      </c>
      <c r="R175" s="9" t="s">
        <v>894</v>
      </c>
      <c r="S175" s="0" t="n">
        <v>-2</v>
      </c>
      <c r="T175" s="0" t="str">
        <f aca="false">INDEX(Calc!$G$2:$G$105,MATCH($W175,Calc!$A$2:$A$105,0))&amp;" / "&amp;INDEX(Calc!$H$2:$H$105,MATCH($W175,Calc!$A$2:$A$105,0))</f>
        <v>Cache / Nuke</v>
      </c>
      <c r="U175" s="0" t="str">
        <f aca="false">TEXT(INDEX(Calc!$J$2:$J$105,MATCH($W175,Calc!$A$2:$A$105,0)),"0.0")&amp;" / "&amp;TEXT(INDEX(Calc!$K$2:$K$105,MATCH($W175,Calc!$A$2:$A$105,0)),"0.0")</f>
        <v>21.2 / 21.1</v>
      </c>
      <c r="V175" s="0" t="str">
        <f aca="false">IFERROR(INDEX(Calc!$AQ$2:$AQ$105,MATCH($W175,Calc!$A$2:$A$105,0)),"")</f>
        <v/>
      </c>
      <c r="W175" s="9" t="s">
        <v>1094</v>
      </c>
      <c r="X175" s="9" t="s">
        <v>891</v>
      </c>
      <c r="Y175" s="0" t="str">
        <f aca="false">W175&amp;"|"&amp;X175</f>
        <v>ve4e5j5hk63t18f|CS2 · SAW vs SIN|K12</v>
      </c>
      <c r="Z175" s="11" t="n">
        <f aca="false">IFERROR(INDEX(CHOOSE(MATCH($X175,{"K1","K2","K3","K12","K13","H1","H2","H3","H12","H13"},0),Calc!$BA$2:$BA$105,Calc!$BB$2:$BB$105,Calc!$BC$2:$BC$105,Calc!$BD$2:$BD$105,Calc!$BE$2:$BE$105,Calc!$BF$2:$BF$105,Calc!$BG$2:$BG$105,Calc!$BH$2:$BH$105,Calc!$BI$2:$BI$105,Calc!$BJ$2:$BJ$105),MATCH($W175,Calc!$A$2:$A$105,0)),"")</f>
        <v>28.8344815469311</v>
      </c>
      <c r="AA175" s="11" t="n">
        <f aca="false">IF(Z175="","",IF(LEFT($X175,1)="H",SQRT(Z175*(IFERROR(INDEX(Calc!$AP$2:$AP$105,MATCH($W175,Calc!$A$2:$A$105,0)),0.5)*Config!$B$5+1-IFERROR(INDEX(Calc!$AP$2:$AP$105,MATCH($W175,Calc!$A$2:$A$105,0)),0.5))),SQRT(Z175*Config!$B$5)))</f>
        <v>6.35360324270438</v>
      </c>
      <c r="AB175" s="10" t="n">
        <f aca="false">IF(OR(F175="",Z175="",N(AA175)&lt;=0),"",1-NORMDIST(FLOOR(F175,1)+0.5,Z175,AA175,TRUE()))</f>
        <v>0.583179974824797</v>
      </c>
      <c r="AC175" s="10" t="n">
        <f aca="false">IF(AB175="","",NORMDIST(CEILING(F175,1)-0.5,Z175,AA175,TRUE()))</f>
        <v>0.416820025175204</v>
      </c>
      <c r="AD175" s="0" t="str">
        <f aca="false">IF(AB175="","",IF(AB175&gt;=0.5+Config!$B$6,"OVER",IF(AC175&gt;=0.5+Config!$B$6,"UNDER","—")))</f>
        <v>OVER</v>
      </c>
      <c r="AE175" s="13" t="n">
        <f aca="false">IFERROR(Z175/G175,"")</f>
        <v>1.01675901660369</v>
      </c>
    </row>
    <row r="176" customFormat="false" ht="15" hidden="false" customHeight="false" outlineLevel="0" collapsed="false">
      <c r="A176" s="0" t="s">
        <v>775</v>
      </c>
      <c r="B176" s="0" t="s">
        <v>830</v>
      </c>
      <c r="C176" s="0" t="s">
        <v>1095</v>
      </c>
      <c r="D176" s="0" t="s">
        <v>834</v>
      </c>
      <c r="E176" s="0" t="s">
        <v>893</v>
      </c>
      <c r="F176" s="0" t="n">
        <v>17.5</v>
      </c>
      <c r="G176" s="11" t="n">
        <f aca="false">IFERROR(INDEX(CHOOSE(MATCH($X176,{"K1","K2","K3","K12","K13","H1","H2","H3","H12","H13"},0),Calc!$V$2:$V$105,Calc!$AC$2:$AC$105,Calc!$AJ$2:$AJ$105,Calc!$AL$2:$AL$105,Calc!$AM$2:$AM$105,Calc!$W$2:$W$105,Calc!$AD$2:$AD$105,Calc!$AK$2:$AK$105,Calc!$AN$2:$AN$105,Calc!$AO$2:$AO$105),MATCH($W176,Calc!$A$2:$A$105,0)),"")</f>
        <v>16.0962981198347</v>
      </c>
      <c r="H176" s="11" t="n">
        <f aca="false">IF(G176="","",IF(LEFT($X176,1)="H",SQRT(G176*(IFERROR(INDEX(Calc!$AP$2:$AP$105,MATCH($W176,Calc!$A$2:$A$105,0)),0.5)*Config!$B$5+1-IFERROR(INDEX(Calc!$AP$2:$AP$105,MATCH($W176,Calc!$A$2:$A$105,0)),0.5))),SQRT(G176*Config!$B$5)))</f>
        <v>4.43229547276701</v>
      </c>
      <c r="I176" s="10" t="n">
        <f aca="false">IF(OR(F176="",G176="",N(H176)&lt;=0),"",1-NORMDIST(FLOOR(F176,1)+0.5,G176,H176,TRUE()))</f>
        <v>0.375736146252764</v>
      </c>
      <c r="J176" s="10" t="n">
        <f aca="false">IF(I176="","",NORMDIST(CEILING(F176,1)-0.5,G176,H176,TRUE()))</f>
        <v>0.624263853747236</v>
      </c>
      <c r="K176" s="10" t="n">
        <f aca="false">IF(I176="","",MAX(0,1-I176-J176))</f>
        <v>0</v>
      </c>
      <c r="L176" s="0" t="str">
        <f aca="false">IF(I176="","",IF(I176&gt;=0.5+Config!$B$6,"OVER",IF(J176&gt;=0.5+Config!$B$6,"UNDER","—")))</f>
        <v>UNDER</v>
      </c>
      <c r="N176" s="0" t="n">
        <v>16.5</v>
      </c>
      <c r="O176" s="10" t="n">
        <v>0.6</v>
      </c>
      <c r="P176" s="10" t="n">
        <v>0.5</v>
      </c>
      <c r="Q176" s="10" t="n">
        <v>0.53</v>
      </c>
      <c r="R176" s="9" t="s">
        <v>907</v>
      </c>
      <c r="S176" s="0" t="n">
        <v>1</v>
      </c>
      <c r="T176" s="0" t="str">
        <f aca="false">INDEX(Calc!$G$2:$G$105,MATCH($W176,Calc!$A$2:$A$105,0))&amp;" / "&amp;INDEX(Calc!$H$2:$H$105,MATCH($W176,Calc!$A$2:$A$105,0))</f>
        <v>Cache / Nuke</v>
      </c>
      <c r="U176" s="0" t="str">
        <f aca="false">TEXT(INDEX(Calc!$J$2:$J$105,MATCH($W176,Calc!$A$2:$A$105,0)),"0.0")&amp;" / "&amp;TEXT(INDEX(Calc!$K$2:$K$105,MATCH($W176,Calc!$A$2:$A$105,0)),"0.0")</f>
        <v>21.2 / 21.1</v>
      </c>
      <c r="V176" s="0" t="str">
        <f aca="false">IFERROR(INDEX(Calc!$AQ$2:$AQ$105,MATCH($W176,Calc!$A$2:$A$105,0)),"")</f>
        <v/>
      </c>
      <c r="W176" s="9" t="s">
        <v>1096</v>
      </c>
      <c r="X176" s="9" t="s">
        <v>896</v>
      </c>
      <c r="Y176" s="0" t="str">
        <f aca="false">W176&amp;"|"&amp;X176</f>
        <v>y49315sm0j0j0bi|CS2 · SAW vs SIN|H12</v>
      </c>
      <c r="Z176" s="11" t="n">
        <f aca="false">IFERROR(INDEX(CHOOSE(MATCH($X176,{"K1","K2","K3","K12","K13","H1","H2","H3","H12","H13"},0),Calc!$BA$2:$BA$105,Calc!$BB$2:$BB$105,Calc!$BC$2:$BC$105,Calc!$BD$2:$BD$105,Calc!$BE$2:$BE$105,Calc!$BF$2:$BF$105,Calc!$BG$2:$BG$105,Calc!$BH$2:$BH$105,Calc!$BI$2:$BI$105,Calc!$BJ$2:$BJ$105),MATCH($W176,Calc!$A$2:$A$105,0)),"")</f>
        <v>16.3863958698082</v>
      </c>
      <c r="AA176" s="11" t="n">
        <f aca="false">IF(Z176="","",IF(LEFT($X176,1)="H",SQRT(Z176*(IFERROR(INDEX(Calc!$AP$2:$AP$105,MATCH($W176,Calc!$A$2:$A$105,0)),0.5)*Config!$B$5+1-IFERROR(INDEX(Calc!$AP$2:$AP$105,MATCH($W176,Calc!$A$2:$A$105,0)),0.5))),SQRT(Z176*Config!$B$5)))</f>
        <v>4.47205794446648</v>
      </c>
      <c r="AB176" s="10" t="n">
        <f aca="false">IF(OR(F176="",Z176="",N(AA176)&lt;=0),"",1-NORMDIST(FLOOR(F176,1)+0.5,Z176,AA176,TRUE()))</f>
        <v>0.401675054435293</v>
      </c>
      <c r="AC176" s="10" t="n">
        <f aca="false">IF(AB176="","",NORMDIST(CEILING(F176,1)-0.5,Z176,AA176,TRUE()))</f>
        <v>0.598324945564707</v>
      </c>
      <c r="AD176" s="0" t="str">
        <f aca="false">IF(AB176="","",IF(AB176&gt;=0.5+Config!$B$6,"OVER",IF(AC176&gt;=0.5+Config!$B$6,"UNDER","—")))</f>
        <v>UNDER</v>
      </c>
      <c r="AE176" s="13" t="n">
        <f aca="false">IFERROR(Z176/G176,"")</f>
        <v>1.01802263774029</v>
      </c>
    </row>
    <row r="177" customFormat="false" ht="15" hidden="false" customHeight="false" outlineLevel="0" collapsed="false">
      <c r="A177" s="0" t="s">
        <v>775</v>
      </c>
      <c r="B177" s="0" t="s">
        <v>830</v>
      </c>
      <c r="C177" s="0" t="s">
        <v>1095</v>
      </c>
      <c r="D177" s="0" t="s">
        <v>834</v>
      </c>
      <c r="E177" s="0" t="s">
        <v>888</v>
      </c>
      <c r="F177" s="0" t="n">
        <v>31.5</v>
      </c>
      <c r="G177" s="11" t="n">
        <f aca="false">IFERROR(INDEX(CHOOSE(MATCH($X177,{"K1","K2","K3","K12","K13","H1","H2","H3","H12","H13"},0),Calc!$V$2:$V$105,Calc!$AC$2:$AC$105,Calc!$AJ$2:$AJ$105,Calc!$AL$2:$AL$105,Calc!$AM$2:$AM$105,Calc!$W$2:$W$105,Calc!$AD$2:$AD$105,Calc!$AK$2:$AK$105,Calc!$AN$2:$AN$105,Calc!$AO$2:$AO$105),MATCH($W177,Calc!$A$2:$A$105,0)),"")</f>
        <v>29.2020090909091</v>
      </c>
      <c r="H177" s="11" t="n">
        <f aca="false">IF(G177="","",IF(LEFT($X177,1)="H",SQRT(G177*(IFERROR(INDEX(Calc!$AP$2:$AP$105,MATCH($W177,Calc!$A$2:$A$105,0)),0.5)*Config!$B$5+1-IFERROR(INDEX(Calc!$AP$2:$AP$105,MATCH($W177,Calc!$A$2:$A$105,0)),0.5))),SQRT(G177*Config!$B$5)))</f>
        <v>6.393966900702</v>
      </c>
      <c r="I177" s="10" t="n">
        <f aca="false">IF(OR(F177="",G177="",N(H177)&lt;=0),"",1-NORMDIST(FLOOR(F177,1)+0.5,G177,H177,TRUE()))</f>
        <v>0.359647983864741</v>
      </c>
      <c r="J177" s="10" t="n">
        <f aca="false">IF(I177="","",NORMDIST(CEILING(F177,1)-0.5,G177,H177,TRUE()))</f>
        <v>0.640352016135259</v>
      </c>
      <c r="K177" s="10" t="n">
        <f aca="false">IF(I177="","",MAX(0,1-I177-J177))</f>
        <v>0</v>
      </c>
      <c r="L177" s="0" t="str">
        <f aca="false">IF(I177="","",IF(I177&gt;=0.5+Config!$B$6,"OVER",IF(J177&gt;=0.5+Config!$B$6,"UNDER","—")))</f>
        <v>UNDER</v>
      </c>
      <c r="M177" s="0" t="n">
        <v>31.97</v>
      </c>
      <c r="N177" s="0" t="n">
        <v>30.5</v>
      </c>
      <c r="O177" s="10" t="n">
        <v>0.4</v>
      </c>
      <c r="P177" s="10" t="n">
        <v>0.4</v>
      </c>
      <c r="Q177" s="10" t="n">
        <v>0.4</v>
      </c>
      <c r="R177" s="9" t="s">
        <v>907</v>
      </c>
      <c r="S177" s="0" t="n">
        <v>1</v>
      </c>
      <c r="T177" s="0" t="str">
        <f aca="false">INDEX(Calc!$G$2:$G$105,MATCH($W177,Calc!$A$2:$A$105,0))&amp;" / "&amp;INDEX(Calc!$H$2:$H$105,MATCH($W177,Calc!$A$2:$A$105,0))</f>
        <v>Cache / Nuke</v>
      </c>
      <c r="U177" s="0" t="str">
        <f aca="false">TEXT(INDEX(Calc!$J$2:$J$105,MATCH($W177,Calc!$A$2:$A$105,0)),"0.0")&amp;" / "&amp;TEXT(INDEX(Calc!$K$2:$K$105,MATCH($W177,Calc!$A$2:$A$105,0)),"0.0")</f>
        <v>21.2 / 21.1</v>
      </c>
      <c r="V177" s="0" t="str">
        <f aca="false">IFERROR(INDEX(Calc!$AQ$2:$AQ$105,MATCH($W177,Calc!$A$2:$A$105,0)),"")</f>
        <v/>
      </c>
      <c r="W177" s="9" t="s">
        <v>1096</v>
      </c>
      <c r="X177" s="9" t="s">
        <v>891</v>
      </c>
      <c r="Y177" s="0" t="str">
        <f aca="false">W177&amp;"|"&amp;X177</f>
        <v>y49315sm0j0j0bi|CS2 · SAW vs SIN|K12</v>
      </c>
      <c r="Z177" s="11" t="n">
        <f aca="false">IFERROR(INDEX(CHOOSE(MATCH($X177,{"K1","K2","K3","K12","K13","H1","H2","H3","H12","H13"},0),Calc!$BA$2:$BA$105,Calc!$BB$2:$BB$105,Calc!$BC$2:$BC$105,Calc!$BD$2:$BD$105,Calc!$BE$2:$BE$105,Calc!$BF$2:$BF$105,Calc!$BG$2:$BG$105,Calc!$BH$2:$BH$105,Calc!$BI$2:$BI$105,Calc!$BJ$2:$BJ$105),MATCH($W177,Calc!$A$2:$A$105,0)),"")</f>
        <v>29.7066756777259</v>
      </c>
      <c r="AA177" s="11" t="n">
        <f aca="false">IF(Z177="","",IF(LEFT($X177,1)="H",SQRT(Z177*(IFERROR(INDEX(Calc!$AP$2:$AP$105,MATCH($W177,Calc!$A$2:$A$105,0)),0.5)*Config!$B$5+1-IFERROR(INDEX(Calc!$AP$2:$AP$105,MATCH($W177,Calc!$A$2:$A$105,0)),0.5))),SQRT(Z177*Config!$B$5)))</f>
        <v>6.44898022549429</v>
      </c>
      <c r="AB177" s="10" t="n">
        <f aca="false">IF(OR(F177="",Z177="",N(AA177)&lt;=0),"",1-NORMDIST(FLOOR(F177,1)+0.5,Z177,AA177,TRUE()))</f>
        <v>0.39047595608864</v>
      </c>
      <c r="AC177" s="10" t="n">
        <f aca="false">IF(AB177="","",NORMDIST(CEILING(F177,1)-0.5,Z177,AA177,TRUE()))</f>
        <v>0.60952404391136</v>
      </c>
      <c r="AD177" s="0" t="str">
        <f aca="false">IF(AB177="","",IF(AB177&gt;=0.5+Config!$B$6,"OVER",IF(AC177&gt;=0.5+Config!$B$6,"UNDER","—")))</f>
        <v>UNDER</v>
      </c>
      <c r="AE177" s="13" t="n">
        <f aca="false">IFERROR(Z177/G177,"")</f>
        <v>1.01728191321514</v>
      </c>
    </row>
    <row r="178" customFormat="false" ht="15" hidden="false" customHeight="false" outlineLevel="0" collapsed="false">
      <c r="A178" s="0" t="s">
        <v>775</v>
      </c>
      <c r="B178" s="0" t="s">
        <v>813</v>
      </c>
      <c r="C178" s="0" t="s">
        <v>1097</v>
      </c>
      <c r="D178" s="0" t="s">
        <v>818</v>
      </c>
      <c r="E178" s="0" t="s">
        <v>893</v>
      </c>
      <c r="F178" s="0" t="n">
        <v>14.5</v>
      </c>
      <c r="G178" s="11" t="n">
        <f aca="false">IFERROR(INDEX(CHOOSE(MATCH($X178,{"K1","K2","K3","K12","K13","H1","H2","H3","H12","H13"},0),Calc!$V$2:$V$105,Calc!$AC$2:$AC$105,Calc!$AJ$2:$AJ$105,Calc!$AL$2:$AL$105,Calc!$AM$2:$AM$105,Calc!$W$2:$W$105,Calc!$AD$2:$AD$105,Calc!$AK$2:$AK$105,Calc!$AN$2:$AN$105,Calc!$AO$2:$AO$105),MATCH($W178,Calc!$A$2:$A$105,0)),"")</f>
        <v>13.5409165370064</v>
      </c>
      <c r="H178" s="11" t="n">
        <f aca="false">IF(G178="","",IF(LEFT($X178,1)="H",SQRT(G178*(IFERROR(INDEX(Calc!$AP$2:$AP$105,MATCH($W178,Calc!$A$2:$A$105,0)),0.5)*Config!$B$5+1-IFERROR(INDEX(Calc!$AP$2:$AP$105,MATCH($W178,Calc!$A$2:$A$105,0)),0.5))),SQRT(G178*Config!$B$5)))</f>
        <v>4.08794938359758</v>
      </c>
      <c r="I178" s="10" t="n">
        <f aca="false">IF(OR(F178="",G178="",N(H178)&lt;=0),"",1-NORMDIST(FLOOR(F178,1)+0.5,G178,H178,TRUE()))</f>
        <v>0.407254806696703</v>
      </c>
      <c r="J178" s="10" t="n">
        <f aca="false">IF(I178="","",NORMDIST(CEILING(F178,1)-0.5,G178,H178,TRUE()))</f>
        <v>0.592745193303297</v>
      </c>
      <c r="K178" s="10" t="n">
        <f aca="false">IF(I178="","",MAX(0,1-I178-J178))</f>
        <v>0</v>
      </c>
      <c r="L178" s="0" t="str">
        <f aca="false">IF(I178="","",IF(I178&gt;=0.5+Config!$B$6,"OVER",IF(J178&gt;=0.5+Config!$B$6,"UNDER","—")))</f>
        <v>UNDER</v>
      </c>
      <c r="N178" s="0" t="n">
        <v>13</v>
      </c>
      <c r="O178" s="10" t="n">
        <v>0</v>
      </c>
      <c r="P178" s="10" t="n">
        <v>0.2</v>
      </c>
      <c r="Q178" s="10" t="n">
        <v>0.27</v>
      </c>
      <c r="R178" s="9" t="s">
        <v>907</v>
      </c>
      <c r="S178" s="0" t="n">
        <v>-6</v>
      </c>
      <c r="T178" s="0" t="str">
        <f aca="false">INDEX(Calc!$G$2:$G$105,MATCH($W178,Calc!$A$2:$A$105,0))&amp;" / "&amp;INDEX(Calc!$H$2:$H$105,MATCH($W178,Calc!$A$2:$A$105,0))</f>
        <v>Mirage / Dust2</v>
      </c>
      <c r="U178" s="0" t="str">
        <f aca="false">TEXT(INDEX(Calc!$J$2:$J$105,MATCH($W178,Calc!$A$2:$A$105,0)),"0.0")&amp;" / "&amp;TEXT(INDEX(Calc!$K$2:$K$105,MATCH($W178,Calc!$A$2:$A$105,0)),"0.0")</f>
        <v>21.5 / 21.4</v>
      </c>
      <c r="V178" s="0" t="str">
        <f aca="false">IFERROR(INDEX(Calc!$AQ$2:$AQ$105,MATCH($W178,Calc!$A$2:$A$105,0)),"")</f>
        <v/>
      </c>
      <c r="W178" s="9" t="s">
        <v>1098</v>
      </c>
      <c r="X178" s="9" t="s">
        <v>896</v>
      </c>
      <c r="Y178" s="0" t="str">
        <f aca="false">W178&amp;"|"&amp;X178</f>
        <v>70ftfg9ppj5ovwx|CS2 · TL vs MGC|H12</v>
      </c>
      <c r="Z178" s="11" t="n">
        <f aca="false">IFERROR(INDEX(CHOOSE(MATCH($X178,{"K1","K2","K3","K12","K13","H1","H2","H3","H12","H13"},0),Calc!$BA$2:$BA$105,Calc!$BB$2:$BB$105,Calc!$BC$2:$BC$105,Calc!$BD$2:$BD$105,Calc!$BE$2:$BE$105,Calc!$BF$2:$BF$105,Calc!$BG$2:$BG$105,Calc!$BH$2:$BH$105,Calc!$BI$2:$BI$105,Calc!$BJ$2:$BJ$105),MATCH($W178,Calc!$A$2:$A$105,0)),"")</f>
        <v>13.7671444384753</v>
      </c>
      <c r="AA178" s="11" t="n">
        <f aca="false">IF(Z178="","",IF(LEFT($X178,1)="H",SQRT(Z178*(IFERROR(INDEX(Calc!$AP$2:$AP$105,MATCH($W178,Calc!$A$2:$A$105,0)),0.5)*Config!$B$5+1-IFERROR(INDEX(Calc!$AP$2:$AP$105,MATCH($W178,Calc!$A$2:$A$105,0)),0.5))),SQRT(Z178*Config!$B$5)))</f>
        <v>4.12195658880888</v>
      </c>
      <c r="AB178" s="10" t="n">
        <f aca="false">IF(OR(F178="",Z178="",N(AA178)&lt;=0),"",1-NORMDIST(FLOOR(F178,1)+0.5,Z178,AA178,TRUE()))</f>
        <v>0.42944272163126</v>
      </c>
      <c r="AC178" s="10" t="n">
        <f aca="false">IF(AB178="","",NORMDIST(CEILING(F178,1)-0.5,Z178,AA178,TRUE()))</f>
        <v>0.57055727836874</v>
      </c>
      <c r="AD178" s="0" t="str">
        <f aca="false">IF(AB178="","",IF(AB178&gt;=0.5+Config!$B$6,"OVER",IF(AC178&gt;=0.5+Config!$B$6,"UNDER","—")))</f>
        <v>UNDER</v>
      </c>
      <c r="AE178" s="13" t="n">
        <f aca="false">IFERROR(Z178/G178,"")</f>
        <v>1.01670698588611</v>
      </c>
    </row>
    <row r="179" customFormat="false" ht="15" hidden="false" customHeight="false" outlineLevel="0" collapsed="false">
      <c r="A179" s="0" t="s">
        <v>775</v>
      </c>
      <c r="B179" s="0" t="s">
        <v>813</v>
      </c>
      <c r="C179" s="0" t="s">
        <v>1097</v>
      </c>
      <c r="D179" s="0" t="s">
        <v>818</v>
      </c>
      <c r="E179" s="0" t="s">
        <v>888</v>
      </c>
      <c r="F179" s="0" t="n">
        <v>27.5</v>
      </c>
      <c r="G179" s="11" t="n">
        <f aca="false">IFERROR(INDEX(CHOOSE(MATCH($X179,{"K1","K2","K3","K12","K13","H1","H2","H3","H12","H13"},0),Calc!$V$2:$V$105,Calc!$AC$2:$AC$105,Calc!$AJ$2:$AJ$105,Calc!$AL$2:$AL$105,Calc!$AM$2:$AM$105,Calc!$W$2:$W$105,Calc!$AD$2:$AD$105,Calc!$AK$2:$AK$105,Calc!$AN$2:$AN$105,Calc!$AO$2:$AO$105),MATCH($W179,Calc!$A$2:$A$105,0)),"")</f>
        <v>23.1334383838384</v>
      </c>
      <c r="H179" s="11" t="n">
        <f aca="false">IF(G179="","",IF(LEFT($X179,1)="H",SQRT(G179*(IFERROR(INDEX(Calc!$AP$2:$AP$105,MATCH($W179,Calc!$A$2:$A$105,0)),0.5)*Config!$B$5+1-IFERROR(INDEX(Calc!$AP$2:$AP$105,MATCH($W179,Calc!$A$2:$A$105,0)),0.5))),SQRT(G179*Config!$B$5)))</f>
        <v>5.69094137532392</v>
      </c>
      <c r="I179" s="10" t="n">
        <f aca="false">IF(OR(F179="",G179="",N(H179)&lt;=0),"",1-NORMDIST(FLOOR(F179,1)+0.5,G179,H179,TRUE()))</f>
        <v>0.221456686722414</v>
      </c>
      <c r="J179" s="10" t="n">
        <f aca="false">IF(I179="","",NORMDIST(CEILING(F179,1)-0.5,G179,H179,TRUE()))</f>
        <v>0.778543313277586</v>
      </c>
      <c r="K179" s="10" t="n">
        <f aca="false">IF(I179="","",MAX(0,1-I179-J179))</f>
        <v>0</v>
      </c>
      <c r="L179" s="0" t="str">
        <f aca="false">IF(I179="","",IF(I179&gt;=0.5+Config!$B$6,"OVER",IF(J179&gt;=0.5+Config!$B$6,"UNDER","—")))</f>
        <v>UNDER</v>
      </c>
      <c r="N179" s="0" t="n">
        <v>22.8</v>
      </c>
      <c r="O179" s="10" t="n">
        <v>0</v>
      </c>
      <c r="P179" s="10" t="n">
        <v>0.2</v>
      </c>
      <c r="Q179" s="10" t="n">
        <v>0.27</v>
      </c>
      <c r="R179" s="9" t="s">
        <v>907</v>
      </c>
      <c r="S179" s="0" t="n">
        <v>-6</v>
      </c>
      <c r="T179" s="0" t="str">
        <f aca="false">INDEX(Calc!$G$2:$G$105,MATCH($W179,Calc!$A$2:$A$105,0))&amp;" / "&amp;INDEX(Calc!$H$2:$H$105,MATCH($W179,Calc!$A$2:$A$105,0))</f>
        <v>Mirage / Dust2</v>
      </c>
      <c r="U179" s="0" t="str">
        <f aca="false">TEXT(INDEX(Calc!$J$2:$J$105,MATCH($W179,Calc!$A$2:$A$105,0)),"0.0")&amp;" / "&amp;TEXT(INDEX(Calc!$K$2:$K$105,MATCH($W179,Calc!$A$2:$A$105,0)),"0.0")</f>
        <v>21.5 / 21.4</v>
      </c>
      <c r="V179" s="0" t="str">
        <f aca="false">IFERROR(INDEX(Calc!$AQ$2:$AQ$105,MATCH($W179,Calc!$A$2:$A$105,0)),"")</f>
        <v/>
      </c>
      <c r="W179" s="9" t="s">
        <v>1098</v>
      </c>
      <c r="X179" s="9" t="s">
        <v>891</v>
      </c>
      <c r="Y179" s="0" t="str">
        <f aca="false">W179&amp;"|"&amp;X179</f>
        <v>70ftfg9ppj5ovwx|CS2 · TL vs MGC|K12</v>
      </c>
      <c r="Z179" s="11" t="n">
        <f aca="false">IFERROR(INDEX(CHOOSE(MATCH($X179,{"K1","K2","K3","K12","K13","H1","H2","H3","H12","H13"},0),Calc!$BA$2:$BA$105,Calc!$BB$2:$BB$105,Calc!$BC$2:$BC$105,Calc!$BD$2:$BD$105,Calc!$BE$2:$BE$105,Calc!$BF$2:$BF$105,Calc!$BG$2:$BG$105,Calc!$BH$2:$BH$105,Calc!$BI$2:$BI$105,Calc!$BJ$2:$BJ$105),MATCH($W179,Calc!$A$2:$A$105,0)),"")</f>
        <v>23.5168988161474</v>
      </c>
      <c r="AA179" s="11" t="n">
        <f aca="false">IF(Z179="","",IF(LEFT($X179,1)="H",SQRT(Z179*(IFERROR(INDEX(Calc!$AP$2:$AP$105,MATCH($W179,Calc!$A$2:$A$105,0)),0.5)*Config!$B$5+1-IFERROR(INDEX(Calc!$AP$2:$AP$105,MATCH($W179,Calc!$A$2:$A$105,0)),0.5))),SQRT(Z179*Config!$B$5)))</f>
        <v>5.73791411077286</v>
      </c>
      <c r="AB179" s="10" t="n">
        <f aca="false">IF(OR(F179="",Z179="",N(AA179)&lt;=0),"",1-NORMDIST(FLOOR(F179,1)+0.5,Z179,AA179,TRUE()))</f>
        <v>0.243787072762082</v>
      </c>
      <c r="AC179" s="10" t="n">
        <f aca="false">IF(AB179="","",NORMDIST(CEILING(F179,1)-0.5,Z179,AA179,TRUE()))</f>
        <v>0.756212927237918</v>
      </c>
      <c r="AD179" s="0" t="str">
        <f aca="false">IF(AB179="","",IF(AB179&gt;=0.5+Config!$B$6,"OVER",IF(AC179&gt;=0.5+Config!$B$6,"UNDER","—")))</f>
        <v>UNDER</v>
      </c>
      <c r="AE179" s="13" t="n">
        <f aca="false">IFERROR(Z179/G179,"")</f>
        <v>1.01657602410617</v>
      </c>
    </row>
    <row r="180" customFormat="false" ht="15" hidden="false" customHeight="false" outlineLevel="0" collapsed="false">
      <c r="A180" s="0" t="s">
        <v>775</v>
      </c>
      <c r="B180" s="0" t="s">
        <v>813</v>
      </c>
      <c r="C180" s="0" t="s">
        <v>1099</v>
      </c>
      <c r="D180" s="0" t="s">
        <v>818</v>
      </c>
      <c r="E180" s="0" t="s">
        <v>893</v>
      </c>
      <c r="F180" s="0" t="n">
        <v>16.5</v>
      </c>
      <c r="G180" s="11" t="n">
        <f aca="false">IFERROR(INDEX(CHOOSE(MATCH($X180,{"K1","K2","K3","K12","K13","H1","H2","H3","H12","H13"},0),Calc!$V$2:$V$105,Calc!$AC$2:$AC$105,Calc!$AJ$2:$AJ$105,Calc!$AL$2:$AL$105,Calc!$AM$2:$AM$105,Calc!$W$2:$W$105,Calc!$AD$2:$AD$105,Calc!$AK$2:$AK$105,Calc!$AN$2:$AN$105,Calc!$AO$2:$AO$105),MATCH($W180,Calc!$A$2:$A$105,0)),"")</f>
        <v>17.7041679991736</v>
      </c>
      <c r="H180" s="11" t="n">
        <f aca="false">IF(G180="","",IF(LEFT($X180,1)="H",SQRT(G180*(IFERROR(INDEX(Calc!$AP$2:$AP$105,MATCH($W180,Calc!$A$2:$A$105,0)),0.5)*Config!$B$5+1-IFERROR(INDEX(Calc!$AP$2:$AP$105,MATCH($W180,Calc!$A$2:$A$105,0)),0.5))),SQRT(G180*Config!$B$5)))</f>
        <v>4.72105254647651</v>
      </c>
      <c r="I180" s="10" t="n">
        <f aca="false">IF(OR(F180="",G180="",N(H180)&lt;=0),"",1-NORMDIST(FLOOR(F180,1)+0.5,G180,H180,TRUE()))</f>
        <v>0.600662957334626</v>
      </c>
      <c r="J180" s="10" t="n">
        <f aca="false">IF(I180="","",NORMDIST(CEILING(F180,1)-0.5,G180,H180,TRUE()))</f>
        <v>0.399337042665374</v>
      </c>
      <c r="K180" s="10" t="n">
        <f aca="false">IF(I180="","",MAX(0,1-I180-J180))</f>
        <v>0</v>
      </c>
      <c r="L180" s="0" t="str">
        <f aca="false">IF(I180="","",IF(I180&gt;=0.5+Config!$B$6,"OVER",IF(J180&gt;=0.5+Config!$B$6,"UNDER","—")))</f>
        <v>OVER</v>
      </c>
      <c r="N180" s="0" t="n">
        <v>17.2</v>
      </c>
      <c r="O180" s="10" t="n">
        <v>0.2</v>
      </c>
      <c r="P180" s="10" t="n">
        <v>0.5</v>
      </c>
      <c r="Q180" s="10" t="n">
        <v>0.47</v>
      </c>
      <c r="R180" s="9" t="s">
        <v>907</v>
      </c>
      <c r="S180" s="0" t="n">
        <v>-4</v>
      </c>
      <c r="T180" s="0" t="str">
        <f aca="false">INDEX(Calc!$G$2:$G$105,MATCH($W180,Calc!$A$2:$A$105,0))&amp;" / "&amp;INDEX(Calc!$H$2:$H$105,MATCH($W180,Calc!$A$2:$A$105,0))</f>
        <v>Mirage / Dust2</v>
      </c>
      <c r="U180" s="0" t="str">
        <f aca="false">TEXT(INDEX(Calc!$J$2:$J$105,MATCH($W180,Calc!$A$2:$A$105,0)),"0.0")&amp;" / "&amp;TEXT(INDEX(Calc!$K$2:$K$105,MATCH($W180,Calc!$A$2:$A$105,0)),"0.0")</f>
        <v>21.5 / 21.4</v>
      </c>
      <c r="V180" s="0" t="str">
        <f aca="false">IFERROR(INDEX(Calc!$AQ$2:$AQ$105,MATCH($W180,Calc!$A$2:$A$105,0)),"")</f>
        <v/>
      </c>
      <c r="W180" s="9" t="s">
        <v>1100</v>
      </c>
      <c r="X180" s="9" t="s">
        <v>896</v>
      </c>
      <c r="Y180" s="0" t="str">
        <f aca="false">W180&amp;"|"&amp;X180</f>
        <v>5aj8l8ayaerznme|CS2 · TL vs MGC|H12</v>
      </c>
      <c r="Z180" s="11" t="n">
        <f aca="false">IFERROR(INDEX(CHOOSE(MATCH($X180,{"K1","K2","K3","K12","K13","H1","H2","H3","H12","H13"},0),Calc!$BA$2:$BA$105,Calc!$BB$2:$BB$105,Calc!$BC$2:$BC$105,Calc!$BD$2:$BD$105,Calc!$BE$2:$BE$105,Calc!$BF$2:$BF$105,Calc!$BG$2:$BG$105,Calc!$BH$2:$BH$105,Calc!$BI$2:$BI$105,Calc!$BJ$2:$BJ$105),MATCH($W180,Calc!$A$2:$A$105,0)),"")</f>
        <v>17.9996751713722</v>
      </c>
      <c r="AA180" s="11" t="n">
        <f aca="false">IF(Z180="","",IF(LEFT($X180,1)="H",SQRT(Z180*(IFERROR(INDEX(Calc!$AP$2:$AP$105,MATCH($W180,Calc!$A$2:$A$105,0)),0.5)*Config!$B$5+1-IFERROR(INDEX(Calc!$AP$2:$AP$105,MATCH($W180,Calc!$A$2:$A$105,0)),0.5))),SQRT(Z180*Config!$B$5)))</f>
        <v>4.76028995689619</v>
      </c>
      <c r="AB180" s="10" t="n">
        <f aca="false">IF(OR(F180="",Z180="",N(AA180)&lt;=0),"",1-NORMDIST(FLOOR(F180,1)+0.5,Z180,AA180,TRUE()))</f>
        <v>0.623633833799729</v>
      </c>
      <c r="AC180" s="10" t="n">
        <f aca="false">IF(AB180="","",NORMDIST(CEILING(F180,1)-0.5,Z180,AA180,TRUE()))</f>
        <v>0.376366166200271</v>
      </c>
      <c r="AD180" s="0" t="str">
        <f aca="false">IF(AB180="","",IF(AB180&gt;=0.5+Config!$B$6,"OVER",IF(AC180&gt;=0.5+Config!$B$6,"UNDER","—")))</f>
        <v>OVER</v>
      </c>
      <c r="AE180" s="13" t="n">
        <f aca="false">IFERROR(Z180/G180,"")</f>
        <v>1.0166913899717</v>
      </c>
    </row>
    <row r="181" customFormat="false" ht="15" hidden="false" customHeight="false" outlineLevel="0" collapsed="false">
      <c r="A181" s="0" t="s">
        <v>775</v>
      </c>
      <c r="B181" s="0" t="s">
        <v>813</v>
      </c>
      <c r="C181" s="0" t="s">
        <v>1099</v>
      </c>
      <c r="D181" s="0" t="s">
        <v>818</v>
      </c>
      <c r="E181" s="0" t="s">
        <v>888</v>
      </c>
      <c r="F181" s="0" t="n">
        <v>27.5</v>
      </c>
      <c r="G181" s="11" t="n">
        <f aca="false">IFERROR(INDEX(CHOOSE(MATCH($X181,{"K1","K2","K3","K12","K13","H1","H2","H3","H12","H13"},0),Calc!$V$2:$V$105,Calc!$AC$2:$AC$105,Calc!$AJ$2:$AJ$105,Calc!$AL$2:$AL$105,Calc!$AM$2:$AM$105,Calc!$W$2:$W$105,Calc!$AD$2:$AD$105,Calc!$AK$2:$AK$105,Calc!$AN$2:$AN$105,Calc!$AO$2:$AO$105),MATCH($W181,Calc!$A$2:$A$105,0)),"")</f>
        <v>27.3495636363636</v>
      </c>
      <c r="H181" s="11" t="n">
        <f aca="false">IF(G181="","",IF(LEFT($X181,1)="H",SQRT(G181*(IFERROR(INDEX(Calc!$AP$2:$AP$105,MATCH($W181,Calc!$A$2:$A$105,0)),0.5)*Config!$B$5+1-IFERROR(INDEX(Calc!$AP$2:$AP$105,MATCH($W181,Calc!$A$2:$A$105,0)),0.5))),SQRT(G181*Config!$B$5)))</f>
        <v>6.18784203829648</v>
      </c>
      <c r="I181" s="10" t="n">
        <f aca="false">IF(OR(F181="",G181="",N(H181)&lt;=0),"",1-NORMDIST(FLOOR(F181,1)+0.5,G181,H181,TRUE()))</f>
        <v>0.49030202871102</v>
      </c>
      <c r="J181" s="10" t="n">
        <f aca="false">IF(I181="","",NORMDIST(CEILING(F181,1)-0.5,G181,H181,TRUE()))</f>
        <v>0.50969797128898</v>
      </c>
      <c r="K181" s="10" t="n">
        <f aca="false">IF(I181="","",MAX(0,1-I181-J181))</f>
        <v>0</v>
      </c>
      <c r="L181" s="0" t="str">
        <f aca="false">IF(I181="","",IF(I181&gt;=0.5+Config!$B$6,"OVER",IF(J181&gt;=0.5+Config!$B$6,"UNDER","—")))</f>
        <v>—</v>
      </c>
      <c r="N181" s="0" t="n">
        <v>27</v>
      </c>
      <c r="O181" s="10" t="n">
        <v>0.2</v>
      </c>
      <c r="P181" s="10" t="n">
        <v>0.6</v>
      </c>
      <c r="Q181" s="10" t="n">
        <v>0.47</v>
      </c>
      <c r="R181" s="9" t="s">
        <v>907</v>
      </c>
      <c r="S181" s="0" t="n">
        <v>-3</v>
      </c>
      <c r="T181" s="0" t="str">
        <f aca="false">INDEX(Calc!$G$2:$G$105,MATCH($W181,Calc!$A$2:$A$105,0))&amp;" / "&amp;INDEX(Calc!$H$2:$H$105,MATCH($W181,Calc!$A$2:$A$105,0))</f>
        <v>Mirage / Dust2</v>
      </c>
      <c r="U181" s="0" t="str">
        <f aca="false">TEXT(INDEX(Calc!$J$2:$J$105,MATCH($W181,Calc!$A$2:$A$105,0)),"0.0")&amp;" / "&amp;TEXT(INDEX(Calc!$K$2:$K$105,MATCH($W181,Calc!$A$2:$A$105,0)),"0.0")</f>
        <v>21.5 / 21.4</v>
      </c>
      <c r="V181" s="0" t="str">
        <f aca="false">IFERROR(INDEX(Calc!$AQ$2:$AQ$105,MATCH($W181,Calc!$A$2:$A$105,0)),"")</f>
        <v/>
      </c>
      <c r="W181" s="9" t="s">
        <v>1100</v>
      </c>
      <c r="X181" s="9" t="s">
        <v>891</v>
      </c>
      <c r="Y181" s="0" t="str">
        <f aca="false">W181&amp;"|"&amp;X181</f>
        <v>5aj8l8ayaerznme|CS2 · TL vs MGC|K12</v>
      </c>
      <c r="Z181" s="11" t="n">
        <f aca="false">IFERROR(INDEX(CHOOSE(MATCH($X181,{"K1","K2","K3","K12","K13","H1","H2","H3","H12","H13"},0),Calc!$BA$2:$BA$105,Calc!$BB$2:$BB$105,Calc!$BC$2:$BC$105,Calc!$BD$2:$BD$105,Calc!$BE$2:$BE$105,Calc!$BF$2:$BF$105,Calc!$BG$2:$BG$105,Calc!$BH$2:$BH$105,Calc!$BI$2:$BI$105,Calc!$BJ$2:$BJ$105),MATCH($W181,Calc!$A$2:$A$105,0)),"")</f>
        <v>27.8091303735415</v>
      </c>
      <c r="AA181" s="11" t="n">
        <f aca="false">IF(Z181="","",IF(LEFT($X181,1)="H",SQRT(Z181*(IFERROR(INDEX(Calc!$AP$2:$AP$105,MATCH($W181,Calc!$A$2:$A$105,0)),0.5)*Config!$B$5+1-IFERROR(INDEX(Calc!$AP$2:$AP$105,MATCH($W181,Calc!$A$2:$A$105,0)),0.5))),SQRT(Z181*Config!$B$5)))</f>
        <v>6.23961397227089</v>
      </c>
      <c r="AB181" s="10" t="n">
        <f aca="false">IF(OR(F181="",Z181="",N(AA181)&lt;=0),"",1-NORMDIST(FLOOR(F181,1)+0.5,Z181,AA181,TRUE()))</f>
        <v>0.519756790153792</v>
      </c>
      <c r="AC181" s="10" t="n">
        <f aca="false">IF(AB181="","",NORMDIST(CEILING(F181,1)-0.5,Z181,AA181,TRUE()))</f>
        <v>0.480243209846208</v>
      </c>
      <c r="AD181" s="0" t="str">
        <f aca="false">IF(AB181="","",IF(AB181&gt;=0.5+Config!$B$6,"OVER",IF(AC181&gt;=0.5+Config!$B$6,"UNDER","—")))</f>
        <v>—</v>
      </c>
      <c r="AE181" s="13" t="n">
        <f aca="false">IFERROR(Z181/G181,"")</f>
        <v>1.01680343947305</v>
      </c>
    </row>
    <row r="182" customFormat="false" ht="15" hidden="false" customHeight="false" outlineLevel="0" collapsed="false">
      <c r="A182" s="0" t="s">
        <v>775</v>
      </c>
      <c r="B182" s="0" t="s">
        <v>813</v>
      </c>
      <c r="C182" s="0" t="s">
        <v>1101</v>
      </c>
      <c r="D182" s="0" t="s">
        <v>818</v>
      </c>
      <c r="E182" s="0" t="s">
        <v>893</v>
      </c>
      <c r="F182" s="0" t="n">
        <v>14.5</v>
      </c>
      <c r="G182" s="11" t="n">
        <f aca="false">IFERROR(INDEX(CHOOSE(MATCH($X182,{"K1","K2","K3","K12","K13","H1","H2","H3","H12","H13"},0),Calc!$V$2:$V$105,Calc!$AC$2:$AC$105,Calc!$AJ$2:$AJ$105,Calc!$AL$2:$AL$105,Calc!$AM$2:$AM$105,Calc!$W$2:$W$105,Calc!$AD$2:$AD$105,Calc!$AK$2:$AK$105,Calc!$AN$2:$AN$105,Calc!$AO$2:$AO$105),MATCH($W182,Calc!$A$2:$A$105,0)),"")</f>
        <v>15.0990128305785</v>
      </c>
      <c r="H182" s="11" t="n">
        <f aca="false">IF(G182="","",IF(LEFT($X182,1)="H",SQRT(G182*(IFERROR(INDEX(Calc!$AP$2:$AP$105,MATCH($W182,Calc!$A$2:$A$105,0)),0.5)*Config!$B$5+1-IFERROR(INDEX(Calc!$AP$2:$AP$105,MATCH($W182,Calc!$A$2:$A$105,0)),0.5))),SQRT(G182*Config!$B$5)))</f>
        <v>4.32471925378395</v>
      </c>
      <c r="I182" s="10" t="n">
        <f aca="false">IF(OR(F182="",G182="",N(H182)&lt;=0),"",1-NORMDIST(FLOOR(F182,1)+0.5,G182,H182,TRUE()))</f>
        <v>0.55508094802736</v>
      </c>
      <c r="J182" s="10" t="n">
        <f aca="false">IF(I182="","",NORMDIST(CEILING(F182,1)-0.5,G182,H182,TRUE()))</f>
        <v>0.44491905197264</v>
      </c>
      <c r="K182" s="10" t="n">
        <f aca="false">IF(I182="","",MAX(0,1-I182-J182))</f>
        <v>0</v>
      </c>
      <c r="L182" s="0" t="str">
        <f aca="false">IF(I182="","",IF(I182&gt;=0.5+Config!$B$6,"OVER",IF(J182&gt;=0.5+Config!$B$6,"UNDER","—")))</f>
        <v>OVER</v>
      </c>
      <c r="N182" s="0" t="n">
        <v>13.1</v>
      </c>
      <c r="O182" s="10" t="n">
        <v>0.2</v>
      </c>
      <c r="P182" s="10" t="n">
        <v>0.5</v>
      </c>
      <c r="Q182" s="10" t="n">
        <v>0.47</v>
      </c>
      <c r="R182" s="9" t="s">
        <v>907</v>
      </c>
      <c r="S182" s="0" t="n">
        <v>-3</v>
      </c>
      <c r="T182" s="0" t="str">
        <f aca="false">INDEX(Calc!$G$2:$G$105,MATCH($W182,Calc!$A$2:$A$105,0))&amp;" / "&amp;INDEX(Calc!$H$2:$H$105,MATCH($W182,Calc!$A$2:$A$105,0))</f>
        <v>Mirage / Dust2</v>
      </c>
      <c r="U182" s="0" t="str">
        <f aca="false">TEXT(INDEX(Calc!$J$2:$J$105,MATCH($W182,Calc!$A$2:$A$105,0)),"0.0")&amp;" / "&amp;TEXT(INDEX(Calc!$K$2:$K$105,MATCH($W182,Calc!$A$2:$A$105,0)),"0.0")</f>
        <v>21.5 / 21.4</v>
      </c>
      <c r="V182" s="0" t="str">
        <f aca="false">IFERROR(INDEX(Calc!$AQ$2:$AQ$105,MATCH($W182,Calc!$A$2:$A$105,0)),"")</f>
        <v/>
      </c>
      <c r="W182" s="9" t="s">
        <v>1102</v>
      </c>
      <c r="X182" s="9" t="s">
        <v>896</v>
      </c>
      <c r="Y182" s="0" t="str">
        <f aca="false">W182&amp;"|"&amp;X182</f>
        <v>2mxcc4bdxuksk8r|CS2 · TL vs MGC|H12</v>
      </c>
      <c r="Z182" s="11" t="n">
        <f aca="false">IFERROR(INDEX(CHOOSE(MATCH($X182,{"K1","K2","K3","K12","K13","H1","H2","H3","H12","H13"},0),Calc!$BA$2:$BA$105,Calc!$BB$2:$BB$105,Calc!$BC$2:$BC$105,Calc!$BD$2:$BD$105,Calc!$BE$2:$BE$105,Calc!$BF$2:$BF$105,Calc!$BG$2:$BG$105,Calc!$BH$2:$BH$105,Calc!$BI$2:$BI$105,Calc!$BJ$2:$BJ$105),MATCH($W182,Calc!$A$2:$A$105,0)),"")</f>
        <v>15.3531620936784</v>
      </c>
      <c r="AA182" s="11" t="n">
        <f aca="false">IF(Z182="","",IF(LEFT($X182,1)="H",SQRT(Z182*(IFERROR(INDEX(Calc!$AP$2:$AP$105,MATCH($W182,Calc!$A$2:$A$105,0)),0.5)*Config!$B$5+1-IFERROR(INDEX(Calc!$AP$2:$AP$105,MATCH($W182,Calc!$A$2:$A$105,0)),0.5))),SQRT(Z182*Config!$B$5)))</f>
        <v>4.36096458920267</v>
      </c>
      <c r="AB182" s="10" t="n">
        <f aca="false">IF(OR(F182="",Z182="",N(AA182)&lt;=0),"",1-NORMDIST(FLOOR(F182,1)+0.5,Z182,AA182,TRUE()))</f>
        <v>0.577552497774475</v>
      </c>
      <c r="AC182" s="10" t="n">
        <f aca="false">IF(AB182="","",NORMDIST(CEILING(F182,1)-0.5,Z182,AA182,TRUE()))</f>
        <v>0.422447502225525</v>
      </c>
      <c r="AD182" s="0" t="str">
        <f aca="false">IF(AB182="","",IF(AB182&gt;=0.5+Config!$B$6,"OVER",IF(AC182&gt;=0.5+Config!$B$6,"UNDER","—")))</f>
        <v>OVER</v>
      </c>
      <c r="AE182" s="13" t="n">
        <f aca="false">IFERROR(Z182/G182,"")</f>
        <v>1.0168321774378</v>
      </c>
    </row>
    <row r="183" customFormat="false" ht="15" hidden="false" customHeight="false" outlineLevel="0" collapsed="false">
      <c r="A183" s="0" t="s">
        <v>775</v>
      </c>
      <c r="B183" s="0" t="s">
        <v>813</v>
      </c>
      <c r="C183" s="0" t="s">
        <v>1101</v>
      </c>
      <c r="D183" s="0" t="s">
        <v>818</v>
      </c>
      <c r="E183" s="0" t="s">
        <v>888</v>
      </c>
      <c r="F183" s="0" t="n">
        <v>25.5</v>
      </c>
      <c r="G183" s="11" t="n">
        <f aca="false">IFERROR(INDEX(CHOOSE(MATCH($X183,{"K1","K2","K3","K12","K13","H1","H2","H3","H12","H13"},0),Calc!$V$2:$V$105,Calc!$AC$2:$AC$105,Calc!$AJ$2:$AJ$105,Calc!$AL$2:$AL$105,Calc!$AM$2:$AM$105,Calc!$W$2:$W$105,Calc!$AD$2:$AD$105,Calc!$AK$2:$AK$105,Calc!$AN$2:$AN$105,Calc!$AO$2:$AO$105),MATCH($W183,Calc!$A$2:$A$105,0)),"")</f>
        <v>25.3017272727273</v>
      </c>
      <c r="H183" s="11" t="n">
        <f aca="false">IF(G183="","",IF(LEFT($X183,1)="H",SQRT(G183*(IFERROR(INDEX(Calc!$AP$2:$AP$105,MATCH($W183,Calc!$A$2:$A$105,0)),0.5)*Config!$B$5+1-IFERROR(INDEX(Calc!$AP$2:$AP$105,MATCH($W183,Calc!$A$2:$A$105,0)),0.5))),SQRT(G183*Config!$B$5)))</f>
        <v>5.95167356142944</v>
      </c>
      <c r="I183" s="10" t="n">
        <f aca="false">IF(OR(F183="",G183="",N(H183)&lt;=0),"",1-NORMDIST(FLOOR(F183,1)+0.5,G183,H183,TRUE()))</f>
        <v>0.486712183601998</v>
      </c>
      <c r="J183" s="10" t="n">
        <f aca="false">IF(I183="","",NORMDIST(CEILING(F183,1)-0.5,G183,H183,TRUE()))</f>
        <v>0.513287816398002</v>
      </c>
      <c r="K183" s="10" t="n">
        <f aca="false">IF(I183="","",MAX(0,1-I183-J183))</f>
        <v>0</v>
      </c>
      <c r="L183" s="0" t="str">
        <f aca="false">IF(I183="","",IF(I183&gt;=0.5+Config!$B$6,"OVER",IF(J183&gt;=0.5+Config!$B$6,"UNDER","—")))</f>
        <v>—</v>
      </c>
      <c r="N183" s="0" t="n">
        <v>22.7</v>
      </c>
      <c r="O183" s="10" t="n">
        <v>0.2</v>
      </c>
      <c r="P183" s="10" t="n">
        <v>0.4</v>
      </c>
      <c r="Q183" s="10" t="n">
        <v>0.33</v>
      </c>
      <c r="R183" s="9" t="s">
        <v>907</v>
      </c>
      <c r="S183" s="0" t="n">
        <v>-3</v>
      </c>
      <c r="T183" s="0" t="str">
        <f aca="false">INDEX(Calc!$G$2:$G$105,MATCH($W183,Calc!$A$2:$A$105,0))&amp;" / "&amp;INDEX(Calc!$H$2:$H$105,MATCH($W183,Calc!$A$2:$A$105,0))</f>
        <v>Mirage / Dust2</v>
      </c>
      <c r="U183" s="0" t="str">
        <f aca="false">TEXT(INDEX(Calc!$J$2:$J$105,MATCH($W183,Calc!$A$2:$A$105,0)),"0.0")&amp;" / "&amp;TEXT(INDEX(Calc!$K$2:$K$105,MATCH($W183,Calc!$A$2:$A$105,0)),"0.0")</f>
        <v>21.5 / 21.4</v>
      </c>
      <c r="V183" s="0" t="str">
        <f aca="false">IFERROR(INDEX(Calc!$AQ$2:$AQ$105,MATCH($W183,Calc!$A$2:$A$105,0)),"")</f>
        <v/>
      </c>
      <c r="W183" s="9" t="s">
        <v>1102</v>
      </c>
      <c r="X183" s="9" t="s">
        <v>891</v>
      </c>
      <c r="Y183" s="0" t="str">
        <f aca="false">W183&amp;"|"&amp;X183</f>
        <v>2mxcc4bdxuksk8r|CS2 · TL vs MGC|K12</v>
      </c>
      <c r="Z183" s="11" t="n">
        <f aca="false">IFERROR(INDEX(CHOOSE(MATCH($X183,{"K1","K2","K3","K12","K13","H1","H2","H3","H12","H13"},0),Calc!$BA$2:$BA$105,Calc!$BB$2:$BB$105,Calc!$BC$2:$BC$105,Calc!$BD$2:$BD$105,Calc!$BE$2:$BE$105,Calc!$BF$2:$BF$105,Calc!$BG$2:$BG$105,Calc!$BH$2:$BH$105,Calc!$BI$2:$BI$105,Calc!$BJ$2:$BJ$105),MATCH($W183,Calc!$A$2:$A$105,0)),"")</f>
        <v>25.7255810713593</v>
      </c>
      <c r="AA183" s="11" t="n">
        <f aca="false">IF(Z183="","",IF(LEFT($X183,1)="H",SQRT(Z183*(IFERROR(INDEX(Calc!$AP$2:$AP$105,MATCH($W183,Calc!$A$2:$A$105,0)),0.5)*Config!$B$5+1-IFERROR(INDEX(Calc!$AP$2:$AP$105,MATCH($W183,Calc!$A$2:$A$105,0)),0.5))),SQRT(Z183*Config!$B$5)))</f>
        <v>6.00131764697579</v>
      </c>
      <c r="AB183" s="10" t="n">
        <f aca="false">IF(OR(F183="",Z183="",N(AA183)&lt;=0),"",1-NORMDIST(FLOOR(F183,1)+0.5,Z183,AA183,TRUE()))</f>
        <v>0.514992147512979</v>
      </c>
      <c r="AC183" s="10" t="n">
        <f aca="false">IF(AB183="","",NORMDIST(CEILING(F183,1)-0.5,Z183,AA183,TRUE()))</f>
        <v>0.485007852487021</v>
      </c>
      <c r="AD183" s="0" t="str">
        <f aca="false">IF(AB183="","",IF(AB183&gt;=0.5+Config!$B$6,"OVER",IF(AC183&gt;=0.5+Config!$B$6,"UNDER","—")))</f>
        <v>—</v>
      </c>
      <c r="AE183" s="13" t="n">
        <f aca="false">IFERROR(Z183/G183,"")</f>
        <v>1.01675197088576</v>
      </c>
    </row>
    <row r="184" customFormat="false" ht="15" hidden="false" customHeight="false" outlineLevel="0" collapsed="false">
      <c r="A184" s="0" t="s">
        <v>775</v>
      </c>
      <c r="B184" s="0" t="s">
        <v>813</v>
      </c>
      <c r="C184" s="0" t="s">
        <v>1103</v>
      </c>
      <c r="D184" s="0" t="s">
        <v>818</v>
      </c>
      <c r="E184" s="0" t="s">
        <v>893</v>
      </c>
      <c r="F184" s="0" t="n">
        <v>18.5</v>
      </c>
      <c r="G184" s="11" t="n">
        <f aca="false">IFERROR(INDEX(CHOOSE(MATCH($X184,{"K1","K2","K3","K12","K13","H1","H2","H3","H12","H13"},0),Calc!$V$2:$V$105,Calc!$AC$2:$AC$105,Calc!$AJ$2:$AJ$105,Calc!$AL$2:$AL$105,Calc!$AM$2:$AM$105,Calc!$W$2:$W$105,Calc!$AD$2:$AD$105,Calc!$AK$2:$AK$105,Calc!$AN$2:$AN$105,Calc!$AO$2:$AO$105),MATCH($W184,Calc!$A$2:$A$105,0)),"")</f>
        <v>16.460862</v>
      </c>
      <c r="H184" s="11" t="n">
        <f aca="false">IF(G184="","",IF(LEFT($X184,1)="H",SQRT(G184*(IFERROR(INDEX(Calc!$AP$2:$AP$105,MATCH($W184,Calc!$A$2:$A$105,0)),0.5)*Config!$B$5+1-IFERROR(INDEX(Calc!$AP$2:$AP$105,MATCH($W184,Calc!$A$2:$A$105,0)),0.5))),SQRT(G184*Config!$B$5)))</f>
        <v>4.49780118724361</v>
      </c>
      <c r="I184" s="10" t="n">
        <f aca="false">IF(OR(F184="",G184="",N(H184)&lt;=0),"",1-NORMDIST(FLOOR(F184,1)+0.5,G184,H184,TRUE()))</f>
        <v>0.325143578490737</v>
      </c>
      <c r="J184" s="10" t="n">
        <f aca="false">IF(I184="","",NORMDIST(CEILING(F184,1)-0.5,G184,H184,TRUE()))</f>
        <v>0.674856421509263</v>
      </c>
      <c r="K184" s="10" t="n">
        <f aca="false">IF(I184="","",MAX(0,1-I184-J184))</f>
        <v>0</v>
      </c>
      <c r="L184" s="0" t="str">
        <f aca="false">IF(I184="","",IF(I184&gt;=0.5+Config!$B$6,"OVER",IF(J184&gt;=0.5+Config!$B$6,"UNDER","—")))</f>
        <v>UNDER</v>
      </c>
      <c r="N184" s="0" t="n">
        <v>17.5</v>
      </c>
      <c r="O184" s="10" t="n">
        <v>0.2</v>
      </c>
      <c r="P184" s="10" t="n">
        <v>0.4</v>
      </c>
      <c r="Q184" s="10" t="n">
        <v>0.47</v>
      </c>
      <c r="R184" s="9" t="s">
        <v>907</v>
      </c>
      <c r="S184" s="0" t="n">
        <v>-1</v>
      </c>
      <c r="T184" s="0" t="str">
        <f aca="false">INDEX(Calc!$G$2:$G$105,MATCH($W184,Calc!$A$2:$A$105,0))&amp;" / "&amp;INDEX(Calc!$H$2:$H$105,MATCH($W184,Calc!$A$2:$A$105,0))</f>
        <v>Mirage / Dust2</v>
      </c>
      <c r="U184" s="0" t="str">
        <f aca="false">TEXT(INDEX(Calc!$J$2:$J$105,MATCH($W184,Calc!$A$2:$A$105,0)),"0.0")&amp;" / "&amp;TEXT(INDEX(Calc!$K$2:$K$105,MATCH($W184,Calc!$A$2:$A$105,0)),"0.0")</f>
        <v>21.5 / 21.4</v>
      </c>
      <c r="V184" s="0" t="str">
        <f aca="false">IFERROR(INDEX(Calc!$AQ$2:$AQ$105,MATCH($W184,Calc!$A$2:$A$105,0)),"")</f>
        <v/>
      </c>
      <c r="W184" s="9" t="s">
        <v>1104</v>
      </c>
      <c r="X184" s="9" t="s">
        <v>896</v>
      </c>
      <c r="Y184" s="0" t="str">
        <f aca="false">W184&amp;"|"&amp;X184</f>
        <v>97fbh7iare9uasg|CS2 · TL vs MGC|H12</v>
      </c>
      <c r="Z184" s="11" t="n">
        <f aca="false">IFERROR(INDEX(CHOOSE(MATCH($X184,{"K1","K2","K3","K12","K13","H1","H2","H3","H12","H13"},0),Calc!$BA$2:$BA$105,Calc!$BB$2:$BB$105,Calc!$BC$2:$BC$105,Calc!$BD$2:$BD$105,Calc!$BE$2:$BE$105,Calc!$BF$2:$BF$105,Calc!$BG$2:$BG$105,Calc!$BH$2:$BH$105,Calc!$BI$2:$BI$105,Calc!$BJ$2:$BJ$105),MATCH($W184,Calc!$A$2:$A$105,0)),"")</f>
        <v>16.739320000359</v>
      </c>
      <c r="AA184" s="11" t="n">
        <f aca="false">IF(Z184="","",IF(LEFT($X184,1)="H",SQRT(Z184*(IFERROR(INDEX(Calc!$AP$2:$AP$105,MATCH($W184,Calc!$A$2:$A$105,0)),0.5)*Config!$B$5+1-IFERROR(INDEX(Calc!$AP$2:$AP$105,MATCH($W184,Calc!$A$2:$A$105,0)),0.5))),SQRT(Z184*Config!$B$5)))</f>
        <v>4.53568487572305</v>
      </c>
      <c r="AB184" s="10" t="n">
        <f aca="false">IF(OR(F184="",Z184="",N(AA184)&lt;=0),"",1-NORMDIST(FLOOR(F184,1)+0.5,Z184,AA184,TRUE()))</f>
        <v>0.348939960711962</v>
      </c>
      <c r="AC184" s="10" t="n">
        <f aca="false">IF(AB184="","",NORMDIST(CEILING(F184,1)-0.5,Z184,AA184,TRUE()))</f>
        <v>0.651060039288038</v>
      </c>
      <c r="AD184" s="0" t="str">
        <f aca="false">IF(AB184="","",IF(AB184&gt;=0.5+Config!$B$6,"OVER",IF(AC184&gt;=0.5+Config!$B$6,"UNDER","—")))</f>
        <v>UNDER</v>
      </c>
      <c r="AE184" s="13" t="n">
        <f aca="false">IFERROR(Z184/G184,"")</f>
        <v>1.01691636807106</v>
      </c>
    </row>
    <row r="185" customFormat="false" ht="15" hidden="false" customHeight="false" outlineLevel="0" collapsed="false">
      <c r="A185" s="0" t="s">
        <v>775</v>
      </c>
      <c r="B185" s="0" t="s">
        <v>813</v>
      </c>
      <c r="C185" s="0" t="s">
        <v>1103</v>
      </c>
      <c r="D185" s="0" t="s">
        <v>818</v>
      </c>
      <c r="E185" s="0" t="s">
        <v>888</v>
      </c>
      <c r="F185" s="0" t="n">
        <v>30.5</v>
      </c>
      <c r="G185" s="11" t="n">
        <f aca="false">IFERROR(INDEX(CHOOSE(MATCH($X185,{"K1","K2","K3","K12","K13","H1","H2","H3","H12","H13"},0),Calc!$V$2:$V$105,Calc!$AC$2:$AC$105,Calc!$AJ$2:$AJ$105,Calc!$AL$2:$AL$105,Calc!$AM$2:$AM$105,Calc!$W$2:$W$105,Calc!$AD$2:$AD$105,Calc!$AK$2:$AK$105,Calc!$AN$2:$AN$105,Calc!$AO$2:$AO$105),MATCH($W185,Calc!$A$2:$A$105,0)),"")</f>
        <v>28.754</v>
      </c>
      <c r="H185" s="11" t="n">
        <f aca="false">IF(G185="","",IF(LEFT($X185,1)="H",SQRT(G185*(IFERROR(INDEX(Calc!$AP$2:$AP$105,MATCH($W185,Calc!$A$2:$A$105,0)),0.5)*Config!$B$5+1-IFERROR(INDEX(Calc!$AP$2:$AP$105,MATCH($W185,Calc!$A$2:$A$105,0)),0.5))),SQRT(G185*Config!$B$5)))</f>
        <v>6.3447300967023</v>
      </c>
      <c r="I185" s="10" t="n">
        <f aca="false">IF(OR(F185="",G185="",N(H185)&lt;=0),"",1-NORMDIST(FLOOR(F185,1)+0.5,G185,H185,TRUE()))</f>
        <v>0.391585514583063</v>
      </c>
      <c r="J185" s="10" t="n">
        <f aca="false">IF(I185="","",NORMDIST(CEILING(F185,1)-0.5,G185,H185,TRUE()))</f>
        <v>0.608414485416937</v>
      </c>
      <c r="K185" s="10" t="n">
        <f aca="false">IF(I185="","",MAX(0,1-I185-J185))</f>
        <v>0</v>
      </c>
      <c r="L185" s="0" t="str">
        <f aca="false">IF(I185="","",IF(I185&gt;=0.5+Config!$B$6,"OVER",IF(J185&gt;=0.5+Config!$B$6,"UNDER","—")))</f>
        <v>UNDER</v>
      </c>
      <c r="N185" s="0" t="n">
        <v>28.8</v>
      </c>
      <c r="O185" s="10" t="n">
        <v>0</v>
      </c>
      <c r="P185" s="10" t="n">
        <v>0.3</v>
      </c>
      <c r="Q185" s="10" t="n">
        <v>0.4</v>
      </c>
      <c r="R185" s="9" t="s">
        <v>907</v>
      </c>
      <c r="S185" s="0" t="n">
        <v>-7</v>
      </c>
      <c r="T185" s="0" t="str">
        <f aca="false">INDEX(Calc!$G$2:$G$105,MATCH($W185,Calc!$A$2:$A$105,0))&amp;" / "&amp;INDEX(Calc!$H$2:$H$105,MATCH($W185,Calc!$A$2:$A$105,0))</f>
        <v>Mirage / Dust2</v>
      </c>
      <c r="U185" s="0" t="str">
        <f aca="false">TEXT(INDEX(Calc!$J$2:$J$105,MATCH($W185,Calc!$A$2:$A$105,0)),"0.0")&amp;" / "&amp;TEXT(INDEX(Calc!$K$2:$K$105,MATCH($W185,Calc!$A$2:$A$105,0)),"0.0")</f>
        <v>21.5 / 21.4</v>
      </c>
      <c r="V185" s="0" t="str">
        <f aca="false">IFERROR(INDEX(Calc!$AQ$2:$AQ$105,MATCH($W185,Calc!$A$2:$A$105,0)),"")</f>
        <v/>
      </c>
      <c r="W185" s="9" t="s">
        <v>1104</v>
      </c>
      <c r="X185" s="9" t="s">
        <v>891</v>
      </c>
      <c r="Y185" s="0" t="str">
        <f aca="false">W185&amp;"|"&amp;X185</f>
        <v>97fbh7iare9uasg|CS2 · TL vs MGC|K12</v>
      </c>
      <c r="Z185" s="11" t="n">
        <f aca="false">IFERROR(INDEX(CHOOSE(MATCH($X185,{"K1","K2","K3","K12","K13","H1","H2","H3","H12","H13"},0),Calc!$BA$2:$BA$105,Calc!$BB$2:$BB$105,Calc!$BC$2:$BC$105,Calc!$BD$2:$BD$105,Calc!$BE$2:$BE$105,Calc!$BF$2:$BF$105,Calc!$BG$2:$BG$105,Calc!$BH$2:$BH$105,Calc!$BI$2:$BI$105,Calc!$BJ$2:$BJ$105),MATCH($W185,Calc!$A$2:$A$105,0)),"")</f>
        <v>29.2374700100428</v>
      </c>
      <c r="AA185" s="11" t="n">
        <f aca="false">IF(Z185="","",IF(LEFT($X185,1)="H",SQRT(Z185*(IFERROR(INDEX(Calc!$AP$2:$AP$105,MATCH($W185,Calc!$A$2:$A$105,0)),0.5)*Config!$B$5+1-IFERROR(INDEX(Calc!$AP$2:$AP$105,MATCH($W185,Calc!$A$2:$A$105,0)),0.5))),SQRT(Z185*Config!$B$5)))</f>
        <v>6.39784792051671</v>
      </c>
      <c r="AB185" s="10" t="n">
        <f aca="false">IF(OR(F185="",Z185="",N(AA185)&lt;=0),"",1-NORMDIST(FLOOR(F185,1)+0.5,Z185,AA185,TRUE()))</f>
        <v>0.421782043342519</v>
      </c>
      <c r="AC185" s="10" t="n">
        <f aca="false">IF(AB185="","",NORMDIST(CEILING(F185,1)-0.5,Z185,AA185,TRUE()))</f>
        <v>0.578217956657481</v>
      </c>
      <c r="AD185" s="0" t="str">
        <f aca="false">IF(AB185="","",IF(AB185&gt;=0.5+Config!$B$6,"OVER",IF(AC185&gt;=0.5+Config!$B$6,"UNDER","—")))</f>
        <v>UNDER</v>
      </c>
      <c r="AE185" s="13" t="n">
        <f aca="false">IFERROR(Z185/G185,"")</f>
        <v>1.01681400883504</v>
      </c>
    </row>
    <row r="186" customFormat="false" ht="15" hidden="false" customHeight="false" outlineLevel="0" collapsed="false">
      <c r="A186" s="0" t="s">
        <v>775</v>
      </c>
      <c r="B186" s="0" t="s">
        <v>813</v>
      </c>
      <c r="C186" s="0" t="s">
        <v>1105</v>
      </c>
      <c r="D186" s="0" t="s">
        <v>817</v>
      </c>
      <c r="E186" s="0" t="s">
        <v>893</v>
      </c>
      <c r="F186" s="0" t="n">
        <v>18.5</v>
      </c>
      <c r="G186" s="11" t="n">
        <f aca="false">IFERROR(INDEX(CHOOSE(MATCH($X186,{"K1","K2","K3","K12","K13","H1","H2","H3","H12","H13"},0),Calc!$V$2:$V$105,Calc!$AC$2:$AC$105,Calc!$AJ$2:$AJ$105,Calc!$AL$2:$AL$105,Calc!$AM$2:$AM$105,Calc!$W$2:$W$105,Calc!$AD$2:$AD$105,Calc!$AK$2:$AK$105,Calc!$AN$2:$AN$105,Calc!$AO$2:$AO$105),MATCH($W186,Calc!$A$2:$A$105,0)),"")</f>
        <v>19.5391679363166</v>
      </c>
      <c r="H186" s="11" t="n">
        <f aca="false">IF(G186="","",IF(LEFT($X186,1)="H",SQRT(G186*(IFERROR(INDEX(Calc!$AP$2:$AP$105,MATCH($W186,Calc!$A$2:$A$105,0)),0.5)*Config!$B$5+1-IFERROR(INDEX(Calc!$AP$2:$AP$105,MATCH($W186,Calc!$A$2:$A$105,0)),0.5))),SQRT(G186*Config!$B$5)))</f>
        <v>4.90817356282062</v>
      </c>
      <c r="I186" s="10" t="n">
        <f aca="false">IF(OR(F186="",G186="",N(H186)&lt;=0),"",1-NORMDIST(FLOOR(F186,1)+0.5,G186,H186,TRUE()))</f>
        <v>0.583838007435701</v>
      </c>
      <c r="J186" s="10" t="n">
        <f aca="false">IF(I186="","",NORMDIST(CEILING(F186,1)-0.5,G186,H186,TRUE()))</f>
        <v>0.416161992564299</v>
      </c>
      <c r="K186" s="10" t="n">
        <f aca="false">IF(I186="","",MAX(0,1-I186-J186))</f>
        <v>0</v>
      </c>
      <c r="L186" s="0" t="str">
        <f aca="false">IF(I186="","",IF(I186&gt;=0.5+Config!$B$6,"OVER",IF(J186&gt;=0.5+Config!$B$6,"UNDER","—")))</f>
        <v>OVER</v>
      </c>
      <c r="N186" s="0" t="n">
        <v>17.9</v>
      </c>
      <c r="O186" s="10" t="n">
        <v>0.2</v>
      </c>
      <c r="P186" s="10" t="n">
        <v>0.3</v>
      </c>
      <c r="Q186" s="10" t="n">
        <v>0.47</v>
      </c>
      <c r="R186" s="9" t="s">
        <v>907</v>
      </c>
      <c r="S186" s="0" t="n">
        <v>-1</v>
      </c>
      <c r="T186" s="0" t="str">
        <f aca="false">INDEX(Calc!$G$2:$G$105,MATCH($W186,Calc!$A$2:$A$105,0))&amp;" / "&amp;INDEX(Calc!$H$2:$H$105,MATCH($W186,Calc!$A$2:$A$105,0))</f>
        <v>Mirage / Dust2</v>
      </c>
      <c r="U186" s="0" t="str">
        <f aca="false">TEXT(INDEX(Calc!$J$2:$J$105,MATCH($W186,Calc!$A$2:$A$105,0)),"0.0")&amp;" / "&amp;TEXT(INDEX(Calc!$K$2:$K$105,MATCH($W186,Calc!$A$2:$A$105,0)),"0.0")</f>
        <v>21.5 / 21.4</v>
      </c>
      <c r="V186" s="0" t="str">
        <f aca="false">IFERROR(INDEX(Calc!$AQ$2:$AQ$105,MATCH($W186,Calc!$A$2:$A$105,0)),"")</f>
        <v/>
      </c>
      <c r="W186" s="9" t="s">
        <v>1106</v>
      </c>
      <c r="X186" s="9" t="s">
        <v>896</v>
      </c>
      <c r="Y186" s="0" t="str">
        <f aca="false">W186&amp;"|"&amp;X186</f>
        <v>we8rbjpf65bc2tn|CS2 · TL vs MGC|H12</v>
      </c>
      <c r="Z186" s="11" t="n">
        <f aca="false">IFERROR(INDEX(CHOOSE(MATCH($X186,{"K1","K2","K3","K12","K13","H1","H2","H3","H12","H13"},0),Calc!$BA$2:$BA$105,Calc!$BB$2:$BB$105,Calc!$BC$2:$BC$105,Calc!$BD$2:$BD$105,Calc!$BE$2:$BE$105,Calc!$BF$2:$BF$105,Calc!$BG$2:$BG$105,Calc!$BH$2:$BH$105,Calc!$BI$2:$BI$105,Calc!$BJ$2:$BJ$105),MATCH($W186,Calc!$A$2:$A$105,0)),"")</f>
        <v>18.7685287104785</v>
      </c>
      <c r="AA186" s="11" t="n">
        <f aca="false">IF(Z186="","",IF(LEFT($X186,1)="H",SQRT(Z186*(IFERROR(INDEX(Calc!$AP$2:$AP$105,MATCH($W186,Calc!$A$2:$A$105,0)),0.5)*Config!$B$5+1-IFERROR(INDEX(Calc!$AP$2:$AP$105,MATCH($W186,Calc!$A$2:$A$105,0)),0.5))),SQRT(Z186*Config!$B$5)))</f>
        <v>4.81040889129723</v>
      </c>
      <c r="AB186" s="10" t="n">
        <f aca="false">IF(OR(F186="",Z186="",N(AA186)&lt;=0),"",1-NORMDIST(FLOOR(F186,1)+0.5,Z186,AA186,TRUE()))</f>
        <v>0.522258366617985</v>
      </c>
      <c r="AC186" s="10" t="n">
        <f aca="false">IF(AB186="","",NORMDIST(CEILING(F186,1)-0.5,Z186,AA186,TRUE()))</f>
        <v>0.477741633382015</v>
      </c>
      <c r="AD186" s="0" t="str">
        <f aca="false">IF(AB186="","",IF(AB186&gt;=0.5+Config!$B$6,"OVER",IF(AC186&gt;=0.5+Config!$B$6,"UNDER","—")))</f>
        <v>—</v>
      </c>
      <c r="AE186" s="13" t="n">
        <f aca="false">IFERROR(Z186/G186,"")</f>
        <v>0.960559260847248</v>
      </c>
    </row>
    <row r="187" customFormat="false" ht="15" hidden="false" customHeight="false" outlineLevel="0" collapsed="false">
      <c r="A187" s="0" t="s">
        <v>775</v>
      </c>
      <c r="B187" s="0" t="s">
        <v>813</v>
      </c>
      <c r="C187" s="0" t="s">
        <v>1105</v>
      </c>
      <c r="D187" s="0" t="s">
        <v>817</v>
      </c>
      <c r="E187" s="0" t="s">
        <v>888</v>
      </c>
      <c r="F187" s="0" t="n">
        <v>32.5</v>
      </c>
      <c r="G187" s="11" t="n">
        <f aca="false">IFERROR(INDEX(CHOOSE(MATCH($X187,{"K1","K2","K3","K12","K13","H1","H2","H3","H12","H13"},0),Calc!$V$2:$V$105,Calc!$AC$2:$AC$105,Calc!$AJ$2:$AJ$105,Calc!$AL$2:$AL$105,Calc!$AM$2:$AM$105,Calc!$W$2:$W$105,Calc!$AD$2:$AD$105,Calc!$AK$2:$AK$105,Calc!$AN$2:$AN$105,Calc!$AO$2:$AO$105),MATCH($W187,Calc!$A$2:$A$105,0)),"")</f>
        <v>33.5556230769231</v>
      </c>
      <c r="H187" s="11" t="n">
        <f aca="false">IF(G187="","",IF(LEFT($X187,1)="H",SQRT(G187*(IFERROR(INDEX(Calc!$AP$2:$AP$105,MATCH($W187,Calc!$A$2:$A$105,0)),0.5)*Config!$B$5+1-IFERROR(INDEX(Calc!$AP$2:$AP$105,MATCH($W187,Calc!$A$2:$A$105,0)),0.5))),SQRT(G187*Config!$B$5)))</f>
        <v>6.85404058258283</v>
      </c>
      <c r="I187" s="10" t="n">
        <f aca="false">IF(OR(F187="",G187="",N(H187)&lt;=0),"",1-NORMDIST(FLOOR(F187,1)+0.5,G187,H187,TRUE()))</f>
        <v>0.561200931710338</v>
      </c>
      <c r="J187" s="10" t="n">
        <f aca="false">IF(I187="","",NORMDIST(CEILING(F187,1)-0.5,G187,H187,TRUE()))</f>
        <v>0.438799068289662</v>
      </c>
      <c r="K187" s="10" t="n">
        <f aca="false">IF(I187="","",MAX(0,1-I187-J187))</f>
        <v>0</v>
      </c>
      <c r="L187" s="0" t="str">
        <f aca="false">IF(I187="","",IF(I187&gt;=0.5+Config!$B$6,"OVER",IF(J187&gt;=0.5+Config!$B$6,"UNDER","—")))</f>
        <v>OVER</v>
      </c>
      <c r="N187" s="0" t="n">
        <v>31</v>
      </c>
      <c r="O187" s="10" t="n">
        <v>0.2</v>
      </c>
      <c r="P187" s="10" t="n">
        <v>0.3</v>
      </c>
      <c r="Q187" s="10" t="n">
        <v>0.27</v>
      </c>
      <c r="R187" s="9" t="s">
        <v>907</v>
      </c>
      <c r="S187" s="0" t="n">
        <v>-1</v>
      </c>
      <c r="T187" s="0" t="str">
        <f aca="false">INDEX(Calc!$G$2:$G$105,MATCH($W187,Calc!$A$2:$A$105,0))&amp;" / "&amp;INDEX(Calc!$H$2:$H$105,MATCH($W187,Calc!$A$2:$A$105,0))</f>
        <v>Mirage / Dust2</v>
      </c>
      <c r="U187" s="0" t="str">
        <f aca="false">TEXT(INDEX(Calc!$J$2:$J$105,MATCH($W187,Calc!$A$2:$A$105,0)),"0.0")&amp;" / "&amp;TEXT(INDEX(Calc!$K$2:$K$105,MATCH($W187,Calc!$A$2:$A$105,0)),"0.0")</f>
        <v>21.5 / 21.4</v>
      </c>
      <c r="V187" s="0" t="str">
        <f aca="false">IFERROR(INDEX(Calc!$AQ$2:$AQ$105,MATCH($W187,Calc!$A$2:$A$105,0)),"")</f>
        <v/>
      </c>
      <c r="W187" s="9" t="s">
        <v>1106</v>
      </c>
      <c r="X187" s="9" t="s">
        <v>891</v>
      </c>
      <c r="Y187" s="0" t="str">
        <f aca="false">W187&amp;"|"&amp;X187</f>
        <v>we8rbjpf65bc2tn|CS2 · TL vs MGC|K12</v>
      </c>
      <c r="Z187" s="11" t="n">
        <f aca="false">IFERROR(INDEX(CHOOSE(MATCH($X187,{"K1","K2","K3","K12","K13","H1","H2","H3","H12","H13"},0),Calc!$BA$2:$BA$105,Calc!$BB$2:$BB$105,Calc!$BC$2:$BC$105,Calc!$BD$2:$BD$105,Calc!$BE$2:$BE$105,Calc!$BF$2:$BF$105,Calc!$BG$2:$BG$105,Calc!$BH$2:$BH$105,Calc!$BI$2:$BI$105,Calc!$BJ$2:$BJ$105),MATCH($W187,Calc!$A$2:$A$105,0)),"")</f>
        <v>32.2296019140207</v>
      </c>
      <c r="AA187" s="11" t="n">
        <f aca="false">IF(Z187="","",IF(LEFT($X187,1)="H",SQRT(Z187*(IFERROR(INDEX(Calc!$AP$2:$AP$105,MATCH($W187,Calc!$A$2:$A$105,0)),0.5)*Config!$B$5+1-IFERROR(INDEX(Calc!$AP$2:$AP$105,MATCH($W187,Calc!$A$2:$A$105,0)),0.5))),SQRT(Z187*Config!$B$5)))</f>
        <v>6.71724963654239</v>
      </c>
      <c r="AB187" s="10" t="n">
        <f aca="false">IF(OR(F187="",Z187="",N(AA187)&lt;=0),"",1-NORMDIST(FLOOR(F187,1)+0.5,Z187,AA187,TRUE()))</f>
        <v>0.483945199471027</v>
      </c>
      <c r="AC187" s="10" t="n">
        <f aca="false">IF(AB187="","",NORMDIST(CEILING(F187,1)-0.5,Z187,AA187,TRUE()))</f>
        <v>0.516054800528973</v>
      </c>
      <c r="AD187" s="0" t="str">
        <f aca="false">IF(AB187="","",IF(AB187&gt;=0.5+Config!$B$6,"OVER",IF(AC187&gt;=0.5+Config!$B$6,"UNDER","—")))</f>
        <v>—</v>
      </c>
      <c r="AE187" s="13" t="n">
        <f aca="false">IFERROR(Z187/G187,"")</f>
        <v>0.960482892543445</v>
      </c>
    </row>
    <row r="188" customFormat="false" ht="15" hidden="false" customHeight="false" outlineLevel="0" collapsed="false">
      <c r="A188" s="0" t="s">
        <v>775</v>
      </c>
      <c r="B188" s="0" t="s">
        <v>813</v>
      </c>
      <c r="C188" s="0" t="s">
        <v>1107</v>
      </c>
      <c r="D188" s="0" t="s">
        <v>817</v>
      </c>
      <c r="E188" s="0" t="s">
        <v>893</v>
      </c>
      <c r="F188" s="0" t="n">
        <v>9.5</v>
      </c>
      <c r="G188" s="11" t="n">
        <f aca="false">IFERROR(INDEX(CHOOSE(MATCH($X188,{"K1","K2","K3","K12","K13","H1","H2","H3","H12","H13"},0),Calc!$V$2:$V$105,Calc!$AC$2:$AC$105,Calc!$AJ$2:$AJ$105,Calc!$AL$2:$AL$105,Calc!$AM$2:$AM$105,Calc!$W$2:$W$105,Calc!$AD$2:$AD$105,Calc!$AK$2:$AK$105,Calc!$AN$2:$AN$105,Calc!$AO$2:$AO$105),MATCH($W188,Calc!$A$2:$A$105,0)),"")</f>
        <v>9.00314962710799</v>
      </c>
      <c r="H188" s="11" t="n">
        <f aca="false">IF(G188="","",IF(LEFT($X188,1)="H",SQRT(G188*(IFERROR(INDEX(Calc!$AP$2:$AP$105,MATCH($W188,Calc!$A$2:$A$105,0)),0.5)*Config!$B$5+1-IFERROR(INDEX(Calc!$AP$2:$AP$105,MATCH($W188,Calc!$A$2:$A$105,0)),0.5))),SQRT(G188*Config!$B$5)))</f>
        <v>3.18351464455221</v>
      </c>
      <c r="I188" s="10" t="n">
        <f aca="false">IF(OR(F188="",G188="",N(H188)&lt;=0),"",1-NORMDIST(FLOOR(F188,1)+0.5,G188,H188,TRUE()))</f>
        <v>0.437989016345492</v>
      </c>
      <c r="J188" s="10" t="n">
        <f aca="false">IF(I188="","",NORMDIST(CEILING(F188,1)-0.5,G188,H188,TRUE()))</f>
        <v>0.562010983654508</v>
      </c>
      <c r="K188" s="10" t="n">
        <f aca="false">IF(I188="","",MAX(0,1-I188-J188))</f>
        <v>0</v>
      </c>
      <c r="L188" s="0" t="str">
        <f aca="false">IF(I188="","",IF(I188&gt;=0.5+Config!$B$6,"OVER",IF(J188&gt;=0.5+Config!$B$6,"UNDER","—")))</f>
        <v>UNDER</v>
      </c>
      <c r="N188" s="0" t="n">
        <v>9.6</v>
      </c>
      <c r="O188" s="10" t="n">
        <v>0.4</v>
      </c>
      <c r="P188" s="10" t="n">
        <v>0.7</v>
      </c>
      <c r="Q188" s="10" t="n">
        <v>0.67</v>
      </c>
      <c r="R188" s="9" t="s">
        <v>907</v>
      </c>
      <c r="S188" s="0" t="n">
        <v>-1</v>
      </c>
      <c r="T188" s="0" t="str">
        <f aca="false">INDEX(Calc!$G$2:$G$105,MATCH($W188,Calc!$A$2:$A$105,0))&amp;" / "&amp;INDEX(Calc!$H$2:$H$105,MATCH($W188,Calc!$A$2:$A$105,0))</f>
        <v>Mirage / Dust2</v>
      </c>
      <c r="U188" s="0" t="str">
        <f aca="false">TEXT(INDEX(Calc!$J$2:$J$105,MATCH($W188,Calc!$A$2:$A$105,0)),"0.0")&amp;" / "&amp;TEXT(INDEX(Calc!$K$2:$K$105,MATCH($W188,Calc!$A$2:$A$105,0)),"0.0")</f>
        <v>21.5 / 21.4</v>
      </c>
      <c r="V188" s="0" t="str">
        <f aca="false">IFERROR(INDEX(Calc!$AQ$2:$AQ$105,MATCH($W188,Calc!$A$2:$A$105,0)),"")</f>
        <v/>
      </c>
      <c r="W188" s="9" t="s">
        <v>1108</v>
      </c>
      <c r="X188" s="9" t="s">
        <v>896</v>
      </c>
      <c r="Y188" s="0" t="str">
        <f aca="false">W188&amp;"|"&amp;X188</f>
        <v>eb7cqiuc8bqx4zr|CS2 · TL vs MGC|H12</v>
      </c>
      <c r="Z188" s="11" t="n">
        <f aca="false">IFERROR(INDEX(CHOOSE(MATCH($X188,{"K1","K2","K3","K12","K13","H1","H2","H3","H12","H13"},0),Calc!$BA$2:$BA$105,Calc!$BB$2:$BB$105,Calc!$BC$2:$BC$105,Calc!$BD$2:$BD$105,Calc!$BE$2:$BE$105,Calc!$BF$2:$BF$105,Calc!$BG$2:$BG$105,Calc!$BH$2:$BH$105,Calc!$BI$2:$BI$105,Calc!$BJ$2:$BJ$105),MATCH($W188,Calc!$A$2:$A$105,0)),"")</f>
        <v>8.64615655856585</v>
      </c>
      <c r="AA188" s="11" t="n">
        <f aca="false">IF(Z188="","",IF(LEFT($X188,1)="H",SQRT(Z188*(IFERROR(INDEX(Calc!$AP$2:$AP$105,MATCH($W188,Calc!$A$2:$A$105,0)),0.5)*Config!$B$5+1-IFERROR(INDEX(Calc!$AP$2:$AP$105,MATCH($W188,Calc!$A$2:$A$105,0)),0.5))),SQRT(Z188*Config!$B$5)))</f>
        <v>3.11975985753605</v>
      </c>
      <c r="AB188" s="10" t="n">
        <f aca="false">IF(OR(F188="",Z188="",N(AA188)&lt;=0),"",1-NORMDIST(FLOOR(F188,1)+0.5,Z188,AA188,TRUE()))</f>
        <v>0.392161879258031</v>
      </c>
      <c r="AC188" s="10" t="n">
        <f aca="false">IF(AB188="","",NORMDIST(CEILING(F188,1)-0.5,Z188,AA188,TRUE()))</f>
        <v>0.607838120741969</v>
      </c>
      <c r="AD188" s="0" t="str">
        <f aca="false">IF(AB188="","",IF(AB188&gt;=0.5+Config!$B$6,"OVER",IF(AC188&gt;=0.5+Config!$B$6,"UNDER","—")))</f>
        <v>UNDER</v>
      </c>
      <c r="AE188" s="13" t="n">
        <f aca="false">IFERROR(Z188/G188,"")</f>
        <v>0.960347980059416</v>
      </c>
    </row>
    <row r="189" customFormat="false" ht="15" hidden="false" customHeight="false" outlineLevel="0" collapsed="false">
      <c r="A189" s="0" t="s">
        <v>775</v>
      </c>
      <c r="B189" s="0" t="s">
        <v>813</v>
      </c>
      <c r="C189" s="0" t="s">
        <v>1107</v>
      </c>
      <c r="D189" s="0" t="s">
        <v>817</v>
      </c>
      <c r="E189" s="0" t="s">
        <v>888</v>
      </c>
      <c r="F189" s="0" t="n">
        <v>29.5</v>
      </c>
      <c r="G189" s="11" t="n">
        <f aca="false">IFERROR(INDEX(CHOOSE(MATCH($X189,{"K1","K2","K3","K12","K13","H1","H2","H3","H12","H13"},0),Calc!$V$2:$V$105,Calc!$AC$2:$AC$105,Calc!$AJ$2:$AJ$105,Calc!$AL$2:$AL$105,Calc!$AM$2:$AM$105,Calc!$W$2:$W$105,Calc!$AD$2:$AD$105,Calc!$AK$2:$AK$105,Calc!$AN$2:$AN$105,Calc!$AO$2:$AO$105),MATCH($W189,Calc!$A$2:$A$105,0)),"")</f>
        <v>28.6516673076923</v>
      </c>
      <c r="H189" s="11" t="n">
        <f aca="false">IF(G189="","",IF(LEFT($X189,1)="H",SQRT(G189*(IFERROR(INDEX(Calc!$AP$2:$AP$105,MATCH($W189,Calc!$A$2:$A$105,0)),0.5)*Config!$B$5+1-IFERROR(INDEX(Calc!$AP$2:$AP$105,MATCH($W189,Calc!$A$2:$A$105,0)),0.5))),SQRT(G189*Config!$B$5)))</f>
        <v>6.33342989467549</v>
      </c>
      <c r="I189" s="10" t="n">
        <f aca="false">IF(OR(F189="",G189="",N(H189)&lt;=0),"",1-NORMDIST(FLOOR(F189,1)+0.5,G189,H189,TRUE()))</f>
        <v>0.446722944047931</v>
      </c>
      <c r="J189" s="10" t="n">
        <f aca="false">IF(I189="","",NORMDIST(CEILING(F189,1)-0.5,G189,H189,TRUE()))</f>
        <v>0.553277055952069</v>
      </c>
      <c r="K189" s="10" t="n">
        <f aca="false">IF(I189="","",MAX(0,1-I189-J189))</f>
        <v>0</v>
      </c>
      <c r="L189" s="0" t="str">
        <f aca="false">IF(I189="","",IF(I189&gt;=0.5+Config!$B$6,"OVER",IF(J189&gt;=0.5+Config!$B$6,"UNDER","—")))</f>
        <v>UNDER</v>
      </c>
      <c r="N189" s="0" t="n">
        <v>27.3</v>
      </c>
      <c r="O189" s="10" t="n">
        <v>0.2</v>
      </c>
      <c r="P189" s="10" t="n">
        <v>0.5</v>
      </c>
      <c r="Q189" s="10" t="n">
        <v>0.6</v>
      </c>
      <c r="R189" s="9" t="s">
        <v>907</v>
      </c>
      <c r="S189" s="0" t="n">
        <v>-4</v>
      </c>
      <c r="T189" s="0" t="str">
        <f aca="false">INDEX(Calc!$G$2:$G$105,MATCH($W189,Calc!$A$2:$A$105,0))&amp;" / "&amp;INDEX(Calc!$H$2:$H$105,MATCH($W189,Calc!$A$2:$A$105,0))</f>
        <v>Mirage / Dust2</v>
      </c>
      <c r="U189" s="0" t="str">
        <f aca="false">TEXT(INDEX(Calc!$J$2:$J$105,MATCH($W189,Calc!$A$2:$A$105,0)),"0.0")&amp;" / "&amp;TEXT(INDEX(Calc!$K$2:$K$105,MATCH($W189,Calc!$A$2:$A$105,0)),"0.0")</f>
        <v>21.5 / 21.4</v>
      </c>
      <c r="V189" s="0" t="str">
        <f aca="false">IFERROR(INDEX(Calc!$AQ$2:$AQ$105,MATCH($W189,Calc!$A$2:$A$105,0)),"")</f>
        <v/>
      </c>
      <c r="W189" s="9" t="s">
        <v>1108</v>
      </c>
      <c r="X189" s="9" t="s">
        <v>891</v>
      </c>
      <c r="Y189" s="0" t="str">
        <f aca="false">W189&amp;"|"&amp;X189</f>
        <v>eb7cqiuc8bqx4zr|CS2 · TL vs MGC|K12</v>
      </c>
      <c r="Z189" s="11" t="n">
        <f aca="false">IFERROR(INDEX(CHOOSE(MATCH($X189,{"K1","K2","K3","K12","K13","H1","H2","H3","H12","H13"},0),Calc!$BA$2:$BA$105,Calc!$BB$2:$BB$105,Calc!$BC$2:$BC$105,Calc!$BD$2:$BD$105,Calc!$BE$2:$BE$105,Calc!$BF$2:$BF$105,Calc!$BG$2:$BG$105,Calc!$BH$2:$BH$105,Calc!$BI$2:$BI$105,Calc!$BJ$2:$BJ$105),MATCH($W189,Calc!$A$2:$A$105,0)),"")</f>
        <v>27.5121783484356</v>
      </c>
      <c r="AA189" s="11" t="n">
        <f aca="false">IF(Z189="","",IF(LEFT($X189,1)="H",SQRT(Z189*(IFERROR(INDEX(Calc!$AP$2:$AP$105,MATCH($W189,Calc!$A$2:$A$105,0)),0.5)*Config!$B$5+1-IFERROR(INDEX(Calc!$AP$2:$AP$105,MATCH($W189,Calc!$A$2:$A$105,0)),0.5))),SQRT(Z189*Config!$B$5)))</f>
        <v>6.20621057391785</v>
      </c>
      <c r="AB189" s="10" t="n">
        <f aca="false">IF(OR(F189="",Z189="",N(AA189)&lt;=0),"",1-NORMDIST(FLOOR(F189,1)+0.5,Z189,AA189,TRUE()))</f>
        <v>0.374372146737046</v>
      </c>
      <c r="AC189" s="10" t="n">
        <f aca="false">IF(AB189="","",NORMDIST(CEILING(F189,1)-0.5,Z189,AA189,TRUE()))</f>
        <v>0.625627853262954</v>
      </c>
      <c r="AD189" s="0" t="str">
        <f aca="false">IF(AB189="","",IF(AB189&gt;=0.5+Config!$B$6,"OVER",IF(AC189&gt;=0.5+Config!$B$6,"UNDER","—")))</f>
        <v>UNDER</v>
      </c>
      <c r="AE189" s="13" t="n">
        <f aca="false">IFERROR(Z189/G189,"")</f>
        <v>0.960229575925907</v>
      </c>
    </row>
    <row r="190" customFormat="false" ht="15" hidden="false" customHeight="false" outlineLevel="0" collapsed="false">
      <c r="A190" s="0" t="s">
        <v>775</v>
      </c>
      <c r="B190" s="0" t="s">
        <v>813</v>
      </c>
      <c r="C190" s="0" t="s">
        <v>1109</v>
      </c>
      <c r="D190" s="0" t="s">
        <v>817</v>
      </c>
      <c r="E190" s="0" t="s">
        <v>893</v>
      </c>
      <c r="F190" s="0" t="n">
        <v>13.5</v>
      </c>
      <c r="G190" s="11" t="n">
        <f aca="false">IFERROR(INDEX(CHOOSE(MATCH($X190,{"K1","K2","K3","K12","K13","H1","H2","H3","H12","H13"},0),Calc!$V$2:$V$105,Calc!$AC$2:$AC$105,Calc!$AJ$2:$AJ$105,Calc!$AL$2:$AL$105,Calc!$AM$2:$AM$105,Calc!$W$2:$W$105,Calc!$AD$2:$AD$105,Calc!$AK$2:$AK$105,Calc!$AN$2:$AN$105,Calc!$AO$2:$AO$105),MATCH($W190,Calc!$A$2:$A$105,0)),"")</f>
        <v>12.7449612493528</v>
      </c>
      <c r="H190" s="11" t="n">
        <f aca="false">IF(G190="","",IF(LEFT($X190,1)="H",SQRT(G190*(IFERROR(INDEX(Calc!$AP$2:$AP$105,MATCH($W190,Calc!$A$2:$A$105,0)),0.5)*Config!$B$5+1-IFERROR(INDEX(Calc!$AP$2:$AP$105,MATCH($W190,Calc!$A$2:$A$105,0)),0.5))),SQRT(G190*Config!$B$5)))</f>
        <v>3.94723107916521</v>
      </c>
      <c r="I190" s="10" t="n">
        <f aca="false">IF(OR(F190="",G190="",N(H190)&lt;=0),"",1-NORMDIST(FLOOR(F190,1)+0.5,G190,H190,TRUE()))</f>
        <v>0.424151885212369</v>
      </c>
      <c r="J190" s="10" t="n">
        <f aca="false">IF(I190="","",NORMDIST(CEILING(F190,1)-0.5,G190,H190,TRUE()))</f>
        <v>0.575848114787631</v>
      </c>
      <c r="K190" s="10" t="n">
        <f aca="false">IF(I190="","",MAX(0,1-I190-J190))</f>
        <v>0</v>
      </c>
      <c r="L190" s="0" t="str">
        <f aca="false">IF(I190="","",IF(I190&gt;=0.5+Config!$B$6,"OVER",IF(J190&gt;=0.5+Config!$B$6,"UNDER","—")))</f>
        <v>UNDER</v>
      </c>
      <c r="N190" s="0" t="n">
        <v>11.3</v>
      </c>
      <c r="O190" s="10" t="n">
        <v>0.2</v>
      </c>
      <c r="P190" s="10" t="n">
        <v>0.2</v>
      </c>
      <c r="Q190" s="10" t="n">
        <v>0.4</v>
      </c>
      <c r="R190" s="9" t="s">
        <v>907</v>
      </c>
      <c r="S190" s="0" t="n">
        <v>-2</v>
      </c>
      <c r="T190" s="0" t="str">
        <f aca="false">INDEX(Calc!$G$2:$G$105,MATCH($W190,Calc!$A$2:$A$105,0))&amp;" / "&amp;INDEX(Calc!$H$2:$H$105,MATCH($W190,Calc!$A$2:$A$105,0))</f>
        <v>Mirage / Dust2</v>
      </c>
      <c r="U190" s="0" t="str">
        <f aca="false">TEXT(INDEX(Calc!$J$2:$J$105,MATCH($W190,Calc!$A$2:$A$105,0)),"0.0")&amp;" / "&amp;TEXT(INDEX(Calc!$K$2:$K$105,MATCH($W190,Calc!$A$2:$A$105,0)),"0.0")</f>
        <v>21.5 / 21.4</v>
      </c>
      <c r="V190" s="0" t="str">
        <f aca="false">IFERROR(INDEX(Calc!$AQ$2:$AQ$105,MATCH($W190,Calc!$A$2:$A$105,0)),"")</f>
        <v/>
      </c>
      <c r="W190" s="9" t="s">
        <v>1110</v>
      </c>
      <c r="X190" s="9" t="s">
        <v>896</v>
      </c>
      <c r="Y190" s="0" t="str">
        <f aca="false">W190&amp;"|"&amp;X190</f>
        <v>j4y4z5p4stvkatz|CS2 · TL vs MGC|H12</v>
      </c>
      <c r="Z190" s="11" t="n">
        <f aca="false">IFERROR(INDEX(CHOOSE(MATCH($X190,{"K1","K2","K3","K12","K13","H1","H2","H3","H12","H13"},0),Calc!$BA$2:$BA$105,Calc!$BB$2:$BB$105,Calc!$BC$2:$BC$105,Calc!$BD$2:$BD$105,Calc!$BE$2:$BE$105,Calc!$BF$2:$BF$105,Calc!$BG$2:$BG$105,Calc!$BH$2:$BH$105,Calc!$BI$2:$BI$105,Calc!$BJ$2:$BJ$105),MATCH($W190,Calc!$A$2:$A$105,0)),"")</f>
        <v>12.2304037845581</v>
      </c>
      <c r="AA190" s="11" t="n">
        <f aca="false">IF(Z190="","",IF(LEFT($X190,1)="H",SQRT(Z190*(IFERROR(INDEX(Calc!$AP$2:$AP$105,MATCH($W190,Calc!$A$2:$A$105,0)),0.5)*Config!$B$5+1-IFERROR(INDEX(Calc!$AP$2:$AP$105,MATCH($W190,Calc!$A$2:$A$105,0)),0.5))),SQRT(Z190*Config!$B$5)))</f>
        <v>3.86672859140789</v>
      </c>
      <c r="AB190" s="10" t="n">
        <f aca="false">IF(OR(F190="",Z190="",N(AA190)&lt;=0),"",1-NORMDIST(FLOOR(F190,1)+0.5,Z190,AA190,TRUE()))</f>
        <v>0.371327834513452</v>
      </c>
      <c r="AC190" s="10" t="n">
        <f aca="false">IF(AB190="","",NORMDIST(CEILING(F190,1)-0.5,Z190,AA190,TRUE()))</f>
        <v>0.628672165486549</v>
      </c>
      <c r="AD190" s="0" t="str">
        <f aca="false">IF(AB190="","",IF(AB190&gt;=0.5+Config!$B$6,"OVER",IF(AC190&gt;=0.5+Config!$B$6,"UNDER","—")))</f>
        <v>UNDER</v>
      </c>
      <c r="AE190" s="13" t="n">
        <f aca="false">IFERROR(Z190/G190,"")</f>
        <v>0.959626596367971</v>
      </c>
    </row>
    <row r="191" customFormat="false" ht="15" hidden="false" customHeight="false" outlineLevel="0" collapsed="false">
      <c r="A191" s="0" t="s">
        <v>775</v>
      </c>
      <c r="B191" s="0" t="s">
        <v>813</v>
      </c>
      <c r="C191" s="0" t="s">
        <v>1109</v>
      </c>
      <c r="D191" s="0" t="s">
        <v>817</v>
      </c>
      <c r="E191" s="0" t="s">
        <v>888</v>
      </c>
      <c r="F191" s="0" t="n">
        <v>25.5</v>
      </c>
      <c r="G191" s="11" t="n">
        <f aca="false">IFERROR(INDEX(CHOOSE(MATCH($X191,{"K1","K2","K3","K12","K13","H1","H2","H3","H12","H13"},0),Calc!$V$2:$V$105,Calc!$AC$2:$AC$105,Calc!$AJ$2:$AJ$105,Calc!$AL$2:$AL$105,Calc!$AM$2:$AM$105,Calc!$W$2:$W$105,Calc!$AD$2:$AD$105,Calc!$AK$2:$AK$105,Calc!$AN$2:$AN$105,Calc!$AO$2:$AO$105),MATCH($W191,Calc!$A$2:$A$105,0)),"")</f>
        <v>22.9129519230769</v>
      </c>
      <c r="H191" s="11" t="n">
        <f aca="false">IF(G191="","",IF(LEFT($X191,1)="H",SQRT(G191*(IFERROR(INDEX(Calc!$AP$2:$AP$105,MATCH($W191,Calc!$A$2:$A$105,0)),0.5)*Config!$B$5+1-IFERROR(INDEX(Calc!$AP$2:$AP$105,MATCH($W191,Calc!$A$2:$A$105,0)),0.5))),SQRT(G191*Config!$B$5)))</f>
        <v>5.66375605868647</v>
      </c>
      <c r="I191" s="10" t="n">
        <f aca="false">IF(OR(F191="",G191="",N(H191)&lt;=0),"",1-NORMDIST(FLOOR(F191,1)+0.5,G191,H191,TRUE()))</f>
        <v>0.323917282952816</v>
      </c>
      <c r="J191" s="10" t="n">
        <f aca="false">IF(I191="","",NORMDIST(CEILING(F191,1)-0.5,G191,H191,TRUE()))</f>
        <v>0.676082717047184</v>
      </c>
      <c r="K191" s="10" t="n">
        <f aca="false">IF(I191="","",MAX(0,1-I191-J191))</f>
        <v>0</v>
      </c>
      <c r="L191" s="0" t="str">
        <f aca="false">IF(I191="","",IF(I191&gt;=0.5+Config!$B$6,"OVER",IF(J191&gt;=0.5+Config!$B$6,"UNDER","—")))</f>
        <v>UNDER</v>
      </c>
      <c r="N191" s="0" t="n">
        <v>21.2</v>
      </c>
      <c r="O191" s="10" t="n">
        <v>0.4</v>
      </c>
      <c r="P191" s="10" t="n">
        <v>0.3</v>
      </c>
      <c r="Q191" s="10" t="n">
        <v>0.47</v>
      </c>
      <c r="R191" s="9" t="s">
        <v>907</v>
      </c>
      <c r="S191" s="0" t="n">
        <v>-2</v>
      </c>
      <c r="T191" s="0" t="str">
        <f aca="false">INDEX(Calc!$G$2:$G$105,MATCH($W191,Calc!$A$2:$A$105,0))&amp;" / "&amp;INDEX(Calc!$H$2:$H$105,MATCH($W191,Calc!$A$2:$A$105,0))</f>
        <v>Mirage / Dust2</v>
      </c>
      <c r="U191" s="0" t="str">
        <f aca="false">TEXT(INDEX(Calc!$J$2:$J$105,MATCH($W191,Calc!$A$2:$A$105,0)),"0.0")&amp;" / "&amp;TEXT(INDEX(Calc!$K$2:$K$105,MATCH($W191,Calc!$A$2:$A$105,0)),"0.0")</f>
        <v>21.5 / 21.4</v>
      </c>
      <c r="V191" s="0" t="str">
        <f aca="false">IFERROR(INDEX(Calc!$AQ$2:$AQ$105,MATCH($W191,Calc!$A$2:$A$105,0)),"")</f>
        <v/>
      </c>
      <c r="W191" s="9" t="s">
        <v>1110</v>
      </c>
      <c r="X191" s="9" t="s">
        <v>891</v>
      </c>
      <c r="Y191" s="0" t="str">
        <f aca="false">W191&amp;"|"&amp;X191</f>
        <v>j4y4z5p4stvkatz|CS2 · TL vs MGC|K12</v>
      </c>
      <c r="Z191" s="11" t="n">
        <f aca="false">IFERROR(INDEX(CHOOSE(MATCH($X191,{"K1","K2","K3","K12","K13","H1","H2","H3","H12","H13"},0),Calc!$BA$2:$BA$105,Calc!$BB$2:$BB$105,Calc!$BC$2:$BC$105,Calc!$BD$2:$BD$105,Calc!$BE$2:$BE$105,Calc!$BF$2:$BF$105,Calc!$BG$2:$BG$105,Calc!$BH$2:$BH$105,Calc!$BI$2:$BI$105,Calc!$BJ$2:$BJ$105),MATCH($W191,Calc!$A$2:$A$105,0)),"")</f>
        <v>21.9957776476882</v>
      </c>
      <c r="AA191" s="11" t="n">
        <f aca="false">IF(Z191="","",IF(LEFT($X191,1)="H",SQRT(Z191*(IFERROR(INDEX(Calc!$AP$2:$AP$105,MATCH($W191,Calc!$A$2:$A$105,0)),0.5)*Config!$B$5+1-IFERROR(INDEX(Calc!$AP$2:$AP$105,MATCH($W191,Calc!$A$2:$A$105,0)),0.5))),SQRT(Z191*Config!$B$5)))</f>
        <v>5.5492421740958</v>
      </c>
      <c r="AB191" s="10" t="n">
        <f aca="false">IF(OR(F191="",Z191="",N(AA191)&lt;=0),"",1-NORMDIST(FLOOR(F191,1)+0.5,Z191,AA191,TRUE()))</f>
        <v>0.263864132419082</v>
      </c>
      <c r="AC191" s="10" t="n">
        <f aca="false">IF(AB191="","",NORMDIST(CEILING(F191,1)-0.5,Z191,AA191,TRUE()))</f>
        <v>0.736135867580918</v>
      </c>
      <c r="AD191" s="0" t="str">
        <f aca="false">IF(AB191="","",IF(AB191&gt;=0.5+Config!$B$6,"OVER",IF(AC191&gt;=0.5+Config!$B$6,"UNDER","—")))</f>
        <v>UNDER</v>
      </c>
      <c r="AE191" s="13" t="n">
        <f aca="false">IFERROR(Z191/G191,"")</f>
        <v>0.959971361242852</v>
      </c>
    </row>
    <row r="192" customFormat="false" ht="15" hidden="false" customHeight="false" outlineLevel="0" collapsed="false">
      <c r="A192" s="0" t="s">
        <v>775</v>
      </c>
      <c r="B192" s="0" t="s">
        <v>813</v>
      </c>
      <c r="C192" s="0" t="s">
        <v>1111</v>
      </c>
      <c r="D192" s="0" t="s">
        <v>817</v>
      </c>
      <c r="E192" s="0" t="s">
        <v>893</v>
      </c>
      <c r="F192" s="0" t="n">
        <v>19.5</v>
      </c>
      <c r="G192" s="11" t="n">
        <f aca="false">IFERROR(INDEX(CHOOSE(MATCH($X192,{"K1","K2","K3","K12","K13","H1","H2","H3","H12","H13"},0),Calc!$V$2:$V$105,Calc!$AC$2:$AC$105,Calc!$AJ$2:$AJ$105,Calc!$AL$2:$AL$105,Calc!$AM$2:$AM$105,Calc!$W$2:$W$105,Calc!$AD$2:$AD$105,Calc!$AK$2:$AK$105,Calc!$AN$2:$AN$105,Calc!$AO$2:$AO$105),MATCH($W192,Calc!$A$2:$A$105,0)),"")</f>
        <v>20.7152798</v>
      </c>
      <c r="H192" s="11" t="n">
        <f aca="false">IF(G192="","",IF(LEFT($X192,1)="H",SQRT(G192*(IFERROR(INDEX(Calc!$AP$2:$AP$105,MATCH($W192,Calc!$A$2:$A$105,0)),0.5)*Config!$B$5+1-IFERROR(INDEX(Calc!$AP$2:$AP$105,MATCH($W192,Calc!$A$2:$A$105,0)),0.5))),SQRT(G192*Config!$B$5)))</f>
        <v>5.15252401207361</v>
      </c>
      <c r="I192" s="10" t="n">
        <f aca="false">IF(OR(F192="",G192="",N(H192)&lt;=0),"",1-NORMDIST(FLOOR(F192,1)+0.5,G192,H192,TRUE()))</f>
        <v>0.59322975915207</v>
      </c>
      <c r="J192" s="10" t="n">
        <f aca="false">IF(I192="","",NORMDIST(CEILING(F192,1)-0.5,G192,H192,TRUE()))</f>
        <v>0.40677024084793</v>
      </c>
      <c r="K192" s="10" t="n">
        <f aca="false">IF(I192="","",MAX(0,1-I192-J192))</f>
        <v>0</v>
      </c>
      <c r="L192" s="0" t="str">
        <f aca="false">IF(I192="","",IF(I192&gt;=0.5+Config!$B$6,"OVER",IF(J192&gt;=0.5+Config!$B$6,"UNDER","—")))</f>
        <v>OVER</v>
      </c>
      <c r="N192" s="0" t="n">
        <v>18.9</v>
      </c>
      <c r="O192" s="10" t="n">
        <v>0.2</v>
      </c>
      <c r="P192" s="10" t="n">
        <v>0.4</v>
      </c>
      <c r="Q192" s="10" t="n">
        <v>0.33</v>
      </c>
      <c r="R192" s="9" t="s">
        <v>907</v>
      </c>
      <c r="S192" s="0" t="n">
        <v>-4</v>
      </c>
      <c r="T192" s="0" t="str">
        <f aca="false">INDEX(Calc!$G$2:$G$105,MATCH($W192,Calc!$A$2:$A$105,0))&amp;" / "&amp;INDEX(Calc!$H$2:$H$105,MATCH($W192,Calc!$A$2:$A$105,0))</f>
        <v>Mirage / Dust2</v>
      </c>
      <c r="U192" s="0" t="str">
        <f aca="false">TEXT(INDEX(Calc!$J$2:$J$105,MATCH($W192,Calc!$A$2:$A$105,0)),"0.0")&amp;" / "&amp;TEXT(INDEX(Calc!$K$2:$K$105,MATCH($W192,Calc!$A$2:$A$105,0)),"0.0")</f>
        <v>21.5 / 21.4</v>
      </c>
      <c r="V192" s="0" t="str">
        <f aca="false">IFERROR(INDEX(Calc!$AQ$2:$AQ$105,MATCH($W192,Calc!$A$2:$A$105,0)),"")</f>
        <v/>
      </c>
      <c r="W192" s="9" t="s">
        <v>1112</v>
      </c>
      <c r="X192" s="9" t="s">
        <v>896</v>
      </c>
      <c r="Y192" s="0" t="str">
        <f aca="false">W192&amp;"|"&amp;X192</f>
        <v>30ba4vwtbgb75sn|CS2 · TL vs MGC|H12</v>
      </c>
      <c r="Z192" s="11" t="n">
        <f aca="false">IFERROR(INDEX(CHOOSE(MATCH($X192,{"K1","K2","K3","K12","K13","H1","H2","H3","H12","H13"},0),Calc!$BA$2:$BA$105,Calc!$BB$2:$BB$105,Calc!$BC$2:$BC$105,Calc!$BD$2:$BD$105,Calc!$BE$2:$BE$105,Calc!$BF$2:$BF$105,Calc!$BG$2:$BG$105,Calc!$BH$2:$BH$105,Calc!$BI$2:$BI$105,Calc!$BJ$2:$BJ$105),MATCH($W192,Calc!$A$2:$A$105,0)),"")</f>
        <v>19.901292121122</v>
      </c>
      <c r="AA192" s="11" t="n">
        <f aca="false">IF(Z192="","",IF(LEFT($X192,1)="H",SQRT(Z192*(IFERROR(INDEX(Calc!$AP$2:$AP$105,MATCH($W192,Calc!$A$2:$A$105,0)),0.5)*Config!$B$5+1-IFERROR(INDEX(Calc!$AP$2:$AP$105,MATCH($W192,Calc!$A$2:$A$105,0)),0.5))),SQRT(Z192*Config!$B$5)))</f>
        <v>5.05027770535499</v>
      </c>
      <c r="AB192" s="10" t="n">
        <f aca="false">IF(OR(F192="",Z192="",N(AA192)&lt;=0),"",1-NORMDIST(FLOOR(F192,1)+0.5,Z192,AA192,TRUE()))</f>
        <v>0.531666394893335</v>
      </c>
      <c r="AC192" s="10" t="n">
        <f aca="false">IF(AB192="","",NORMDIST(CEILING(F192,1)-0.5,Z192,AA192,TRUE()))</f>
        <v>0.468333605106665</v>
      </c>
      <c r="AD192" s="0" t="str">
        <f aca="false">IF(AB192="","",IF(AB192&gt;=0.5+Config!$B$6,"OVER",IF(AC192&gt;=0.5+Config!$B$6,"UNDER","—")))</f>
        <v>—</v>
      </c>
      <c r="AE192" s="13" t="n">
        <f aca="false">IFERROR(Z192/G192,"")</f>
        <v>0.960705928824674</v>
      </c>
    </row>
    <row r="193" customFormat="false" ht="15" hidden="false" customHeight="false" outlineLevel="0" collapsed="false">
      <c r="A193" s="0" t="s">
        <v>775</v>
      </c>
      <c r="B193" s="0" t="s">
        <v>813</v>
      </c>
      <c r="C193" s="0" t="s">
        <v>1111</v>
      </c>
      <c r="D193" s="0" t="s">
        <v>817</v>
      </c>
      <c r="E193" s="0" t="s">
        <v>888</v>
      </c>
      <c r="F193" s="0" t="n">
        <v>29.5</v>
      </c>
      <c r="G193" s="11" t="n">
        <f aca="false">IFERROR(INDEX(CHOOSE(MATCH($X193,{"K1","K2","K3","K12","K13","H1","H2","H3","H12","H13"},0),Calc!$V$2:$V$105,Calc!$AC$2:$AC$105,Calc!$AJ$2:$AJ$105,Calc!$AL$2:$AL$105,Calc!$AM$2:$AM$105,Calc!$W$2:$W$105,Calc!$AD$2:$AD$105,Calc!$AK$2:$AK$105,Calc!$AN$2:$AN$105,Calc!$AO$2:$AO$105),MATCH($W193,Calc!$A$2:$A$105,0)),"")</f>
        <v>29.4261166666667</v>
      </c>
      <c r="H193" s="11" t="n">
        <f aca="false">IF(G193="","",IF(LEFT($X193,1)="H",SQRT(G193*(IFERROR(INDEX(Calc!$AP$2:$AP$105,MATCH($W193,Calc!$A$2:$A$105,0)),0.5)*Config!$B$5+1-IFERROR(INDEX(Calc!$AP$2:$AP$105,MATCH($W193,Calc!$A$2:$A$105,0)),0.5))),SQRT(G193*Config!$B$5)))</f>
        <v>6.41845490233696</v>
      </c>
      <c r="I193" s="10" t="n">
        <f aca="false">IF(OR(F193="",G193="",N(H193)&lt;=0),"",1-NORMDIST(FLOOR(F193,1)+0.5,G193,H193,TRUE()))</f>
        <v>0.495407845811708</v>
      </c>
      <c r="J193" s="10" t="n">
        <f aca="false">IF(I193="","",NORMDIST(CEILING(F193,1)-0.5,G193,H193,TRUE()))</f>
        <v>0.504592154188292</v>
      </c>
      <c r="K193" s="10" t="n">
        <f aca="false">IF(I193="","",MAX(0,1-I193-J193))</f>
        <v>0</v>
      </c>
      <c r="L193" s="0" t="str">
        <f aca="false">IF(I193="","",IF(I193&gt;=0.5+Config!$B$6,"OVER",IF(J193&gt;=0.5+Config!$B$6,"UNDER","—")))</f>
        <v>—</v>
      </c>
      <c r="N193" s="0" t="n">
        <v>29.9</v>
      </c>
      <c r="O193" s="10" t="n">
        <v>0.2</v>
      </c>
      <c r="P193" s="10" t="n">
        <v>0.6</v>
      </c>
      <c r="Q193" s="10" t="n">
        <v>0.47</v>
      </c>
      <c r="R193" s="9" t="s">
        <v>907</v>
      </c>
      <c r="S193" s="0" t="n">
        <v>-4</v>
      </c>
      <c r="T193" s="0" t="str">
        <f aca="false">INDEX(Calc!$G$2:$G$105,MATCH($W193,Calc!$A$2:$A$105,0))&amp;" / "&amp;INDEX(Calc!$H$2:$H$105,MATCH($W193,Calc!$A$2:$A$105,0))</f>
        <v>Mirage / Dust2</v>
      </c>
      <c r="U193" s="0" t="str">
        <f aca="false">TEXT(INDEX(Calc!$J$2:$J$105,MATCH($W193,Calc!$A$2:$A$105,0)),"0.0")&amp;" / "&amp;TEXT(INDEX(Calc!$K$2:$K$105,MATCH($W193,Calc!$A$2:$A$105,0)),"0.0")</f>
        <v>21.5 / 21.4</v>
      </c>
      <c r="V193" s="0" t="str">
        <f aca="false">IFERROR(INDEX(Calc!$AQ$2:$AQ$105,MATCH($W193,Calc!$A$2:$A$105,0)),"")</f>
        <v/>
      </c>
      <c r="W193" s="9" t="s">
        <v>1112</v>
      </c>
      <c r="X193" s="9" t="s">
        <v>891</v>
      </c>
      <c r="Y193" s="0" t="str">
        <f aca="false">W193&amp;"|"&amp;X193</f>
        <v>30ba4vwtbgb75sn|CS2 · TL vs MGC|K12</v>
      </c>
      <c r="Z193" s="11" t="n">
        <f aca="false">IFERROR(INDEX(CHOOSE(MATCH($X193,{"K1","K2","K3","K12","K13","H1","H2","H3","H12","H13"},0),Calc!$BA$2:$BA$105,Calc!$BB$2:$BB$105,Calc!$BC$2:$BC$105,Calc!$BD$2:$BD$105,Calc!$BE$2:$BE$105,Calc!$BF$2:$BF$105,Calc!$BG$2:$BG$105,Calc!$BH$2:$BH$105,Calc!$BI$2:$BI$105,Calc!$BJ$2:$BJ$105),MATCH($W193,Calc!$A$2:$A$105,0)),"")</f>
        <v>28.2761193597796</v>
      </c>
      <c r="AA193" s="11" t="n">
        <f aca="false">IF(Z193="","",IF(LEFT($X193,1)="H",SQRT(Z193*(IFERROR(INDEX(Calc!$AP$2:$AP$105,MATCH($W193,Calc!$A$2:$A$105,0)),0.5)*Config!$B$5+1-IFERROR(INDEX(Calc!$AP$2:$AP$105,MATCH($W193,Calc!$A$2:$A$105,0)),0.5))),SQRT(Z193*Config!$B$5)))</f>
        <v>6.29178568481886</v>
      </c>
      <c r="AB193" s="10" t="n">
        <f aca="false">IF(OR(F193="",Z193="",N(AA193)&lt;=0),"",1-NORMDIST(FLOOR(F193,1)+0.5,Z193,AA193,TRUE()))</f>
        <v>0.422884213685621</v>
      </c>
      <c r="AC193" s="10" t="n">
        <f aca="false">IF(AB193="","",NORMDIST(CEILING(F193,1)-0.5,Z193,AA193,TRUE()))</f>
        <v>0.577115786314379</v>
      </c>
      <c r="AD193" s="0" t="str">
        <f aca="false">IF(AB193="","",IF(AB193&gt;=0.5+Config!$B$6,"OVER",IF(AC193&gt;=0.5+Config!$B$6,"UNDER","—")))</f>
        <v>UNDER</v>
      </c>
      <c r="AE193" s="13" t="n">
        <f aca="false">IFERROR(Z193/G193,"")</f>
        <v>0.96091916171223</v>
      </c>
    </row>
    <row r="194" customFormat="false" ht="15" hidden="false" customHeight="false" outlineLevel="0" collapsed="false">
      <c r="A194" s="0" t="s">
        <v>775</v>
      </c>
      <c r="B194" s="0" t="s">
        <v>813</v>
      </c>
      <c r="C194" s="0" t="s">
        <v>1113</v>
      </c>
      <c r="D194" s="0" t="s">
        <v>817</v>
      </c>
      <c r="E194" s="0" t="s">
        <v>893</v>
      </c>
      <c r="F194" s="0" t="n">
        <v>14.5</v>
      </c>
      <c r="G194" s="11" t="n">
        <f aca="false">IFERROR(INDEX(CHOOSE(MATCH($X194,{"K1","K2","K3","K12","K13","H1","H2","H3","H12","H13"},0),Calc!$V$2:$V$105,Calc!$AC$2:$AC$105,Calc!$AJ$2:$AJ$105,Calc!$AL$2:$AL$105,Calc!$AM$2:$AM$105,Calc!$W$2:$W$105,Calc!$AD$2:$AD$105,Calc!$AK$2:$AK$105,Calc!$AN$2:$AN$105,Calc!$AO$2:$AO$105),MATCH($W194,Calc!$A$2:$A$105,0)),"")</f>
        <v>15.6849785089127</v>
      </c>
      <c r="H194" s="11" t="n">
        <f aca="false">IF(G194="","",IF(LEFT($X194,1)="H",SQRT(G194*(IFERROR(INDEX(Calc!$AP$2:$AP$105,MATCH($W194,Calc!$A$2:$A$105,0)),0.5)*Config!$B$5+1-IFERROR(INDEX(Calc!$AP$2:$AP$105,MATCH($W194,Calc!$A$2:$A$105,0)),0.5))),SQRT(G194*Config!$B$5)))</f>
        <v>4.3623635659093</v>
      </c>
      <c r="I194" s="10" t="n">
        <f aca="false">IF(OR(F194="",G194="",N(H194)&lt;=0),"",1-NORMDIST(FLOOR(F194,1)+0.5,G194,H194,TRUE()))</f>
        <v>0.607049352250689</v>
      </c>
      <c r="J194" s="10" t="n">
        <f aca="false">IF(I194="","",NORMDIST(CEILING(F194,1)-0.5,G194,H194,TRUE()))</f>
        <v>0.392950647749311</v>
      </c>
      <c r="K194" s="10" t="n">
        <f aca="false">IF(I194="","",MAX(0,1-I194-J194))</f>
        <v>0</v>
      </c>
      <c r="L194" s="0" t="str">
        <f aca="false">IF(I194="","",IF(I194&gt;=0.5+Config!$B$6,"OVER",IF(J194&gt;=0.5+Config!$B$6,"UNDER","—")))</f>
        <v>OVER</v>
      </c>
      <c r="N194" s="0" t="n">
        <v>15.4</v>
      </c>
      <c r="O194" s="10" t="n">
        <v>0.6</v>
      </c>
      <c r="P194" s="10" t="n">
        <v>0.6</v>
      </c>
      <c r="Q194" s="10" t="n">
        <v>0.53</v>
      </c>
      <c r="R194" s="9" t="s">
        <v>907</v>
      </c>
      <c r="S194" s="0" t="n">
        <v>-1</v>
      </c>
      <c r="T194" s="0" t="str">
        <f aca="false">INDEX(Calc!$G$2:$G$105,MATCH($W194,Calc!$A$2:$A$105,0))&amp;" / "&amp;INDEX(Calc!$H$2:$H$105,MATCH($W194,Calc!$A$2:$A$105,0))</f>
        <v>Mirage / Dust2</v>
      </c>
      <c r="U194" s="0" t="str">
        <f aca="false">TEXT(INDEX(Calc!$J$2:$J$105,MATCH($W194,Calc!$A$2:$A$105,0)),"0.0")&amp;" / "&amp;TEXT(INDEX(Calc!$K$2:$K$105,MATCH($W194,Calc!$A$2:$A$105,0)),"0.0")</f>
        <v>21.5 / 21.4</v>
      </c>
      <c r="V194" s="0" t="str">
        <f aca="false">IFERROR(INDEX(Calc!$AQ$2:$AQ$105,MATCH($W194,Calc!$A$2:$A$105,0)),"")</f>
        <v/>
      </c>
      <c r="W194" s="9" t="s">
        <v>1114</v>
      </c>
      <c r="X194" s="9" t="s">
        <v>896</v>
      </c>
      <c r="Y194" s="0" t="str">
        <f aca="false">W194&amp;"|"&amp;X194</f>
        <v>as14gj4lvoykr11|CS2 · TL vs MGC|H12</v>
      </c>
      <c r="Z194" s="11" t="n">
        <f aca="false">IFERROR(INDEX(CHOOSE(MATCH($X194,{"K1","K2","K3","K12","K13","H1","H2","H3","H12","H13"},0),Calc!$BA$2:$BA$105,Calc!$BB$2:$BB$105,Calc!$BC$2:$BC$105,Calc!$BD$2:$BD$105,Calc!$BE$2:$BE$105,Calc!$BF$2:$BF$105,Calc!$BG$2:$BG$105,Calc!$BH$2:$BH$105,Calc!$BI$2:$BI$105,Calc!$BJ$2:$BJ$105),MATCH($W194,Calc!$A$2:$A$105,0)),"")</f>
        <v>15.0668837188448</v>
      </c>
      <c r="AA194" s="11" t="n">
        <f aca="false">IF(Z194="","",IF(LEFT($X194,1)="H",SQRT(Z194*(IFERROR(INDEX(Calc!$AP$2:$AP$105,MATCH($W194,Calc!$A$2:$A$105,0)),0.5)*Config!$B$5+1-IFERROR(INDEX(Calc!$AP$2:$AP$105,MATCH($W194,Calc!$A$2:$A$105,0)),0.5))),SQRT(Z194*Config!$B$5)))</f>
        <v>4.27554628036121</v>
      </c>
      <c r="AB194" s="10" t="n">
        <f aca="false">IF(OR(F194="",Z194="",N(AA194)&lt;=0),"",1-NORMDIST(FLOOR(F194,1)+0.5,Z194,AA194,TRUE()))</f>
        <v>0.552740165349628</v>
      </c>
      <c r="AC194" s="10" t="n">
        <f aca="false">IF(AB194="","",NORMDIST(CEILING(F194,1)-0.5,Z194,AA194,TRUE()))</f>
        <v>0.447259834650373</v>
      </c>
      <c r="AD194" s="0" t="str">
        <f aca="false">IF(AB194="","",IF(AB194&gt;=0.5+Config!$B$6,"OVER",IF(AC194&gt;=0.5+Config!$B$6,"UNDER","—")))</f>
        <v>OVER</v>
      </c>
      <c r="AE194" s="13" t="n">
        <f aca="false">IFERROR(Z194/G194,"")</f>
        <v>0.960593201341229</v>
      </c>
    </row>
    <row r="195" customFormat="false" ht="15" hidden="false" customHeight="false" outlineLevel="0" collapsed="false">
      <c r="A195" s="0" t="s">
        <v>775</v>
      </c>
      <c r="B195" s="0" t="s">
        <v>813</v>
      </c>
      <c r="C195" s="0" t="s">
        <v>1113</v>
      </c>
      <c r="D195" s="0" t="s">
        <v>817</v>
      </c>
      <c r="E195" s="0" t="s">
        <v>888</v>
      </c>
      <c r="F195" s="0" t="n">
        <v>28.5</v>
      </c>
      <c r="G195" s="11" t="n">
        <f aca="false">IFERROR(INDEX(CHOOSE(MATCH($X195,{"K1","K2","K3","K12","K13","H1","H2","H3","H12","H13"},0),Calc!$V$2:$V$105,Calc!$AC$2:$AC$105,Calc!$AJ$2:$AJ$105,Calc!$AL$2:$AL$105,Calc!$AM$2:$AM$105,Calc!$W$2:$W$105,Calc!$AD$2:$AD$105,Calc!$AK$2:$AK$105,Calc!$AN$2:$AN$105,Calc!$AO$2:$AO$105),MATCH($W195,Calc!$A$2:$A$105,0)),"")</f>
        <v>29.4171711538462</v>
      </c>
      <c r="H195" s="11" t="n">
        <f aca="false">IF(G195="","",IF(LEFT($X195,1)="H",SQRT(G195*(IFERROR(INDEX(Calc!$AP$2:$AP$105,MATCH($W195,Calc!$A$2:$A$105,0)),0.5)*Config!$B$5+1-IFERROR(INDEX(Calc!$AP$2:$AP$105,MATCH($W195,Calc!$A$2:$A$105,0)),0.5))),SQRT(G195*Config!$B$5)))</f>
        <v>6.41747922594102</v>
      </c>
      <c r="I195" s="10" t="n">
        <f aca="false">IF(OR(F195="",G195="",N(H195)&lt;=0),"",1-NORMDIST(FLOOR(F195,1)+0.5,G195,H195,TRUE()))</f>
        <v>0.55682239690475</v>
      </c>
      <c r="J195" s="10" t="n">
        <f aca="false">IF(I195="","",NORMDIST(CEILING(F195,1)-0.5,G195,H195,TRUE()))</f>
        <v>0.44317760309525</v>
      </c>
      <c r="K195" s="10" t="n">
        <f aca="false">IF(I195="","",MAX(0,1-I195-J195))</f>
        <v>0</v>
      </c>
      <c r="L195" s="0" t="str">
        <f aca="false">IF(I195="","",IF(I195&gt;=0.5+Config!$B$6,"OVER",IF(J195&gt;=0.5+Config!$B$6,"UNDER","—")))</f>
        <v>OVER</v>
      </c>
      <c r="N195" s="0" t="n">
        <v>28.6</v>
      </c>
      <c r="O195" s="10" t="n">
        <v>0.6</v>
      </c>
      <c r="P195" s="10" t="n">
        <v>0.6</v>
      </c>
      <c r="Q195" s="10" t="n">
        <v>0.6</v>
      </c>
      <c r="R195" s="9" t="s">
        <v>907</v>
      </c>
      <c r="S195" s="0" t="n">
        <v>-1</v>
      </c>
      <c r="T195" s="0" t="str">
        <f aca="false">INDEX(Calc!$G$2:$G$105,MATCH($W195,Calc!$A$2:$A$105,0))&amp;" / "&amp;INDEX(Calc!$H$2:$H$105,MATCH($W195,Calc!$A$2:$A$105,0))</f>
        <v>Mirage / Dust2</v>
      </c>
      <c r="U195" s="0" t="str">
        <f aca="false">TEXT(INDEX(Calc!$J$2:$J$105,MATCH($W195,Calc!$A$2:$A$105,0)),"0.0")&amp;" / "&amp;TEXT(INDEX(Calc!$K$2:$K$105,MATCH($W195,Calc!$A$2:$A$105,0)),"0.0")</f>
        <v>21.5 / 21.4</v>
      </c>
      <c r="V195" s="0" t="str">
        <f aca="false">IFERROR(INDEX(Calc!$AQ$2:$AQ$105,MATCH($W195,Calc!$A$2:$A$105,0)),"")</f>
        <v/>
      </c>
      <c r="W195" s="9" t="s">
        <v>1114</v>
      </c>
      <c r="X195" s="9" t="s">
        <v>891</v>
      </c>
      <c r="Y195" s="0" t="str">
        <f aca="false">W195&amp;"|"&amp;X195</f>
        <v>as14gj4lvoykr11|CS2 · TL vs MGC|K12</v>
      </c>
      <c r="Z195" s="11" t="n">
        <f aca="false">IFERROR(INDEX(CHOOSE(MATCH($X195,{"K1","K2","K3","K12","K13","H1","H2","H3","H12","H13"},0),Calc!$BA$2:$BA$105,Calc!$BB$2:$BB$105,Calc!$BC$2:$BC$105,Calc!$BD$2:$BD$105,Calc!$BE$2:$BE$105,Calc!$BF$2:$BF$105,Calc!$BG$2:$BG$105,Calc!$BH$2:$BH$105,Calc!$BI$2:$BI$105,Calc!$BJ$2:$BJ$105),MATCH($W195,Calc!$A$2:$A$105,0)),"")</f>
        <v>28.2526634727134</v>
      </c>
      <c r="AA195" s="11" t="n">
        <f aca="false">IF(Z195="","",IF(LEFT($X195,1)="H",SQRT(Z195*(IFERROR(INDEX(Calc!$AP$2:$AP$105,MATCH($W195,Calc!$A$2:$A$105,0)),0.5)*Config!$B$5+1-IFERROR(INDEX(Calc!$AP$2:$AP$105,MATCH($W195,Calc!$A$2:$A$105,0)),0.5))),SQRT(Z195*Config!$B$5)))</f>
        <v>6.28917553116454</v>
      </c>
      <c r="AB195" s="10" t="n">
        <f aca="false">IF(OR(F195="",Z195="",N(AA195)&lt;=0),"",1-NORMDIST(FLOOR(F195,1)+0.5,Z195,AA195,TRUE()))</f>
        <v>0.484314705739327</v>
      </c>
      <c r="AC195" s="10" t="n">
        <f aca="false">IF(AB195="","",NORMDIST(CEILING(F195,1)-0.5,Z195,AA195,TRUE()))</f>
        <v>0.515685294260673</v>
      </c>
      <c r="AD195" s="0" t="str">
        <f aca="false">IF(AB195="","",IF(AB195&gt;=0.5+Config!$B$6,"OVER",IF(AC195&gt;=0.5+Config!$B$6,"UNDER","—")))</f>
        <v>—</v>
      </c>
      <c r="AE195" s="13" t="n">
        <f aca="false">IFERROR(Z195/G195,"")</f>
        <v>0.960414015506706</v>
      </c>
    </row>
  </sheetData>
  <autoFilter ref="A1:AE195"/>
  <conditionalFormatting sqref="AB2:AB195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I2:I195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42" min="7" style="0" width="9"/>
    <col collapsed="false" customWidth="true" hidden="false" outlineLevel="0" max="43" min="43" style="0" width="40"/>
    <col collapsed="false" customWidth="true" hidden="false" outlineLevel="0" max="63" min="44" style="0" width="9"/>
  </cols>
  <sheetData>
    <row r="1" customFormat="false" ht="28.35" hidden="false" customHeight="false" outlineLevel="0" collapsed="false">
      <c r="A1" s="12" t="s">
        <v>1115</v>
      </c>
      <c r="B1" s="12" t="s">
        <v>738</v>
      </c>
      <c r="C1" s="12" t="s">
        <v>737</v>
      </c>
      <c r="D1" s="12" t="s">
        <v>712</v>
      </c>
      <c r="E1" s="12" t="s">
        <v>713</v>
      </c>
      <c r="F1" s="12" t="s">
        <v>1116</v>
      </c>
      <c r="G1" s="12" t="s">
        <v>745</v>
      </c>
      <c r="H1" s="12" t="s">
        <v>746</v>
      </c>
      <c r="I1" s="12" t="s">
        <v>747</v>
      </c>
      <c r="J1" s="12" t="s">
        <v>1117</v>
      </c>
      <c r="K1" s="12" t="s">
        <v>1118</v>
      </c>
      <c r="L1" s="12" t="s">
        <v>1119</v>
      </c>
      <c r="M1" s="12" t="s">
        <v>1120</v>
      </c>
      <c r="N1" s="12" t="s">
        <v>1121</v>
      </c>
      <c r="O1" s="12" t="s">
        <v>1122</v>
      </c>
      <c r="P1" s="12" t="s">
        <v>1123</v>
      </c>
      <c r="Q1" s="12" t="s">
        <v>1124</v>
      </c>
      <c r="R1" s="12" t="s">
        <v>1125</v>
      </c>
      <c r="S1" s="12" t="s">
        <v>1126</v>
      </c>
      <c r="T1" s="12" t="s">
        <v>1127</v>
      </c>
      <c r="U1" s="12" t="s">
        <v>1128</v>
      </c>
      <c r="V1" s="12" t="s">
        <v>1129</v>
      </c>
      <c r="W1" s="12" t="s">
        <v>1130</v>
      </c>
      <c r="X1" s="12" t="s">
        <v>1131</v>
      </c>
      <c r="Y1" s="12" t="s">
        <v>1132</v>
      </c>
      <c r="Z1" s="12" t="s">
        <v>1133</v>
      </c>
      <c r="AA1" s="12" t="s">
        <v>1134</v>
      </c>
      <c r="AB1" s="12" t="s">
        <v>1135</v>
      </c>
      <c r="AC1" s="12" t="s">
        <v>1136</v>
      </c>
      <c r="AD1" s="12" t="s">
        <v>1137</v>
      </c>
      <c r="AE1" s="12" t="s">
        <v>1138</v>
      </c>
      <c r="AF1" s="12" t="s">
        <v>1139</v>
      </c>
      <c r="AG1" s="12" t="s">
        <v>1140</v>
      </c>
      <c r="AH1" s="12" t="s">
        <v>1141</v>
      </c>
      <c r="AI1" s="12" t="s">
        <v>1142</v>
      </c>
      <c r="AJ1" s="12" t="s">
        <v>1143</v>
      </c>
      <c r="AK1" s="12" t="s">
        <v>1144</v>
      </c>
      <c r="AL1" s="12" t="s">
        <v>718</v>
      </c>
      <c r="AM1" s="12" t="s">
        <v>1145</v>
      </c>
      <c r="AN1" s="12" t="s">
        <v>727</v>
      </c>
      <c r="AO1" s="12" t="s">
        <v>1146</v>
      </c>
      <c r="AP1" s="12" t="s">
        <v>726</v>
      </c>
      <c r="AQ1" s="12" t="s">
        <v>731</v>
      </c>
      <c r="AR1" s="12" t="s">
        <v>1147</v>
      </c>
      <c r="AS1" s="12" t="s">
        <v>1148</v>
      </c>
      <c r="AT1" s="12" t="s">
        <v>1149</v>
      </c>
      <c r="AU1" s="12" t="s">
        <v>1150</v>
      </c>
      <c r="AV1" s="12" t="s">
        <v>1151</v>
      </c>
      <c r="AW1" s="12" t="s">
        <v>1152</v>
      </c>
      <c r="AX1" s="12" t="s">
        <v>1153</v>
      </c>
      <c r="AY1" s="12" t="s">
        <v>1154</v>
      </c>
      <c r="AZ1" s="12" t="s">
        <v>1155</v>
      </c>
      <c r="BA1" s="12" t="s">
        <v>1156</v>
      </c>
      <c r="BB1" s="12" t="s">
        <v>1157</v>
      </c>
      <c r="BC1" s="12" t="s">
        <v>1158</v>
      </c>
      <c r="BD1" s="12" t="s">
        <v>1159</v>
      </c>
      <c r="BE1" s="12" t="s">
        <v>1160</v>
      </c>
      <c r="BF1" s="12" t="s">
        <v>1161</v>
      </c>
      <c r="BG1" s="12" t="s">
        <v>1162</v>
      </c>
      <c r="BH1" s="12" t="s">
        <v>1163</v>
      </c>
      <c r="BI1" s="12" t="s">
        <v>1164</v>
      </c>
      <c r="BJ1" s="12" t="s">
        <v>1165</v>
      </c>
      <c r="BK1" s="12" t="s">
        <v>1166</v>
      </c>
    </row>
    <row r="2" customFormat="false" ht="15" hidden="false" customHeight="false" outlineLevel="0" collapsed="false">
      <c r="A2" s="0" t="s">
        <v>890</v>
      </c>
      <c r="B2" s="0" t="s">
        <v>775</v>
      </c>
      <c r="C2" s="0" t="s">
        <v>692</v>
      </c>
      <c r="D2" s="0" t="s">
        <v>784</v>
      </c>
      <c r="E2" s="0" t="s">
        <v>887</v>
      </c>
      <c r="F2" s="0" t="s">
        <v>1167</v>
      </c>
      <c r="G2" s="0" t="str">
        <f aca="false">IFERROR(IF(INDEX(Matches!$W$5:$W$17,MATCH($C2,Matches!$A$5:$A$17,0))="","",INDEX(Matches!$W$5:$W$17,MATCH($C2,Matches!$A$5:$A$17,0))),"")</f>
        <v>Dust2</v>
      </c>
      <c r="H2" s="0" t="str">
        <f aca="false">IFERROR(IF(INDEX(Matches!$X$5:$X$17,MATCH($C2,Matches!$A$5:$A$17,0))="","",INDEX(Matches!$X$5:$X$17,MATCH($C2,Matches!$A$5:$A$17,0))),"")</f>
        <v>Cache</v>
      </c>
      <c r="I2" s="0" t="str">
        <f aca="false">IFERROR(IF(INDEX(Matches!$Y$5:$Y$17,MATCH($C2,Matches!$A$5:$A$17,0))="","",INDEX(Matches!$Y$5:$Y$17,MATCH($C2,Matches!$A$5:$A$17,0))),"")</f>
        <v>Ancient</v>
      </c>
      <c r="J2" s="11" t="n">
        <f aca="false">IFERROR(IF(INDEX(Matches!$Z$5:$Z$17,MATCH($C2,Matches!$A$5:$A$17,0))="","",INDEX(Matches!$Z$5:$Z$17,MATCH($C2,Matches!$A$5:$A$17,0))),"")</f>
        <v>21.5</v>
      </c>
      <c r="K2" s="11" t="n">
        <f aca="false">IFERROR(IF(INDEX(Matches!$AA$5:$AA$17,MATCH($C2,Matches!$A$5:$A$17,0))="","",INDEX(Matches!$AA$5:$AA$17,MATCH($C2,Matches!$A$5:$A$17,0))),"")</f>
        <v>21.5</v>
      </c>
      <c r="L2" s="11" t="n">
        <f aca="false">IFERROR(IF(INDEX(Matches!$AB$5:$AB$17,MATCH($C2,Matches!$A$5:$A$17,0))="","",INDEX(Matches!$AB$5:$AB$17,MATCH($C2,Matches!$A$5:$A$17,0))),"")</f>
        <v>21.5</v>
      </c>
      <c r="M2" s="10" t="n">
        <f aca="false">IFERROR(IF(INDEX(Matches!$AC$5:$AC$17,MATCH($C2,Matches!$A$5:$A$17,0))="","",INDEX(Matches!$AC$5:$AC$17,MATCH($C2,Matches!$A$5:$A$17,0))),"")</f>
        <v>0</v>
      </c>
      <c r="N2" s="9" t="n">
        <f aca="false">IFERROR(INDEX(Players!$F$2:$F$105,MATCH($F2,Players!$A$2:$A$105,0)),0)</f>
        <v>39</v>
      </c>
      <c r="O2" s="13" t="n">
        <f aca="false">IFERROR(1/(1/INDEX(Players!$H$2:$H$105,MATCH($F2,Players!$A$2:$A$105,0))),"")</f>
        <v>0.65</v>
      </c>
      <c r="P2" s="10" t="n">
        <f aca="false">IFERROR(1/(1/INDEX(Players!$I$2:$I$105,MATCH($F2,Players!$A$2:$A$105,0))),"")</f>
        <v>0.453</v>
      </c>
      <c r="Q2" s="9" t="n">
        <f aca="false">IF($G2="",0,SUMIFS(Map_Stats!$F$2:$F$642,Map_Stats!$A$2:$A$642,$F2&amp;"|"&amp;$G2))</f>
        <v>13</v>
      </c>
      <c r="R2" s="13" t="n">
        <f aca="false">IF($G2="","",IFERROR(1/(1/INDEX(Map_Stats!$K$2:$K$642,MATCH($F2&amp;"|"&amp;$G2,Map_Stats!$A$2:$A$642,0))),$O2))</f>
        <v>0.57</v>
      </c>
      <c r="S2" s="10" t="n">
        <f aca="false">IF(OR($G2="",$P2=""),"",IFERROR(1/(1/INDEX(Map_Stats!$I$2:$I$642,MATCH($F2&amp;"|"&amp;$G2,Map_Stats!$A$2:$A$642,0))),$P2))</f>
        <v>0.437</v>
      </c>
      <c r="T2" s="13" t="n">
        <f aca="false">IF(OR($G2="",R2=""),"",IF($O2="",R2,(Q2*R2+Config!$B$4*$O2)/(Q2+Config!$B$4)))</f>
        <v>0.592222222222222</v>
      </c>
      <c r="U2" s="10" t="n">
        <f aca="false">IF(S2="","",(Q2*S2+Config!$B$4*$P2)/(Q2+Config!$B$4))</f>
        <v>0.441444444444445</v>
      </c>
      <c r="V2" s="17" t="n">
        <f aca="false">IF(OR(T2="",$J2=""),"",T2*$J2*($J2/Config!$B$10)^Config!$B$9)</f>
        <v>12.7327777777778</v>
      </c>
      <c r="W2" s="17" t="n">
        <f aca="false">IF(OR(V2="",U2=""),"",V2*U2)</f>
        <v>5.62081401234568</v>
      </c>
      <c r="X2" s="9" t="n">
        <f aca="false">IF($H2="",0,SUMIFS(Map_Stats!$F$2:$F$642,Map_Stats!$A$2:$A$642,$F2&amp;"|"&amp;$H2))</f>
        <v>7</v>
      </c>
      <c r="Y2" s="13" t="n">
        <f aca="false">IF($H2="","",IFERROR(1/(1/INDEX(Map_Stats!$K$2:$K$642,MATCH($F2&amp;"|"&amp;$H2,Map_Stats!$A$2:$A$642,0))),$O2))</f>
        <v>0.71</v>
      </c>
      <c r="Z2" s="10" t="n">
        <f aca="false">IF(OR($H2="",$P2=""),"",IFERROR(1/(1/INDEX(Map_Stats!$I$2:$I$642,MATCH($F2&amp;"|"&amp;$H2,Map_Stats!$A$2:$A$642,0))),$P2))</f>
        <v>0.449</v>
      </c>
      <c r="AA2" s="13" t="n">
        <f aca="false">IF(OR($H2="",Y2=""),"",IF($O2="",Y2,(X2*Y2+Config!$B$4*$O2)/(X2+Config!$B$4)))</f>
        <v>0.685</v>
      </c>
      <c r="AB2" s="10" t="n">
        <f aca="false">IF(Z2="","",(X2*Z2+Config!$B$4*$P2)/(X2+Config!$B$4))</f>
        <v>0.450666666666667</v>
      </c>
      <c r="AC2" s="17" t="n">
        <f aca="false">IF(OR(AA2="",$K2=""),"",AA2*$K2*($K2/Config!$B$10)^Config!$B$9)</f>
        <v>14.7275</v>
      </c>
      <c r="AD2" s="17" t="n">
        <f aca="false">IF(OR(AC2="",AB2=""),"",AC2*AB2)</f>
        <v>6.63719333333333</v>
      </c>
      <c r="AE2" s="9" t="n">
        <f aca="false">IF($I2="",0,SUMIFS(Map_Stats!$F$2:$F$642,Map_Stats!$A$2:$A$642,$F2&amp;"|"&amp;$I2))</f>
        <v>6</v>
      </c>
      <c r="AF2" s="13" t="n">
        <f aca="false">IF($I2="","",IFERROR(1/(1/INDEX(Map_Stats!$K$2:$K$642,MATCH($F2&amp;"|"&amp;$I2,Map_Stats!$A$2:$A$642,0))),$O2))</f>
        <v>0.57</v>
      </c>
      <c r="AG2" s="10" t="n">
        <f aca="false">IF(OR($I2="",$P2=""),"",IFERROR(1/(1/INDEX(Map_Stats!$I$2:$I$642,MATCH($F2&amp;"|"&amp;$I2,Map_Stats!$A$2:$A$642,0))),$P2))</f>
        <v>0.435</v>
      </c>
      <c r="AH2" s="13" t="n">
        <f aca="false">IF(OR($I2="",AF2=""),"",IF($O2="",AF2,(AE2*AF2+Config!$B$4*$O2)/(AE2+Config!$B$4)))</f>
        <v>0.606363636363636</v>
      </c>
      <c r="AI2" s="10" t="n">
        <f aca="false">IF(AG2="","",(AE2*AG2+Config!$B$4*$P2)/(AE2+Config!$B$4))</f>
        <v>0.443181818181818</v>
      </c>
      <c r="AJ2" s="17" t="n">
        <f aca="false">IF(OR(AH2="",$L2=""),"",AH2*$L2*($L2/Config!$B$10)^Config!$B$9)</f>
        <v>13.0368181818182</v>
      </c>
      <c r="AK2" s="17" t="n">
        <f aca="false">IF(OR(AJ2="",AI2=""),"",AJ2*AI2)</f>
        <v>5.77768078512397</v>
      </c>
      <c r="AL2" s="17" t="n">
        <f aca="false">N(V2)+N(AC2)</f>
        <v>27.4602777777778</v>
      </c>
      <c r="AM2" s="17" t="n">
        <f aca="false">AL2+N($M2)*N(AJ2)</f>
        <v>27.4602777777778</v>
      </c>
      <c r="AN2" s="17" t="n">
        <f aca="false">IF(W2="","",N(W2)+N(AD2))</f>
        <v>12.258007345679</v>
      </c>
      <c r="AO2" s="17" t="n">
        <f aca="false">IF(AN2="","",AN2+N($M2)*N(AK2))</f>
        <v>12.258007345679</v>
      </c>
      <c r="AP2" s="10" t="n">
        <f aca="false">IFERROR(AN2/AL2,"")</f>
        <v>0.446390507950317</v>
      </c>
      <c r="AQ2" s="0" t="str">
        <f aca="false">TRIM(IF($N2&lt;Config!$B$12,"thin sample ("&amp;$N2&amp;" maps) · ","")&amp;IF(AND($G2&lt;&gt;"",Q2=0),"M1 unplayed→overall KPR · ","")&amp;IF(AND($H2&lt;&gt;"",X2=0),"M2 unplayed→overall KPR · ","")&amp;IF($O2="","no PickFinder stats",""))</f>
        <v/>
      </c>
      <c r="AR2" s="9" t="n">
        <f aca="false">IF($C2=Board!$B$2,COUNTIFS($C$2:$C$105,Board!$B$2,$AL$2:$AL$105,"&gt;"&amp;$AL2)+COUNTIFS($C$1:$C1,Board!$B$2,$AL$1:$AL1,$AL2)+1,"")</f>
        <v>4</v>
      </c>
      <c r="AS2" s="0" t="str">
        <f aca="false">IFERROR(IF($D2=INDEX(Matches!$AD$5:$AD$17,MATCH($C2,Matches!$A$5:$A$17,0)),"A",IF($D2=INDEX(Matches!$AE$5:$AE$17,MATCH($C2,Matches!$A$5:$A$17,0)),"B","")),"")</f>
        <v>B</v>
      </c>
      <c r="AT2" s="10" t="n">
        <f aca="false">IF($AS2="","",IFERROR(IF($AS2="A",INDEX(Matches!$AI$5:$AI$17,MATCH($C2,Matches!$A$5:$A$17,0)),INDEX(Matches!$AJ$5:$AJ$17,MATCH($C2,Matches!$A$5:$A$17,0))),""))</f>
        <v>0.54083383865982</v>
      </c>
      <c r="AU2" s="10" t="str">
        <f aca="false">IF($AS2="","",IFERROR(IF(INDEX(Matches!$AP$5:$AP$17,MATCH($C2,Matches!$A$5:$A$17,0))="","",IF($AS2="A",INDEX(Matches!$AP$5:$AP$17,MATCH($C2,Matches!$A$5:$A$17,0)),1-INDEX(Matches!$AP$5:$AP$17,MATCH($C2,Matches!$A$5:$A$17,0)))),""))</f>
        <v/>
      </c>
      <c r="AV2" s="13" t="n">
        <f aca="false">IF(OR($AU2="",$AT2=""),1,((Config!$B$14*$AU2+Config!$B$15*(1-$AU2))/(Config!$B$14*$AT2+Config!$B$15*(1-$AT2)))^Config!$B$13)</f>
        <v>1</v>
      </c>
      <c r="AW2" s="10" t="str">
        <f aca="false">IF($AS2="","",IFERROR(IF(INDEX(Matches!$AV$5:$AV$17,MATCH($C2,Matches!$A$5:$A$17,0))="","",IF($AS2="A",INDEX(Matches!$AV$5:$AV$17,MATCH($C2,Matches!$A$5:$A$17,0)),1-INDEX(Matches!$AV$5:$AV$17,MATCH($C2,Matches!$A$5:$A$17,0)))),""))</f>
        <v/>
      </c>
      <c r="AX2" s="13" t="n">
        <f aca="false">IF(OR($AW2="",$AT2=""),1,((Config!$B$14*$AW2+Config!$B$15*(1-$AW2))/(Config!$B$14*$AT2+Config!$B$15*(1-$AT2)))^Config!$B$13)</f>
        <v>1</v>
      </c>
      <c r="AY2" s="10" t="str">
        <f aca="false">IF($AS2="","",IFERROR(IF(INDEX(Matches!$BB$5:$BB$17,MATCH($C2,Matches!$A$5:$A$17,0))="","",IF($AS2="A",INDEX(Matches!$BB$5:$BB$17,MATCH($C2,Matches!$A$5:$A$17,0)),1-INDEX(Matches!$BB$5:$BB$17,MATCH($C2,Matches!$A$5:$A$17,0)))),""))</f>
        <v/>
      </c>
      <c r="AZ2" s="13" t="n">
        <f aca="false">IF(OR($AY2="",$AT2=""),1,((Config!$B$14*$AY2+Config!$B$15*(1-$AY2))/(Config!$B$14*$AT2+Config!$B$15*(1-$AT2)))^Config!$B$13)</f>
        <v>1</v>
      </c>
      <c r="BA2" s="17" t="n">
        <f aca="false">IF(V2="","",V2*$AV2)</f>
        <v>12.7327777777778</v>
      </c>
      <c r="BB2" s="17" t="n">
        <f aca="false">IF(AC2="","",AC2*$AX2)</f>
        <v>14.7275</v>
      </c>
      <c r="BC2" s="17" t="n">
        <f aca="false">IF(AJ2="","",AJ2*$AZ2)</f>
        <v>13.0368181818182</v>
      </c>
      <c r="BD2" s="17" t="n">
        <f aca="false">N(BA2)+N(BB2)</f>
        <v>27.4602777777778</v>
      </c>
      <c r="BE2" s="17" t="n">
        <f aca="false">BD2+N($M2)*N(BC2)</f>
        <v>27.4602777777778</v>
      </c>
      <c r="BF2" s="17" t="n">
        <f aca="false">IF(W2="","",W2*$AV2)</f>
        <v>5.62081401234568</v>
      </c>
      <c r="BG2" s="17" t="n">
        <f aca="false">IF(AD2="","",AD2*$AX2)</f>
        <v>6.63719333333333</v>
      </c>
      <c r="BH2" s="17" t="n">
        <f aca="false">IF(AK2="","",AK2*$AZ2)</f>
        <v>5.77768078512397</v>
      </c>
      <c r="BI2" s="17" t="n">
        <f aca="false">IF(BF2="","",N(BF2)+N(BG2))</f>
        <v>12.258007345679</v>
      </c>
      <c r="BJ2" s="17" t="n">
        <f aca="false">IF(BI2="","",BI2+N($M2)*N(BH2))</f>
        <v>12.258007345679</v>
      </c>
      <c r="BK2" s="13" t="n">
        <f aca="false">IFERROR(BD2/AL2,1)</f>
        <v>1</v>
      </c>
    </row>
    <row r="3" customFormat="false" ht="15" hidden="false" customHeight="false" outlineLevel="0" collapsed="false">
      <c r="A3" s="0" t="s">
        <v>895</v>
      </c>
      <c r="B3" s="0" t="s">
        <v>775</v>
      </c>
      <c r="C3" s="0" t="s">
        <v>692</v>
      </c>
      <c r="D3" s="0" t="s">
        <v>784</v>
      </c>
      <c r="E3" s="0" t="s">
        <v>892</v>
      </c>
      <c r="F3" s="0" t="s">
        <v>1168</v>
      </c>
      <c r="G3" s="0" t="str">
        <f aca="false">IFERROR(IF(INDEX(Matches!$W$5:$W$17,MATCH($C3,Matches!$A$5:$A$17,0))="","",INDEX(Matches!$W$5:$W$17,MATCH($C3,Matches!$A$5:$A$17,0))),"")</f>
        <v>Dust2</v>
      </c>
      <c r="H3" s="0" t="str">
        <f aca="false">IFERROR(IF(INDEX(Matches!$X$5:$X$17,MATCH($C3,Matches!$A$5:$A$17,0))="","",INDEX(Matches!$X$5:$X$17,MATCH($C3,Matches!$A$5:$A$17,0))),"")</f>
        <v>Cache</v>
      </c>
      <c r="I3" s="0" t="str">
        <f aca="false">IFERROR(IF(INDEX(Matches!$Y$5:$Y$17,MATCH($C3,Matches!$A$5:$A$17,0))="","",INDEX(Matches!$Y$5:$Y$17,MATCH($C3,Matches!$A$5:$A$17,0))),"")</f>
        <v>Ancient</v>
      </c>
      <c r="J3" s="11" t="n">
        <f aca="false">IFERROR(IF(INDEX(Matches!$Z$5:$Z$17,MATCH($C3,Matches!$A$5:$A$17,0))="","",INDEX(Matches!$Z$5:$Z$17,MATCH($C3,Matches!$A$5:$A$17,0))),"")</f>
        <v>21.5</v>
      </c>
      <c r="K3" s="11" t="n">
        <f aca="false">IFERROR(IF(INDEX(Matches!$AA$5:$AA$17,MATCH($C3,Matches!$A$5:$A$17,0))="","",INDEX(Matches!$AA$5:$AA$17,MATCH($C3,Matches!$A$5:$A$17,0))),"")</f>
        <v>21.5</v>
      </c>
      <c r="L3" s="11" t="n">
        <f aca="false">IFERROR(IF(INDEX(Matches!$AB$5:$AB$17,MATCH($C3,Matches!$A$5:$A$17,0))="","",INDEX(Matches!$AB$5:$AB$17,MATCH($C3,Matches!$A$5:$A$17,0))),"")</f>
        <v>21.5</v>
      </c>
      <c r="M3" s="10" t="n">
        <f aca="false">IFERROR(IF(INDEX(Matches!$AC$5:$AC$17,MATCH($C3,Matches!$A$5:$A$17,0))="","",INDEX(Matches!$AC$5:$AC$17,MATCH($C3,Matches!$A$5:$A$17,0))),"")</f>
        <v>0</v>
      </c>
      <c r="N3" s="9" t="n">
        <f aca="false">IFERROR(INDEX(Players!$F$2:$F$105,MATCH($F3,Players!$A$2:$A$105,0)),0)</f>
        <v>39</v>
      </c>
      <c r="O3" s="13" t="n">
        <f aca="false">IFERROR(1/(1/INDEX(Players!$H$2:$H$105,MATCH($F3,Players!$A$2:$A$105,0))),"")</f>
        <v>0.8</v>
      </c>
      <c r="P3" s="10" t="n">
        <f aca="false">IFERROR(1/(1/INDEX(Players!$I$2:$I$105,MATCH($F3,Players!$A$2:$A$105,0))),"")</f>
        <v>0.633</v>
      </c>
      <c r="Q3" s="9" t="n">
        <f aca="false">IF($G3="",0,SUMIFS(Map_Stats!$F$2:$F$642,Map_Stats!$A$2:$A$642,$F3&amp;"|"&amp;$G3))</f>
        <v>13</v>
      </c>
      <c r="R3" s="13" t="n">
        <f aca="false">IF($G3="","",IFERROR(1/(1/INDEX(Map_Stats!$K$2:$K$642,MATCH($F3&amp;"|"&amp;$G3,Map_Stats!$A$2:$A$642,0))),$O3))</f>
        <v>0.82</v>
      </c>
      <c r="S3" s="10" t="n">
        <f aca="false">IF(OR($G3="",$P3=""),"",IFERROR(1/(1/INDEX(Map_Stats!$I$2:$I$642,MATCH($F3&amp;"|"&amp;$G3,Map_Stats!$A$2:$A$642,0))),$P3))</f>
        <v>0.606</v>
      </c>
      <c r="T3" s="13" t="n">
        <f aca="false">IF(OR($G3="",R3=""),"",IF($O3="",R3,(Q3*R3+Config!$B$4*$O3)/(Q3+Config!$B$4)))</f>
        <v>0.814444444444444</v>
      </c>
      <c r="U3" s="10" t="n">
        <f aca="false">IF(S3="","",(Q3*S3+Config!$B$4*$P3)/(Q3+Config!$B$4))</f>
        <v>0.6135</v>
      </c>
      <c r="V3" s="17" t="n">
        <f aca="false">IF(OR(T3="",$J3=""),"",T3*$J3*($J3/Config!$B$10)^Config!$B$9)</f>
        <v>17.5105555555556</v>
      </c>
      <c r="W3" s="17" t="n">
        <f aca="false">IF(OR(V3="",U3=""),"",V3*U3)</f>
        <v>10.7427258333333</v>
      </c>
      <c r="X3" s="9" t="n">
        <f aca="false">IF($H3="",0,SUMIFS(Map_Stats!$F$2:$F$642,Map_Stats!$A$2:$A$642,$F3&amp;"|"&amp;$H3))</f>
        <v>7</v>
      </c>
      <c r="Y3" s="13" t="n">
        <f aca="false">IF($H3="","",IFERROR(1/(1/INDEX(Map_Stats!$K$2:$K$642,MATCH($F3&amp;"|"&amp;$H3,Map_Stats!$A$2:$A$642,0))),$O3))</f>
        <v>0.83</v>
      </c>
      <c r="Z3" s="10" t="n">
        <f aca="false">IF(OR($H3="",$P3=""),"",IFERROR(1/(1/INDEX(Map_Stats!$I$2:$I$642,MATCH($F3&amp;"|"&amp;$H3,Map_Stats!$A$2:$A$642,0))),$P3))</f>
        <v>0.672</v>
      </c>
      <c r="AA3" s="13" t="n">
        <f aca="false">IF(OR($H3="",Y3=""),"",IF($O3="",Y3,(X3*Y3+Config!$B$4*$O3)/(X3+Config!$B$4)))</f>
        <v>0.8175</v>
      </c>
      <c r="AB3" s="10" t="n">
        <f aca="false">IF(Z3="","",(X3*Z3+Config!$B$4*$P3)/(X3+Config!$B$4))</f>
        <v>0.65575</v>
      </c>
      <c r="AC3" s="17" t="n">
        <f aca="false">IF(OR(AA3="",$K3=""),"",AA3*$K3*($K3/Config!$B$10)^Config!$B$9)</f>
        <v>17.57625</v>
      </c>
      <c r="AD3" s="17" t="n">
        <f aca="false">IF(OR(AC3="",AB3=""),"",AC3*AB3)</f>
        <v>11.5256259375</v>
      </c>
      <c r="AE3" s="9" t="n">
        <f aca="false">IF($I3="",0,SUMIFS(Map_Stats!$F$2:$F$642,Map_Stats!$A$2:$A$642,$F3&amp;"|"&amp;$I3))</f>
        <v>6</v>
      </c>
      <c r="AF3" s="13" t="n">
        <f aca="false">IF($I3="","",IFERROR(1/(1/INDEX(Map_Stats!$K$2:$K$642,MATCH($F3&amp;"|"&amp;$I3,Map_Stats!$A$2:$A$642,0))),$O3))</f>
        <v>0.69</v>
      </c>
      <c r="AG3" s="10" t="n">
        <f aca="false">IF(OR($I3="",$P3=""),"",IFERROR(1/(1/INDEX(Map_Stats!$I$2:$I$642,MATCH($F3&amp;"|"&amp;$I3,Map_Stats!$A$2:$A$642,0))),$P3))</f>
        <v>0.607</v>
      </c>
      <c r="AH3" s="13" t="n">
        <f aca="false">IF(OR($I3="",AF3=""),"",IF($O3="",AF3,(AE3*AF3+Config!$B$4*$O3)/(AE3+Config!$B$4)))</f>
        <v>0.74</v>
      </c>
      <c r="AI3" s="10" t="n">
        <f aca="false">IF(AG3="","",(AE3*AG3+Config!$B$4*$P3)/(AE3+Config!$B$4))</f>
        <v>0.618818181818182</v>
      </c>
      <c r="AJ3" s="17" t="n">
        <f aca="false">IF(OR(AH3="",$L3=""),"",AH3*$L3*($L3/Config!$B$10)^Config!$B$9)</f>
        <v>15.91</v>
      </c>
      <c r="AK3" s="17" t="n">
        <f aca="false">IF(OR(AJ3="",AI3=""),"",AJ3*AI3)</f>
        <v>9.84539727272727</v>
      </c>
      <c r="AL3" s="17" t="n">
        <f aca="false">N(V3)+N(AC3)</f>
        <v>35.0868055555556</v>
      </c>
      <c r="AM3" s="17" t="n">
        <f aca="false">AL3+N($M3)*N(AJ3)</f>
        <v>35.0868055555556</v>
      </c>
      <c r="AN3" s="17" t="n">
        <f aca="false">IF(W3="","",N(W3)+N(AD3))</f>
        <v>22.2683517708333</v>
      </c>
      <c r="AO3" s="17" t="n">
        <f aca="false">IF(AN3="","",AN3+N($M3)*N(AK3))</f>
        <v>22.2683517708333</v>
      </c>
      <c r="AP3" s="10" t="n">
        <f aca="false">IFERROR(AN3/AL3,"")</f>
        <v>0.634664553191489</v>
      </c>
      <c r="AQ3" s="0" t="str">
        <f aca="false">TRIM(IF($N3&lt;Config!$B$12,"thin sample ("&amp;$N3&amp;" maps) · ","")&amp;IF(AND($G3&lt;&gt;"",Q3=0),"M1 unplayed→overall KPR · ","")&amp;IF(AND($H3&lt;&gt;"",X3=0),"M2 unplayed→overall KPR · ","")&amp;IF($O3="","no PickFinder stats",""))</f>
        <v/>
      </c>
      <c r="AR3" s="9" t="n">
        <f aca="false">IF($C3=Board!$B$2,COUNTIFS($C$2:$C$105,Board!$B$2,$AL$2:$AL$105,"&gt;"&amp;$AL3)+COUNTIFS($C$1:$C2,Board!$B$2,$AL$1:$AL2,$AL3)+1,"")</f>
        <v>1</v>
      </c>
      <c r="AS3" s="0" t="str">
        <f aca="false">IFERROR(IF($D3=INDEX(Matches!$AD$5:$AD$17,MATCH($C3,Matches!$A$5:$A$17,0)),"A",IF($D3=INDEX(Matches!$AE$5:$AE$17,MATCH($C3,Matches!$A$5:$A$17,0)),"B","")),"")</f>
        <v>B</v>
      </c>
      <c r="AT3" s="10" t="n">
        <f aca="false">IF($AS3="","",IFERROR(IF($AS3="A",INDEX(Matches!$AI$5:$AI$17,MATCH($C3,Matches!$A$5:$A$17,0)),INDEX(Matches!$AJ$5:$AJ$17,MATCH($C3,Matches!$A$5:$A$17,0))),""))</f>
        <v>0.54083383865982</v>
      </c>
      <c r="AU3" s="10" t="str">
        <f aca="false">IF($AS3="","",IFERROR(IF(INDEX(Matches!$AP$5:$AP$17,MATCH($C3,Matches!$A$5:$A$17,0))="","",IF($AS3="A",INDEX(Matches!$AP$5:$AP$17,MATCH($C3,Matches!$A$5:$A$17,0)),1-INDEX(Matches!$AP$5:$AP$17,MATCH($C3,Matches!$A$5:$A$17,0)))),""))</f>
        <v/>
      </c>
      <c r="AV3" s="13" t="n">
        <f aca="false">IF(OR($AU3="",$AT3=""),1,((Config!$B$14*$AU3+Config!$B$15*(1-$AU3))/(Config!$B$14*$AT3+Config!$B$15*(1-$AT3)))^Config!$B$13)</f>
        <v>1</v>
      </c>
      <c r="AW3" s="10" t="str">
        <f aca="false">IF($AS3="","",IFERROR(IF(INDEX(Matches!$AV$5:$AV$17,MATCH($C3,Matches!$A$5:$A$17,0))="","",IF($AS3="A",INDEX(Matches!$AV$5:$AV$17,MATCH($C3,Matches!$A$5:$A$17,0)),1-INDEX(Matches!$AV$5:$AV$17,MATCH($C3,Matches!$A$5:$A$17,0)))),""))</f>
        <v/>
      </c>
      <c r="AX3" s="13" t="n">
        <f aca="false">IF(OR($AW3="",$AT3=""),1,((Config!$B$14*$AW3+Config!$B$15*(1-$AW3))/(Config!$B$14*$AT3+Config!$B$15*(1-$AT3)))^Config!$B$13)</f>
        <v>1</v>
      </c>
      <c r="AY3" s="10" t="str">
        <f aca="false">IF($AS3="","",IFERROR(IF(INDEX(Matches!$BB$5:$BB$17,MATCH($C3,Matches!$A$5:$A$17,0))="","",IF($AS3="A",INDEX(Matches!$BB$5:$BB$17,MATCH($C3,Matches!$A$5:$A$17,0)),1-INDEX(Matches!$BB$5:$BB$17,MATCH($C3,Matches!$A$5:$A$17,0)))),""))</f>
        <v/>
      </c>
      <c r="AZ3" s="13" t="n">
        <f aca="false">IF(OR($AY3="",$AT3=""),1,((Config!$B$14*$AY3+Config!$B$15*(1-$AY3))/(Config!$B$14*$AT3+Config!$B$15*(1-$AT3)))^Config!$B$13)</f>
        <v>1</v>
      </c>
      <c r="BA3" s="17" t="n">
        <f aca="false">IF(V3="","",V3*$AV3)</f>
        <v>17.5105555555556</v>
      </c>
      <c r="BB3" s="17" t="n">
        <f aca="false">IF(AC3="","",AC3*$AX3)</f>
        <v>17.57625</v>
      </c>
      <c r="BC3" s="17" t="n">
        <f aca="false">IF(AJ3="","",AJ3*$AZ3)</f>
        <v>15.91</v>
      </c>
      <c r="BD3" s="17" t="n">
        <f aca="false">N(BA3)+N(BB3)</f>
        <v>35.0868055555556</v>
      </c>
      <c r="BE3" s="17" t="n">
        <f aca="false">BD3+N($M3)*N(BC3)</f>
        <v>35.0868055555556</v>
      </c>
      <c r="BF3" s="17" t="n">
        <f aca="false">IF(W3="","",W3*$AV3)</f>
        <v>10.7427258333333</v>
      </c>
      <c r="BG3" s="17" t="n">
        <f aca="false">IF(AD3="","",AD3*$AX3)</f>
        <v>11.5256259375</v>
      </c>
      <c r="BH3" s="17" t="n">
        <f aca="false">IF(AK3="","",AK3*$AZ3)</f>
        <v>9.84539727272727</v>
      </c>
      <c r="BI3" s="17" t="n">
        <f aca="false">IF(BF3="","",N(BF3)+N(BG3))</f>
        <v>22.2683517708333</v>
      </c>
      <c r="BJ3" s="17" t="n">
        <f aca="false">IF(BI3="","",BI3+N($M3)*N(BH3))</f>
        <v>22.2683517708333</v>
      </c>
      <c r="BK3" s="13" t="n">
        <f aca="false">IFERROR(BD3/AL3,1)</f>
        <v>1</v>
      </c>
    </row>
    <row r="4" customFormat="false" ht="15" hidden="false" customHeight="false" outlineLevel="0" collapsed="false">
      <c r="A4" s="0" t="s">
        <v>898</v>
      </c>
      <c r="B4" s="0" t="s">
        <v>775</v>
      </c>
      <c r="C4" s="0" t="s">
        <v>692</v>
      </c>
      <c r="D4" s="0" t="s">
        <v>784</v>
      </c>
      <c r="E4" s="0" t="s">
        <v>897</v>
      </c>
      <c r="F4" s="0" t="s">
        <v>1169</v>
      </c>
      <c r="G4" s="0" t="str">
        <f aca="false">IFERROR(IF(INDEX(Matches!$W$5:$W$17,MATCH($C4,Matches!$A$5:$A$17,0))="","",INDEX(Matches!$W$5:$W$17,MATCH($C4,Matches!$A$5:$A$17,0))),"")</f>
        <v>Dust2</v>
      </c>
      <c r="H4" s="0" t="str">
        <f aca="false">IFERROR(IF(INDEX(Matches!$X$5:$X$17,MATCH($C4,Matches!$A$5:$A$17,0))="","",INDEX(Matches!$X$5:$X$17,MATCH($C4,Matches!$A$5:$A$17,0))),"")</f>
        <v>Cache</v>
      </c>
      <c r="I4" s="0" t="str">
        <f aca="false">IFERROR(IF(INDEX(Matches!$Y$5:$Y$17,MATCH($C4,Matches!$A$5:$A$17,0))="","",INDEX(Matches!$Y$5:$Y$17,MATCH($C4,Matches!$A$5:$A$17,0))),"")</f>
        <v>Ancient</v>
      </c>
      <c r="J4" s="11" t="n">
        <f aca="false">IFERROR(IF(INDEX(Matches!$Z$5:$Z$17,MATCH($C4,Matches!$A$5:$A$17,0))="","",INDEX(Matches!$Z$5:$Z$17,MATCH($C4,Matches!$A$5:$A$17,0))),"")</f>
        <v>21.5</v>
      </c>
      <c r="K4" s="11" t="n">
        <f aca="false">IFERROR(IF(INDEX(Matches!$AA$5:$AA$17,MATCH($C4,Matches!$A$5:$A$17,0))="","",INDEX(Matches!$AA$5:$AA$17,MATCH($C4,Matches!$A$5:$A$17,0))),"")</f>
        <v>21.5</v>
      </c>
      <c r="L4" s="11" t="n">
        <f aca="false">IFERROR(IF(INDEX(Matches!$AB$5:$AB$17,MATCH($C4,Matches!$A$5:$A$17,0))="","",INDEX(Matches!$AB$5:$AB$17,MATCH($C4,Matches!$A$5:$A$17,0))),"")</f>
        <v>21.5</v>
      </c>
      <c r="M4" s="10" t="n">
        <f aca="false">IFERROR(IF(INDEX(Matches!$AC$5:$AC$17,MATCH($C4,Matches!$A$5:$A$17,0))="","",INDEX(Matches!$AC$5:$AC$17,MATCH($C4,Matches!$A$5:$A$17,0))),"")</f>
        <v>0</v>
      </c>
      <c r="N4" s="9" t="n">
        <f aca="false">IFERROR(INDEX(Players!$F$2:$F$105,MATCH($F4,Players!$A$2:$A$105,0)),0)</f>
        <v>37</v>
      </c>
      <c r="O4" s="13" t="n">
        <f aca="false">IFERROR(1/(1/INDEX(Players!$H$2:$H$105,MATCH($F4,Players!$A$2:$A$105,0))),"")</f>
        <v>0.72</v>
      </c>
      <c r="P4" s="10" t="n">
        <f aca="false">IFERROR(1/(1/INDEX(Players!$I$2:$I$105,MATCH($F4,Players!$A$2:$A$105,0))),"")</f>
        <v>0.405</v>
      </c>
      <c r="Q4" s="9" t="n">
        <f aca="false">IF($G4="",0,SUMIFS(Map_Stats!$F$2:$F$642,Map_Stats!$A$2:$A$642,$F4&amp;"|"&amp;$G4))</f>
        <v>14</v>
      </c>
      <c r="R4" s="13" t="n">
        <f aca="false">IF($G4="","",IFERROR(1/(1/INDEX(Map_Stats!$K$2:$K$642,MATCH($F4&amp;"|"&amp;$G4,Map_Stats!$A$2:$A$642,0))),$O4))</f>
        <v>0.78</v>
      </c>
      <c r="S4" s="10" t="n">
        <f aca="false">IF(OR($G4="",$P4=""),"",IFERROR(1/(1/INDEX(Map_Stats!$I$2:$I$642,MATCH($F4&amp;"|"&amp;$G4,Map_Stats!$A$2:$A$642,0))),$P4))</f>
        <v>0.493</v>
      </c>
      <c r="T4" s="13" t="n">
        <f aca="false">IF(OR($G4="",R4=""),"",IF($O4="",R4,(Q4*R4+Config!$B$4*$O4)/(Q4+Config!$B$4)))</f>
        <v>0.76421052631579</v>
      </c>
      <c r="U4" s="10" t="n">
        <f aca="false">IF(S4="","",(Q4*S4+Config!$B$4*$P4)/(Q4+Config!$B$4))</f>
        <v>0.469842105263158</v>
      </c>
      <c r="V4" s="17" t="n">
        <f aca="false">IF(OR(T4="",$J4=""),"",T4*$J4*($J4/Config!$B$10)^Config!$B$9)</f>
        <v>16.4305263157895</v>
      </c>
      <c r="W4" s="17" t="n">
        <f aca="false">IF(OR(V4="",U4=""),"",V4*U4)</f>
        <v>7.71975307479224</v>
      </c>
      <c r="X4" s="9" t="n">
        <f aca="false">IF($H4="",0,SUMIFS(Map_Stats!$F$2:$F$642,Map_Stats!$A$2:$A$642,$F4&amp;"|"&amp;$H4))</f>
        <v>5</v>
      </c>
      <c r="Y4" s="13" t="n">
        <f aca="false">IF($H4="","",IFERROR(1/(1/INDEX(Map_Stats!$K$2:$K$642,MATCH($F4&amp;"|"&amp;$H4,Map_Stats!$A$2:$A$642,0))),$O4))</f>
        <v>0.68</v>
      </c>
      <c r="Z4" s="10" t="n">
        <f aca="false">IF(OR($H4="",$P4=""),"",IFERROR(1/(1/INDEX(Map_Stats!$I$2:$I$642,MATCH($F4&amp;"|"&amp;$H4,Map_Stats!$A$2:$A$642,0))),$P4))</f>
        <v>0.352</v>
      </c>
      <c r="AA4" s="13" t="n">
        <f aca="false">IF(OR($H4="",Y4=""),"",IF($O4="",Y4,(X4*Y4+Config!$B$4*$O4)/(X4+Config!$B$4)))</f>
        <v>0.7</v>
      </c>
      <c r="AB4" s="10" t="n">
        <f aca="false">IF(Z4="","",(X4*Z4+Config!$B$4*$P4)/(X4+Config!$B$4))</f>
        <v>0.3785</v>
      </c>
      <c r="AC4" s="17" t="n">
        <f aca="false">IF(OR(AA4="",$K4=""),"",AA4*$K4*($K4/Config!$B$10)^Config!$B$9)</f>
        <v>15.05</v>
      </c>
      <c r="AD4" s="17" t="n">
        <f aca="false">IF(OR(AC4="",AB4=""),"",AC4*AB4)</f>
        <v>5.696425</v>
      </c>
      <c r="AE4" s="9" t="n">
        <f aca="false">IF($I4="",0,SUMIFS(Map_Stats!$F$2:$F$642,Map_Stats!$A$2:$A$642,$F4&amp;"|"&amp;$I4))</f>
        <v>9</v>
      </c>
      <c r="AF4" s="13" t="n">
        <f aca="false">IF($I4="","",IFERROR(1/(1/INDEX(Map_Stats!$K$2:$K$642,MATCH($F4&amp;"|"&amp;$I4,Map_Stats!$A$2:$A$642,0))),$O4))</f>
        <v>0.63</v>
      </c>
      <c r="AG4" s="10" t="n">
        <f aca="false">IF(OR($I4="",$P4=""),"",IFERROR(1/(1/INDEX(Map_Stats!$I$2:$I$642,MATCH($F4&amp;"|"&amp;$I4,Map_Stats!$A$2:$A$642,0))),$P4))</f>
        <v>0.333</v>
      </c>
      <c r="AH4" s="13" t="n">
        <f aca="false">IF(OR($I4="",AF4=""),"",IF($O4="",AF4,(AE4*AF4+Config!$B$4*$O4)/(AE4+Config!$B$4)))</f>
        <v>0.662142857142857</v>
      </c>
      <c r="AI4" s="10" t="n">
        <f aca="false">IF(AG4="","",(AE4*AG4+Config!$B$4*$P4)/(AE4+Config!$B$4))</f>
        <v>0.358714285714286</v>
      </c>
      <c r="AJ4" s="17" t="n">
        <f aca="false">IF(OR(AH4="",$L4=""),"",AH4*$L4*($L4/Config!$B$10)^Config!$B$9)</f>
        <v>14.2360714285714</v>
      </c>
      <c r="AK4" s="17" t="n">
        <f aca="false">IF(OR(AJ4="",AI4=""),"",AJ4*AI4)</f>
        <v>5.10668219387755</v>
      </c>
      <c r="AL4" s="17" t="n">
        <f aca="false">N(V4)+N(AC4)</f>
        <v>31.4805263157895</v>
      </c>
      <c r="AM4" s="17" t="n">
        <f aca="false">AL4+N($M4)*N(AJ4)</f>
        <v>31.4805263157895</v>
      </c>
      <c r="AN4" s="17" t="n">
        <f aca="false">IF(W4="","",N(W4)+N(AD4))</f>
        <v>13.4161780747922</v>
      </c>
      <c r="AO4" s="17" t="n">
        <f aca="false">IF(AN4="","",AN4+N($M4)*N(AK4))</f>
        <v>13.4161780747922</v>
      </c>
      <c r="AP4" s="10" t="n">
        <f aca="false">IFERROR(AN4/AL4,"")</f>
        <v>0.426173880964093</v>
      </c>
      <c r="AQ4" s="0" t="str">
        <f aca="false">TRIM(IF($N4&lt;Config!$B$12,"thin sample ("&amp;$N4&amp;" maps) · ","")&amp;IF(AND($G4&lt;&gt;"",Q4=0),"M1 unplayed→overall KPR · ","")&amp;IF(AND($H4&lt;&gt;"",X4=0),"M2 unplayed→overall KPR · ","")&amp;IF($O4="","no PickFinder stats",""))</f>
        <v/>
      </c>
      <c r="AR4" s="9" t="n">
        <f aca="false">IF($C4=Board!$B$2,COUNTIFS($C$2:$C$105,Board!$B$2,$AL$2:$AL$105,"&gt;"&amp;$AL4)+COUNTIFS($C$1:$C3,Board!$B$2,$AL$1:$AL3,$AL4)+1,"")</f>
        <v>2</v>
      </c>
      <c r="AS4" s="0" t="str">
        <f aca="false">IFERROR(IF($D4=INDEX(Matches!$AD$5:$AD$17,MATCH($C4,Matches!$A$5:$A$17,0)),"A",IF($D4=INDEX(Matches!$AE$5:$AE$17,MATCH($C4,Matches!$A$5:$A$17,0)),"B","")),"")</f>
        <v>B</v>
      </c>
      <c r="AT4" s="10" t="n">
        <f aca="false">IF($AS4="","",IFERROR(IF($AS4="A",INDEX(Matches!$AI$5:$AI$17,MATCH($C4,Matches!$A$5:$A$17,0)),INDEX(Matches!$AJ$5:$AJ$17,MATCH($C4,Matches!$A$5:$A$17,0))),""))</f>
        <v>0.54083383865982</v>
      </c>
      <c r="AU4" s="10" t="str">
        <f aca="false">IF($AS4="","",IFERROR(IF(INDEX(Matches!$AP$5:$AP$17,MATCH($C4,Matches!$A$5:$A$17,0))="","",IF($AS4="A",INDEX(Matches!$AP$5:$AP$17,MATCH($C4,Matches!$A$5:$A$17,0)),1-INDEX(Matches!$AP$5:$AP$17,MATCH($C4,Matches!$A$5:$A$17,0)))),""))</f>
        <v/>
      </c>
      <c r="AV4" s="13" t="n">
        <f aca="false">IF(OR($AU4="",$AT4=""),1,((Config!$B$14*$AU4+Config!$B$15*(1-$AU4))/(Config!$B$14*$AT4+Config!$B$15*(1-$AT4)))^Config!$B$13)</f>
        <v>1</v>
      </c>
      <c r="AW4" s="10" t="str">
        <f aca="false">IF($AS4="","",IFERROR(IF(INDEX(Matches!$AV$5:$AV$17,MATCH($C4,Matches!$A$5:$A$17,0))="","",IF($AS4="A",INDEX(Matches!$AV$5:$AV$17,MATCH($C4,Matches!$A$5:$A$17,0)),1-INDEX(Matches!$AV$5:$AV$17,MATCH($C4,Matches!$A$5:$A$17,0)))),""))</f>
        <v/>
      </c>
      <c r="AX4" s="13" t="n">
        <f aca="false">IF(OR($AW4="",$AT4=""),1,((Config!$B$14*$AW4+Config!$B$15*(1-$AW4))/(Config!$B$14*$AT4+Config!$B$15*(1-$AT4)))^Config!$B$13)</f>
        <v>1</v>
      </c>
      <c r="AY4" s="10" t="str">
        <f aca="false">IF($AS4="","",IFERROR(IF(INDEX(Matches!$BB$5:$BB$17,MATCH($C4,Matches!$A$5:$A$17,0))="","",IF($AS4="A",INDEX(Matches!$BB$5:$BB$17,MATCH($C4,Matches!$A$5:$A$17,0)),1-INDEX(Matches!$BB$5:$BB$17,MATCH($C4,Matches!$A$5:$A$17,0)))),""))</f>
        <v/>
      </c>
      <c r="AZ4" s="13" t="n">
        <f aca="false">IF(OR($AY4="",$AT4=""),1,((Config!$B$14*$AY4+Config!$B$15*(1-$AY4))/(Config!$B$14*$AT4+Config!$B$15*(1-$AT4)))^Config!$B$13)</f>
        <v>1</v>
      </c>
      <c r="BA4" s="17" t="n">
        <f aca="false">IF(V4="","",V4*$AV4)</f>
        <v>16.4305263157895</v>
      </c>
      <c r="BB4" s="17" t="n">
        <f aca="false">IF(AC4="","",AC4*$AX4)</f>
        <v>15.05</v>
      </c>
      <c r="BC4" s="17" t="n">
        <f aca="false">IF(AJ4="","",AJ4*$AZ4)</f>
        <v>14.2360714285714</v>
      </c>
      <c r="BD4" s="17" t="n">
        <f aca="false">N(BA4)+N(BB4)</f>
        <v>31.4805263157895</v>
      </c>
      <c r="BE4" s="17" t="n">
        <f aca="false">BD4+N($M4)*N(BC4)</f>
        <v>31.4805263157895</v>
      </c>
      <c r="BF4" s="17" t="n">
        <f aca="false">IF(W4="","",W4*$AV4)</f>
        <v>7.71975307479224</v>
      </c>
      <c r="BG4" s="17" t="n">
        <f aca="false">IF(AD4="","",AD4*$AX4)</f>
        <v>5.696425</v>
      </c>
      <c r="BH4" s="17" t="n">
        <f aca="false">IF(AK4="","",AK4*$AZ4)</f>
        <v>5.10668219387755</v>
      </c>
      <c r="BI4" s="17" t="n">
        <f aca="false">IF(BF4="","",N(BF4)+N(BG4))</f>
        <v>13.4161780747922</v>
      </c>
      <c r="BJ4" s="17" t="n">
        <f aca="false">IF(BI4="","",BI4+N($M4)*N(BH4))</f>
        <v>13.4161780747922</v>
      </c>
      <c r="BK4" s="13" t="n">
        <f aca="false">IFERROR(BD4/AL4,1)</f>
        <v>1</v>
      </c>
    </row>
    <row r="5" customFormat="false" ht="15" hidden="false" customHeight="false" outlineLevel="0" collapsed="false">
      <c r="A5" s="0" t="s">
        <v>901</v>
      </c>
      <c r="B5" s="0" t="s">
        <v>775</v>
      </c>
      <c r="C5" s="0" t="s">
        <v>692</v>
      </c>
      <c r="D5" s="0" t="s">
        <v>784</v>
      </c>
      <c r="E5" s="0" t="s">
        <v>899</v>
      </c>
      <c r="F5" s="0" t="s">
        <v>1170</v>
      </c>
      <c r="G5" s="0" t="str">
        <f aca="false">IFERROR(IF(INDEX(Matches!$W$5:$W$17,MATCH($C5,Matches!$A$5:$A$17,0))="","",INDEX(Matches!$W$5:$W$17,MATCH($C5,Matches!$A$5:$A$17,0))),"")</f>
        <v>Dust2</v>
      </c>
      <c r="H5" s="0" t="str">
        <f aca="false">IFERROR(IF(INDEX(Matches!$X$5:$X$17,MATCH($C5,Matches!$A$5:$A$17,0))="","",INDEX(Matches!$X$5:$X$17,MATCH($C5,Matches!$A$5:$A$17,0))),"")</f>
        <v>Cache</v>
      </c>
      <c r="I5" s="0" t="str">
        <f aca="false">IFERROR(IF(INDEX(Matches!$Y$5:$Y$17,MATCH($C5,Matches!$A$5:$A$17,0))="","",INDEX(Matches!$Y$5:$Y$17,MATCH($C5,Matches!$A$5:$A$17,0))),"")</f>
        <v>Ancient</v>
      </c>
      <c r="J5" s="11" t="n">
        <f aca="false">IFERROR(IF(INDEX(Matches!$Z$5:$Z$17,MATCH($C5,Matches!$A$5:$A$17,0))="","",INDEX(Matches!$Z$5:$Z$17,MATCH($C5,Matches!$A$5:$A$17,0))),"")</f>
        <v>21.5</v>
      </c>
      <c r="K5" s="11" t="n">
        <f aca="false">IFERROR(IF(INDEX(Matches!$AA$5:$AA$17,MATCH($C5,Matches!$A$5:$A$17,0))="","",INDEX(Matches!$AA$5:$AA$17,MATCH($C5,Matches!$A$5:$A$17,0))),"")</f>
        <v>21.5</v>
      </c>
      <c r="L5" s="11" t="n">
        <f aca="false">IFERROR(IF(INDEX(Matches!$AB$5:$AB$17,MATCH($C5,Matches!$A$5:$A$17,0))="","",INDEX(Matches!$AB$5:$AB$17,MATCH($C5,Matches!$A$5:$A$17,0))),"")</f>
        <v>21.5</v>
      </c>
      <c r="M5" s="10" t="n">
        <f aca="false">IFERROR(IF(INDEX(Matches!$AC$5:$AC$17,MATCH($C5,Matches!$A$5:$A$17,0))="","",INDEX(Matches!$AC$5:$AC$17,MATCH($C5,Matches!$A$5:$A$17,0))),"")</f>
        <v>0</v>
      </c>
      <c r="N5" s="9" t="n">
        <f aca="false">IFERROR(INDEX(Players!$F$2:$F$105,MATCH($F5,Players!$A$2:$A$105,0)),0)</f>
        <v>39</v>
      </c>
      <c r="O5" s="13" t="n">
        <f aca="false">IFERROR(1/(1/INDEX(Players!$H$2:$H$105,MATCH($F5,Players!$A$2:$A$105,0))),"")</f>
        <v>0.71</v>
      </c>
      <c r="P5" s="10" t="n">
        <f aca="false">IFERROR(1/(1/INDEX(Players!$I$2:$I$105,MATCH($F5,Players!$A$2:$A$105,0))),"")</f>
        <v>0.589</v>
      </c>
      <c r="Q5" s="9" t="n">
        <f aca="false">IF($G5="",0,SUMIFS(Map_Stats!$F$2:$F$642,Map_Stats!$A$2:$A$642,$F5&amp;"|"&amp;$G5))</f>
        <v>13</v>
      </c>
      <c r="R5" s="13" t="n">
        <f aca="false">IF($G5="","",IFERROR(1/(1/INDEX(Map_Stats!$K$2:$K$642,MATCH($F5&amp;"|"&amp;$G5,Map_Stats!$A$2:$A$642,0))),$O5))</f>
        <v>0.71</v>
      </c>
      <c r="S5" s="10" t="n">
        <f aca="false">IF(OR($G5="",$P5=""),"",IFERROR(1/(1/INDEX(Map_Stats!$I$2:$I$642,MATCH($F5&amp;"|"&amp;$G5,Map_Stats!$A$2:$A$642,0))),$P5))</f>
        <v>0.577</v>
      </c>
      <c r="T5" s="13" t="n">
        <f aca="false">IF(OR($G5="",R5=""),"",IF($O5="",R5,(Q5*R5+Config!$B$4*$O5)/(Q5+Config!$B$4)))</f>
        <v>0.71</v>
      </c>
      <c r="U5" s="10" t="n">
        <f aca="false">IF(S5="","",(Q5*S5+Config!$B$4*$P5)/(Q5+Config!$B$4))</f>
        <v>0.580333333333333</v>
      </c>
      <c r="V5" s="17" t="n">
        <f aca="false">IF(OR(T5="",$J5=""),"",T5*$J5*($J5/Config!$B$10)^Config!$B$9)</f>
        <v>15.265</v>
      </c>
      <c r="W5" s="17" t="n">
        <f aca="false">IF(OR(V5="",U5=""),"",V5*U5)</f>
        <v>8.85878833333334</v>
      </c>
      <c r="X5" s="9" t="n">
        <f aca="false">IF($H5="",0,SUMIFS(Map_Stats!$F$2:$F$642,Map_Stats!$A$2:$A$642,$F5&amp;"|"&amp;$H5))</f>
        <v>7</v>
      </c>
      <c r="Y5" s="13" t="n">
        <f aca="false">IF($H5="","",IFERROR(1/(1/INDEX(Map_Stats!$K$2:$K$642,MATCH($F5&amp;"|"&amp;$H5,Map_Stats!$A$2:$A$642,0))),$O5))</f>
        <v>0.75</v>
      </c>
      <c r="Z5" s="10" t="n">
        <f aca="false">IF(OR($H5="",$P5=""),"",IFERROR(1/(1/INDEX(Map_Stats!$I$2:$I$642,MATCH($F5&amp;"|"&amp;$H5,Map_Stats!$A$2:$A$642,0))),$P5))</f>
        <v>0.611</v>
      </c>
      <c r="AA5" s="13" t="n">
        <f aca="false">IF(OR($H5="",Y5=""),"",IF($O5="",Y5,(X5*Y5+Config!$B$4*$O5)/(X5+Config!$B$4)))</f>
        <v>0.733333333333333</v>
      </c>
      <c r="AB5" s="10" t="n">
        <f aca="false">IF(Z5="","",(X5*Z5+Config!$B$4*$P5)/(X5+Config!$B$4))</f>
        <v>0.601833333333333</v>
      </c>
      <c r="AC5" s="17" t="n">
        <f aca="false">IF(OR(AA5="",$K5=""),"",AA5*$K5*($K5/Config!$B$10)^Config!$B$9)</f>
        <v>15.7666666666667</v>
      </c>
      <c r="AD5" s="17" t="n">
        <f aca="false">IF(OR(AC5="",AB5=""),"",AC5*AB5)</f>
        <v>9.48890555555556</v>
      </c>
      <c r="AE5" s="9" t="n">
        <f aca="false">IF($I5="",0,SUMIFS(Map_Stats!$F$2:$F$642,Map_Stats!$A$2:$A$642,$F5&amp;"|"&amp;$I5))</f>
        <v>6</v>
      </c>
      <c r="AF5" s="13" t="n">
        <f aca="false">IF($I5="","",IFERROR(1/(1/INDEX(Map_Stats!$K$2:$K$642,MATCH($F5&amp;"|"&amp;$I5,Map_Stats!$A$2:$A$642,0))),$O5))</f>
        <v>0.65</v>
      </c>
      <c r="AG5" s="10" t="n">
        <f aca="false">IF(OR($I5="",$P5=""),"",IFERROR(1/(1/INDEX(Map_Stats!$I$2:$I$642,MATCH($F5&amp;"|"&amp;$I5,Map_Stats!$A$2:$A$642,0))),$P5))</f>
        <v>0.557</v>
      </c>
      <c r="AH5" s="13" t="n">
        <f aca="false">IF(OR($I5="",AF5=""),"",IF($O5="",AF5,(AE5*AF5+Config!$B$4*$O5)/(AE5+Config!$B$4)))</f>
        <v>0.677272727272727</v>
      </c>
      <c r="AI5" s="10" t="n">
        <f aca="false">IF(AG5="","",(AE5*AG5+Config!$B$4*$P5)/(AE5+Config!$B$4))</f>
        <v>0.571545454545455</v>
      </c>
      <c r="AJ5" s="17" t="n">
        <f aca="false">IF(OR(AH5="",$L5=""),"",AH5*$L5*($L5/Config!$B$10)^Config!$B$9)</f>
        <v>14.5613636363636</v>
      </c>
      <c r="AK5" s="17" t="n">
        <f aca="false">IF(OR(AJ5="",AI5=""),"",AJ5*AI5)</f>
        <v>8.32248119834711</v>
      </c>
      <c r="AL5" s="17" t="n">
        <f aca="false">N(V5)+N(AC5)</f>
        <v>31.0316666666667</v>
      </c>
      <c r="AM5" s="17" t="n">
        <f aca="false">AL5+N($M5)*N(AJ5)</f>
        <v>31.0316666666667</v>
      </c>
      <c r="AN5" s="17" t="n">
        <f aca="false">IF(W5="","",N(W5)+N(AD5))</f>
        <v>18.3476938888889</v>
      </c>
      <c r="AO5" s="17" t="n">
        <f aca="false">IF(AN5="","",AN5+N($M5)*N(AK5))</f>
        <v>18.3476938888889</v>
      </c>
      <c r="AP5" s="10" t="n">
        <f aca="false">IFERROR(AN5/AL5,"")</f>
        <v>0.591257120862202</v>
      </c>
      <c r="AQ5" s="0" t="str">
        <f aca="false">TRIM(IF($N5&lt;Config!$B$12,"thin sample ("&amp;$N5&amp;" maps) · ","")&amp;IF(AND($G5&lt;&gt;"",Q5=0),"M1 unplayed→overall KPR · ","")&amp;IF(AND($H5&lt;&gt;"",X5=0),"M2 unplayed→overall KPR · ","")&amp;IF($O5="","no PickFinder stats",""))</f>
        <v/>
      </c>
      <c r="AR5" s="9" t="n">
        <f aca="false">IF($C5=Board!$B$2,COUNTIFS($C$2:$C$105,Board!$B$2,$AL$2:$AL$105,"&gt;"&amp;$AL5)+COUNTIFS($C$1:$C4,Board!$B$2,$AL$1:$AL4,$AL5)+1,"")</f>
        <v>3</v>
      </c>
      <c r="AS5" s="0" t="str">
        <f aca="false">IFERROR(IF($D5=INDEX(Matches!$AD$5:$AD$17,MATCH($C5,Matches!$A$5:$A$17,0)),"A",IF($D5=INDEX(Matches!$AE$5:$AE$17,MATCH($C5,Matches!$A$5:$A$17,0)),"B","")),"")</f>
        <v>B</v>
      </c>
      <c r="AT5" s="10" t="n">
        <f aca="false">IF($AS5="","",IFERROR(IF($AS5="A",INDEX(Matches!$AI$5:$AI$17,MATCH($C5,Matches!$A$5:$A$17,0)),INDEX(Matches!$AJ$5:$AJ$17,MATCH($C5,Matches!$A$5:$A$17,0))),""))</f>
        <v>0.54083383865982</v>
      </c>
      <c r="AU5" s="10" t="str">
        <f aca="false">IF($AS5="","",IFERROR(IF(INDEX(Matches!$AP$5:$AP$17,MATCH($C5,Matches!$A$5:$A$17,0))="","",IF($AS5="A",INDEX(Matches!$AP$5:$AP$17,MATCH($C5,Matches!$A$5:$A$17,0)),1-INDEX(Matches!$AP$5:$AP$17,MATCH($C5,Matches!$A$5:$A$17,0)))),""))</f>
        <v/>
      </c>
      <c r="AV5" s="13" t="n">
        <f aca="false">IF(OR($AU5="",$AT5=""),1,((Config!$B$14*$AU5+Config!$B$15*(1-$AU5))/(Config!$B$14*$AT5+Config!$B$15*(1-$AT5)))^Config!$B$13)</f>
        <v>1</v>
      </c>
      <c r="AW5" s="10" t="str">
        <f aca="false">IF($AS5="","",IFERROR(IF(INDEX(Matches!$AV$5:$AV$17,MATCH($C5,Matches!$A$5:$A$17,0))="","",IF($AS5="A",INDEX(Matches!$AV$5:$AV$17,MATCH($C5,Matches!$A$5:$A$17,0)),1-INDEX(Matches!$AV$5:$AV$17,MATCH($C5,Matches!$A$5:$A$17,0)))),""))</f>
        <v/>
      </c>
      <c r="AX5" s="13" t="n">
        <f aca="false">IF(OR($AW5="",$AT5=""),1,((Config!$B$14*$AW5+Config!$B$15*(1-$AW5))/(Config!$B$14*$AT5+Config!$B$15*(1-$AT5)))^Config!$B$13)</f>
        <v>1</v>
      </c>
      <c r="AY5" s="10" t="str">
        <f aca="false">IF($AS5="","",IFERROR(IF(INDEX(Matches!$BB$5:$BB$17,MATCH($C5,Matches!$A$5:$A$17,0))="","",IF($AS5="A",INDEX(Matches!$BB$5:$BB$17,MATCH($C5,Matches!$A$5:$A$17,0)),1-INDEX(Matches!$BB$5:$BB$17,MATCH($C5,Matches!$A$5:$A$17,0)))),""))</f>
        <v/>
      </c>
      <c r="AZ5" s="13" t="n">
        <f aca="false">IF(OR($AY5="",$AT5=""),1,((Config!$B$14*$AY5+Config!$B$15*(1-$AY5))/(Config!$B$14*$AT5+Config!$B$15*(1-$AT5)))^Config!$B$13)</f>
        <v>1</v>
      </c>
      <c r="BA5" s="17" t="n">
        <f aca="false">IF(V5="","",V5*$AV5)</f>
        <v>15.265</v>
      </c>
      <c r="BB5" s="17" t="n">
        <f aca="false">IF(AC5="","",AC5*$AX5)</f>
        <v>15.7666666666667</v>
      </c>
      <c r="BC5" s="17" t="n">
        <f aca="false">IF(AJ5="","",AJ5*$AZ5)</f>
        <v>14.5613636363636</v>
      </c>
      <c r="BD5" s="17" t="n">
        <f aca="false">N(BA5)+N(BB5)</f>
        <v>31.0316666666667</v>
      </c>
      <c r="BE5" s="17" t="n">
        <f aca="false">BD5+N($M5)*N(BC5)</f>
        <v>31.0316666666667</v>
      </c>
      <c r="BF5" s="17" t="n">
        <f aca="false">IF(W5="","",W5*$AV5)</f>
        <v>8.85878833333334</v>
      </c>
      <c r="BG5" s="17" t="n">
        <f aca="false">IF(AD5="","",AD5*$AX5)</f>
        <v>9.48890555555556</v>
      </c>
      <c r="BH5" s="17" t="n">
        <f aca="false">IF(AK5="","",AK5*$AZ5)</f>
        <v>8.32248119834711</v>
      </c>
      <c r="BI5" s="17" t="n">
        <f aca="false">IF(BF5="","",N(BF5)+N(BG5))</f>
        <v>18.3476938888889</v>
      </c>
      <c r="BJ5" s="17" t="n">
        <f aca="false">IF(BI5="","",BI5+N($M5)*N(BH5))</f>
        <v>18.3476938888889</v>
      </c>
      <c r="BK5" s="13" t="n">
        <f aca="false">IFERROR(BD5/AL5,1)</f>
        <v>1</v>
      </c>
    </row>
    <row r="6" customFormat="false" ht="15" hidden="false" customHeight="false" outlineLevel="0" collapsed="false">
      <c r="A6" s="0" t="s">
        <v>905</v>
      </c>
      <c r="B6" s="0" t="s">
        <v>775</v>
      </c>
      <c r="C6" s="0" t="s">
        <v>692</v>
      </c>
      <c r="D6" s="0" t="s">
        <v>784</v>
      </c>
      <c r="E6" s="0" t="s">
        <v>903</v>
      </c>
      <c r="F6" s="0" t="s">
        <v>1171</v>
      </c>
      <c r="G6" s="0" t="str">
        <f aca="false">IFERROR(IF(INDEX(Matches!$W$5:$W$17,MATCH($C6,Matches!$A$5:$A$17,0))="","",INDEX(Matches!$W$5:$W$17,MATCH($C6,Matches!$A$5:$A$17,0))),"")</f>
        <v>Dust2</v>
      </c>
      <c r="H6" s="0" t="str">
        <f aca="false">IFERROR(IF(INDEX(Matches!$X$5:$X$17,MATCH($C6,Matches!$A$5:$A$17,0))="","",INDEX(Matches!$X$5:$X$17,MATCH($C6,Matches!$A$5:$A$17,0))),"")</f>
        <v>Cache</v>
      </c>
      <c r="I6" s="0" t="str">
        <f aca="false">IFERROR(IF(INDEX(Matches!$Y$5:$Y$17,MATCH($C6,Matches!$A$5:$A$17,0))="","",INDEX(Matches!$Y$5:$Y$17,MATCH($C6,Matches!$A$5:$A$17,0))),"")</f>
        <v>Ancient</v>
      </c>
      <c r="J6" s="11" t="n">
        <f aca="false">IFERROR(IF(INDEX(Matches!$Z$5:$Z$17,MATCH($C6,Matches!$A$5:$A$17,0))="","",INDEX(Matches!$Z$5:$Z$17,MATCH($C6,Matches!$A$5:$A$17,0))),"")</f>
        <v>21.5</v>
      </c>
      <c r="K6" s="11" t="n">
        <f aca="false">IFERROR(IF(INDEX(Matches!$AA$5:$AA$17,MATCH($C6,Matches!$A$5:$A$17,0))="","",INDEX(Matches!$AA$5:$AA$17,MATCH($C6,Matches!$A$5:$A$17,0))),"")</f>
        <v>21.5</v>
      </c>
      <c r="L6" s="11" t="n">
        <f aca="false">IFERROR(IF(INDEX(Matches!$AB$5:$AB$17,MATCH($C6,Matches!$A$5:$A$17,0))="","",INDEX(Matches!$AB$5:$AB$17,MATCH($C6,Matches!$A$5:$A$17,0))),"")</f>
        <v>21.5</v>
      </c>
      <c r="M6" s="10" t="n">
        <f aca="false">IFERROR(IF(INDEX(Matches!$AC$5:$AC$17,MATCH($C6,Matches!$A$5:$A$17,0))="","",INDEX(Matches!$AC$5:$AC$17,MATCH($C6,Matches!$A$5:$A$17,0))),"")</f>
        <v>0</v>
      </c>
      <c r="N6" s="9" t="n">
        <f aca="false">IFERROR(INDEX(Players!$F$2:$F$105,MATCH($F6,Players!$A$2:$A$105,0)),0)</f>
        <v>39</v>
      </c>
      <c r="O6" s="13" t="n">
        <f aca="false">IFERROR(1/(1/INDEX(Players!$H$2:$H$105,MATCH($F6,Players!$A$2:$A$105,0))),"")</f>
        <v>0.59</v>
      </c>
      <c r="P6" s="10" t="n">
        <f aca="false">IFERROR(1/(1/INDEX(Players!$I$2:$I$105,MATCH($F6,Players!$A$2:$A$105,0))),"")</f>
        <v>0.602</v>
      </c>
      <c r="Q6" s="9" t="n">
        <f aca="false">IF($G6="",0,SUMIFS(Map_Stats!$F$2:$F$642,Map_Stats!$A$2:$A$642,$F6&amp;"|"&amp;$G6))</f>
        <v>13</v>
      </c>
      <c r="R6" s="13" t="n">
        <f aca="false">IF($G6="","",IFERROR(1/(1/INDEX(Map_Stats!$K$2:$K$642,MATCH($F6&amp;"|"&amp;$G6,Map_Stats!$A$2:$A$642,0))),$O6))</f>
        <v>0.62</v>
      </c>
      <c r="S6" s="10" t="n">
        <f aca="false">IF(OR($G6="",$P6=""),"",IFERROR(1/(1/INDEX(Map_Stats!$I$2:$I$642,MATCH($F6&amp;"|"&amp;$G6,Map_Stats!$A$2:$A$642,0))),$P6))</f>
        <v>0.656</v>
      </c>
      <c r="T6" s="13" t="n">
        <f aca="false">IF(OR($G6="",R6=""),"",IF($O6="",R6,(Q6*R6+Config!$B$4*$O6)/(Q6+Config!$B$4)))</f>
        <v>0.611666666666667</v>
      </c>
      <c r="U6" s="10" t="n">
        <f aca="false">IF(S6="","",(Q6*S6+Config!$B$4*$P6)/(Q6+Config!$B$4))</f>
        <v>0.641</v>
      </c>
      <c r="V6" s="17" t="n">
        <f aca="false">IF(OR(T6="",$J6=""),"",T6*$J6*($J6/Config!$B$10)^Config!$B$9)</f>
        <v>13.1508333333333</v>
      </c>
      <c r="W6" s="17" t="n">
        <f aca="false">IF(OR(V6="",U6=""),"",V6*U6)</f>
        <v>8.42968416666667</v>
      </c>
      <c r="X6" s="9" t="n">
        <f aca="false">IF($H6="",0,SUMIFS(Map_Stats!$F$2:$F$642,Map_Stats!$A$2:$A$642,$F6&amp;"|"&amp;$H6))</f>
        <v>7</v>
      </c>
      <c r="Y6" s="13" t="n">
        <f aca="false">IF($H6="","",IFERROR(1/(1/INDEX(Map_Stats!$K$2:$K$642,MATCH($F6&amp;"|"&amp;$H6,Map_Stats!$A$2:$A$642,0))),$O6))</f>
        <v>0.66</v>
      </c>
      <c r="Z6" s="10" t="n">
        <f aca="false">IF(OR($H6="",$P6=""),"",IFERROR(1/(1/INDEX(Map_Stats!$I$2:$I$642,MATCH($F6&amp;"|"&amp;$H6,Map_Stats!$A$2:$A$642,0))),$P6))</f>
        <v>0.62</v>
      </c>
      <c r="AA6" s="13" t="n">
        <f aca="false">IF(OR($H6="",Y6=""),"",IF($O6="",Y6,(X6*Y6+Config!$B$4*$O6)/(X6+Config!$B$4)))</f>
        <v>0.630833333333333</v>
      </c>
      <c r="AB6" s="10" t="n">
        <f aca="false">IF(Z6="","",(X6*Z6+Config!$B$4*$P6)/(X6+Config!$B$4))</f>
        <v>0.6125</v>
      </c>
      <c r="AC6" s="17" t="n">
        <f aca="false">IF(OR(AA6="",$K6=""),"",AA6*$K6*($K6/Config!$B$10)^Config!$B$9)</f>
        <v>13.5629166666667</v>
      </c>
      <c r="AD6" s="17" t="n">
        <f aca="false">IF(OR(AC6="",AB6=""),"",AC6*AB6)</f>
        <v>8.30728645833333</v>
      </c>
      <c r="AE6" s="9" t="n">
        <f aca="false">IF($I6="",0,SUMIFS(Map_Stats!$F$2:$F$642,Map_Stats!$A$2:$A$642,$F6&amp;"|"&amp;$I6))</f>
        <v>6</v>
      </c>
      <c r="AF6" s="13" t="n">
        <f aca="false">IF($I6="","",IFERROR(1/(1/INDEX(Map_Stats!$K$2:$K$642,MATCH($F6&amp;"|"&amp;$I6,Map_Stats!$A$2:$A$642,0))),$O6))</f>
        <v>0.65</v>
      </c>
      <c r="AG6" s="10" t="n">
        <f aca="false">IF(OR($I6="",$P6=""),"",IFERROR(1/(1/INDEX(Map_Stats!$I$2:$I$642,MATCH($F6&amp;"|"&amp;$I6,Map_Stats!$A$2:$A$642,0))),$P6))</f>
        <v>0.519</v>
      </c>
      <c r="AH6" s="13" t="n">
        <f aca="false">IF(OR($I6="",AF6=""),"",IF($O6="",AF6,(AE6*AF6+Config!$B$4*$O6)/(AE6+Config!$B$4)))</f>
        <v>0.622727272727273</v>
      </c>
      <c r="AI6" s="10" t="n">
        <f aca="false">IF(AG6="","",(AE6*AG6+Config!$B$4*$P6)/(AE6+Config!$B$4))</f>
        <v>0.556727272727273</v>
      </c>
      <c r="AJ6" s="17" t="n">
        <f aca="false">IF(OR(AH6="",$L6=""),"",AH6*$L6*($L6/Config!$B$10)^Config!$B$9)</f>
        <v>13.3886363636364</v>
      </c>
      <c r="AK6" s="17" t="n">
        <f aca="false">IF(OR(AJ6="",AI6=""),"",AJ6*AI6)</f>
        <v>7.45381900826446</v>
      </c>
      <c r="AL6" s="17" t="n">
        <f aca="false">N(V6)+N(AC6)</f>
        <v>26.71375</v>
      </c>
      <c r="AM6" s="17" t="n">
        <f aca="false">AL6+N($M6)*N(AJ6)</f>
        <v>26.71375</v>
      </c>
      <c r="AN6" s="17" t="n">
        <f aca="false">IF(W6="","",N(W6)+N(AD6))</f>
        <v>16.736970625</v>
      </c>
      <c r="AO6" s="17" t="n">
        <f aca="false">IF(AN6="","",AN6+N($M6)*N(AK6))</f>
        <v>16.736970625</v>
      </c>
      <c r="AP6" s="10" t="n">
        <f aca="false">IFERROR(AN6/AL6,"")</f>
        <v>0.626530181086519</v>
      </c>
      <c r="AQ6" s="0" t="str">
        <f aca="false">TRIM(IF($N6&lt;Config!$B$12,"thin sample ("&amp;$N6&amp;" maps) · ","")&amp;IF(AND($G6&lt;&gt;"",Q6=0),"M1 unplayed→overall KPR · ","")&amp;IF(AND($H6&lt;&gt;"",X6=0),"M2 unplayed→overall KPR · ","")&amp;IF($O6="","no PickFinder stats",""))</f>
        <v/>
      </c>
      <c r="AR6" s="9" t="n">
        <f aca="false">IF($C6=Board!$B$2,COUNTIFS($C$2:$C$105,Board!$B$2,$AL$2:$AL$105,"&gt;"&amp;$AL6)+COUNTIFS($C$1:$C5,Board!$B$2,$AL$1:$AL5,$AL6)+1,"")</f>
        <v>5</v>
      </c>
      <c r="AS6" s="0" t="str">
        <f aca="false">IFERROR(IF($D6=INDEX(Matches!$AD$5:$AD$17,MATCH($C6,Matches!$A$5:$A$17,0)),"A",IF($D6=INDEX(Matches!$AE$5:$AE$17,MATCH($C6,Matches!$A$5:$A$17,0)),"B","")),"")</f>
        <v>B</v>
      </c>
      <c r="AT6" s="10" t="n">
        <f aca="false">IF($AS6="","",IFERROR(IF($AS6="A",INDEX(Matches!$AI$5:$AI$17,MATCH($C6,Matches!$A$5:$A$17,0)),INDEX(Matches!$AJ$5:$AJ$17,MATCH($C6,Matches!$A$5:$A$17,0))),""))</f>
        <v>0.54083383865982</v>
      </c>
      <c r="AU6" s="10" t="str">
        <f aca="false">IF($AS6="","",IFERROR(IF(INDEX(Matches!$AP$5:$AP$17,MATCH($C6,Matches!$A$5:$A$17,0))="","",IF($AS6="A",INDEX(Matches!$AP$5:$AP$17,MATCH($C6,Matches!$A$5:$A$17,0)),1-INDEX(Matches!$AP$5:$AP$17,MATCH($C6,Matches!$A$5:$A$17,0)))),""))</f>
        <v/>
      </c>
      <c r="AV6" s="13" t="n">
        <f aca="false">IF(OR($AU6="",$AT6=""),1,((Config!$B$14*$AU6+Config!$B$15*(1-$AU6))/(Config!$B$14*$AT6+Config!$B$15*(1-$AT6)))^Config!$B$13)</f>
        <v>1</v>
      </c>
      <c r="AW6" s="10" t="str">
        <f aca="false">IF($AS6="","",IFERROR(IF(INDEX(Matches!$AV$5:$AV$17,MATCH($C6,Matches!$A$5:$A$17,0))="","",IF($AS6="A",INDEX(Matches!$AV$5:$AV$17,MATCH($C6,Matches!$A$5:$A$17,0)),1-INDEX(Matches!$AV$5:$AV$17,MATCH($C6,Matches!$A$5:$A$17,0)))),""))</f>
        <v/>
      </c>
      <c r="AX6" s="13" t="n">
        <f aca="false">IF(OR($AW6="",$AT6=""),1,((Config!$B$14*$AW6+Config!$B$15*(1-$AW6))/(Config!$B$14*$AT6+Config!$B$15*(1-$AT6)))^Config!$B$13)</f>
        <v>1</v>
      </c>
      <c r="AY6" s="10" t="str">
        <f aca="false">IF($AS6="","",IFERROR(IF(INDEX(Matches!$BB$5:$BB$17,MATCH($C6,Matches!$A$5:$A$17,0))="","",IF($AS6="A",INDEX(Matches!$BB$5:$BB$17,MATCH($C6,Matches!$A$5:$A$17,0)),1-INDEX(Matches!$BB$5:$BB$17,MATCH($C6,Matches!$A$5:$A$17,0)))),""))</f>
        <v/>
      </c>
      <c r="AZ6" s="13" t="n">
        <f aca="false">IF(OR($AY6="",$AT6=""),1,((Config!$B$14*$AY6+Config!$B$15*(1-$AY6))/(Config!$B$14*$AT6+Config!$B$15*(1-$AT6)))^Config!$B$13)</f>
        <v>1</v>
      </c>
      <c r="BA6" s="17" t="n">
        <f aca="false">IF(V6="","",V6*$AV6)</f>
        <v>13.1508333333333</v>
      </c>
      <c r="BB6" s="17" t="n">
        <f aca="false">IF(AC6="","",AC6*$AX6)</f>
        <v>13.5629166666667</v>
      </c>
      <c r="BC6" s="17" t="n">
        <f aca="false">IF(AJ6="","",AJ6*$AZ6)</f>
        <v>13.3886363636364</v>
      </c>
      <c r="BD6" s="17" t="n">
        <f aca="false">N(BA6)+N(BB6)</f>
        <v>26.71375</v>
      </c>
      <c r="BE6" s="17" t="n">
        <f aca="false">BD6+N($M6)*N(BC6)</f>
        <v>26.71375</v>
      </c>
      <c r="BF6" s="17" t="n">
        <f aca="false">IF(W6="","",W6*$AV6)</f>
        <v>8.42968416666667</v>
      </c>
      <c r="BG6" s="17" t="n">
        <f aca="false">IF(AD6="","",AD6*$AX6)</f>
        <v>8.30728645833333</v>
      </c>
      <c r="BH6" s="17" t="n">
        <f aca="false">IF(AK6="","",AK6*$AZ6)</f>
        <v>7.45381900826446</v>
      </c>
      <c r="BI6" s="17" t="n">
        <f aca="false">IF(BF6="","",N(BF6)+N(BG6))</f>
        <v>16.736970625</v>
      </c>
      <c r="BJ6" s="17" t="n">
        <f aca="false">IF(BI6="","",BI6+N($M6)*N(BH6))</f>
        <v>16.736970625</v>
      </c>
      <c r="BK6" s="13" t="n">
        <f aca="false">IFERROR(BD6/AL6,1)</f>
        <v>1</v>
      </c>
    </row>
    <row r="7" customFormat="false" ht="15" hidden="false" customHeight="false" outlineLevel="0" collapsed="false">
      <c r="A7" s="0" t="s">
        <v>908</v>
      </c>
      <c r="B7" s="0" t="s">
        <v>775</v>
      </c>
      <c r="C7" s="0" t="s">
        <v>835</v>
      </c>
      <c r="D7" s="0" t="s">
        <v>842</v>
      </c>
      <c r="E7" s="0" t="s">
        <v>906</v>
      </c>
      <c r="F7" s="0" t="s">
        <v>1172</v>
      </c>
      <c r="G7" s="0" t="str">
        <f aca="false">IFERROR(IF(INDEX(Matches!$W$5:$W$17,MATCH($C7,Matches!$A$5:$A$17,0))="","",INDEX(Matches!$W$5:$W$17,MATCH($C7,Matches!$A$5:$A$17,0))),"")</f>
        <v>Inferno</v>
      </c>
      <c r="H7" s="0" t="str">
        <f aca="false">IFERROR(IF(INDEX(Matches!$X$5:$X$17,MATCH($C7,Matches!$A$5:$A$17,0))="","",INDEX(Matches!$X$5:$X$17,MATCH($C7,Matches!$A$5:$A$17,0))),"")</f>
        <v>Dust2</v>
      </c>
      <c r="I7" s="0" t="str">
        <f aca="false">IFERROR(IF(INDEX(Matches!$Y$5:$Y$17,MATCH($C7,Matches!$A$5:$A$17,0))="","",INDEX(Matches!$Y$5:$Y$17,MATCH($C7,Matches!$A$5:$A$17,0))),"")</f>
        <v>Ancient</v>
      </c>
      <c r="J7" s="11" t="n">
        <f aca="false">IFERROR(IF(INDEX(Matches!$Z$5:$Z$17,MATCH($C7,Matches!$A$5:$A$17,0))="","",INDEX(Matches!$Z$5:$Z$17,MATCH($C7,Matches!$A$5:$A$17,0))),"")</f>
        <v>21.5</v>
      </c>
      <c r="K7" s="11" t="n">
        <f aca="false">IFERROR(IF(INDEX(Matches!$AA$5:$AA$17,MATCH($C7,Matches!$A$5:$A$17,0))="","",INDEX(Matches!$AA$5:$AA$17,MATCH($C7,Matches!$A$5:$A$17,0))),"")</f>
        <v>21.5</v>
      </c>
      <c r="L7" s="11" t="n">
        <f aca="false">IFERROR(IF(INDEX(Matches!$AB$5:$AB$17,MATCH($C7,Matches!$A$5:$A$17,0))="","",INDEX(Matches!$AB$5:$AB$17,MATCH($C7,Matches!$A$5:$A$17,0))),"")</f>
        <v>21.5</v>
      </c>
      <c r="M7" s="10" t="n">
        <f aca="false">IFERROR(IF(INDEX(Matches!$AC$5:$AC$17,MATCH($C7,Matches!$A$5:$A$17,0))="","",INDEX(Matches!$AC$5:$AC$17,MATCH($C7,Matches!$A$5:$A$17,0))),"")</f>
        <v>0</v>
      </c>
      <c r="N7" s="9" t="n">
        <f aca="false">IFERROR(INDEX(Players!$F$2:$F$105,MATCH($F7,Players!$A$2:$A$105,0)),0)</f>
        <v>32</v>
      </c>
      <c r="O7" s="13" t="n">
        <f aca="false">IFERROR(1/(1/INDEX(Players!$H$2:$H$105,MATCH($F7,Players!$A$2:$A$105,0))),"")</f>
        <v>0.74</v>
      </c>
      <c r="P7" s="10" t="n">
        <f aca="false">IFERROR(1/(1/INDEX(Players!$I$2:$I$105,MATCH($F7,Players!$A$2:$A$105,0))),"")</f>
        <v>0.331</v>
      </c>
      <c r="Q7" s="9" t="n">
        <f aca="false">IF($G7="",0,SUMIFS(Map_Stats!$F$2:$F$642,Map_Stats!$A$2:$A$642,$F7&amp;"|"&amp;$G7))</f>
        <v>6</v>
      </c>
      <c r="R7" s="13" t="n">
        <f aca="false">IF($G7="","",IFERROR(1/(1/INDEX(Map_Stats!$K$2:$K$642,MATCH($F7&amp;"|"&amp;$G7,Map_Stats!$A$2:$A$642,0))),$O7))</f>
        <v>0.69</v>
      </c>
      <c r="S7" s="10" t="n">
        <f aca="false">IF(OR($G7="",$P7=""),"",IFERROR(1/(1/INDEX(Map_Stats!$I$2:$I$642,MATCH($F7&amp;"|"&amp;$G7,Map_Stats!$A$2:$A$642,0))),$P7))</f>
        <v>0.424</v>
      </c>
      <c r="T7" s="13" t="n">
        <f aca="false">IF(OR($G7="",R7=""),"",IF($O7="",R7,(Q7*R7+Config!$B$4*$O7)/(Q7+Config!$B$4)))</f>
        <v>0.712727272727273</v>
      </c>
      <c r="U7" s="10" t="n">
        <f aca="false">IF(S7="","",(Q7*S7+Config!$B$4*$P7)/(Q7+Config!$B$4))</f>
        <v>0.381727272727273</v>
      </c>
      <c r="V7" s="17" t="n">
        <f aca="false">IF(OR(T7="",$J7=""),"",T7*$J7*($J7/Config!$B$10)^Config!$B$9)</f>
        <v>15.3236363636364</v>
      </c>
      <c r="W7" s="17" t="n">
        <f aca="false">IF(OR(V7="",U7=""),"",V7*U7)</f>
        <v>5.84944991735537</v>
      </c>
      <c r="X7" s="9" t="n">
        <f aca="false">IF($H7="",0,SUMIFS(Map_Stats!$F$2:$F$642,Map_Stats!$A$2:$A$642,$F7&amp;"|"&amp;$H7))</f>
        <v>6</v>
      </c>
      <c r="Y7" s="13" t="n">
        <f aca="false">IF($H7="","",IFERROR(1/(1/INDEX(Map_Stats!$K$2:$K$642,MATCH($F7&amp;"|"&amp;$H7,Map_Stats!$A$2:$A$642,0))),$O7))</f>
        <v>0.71</v>
      </c>
      <c r="Z7" s="10" t="n">
        <f aca="false">IF(OR($H7="",$P7=""),"",IFERROR(1/(1/INDEX(Map_Stats!$I$2:$I$642,MATCH($F7&amp;"|"&amp;$H7,Map_Stats!$A$2:$A$642,0))),$P7))</f>
        <v>0.311</v>
      </c>
      <c r="AA7" s="13" t="n">
        <f aca="false">IF(OR($H7="",Y7=""),"",IF($O7="",Y7,(X7*Y7+Config!$B$4*$O7)/(X7+Config!$B$4)))</f>
        <v>0.723636363636364</v>
      </c>
      <c r="AB7" s="10" t="n">
        <f aca="false">IF(Z7="","",(X7*Z7+Config!$B$4*$P7)/(X7+Config!$B$4))</f>
        <v>0.320090909090909</v>
      </c>
      <c r="AC7" s="17" t="n">
        <f aca="false">IF(OR(AA7="",$K7=""),"",AA7*$K7*($K7/Config!$B$10)^Config!$B$9)</f>
        <v>15.5581818181818</v>
      </c>
      <c r="AD7" s="17" t="n">
        <f aca="false">IF(OR(AC7="",AB7=""),"",AC7*AB7)</f>
        <v>4.98003256198347</v>
      </c>
      <c r="AE7" s="9" t="n">
        <f aca="false">IF($I7="",0,SUMIFS(Map_Stats!$F$2:$F$642,Map_Stats!$A$2:$A$642,$F7&amp;"|"&amp;$I7))</f>
        <v>4</v>
      </c>
      <c r="AF7" s="13" t="n">
        <f aca="false">IF($I7="","",IFERROR(1/(1/INDEX(Map_Stats!$K$2:$K$642,MATCH($F7&amp;"|"&amp;$I7,Map_Stats!$A$2:$A$642,0))),$O7))</f>
        <v>0.71</v>
      </c>
      <c r="AG7" s="10" t="n">
        <f aca="false">IF(OR($I7="",$P7=""),"",IFERROR(1/(1/INDEX(Map_Stats!$I$2:$I$642,MATCH($F7&amp;"|"&amp;$I7,Map_Stats!$A$2:$A$642,0))),$P7))</f>
        <v>0.348</v>
      </c>
      <c r="AH7" s="13" t="n">
        <f aca="false">IF(OR($I7="",AF7=""),"",IF($O7="",AF7,(AE7*AF7+Config!$B$4*$O7)/(AE7+Config!$B$4)))</f>
        <v>0.726666666666667</v>
      </c>
      <c r="AI7" s="10" t="n">
        <f aca="false">IF(AG7="","",(AE7*AG7+Config!$B$4*$P7)/(AE7+Config!$B$4))</f>
        <v>0.338555555555556</v>
      </c>
      <c r="AJ7" s="17" t="n">
        <f aca="false">IF(OR(AH7="",$L7=""),"",AH7*$L7*($L7/Config!$B$10)^Config!$B$9)</f>
        <v>15.6233333333333</v>
      </c>
      <c r="AK7" s="17" t="n">
        <f aca="false">IF(OR(AJ7="",AI7=""),"",AJ7*AI7)</f>
        <v>5.2893662962963</v>
      </c>
      <c r="AL7" s="17" t="n">
        <f aca="false">N(V7)+N(AC7)</f>
        <v>30.8818181818182</v>
      </c>
      <c r="AM7" s="17" t="n">
        <f aca="false">AL7+N($M7)*N(AJ7)</f>
        <v>30.8818181818182</v>
      </c>
      <c r="AN7" s="17" t="n">
        <f aca="false">IF(W7="","",N(W7)+N(AD7))</f>
        <v>10.8294824793388</v>
      </c>
      <c r="AO7" s="17" t="n">
        <f aca="false">IF(AN7="","",AN7+N($M7)*N(AK7))</f>
        <v>10.8294824793388</v>
      </c>
      <c r="AP7" s="10" t="n">
        <f aca="false">IFERROR(AN7/AL7,"")</f>
        <v>0.3506750287687</v>
      </c>
      <c r="AQ7" s="0" t="str">
        <f aca="false">TRIM(IF($N7&lt;Config!$B$12,"thin sample ("&amp;$N7&amp;" maps) · ","")&amp;IF(AND($G7&lt;&gt;"",Q7=0),"M1 unplayed→overall KPR · ","")&amp;IF(AND($H7&lt;&gt;"",X7=0),"M2 unplayed→overall KPR · ","")&amp;IF($O7="","no PickFinder stats",""))</f>
        <v/>
      </c>
      <c r="AR7" s="0" t="str">
        <f aca="false">IF($C7=Board!$B$2,COUNTIFS($C$2:$C$105,Board!$B$2,$AL$2:$AL$105,"&gt;"&amp;$AL7)+COUNTIFS($C$1:$C6,Board!$B$2,$AL$1:$AL6,$AL7)+1,"")</f>
        <v/>
      </c>
      <c r="AS7" s="0" t="str">
        <f aca="false">IFERROR(IF($D7=INDEX(Matches!$AD$5:$AD$17,MATCH($C7,Matches!$A$5:$A$17,0)),"A",IF($D7=INDEX(Matches!$AE$5:$AE$17,MATCH($C7,Matches!$A$5:$A$17,0)),"B","")),"")</f>
        <v>B</v>
      </c>
      <c r="AT7" s="10" t="n">
        <f aca="false">IF($AS7="","",IFERROR(IF($AS7="A",INDEX(Matches!$AI$5:$AI$17,MATCH($C7,Matches!$A$5:$A$17,0)),INDEX(Matches!$AJ$5:$AJ$17,MATCH($C7,Matches!$A$5:$A$17,0))),""))</f>
        <v>0</v>
      </c>
      <c r="AU7" s="10" t="str">
        <f aca="false">IF($AS7="","",IFERROR(IF(INDEX(Matches!$AP$5:$AP$17,MATCH($C7,Matches!$A$5:$A$17,0))="","",IF($AS7="A",INDEX(Matches!$AP$5:$AP$17,MATCH($C7,Matches!$A$5:$A$17,0)),1-INDEX(Matches!$AP$5:$AP$17,MATCH($C7,Matches!$A$5:$A$17,0)))),""))</f>
        <v/>
      </c>
      <c r="AV7" s="13" t="n">
        <f aca="false">IF(OR($AU7="",$AT7=""),1,((Config!$B$14*$AU7+Config!$B$15*(1-$AU7))/(Config!$B$14*$AT7+Config!$B$15*(1-$AT7)))^Config!$B$13)</f>
        <v>1</v>
      </c>
      <c r="AW7" s="10" t="str">
        <f aca="false">IF($AS7="","",IFERROR(IF(INDEX(Matches!$AV$5:$AV$17,MATCH($C7,Matches!$A$5:$A$17,0))="","",IF($AS7="A",INDEX(Matches!$AV$5:$AV$17,MATCH($C7,Matches!$A$5:$A$17,0)),1-INDEX(Matches!$AV$5:$AV$17,MATCH($C7,Matches!$A$5:$A$17,0)))),""))</f>
        <v/>
      </c>
      <c r="AX7" s="13" t="n">
        <f aca="false">IF(OR($AW7="",$AT7=""),1,((Config!$B$14*$AW7+Config!$B$15*(1-$AW7))/(Config!$B$14*$AT7+Config!$B$15*(1-$AT7)))^Config!$B$13)</f>
        <v>1</v>
      </c>
      <c r="AY7" s="10" t="str">
        <f aca="false">IF($AS7="","",IFERROR(IF(INDEX(Matches!$BB$5:$BB$17,MATCH($C7,Matches!$A$5:$A$17,0))="","",IF($AS7="A",INDEX(Matches!$BB$5:$BB$17,MATCH($C7,Matches!$A$5:$A$17,0)),1-INDEX(Matches!$BB$5:$BB$17,MATCH($C7,Matches!$A$5:$A$17,0)))),""))</f>
        <v/>
      </c>
      <c r="AZ7" s="13" t="n">
        <f aca="false">IF(OR($AY7="",$AT7=""),1,((Config!$B$14*$AY7+Config!$B$15*(1-$AY7))/(Config!$B$14*$AT7+Config!$B$15*(1-$AT7)))^Config!$B$13)</f>
        <v>1</v>
      </c>
      <c r="BA7" s="17" t="n">
        <f aca="false">IF(V7="","",V7*$AV7)</f>
        <v>15.3236363636364</v>
      </c>
      <c r="BB7" s="17" t="n">
        <f aca="false">IF(AC7="","",AC7*$AX7)</f>
        <v>15.5581818181818</v>
      </c>
      <c r="BC7" s="17" t="n">
        <f aca="false">IF(AJ7="","",AJ7*$AZ7)</f>
        <v>15.6233333333333</v>
      </c>
      <c r="BD7" s="17" t="n">
        <f aca="false">N(BA7)+N(BB7)</f>
        <v>30.8818181818182</v>
      </c>
      <c r="BE7" s="17" t="n">
        <f aca="false">BD7+N($M7)*N(BC7)</f>
        <v>30.8818181818182</v>
      </c>
      <c r="BF7" s="17" t="n">
        <f aca="false">IF(W7="","",W7*$AV7)</f>
        <v>5.84944991735537</v>
      </c>
      <c r="BG7" s="17" t="n">
        <f aca="false">IF(AD7="","",AD7*$AX7)</f>
        <v>4.98003256198347</v>
      </c>
      <c r="BH7" s="17" t="n">
        <f aca="false">IF(AK7="","",AK7*$AZ7)</f>
        <v>5.2893662962963</v>
      </c>
      <c r="BI7" s="17" t="n">
        <f aca="false">IF(BF7="","",N(BF7)+N(BG7))</f>
        <v>10.8294824793388</v>
      </c>
      <c r="BJ7" s="17" t="n">
        <f aca="false">IF(BI7="","",BI7+N($M7)*N(BH7))</f>
        <v>10.8294824793388</v>
      </c>
      <c r="BK7" s="13" t="n">
        <f aca="false">IFERROR(BD7/AL7,1)</f>
        <v>1</v>
      </c>
    </row>
    <row r="8" customFormat="false" ht="15" hidden="false" customHeight="false" outlineLevel="0" collapsed="false">
      <c r="A8" s="0" t="s">
        <v>910</v>
      </c>
      <c r="B8" s="0" t="s">
        <v>775</v>
      </c>
      <c r="C8" s="0" t="s">
        <v>835</v>
      </c>
      <c r="D8" s="0" t="s">
        <v>842</v>
      </c>
      <c r="E8" s="0" t="s">
        <v>909</v>
      </c>
      <c r="F8" s="0" t="s">
        <v>1173</v>
      </c>
      <c r="G8" s="0" t="str">
        <f aca="false">IFERROR(IF(INDEX(Matches!$W$5:$W$17,MATCH($C8,Matches!$A$5:$A$17,0))="","",INDEX(Matches!$W$5:$W$17,MATCH($C8,Matches!$A$5:$A$17,0))),"")</f>
        <v>Inferno</v>
      </c>
      <c r="H8" s="0" t="str">
        <f aca="false">IFERROR(IF(INDEX(Matches!$X$5:$X$17,MATCH($C8,Matches!$A$5:$A$17,0))="","",INDEX(Matches!$X$5:$X$17,MATCH($C8,Matches!$A$5:$A$17,0))),"")</f>
        <v>Dust2</v>
      </c>
      <c r="I8" s="0" t="str">
        <f aca="false">IFERROR(IF(INDEX(Matches!$Y$5:$Y$17,MATCH($C8,Matches!$A$5:$A$17,0))="","",INDEX(Matches!$Y$5:$Y$17,MATCH($C8,Matches!$A$5:$A$17,0))),"")</f>
        <v>Ancient</v>
      </c>
      <c r="J8" s="11" t="n">
        <f aca="false">IFERROR(IF(INDEX(Matches!$Z$5:$Z$17,MATCH($C8,Matches!$A$5:$A$17,0))="","",INDEX(Matches!$Z$5:$Z$17,MATCH($C8,Matches!$A$5:$A$17,0))),"")</f>
        <v>21.5</v>
      </c>
      <c r="K8" s="11" t="n">
        <f aca="false">IFERROR(IF(INDEX(Matches!$AA$5:$AA$17,MATCH($C8,Matches!$A$5:$A$17,0))="","",INDEX(Matches!$AA$5:$AA$17,MATCH($C8,Matches!$A$5:$A$17,0))),"")</f>
        <v>21.5</v>
      </c>
      <c r="L8" s="11" t="n">
        <f aca="false">IFERROR(IF(INDEX(Matches!$AB$5:$AB$17,MATCH($C8,Matches!$A$5:$A$17,0))="","",INDEX(Matches!$AB$5:$AB$17,MATCH($C8,Matches!$A$5:$A$17,0))),"")</f>
        <v>21.5</v>
      </c>
      <c r="M8" s="10" t="n">
        <f aca="false">IFERROR(IF(INDEX(Matches!$AC$5:$AC$17,MATCH($C8,Matches!$A$5:$A$17,0))="","",INDEX(Matches!$AC$5:$AC$17,MATCH($C8,Matches!$A$5:$A$17,0))),"")</f>
        <v>0</v>
      </c>
      <c r="N8" s="9" t="n">
        <f aca="false">IFERROR(INDEX(Players!$F$2:$F$105,MATCH($F8,Players!$A$2:$A$105,0)),0)</f>
        <v>32</v>
      </c>
      <c r="O8" s="13" t="n">
        <f aca="false">IFERROR(1/(1/INDEX(Players!$H$2:$H$105,MATCH($F8,Players!$A$2:$A$105,0))),"")</f>
        <v>0.64</v>
      </c>
      <c r="P8" s="10" t="n">
        <f aca="false">IFERROR(1/(1/INDEX(Players!$I$2:$I$105,MATCH($F8,Players!$A$2:$A$105,0))),"")</f>
        <v>0.588</v>
      </c>
      <c r="Q8" s="9" t="n">
        <f aca="false">IF($G8="",0,SUMIFS(Map_Stats!$F$2:$F$642,Map_Stats!$A$2:$A$642,$F8&amp;"|"&amp;$G8))</f>
        <v>6</v>
      </c>
      <c r="R8" s="13" t="n">
        <f aca="false">IF($G8="","",IFERROR(1/(1/INDEX(Map_Stats!$K$2:$K$642,MATCH($F8&amp;"|"&amp;$G8,Map_Stats!$A$2:$A$642,0))),$O8))</f>
        <v>0.65</v>
      </c>
      <c r="S8" s="10" t="n">
        <f aca="false">IF(OR($G8="",$P8=""),"",IFERROR(1/(1/INDEX(Map_Stats!$I$2:$I$642,MATCH($F8&amp;"|"&amp;$G8,Map_Stats!$A$2:$A$642,0))),$P8))</f>
        <v>0.605</v>
      </c>
      <c r="T8" s="13" t="n">
        <f aca="false">IF(OR($G8="",R8=""),"",IF($O8="",R8,(Q8*R8+Config!$B$4*$O8)/(Q8+Config!$B$4)))</f>
        <v>0.645454545454546</v>
      </c>
      <c r="U8" s="10" t="n">
        <f aca="false">IF(S8="","",(Q8*S8+Config!$B$4*$P8)/(Q8+Config!$B$4))</f>
        <v>0.597272727272727</v>
      </c>
      <c r="V8" s="17" t="n">
        <f aca="false">IF(OR(T8="",$J8=""),"",T8*$J8*($J8/Config!$B$10)^Config!$B$9)</f>
        <v>13.8772727272727</v>
      </c>
      <c r="W8" s="17" t="n">
        <f aca="false">IF(OR(V8="",U8=""),"",V8*U8)</f>
        <v>8.28851652892562</v>
      </c>
      <c r="X8" s="9" t="n">
        <f aca="false">IF($H8="",0,SUMIFS(Map_Stats!$F$2:$F$642,Map_Stats!$A$2:$A$642,$F8&amp;"|"&amp;$H8))</f>
        <v>6</v>
      </c>
      <c r="Y8" s="13" t="n">
        <f aca="false">IF($H8="","",IFERROR(1/(1/INDEX(Map_Stats!$K$2:$K$642,MATCH($F8&amp;"|"&amp;$H8,Map_Stats!$A$2:$A$642,0))),$O8))</f>
        <v>0.59</v>
      </c>
      <c r="Z8" s="10" t="n">
        <f aca="false">IF(OR($H8="",$P8=""),"",IFERROR(1/(1/INDEX(Map_Stats!$I$2:$I$642,MATCH($F8&amp;"|"&amp;$H8,Map_Stats!$A$2:$A$642,0))),$P8))</f>
        <v>0.663</v>
      </c>
      <c r="AA8" s="13" t="n">
        <f aca="false">IF(OR($H8="",Y8=""),"",IF($O8="",Y8,(X8*Y8+Config!$B$4*$O8)/(X8+Config!$B$4)))</f>
        <v>0.612727272727273</v>
      </c>
      <c r="AB8" s="10" t="n">
        <f aca="false">IF(Z8="","",(X8*Z8+Config!$B$4*$P8)/(X8+Config!$B$4))</f>
        <v>0.628909090909091</v>
      </c>
      <c r="AC8" s="17" t="n">
        <f aca="false">IF(OR(AA8="",$K8=""),"",AA8*$K8*($K8/Config!$B$10)^Config!$B$9)</f>
        <v>13.1736363636364</v>
      </c>
      <c r="AD8" s="17" t="n">
        <f aca="false">IF(OR(AC8="",AB8=""),"",AC8*AB8)</f>
        <v>8.28501966942149</v>
      </c>
      <c r="AE8" s="9" t="n">
        <f aca="false">IF($I8="",0,SUMIFS(Map_Stats!$F$2:$F$642,Map_Stats!$A$2:$A$642,$F8&amp;"|"&amp;$I8))</f>
        <v>4</v>
      </c>
      <c r="AF8" s="13" t="n">
        <f aca="false">IF($I8="","",IFERROR(1/(1/INDEX(Map_Stats!$K$2:$K$642,MATCH($F8&amp;"|"&amp;$I8,Map_Stats!$A$2:$A$642,0))),$O8))</f>
        <v>0.89</v>
      </c>
      <c r="AG8" s="10" t="n">
        <f aca="false">IF(OR($I8="",$P8=""),"",IFERROR(1/(1/INDEX(Map_Stats!$I$2:$I$642,MATCH($F8&amp;"|"&amp;$I8,Map_Stats!$A$2:$A$642,0))),$P8))</f>
        <v>0.581</v>
      </c>
      <c r="AH8" s="13" t="n">
        <f aca="false">IF(OR($I8="",AF8=""),"",IF($O8="",AF8,(AE8*AF8+Config!$B$4*$O8)/(AE8+Config!$B$4)))</f>
        <v>0.751111111111111</v>
      </c>
      <c r="AI8" s="10" t="n">
        <f aca="false">IF(AG8="","",(AE8*AG8+Config!$B$4*$P8)/(AE8+Config!$B$4))</f>
        <v>0.584888888888889</v>
      </c>
      <c r="AJ8" s="17" t="n">
        <f aca="false">IF(OR(AH8="",$L8=""),"",AH8*$L8*($L8/Config!$B$10)^Config!$B$9)</f>
        <v>16.1488888888889</v>
      </c>
      <c r="AK8" s="17" t="n">
        <f aca="false">IF(OR(AJ8="",AI8=""),"",AJ8*AI8)</f>
        <v>9.44530567901234</v>
      </c>
      <c r="AL8" s="17" t="n">
        <f aca="false">N(V8)+N(AC8)</f>
        <v>27.0509090909091</v>
      </c>
      <c r="AM8" s="17" t="n">
        <f aca="false">AL8+N($M8)*N(AJ8)</f>
        <v>27.0509090909091</v>
      </c>
      <c r="AN8" s="17" t="n">
        <f aca="false">IF(W8="","",N(W8)+N(AD8))</f>
        <v>16.5735361983471</v>
      </c>
      <c r="AO8" s="17" t="n">
        <f aca="false">IF(AN8="","",AN8+N($M8)*N(AK8))</f>
        <v>16.5735361983471</v>
      </c>
      <c r="AP8" s="10" t="n">
        <f aca="false">IFERROR(AN8/AL8,"")</f>
        <v>0.612679453494482</v>
      </c>
      <c r="AQ8" s="0" t="str">
        <f aca="false">TRIM(IF($N8&lt;Config!$B$12,"thin sample ("&amp;$N8&amp;" maps) · ","")&amp;IF(AND($G8&lt;&gt;"",Q8=0),"M1 unplayed→overall KPR · ","")&amp;IF(AND($H8&lt;&gt;"",X8=0),"M2 unplayed→overall KPR · ","")&amp;IF($O8="","no PickFinder stats",""))</f>
        <v/>
      </c>
      <c r="AR8" s="0" t="str">
        <f aca="false">IF($C8=Board!$B$2,COUNTIFS($C$2:$C$105,Board!$B$2,$AL$2:$AL$105,"&gt;"&amp;$AL8)+COUNTIFS($C$1:$C7,Board!$B$2,$AL$1:$AL7,$AL8)+1,"")</f>
        <v/>
      </c>
      <c r="AS8" s="0" t="str">
        <f aca="false">IFERROR(IF($D8=INDEX(Matches!$AD$5:$AD$17,MATCH($C8,Matches!$A$5:$A$17,0)),"A",IF($D8=INDEX(Matches!$AE$5:$AE$17,MATCH($C8,Matches!$A$5:$A$17,0)),"B","")),"")</f>
        <v>B</v>
      </c>
      <c r="AT8" s="10" t="n">
        <f aca="false">IF($AS8="","",IFERROR(IF($AS8="A",INDEX(Matches!$AI$5:$AI$17,MATCH($C8,Matches!$A$5:$A$17,0)),INDEX(Matches!$AJ$5:$AJ$17,MATCH($C8,Matches!$A$5:$A$17,0))),""))</f>
        <v>0</v>
      </c>
      <c r="AU8" s="10" t="str">
        <f aca="false">IF($AS8="","",IFERROR(IF(INDEX(Matches!$AP$5:$AP$17,MATCH($C8,Matches!$A$5:$A$17,0))="","",IF($AS8="A",INDEX(Matches!$AP$5:$AP$17,MATCH($C8,Matches!$A$5:$A$17,0)),1-INDEX(Matches!$AP$5:$AP$17,MATCH($C8,Matches!$A$5:$A$17,0)))),""))</f>
        <v/>
      </c>
      <c r="AV8" s="13" t="n">
        <f aca="false">IF(OR($AU8="",$AT8=""),1,((Config!$B$14*$AU8+Config!$B$15*(1-$AU8))/(Config!$B$14*$AT8+Config!$B$15*(1-$AT8)))^Config!$B$13)</f>
        <v>1</v>
      </c>
      <c r="AW8" s="10" t="str">
        <f aca="false">IF($AS8="","",IFERROR(IF(INDEX(Matches!$AV$5:$AV$17,MATCH($C8,Matches!$A$5:$A$17,0))="","",IF($AS8="A",INDEX(Matches!$AV$5:$AV$17,MATCH($C8,Matches!$A$5:$A$17,0)),1-INDEX(Matches!$AV$5:$AV$17,MATCH($C8,Matches!$A$5:$A$17,0)))),""))</f>
        <v/>
      </c>
      <c r="AX8" s="13" t="n">
        <f aca="false">IF(OR($AW8="",$AT8=""),1,((Config!$B$14*$AW8+Config!$B$15*(1-$AW8))/(Config!$B$14*$AT8+Config!$B$15*(1-$AT8)))^Config!$B$13)</f>
        <v>1</v>
      </c>
      <c r="AY8" s="10" t="str">
        <f aca="false">IF($AS8="","",IFERROR(IF(INDEX(Matches!$BB$5:$BB$17,MATCH($C8,Matches!$A$5:$A$17,0))="","",IF($AS8="A",INDEX(Matches!$BB$5:$BB$17,MATCH($C8,Matches!$A$5:$A$17,0)),1-INDEX(Matches!$BB$5:$BB$17,MATCH($C8,Matches!$A$5:$A$17,0)))),""))</f>
        <v/>
      </c>
      <c r="AZ8" s="13" t="n">
        <f aca="false">IF(OR($AY8="",$AT8=""),1,((Config!$B$14*$AY8+Config!$B$15*(1-$AY8))/(Config!$B$14*$AT8+Config!$B$15*(1-$AT8)))^Config!$B$13)</f>
        <v>1</v>
      </c>
      <c r="BA8" s="17" t="n">
        <f aca="false">IF(V8="","",V8*$AV8)</f>
        <v>13.8772727272727</v>
      </c>
      <c r="BB8" s="17" t="n">
        <f aca="false">IF(AC8="","",AC8*$AX8)</f>
        <v>13.1736363636364</v>
      </c>
      <c r="BC8" s="17" t="n">
        <f aca="false">IF(AJ8="","",AJ8*$AZ8)</f>
        <v>16.1488888888889</v>
      </c>
      <c r="BD8" s="17" t="n">
        <f aca="false">N(BA8)+N(BB8)</f>
        <v>27.0509090909091</v>
      </c>
      <c r="BE8" s="17" t="n">
        <f aca="false">BD8+N($M8)*N(BC8)</f>
        <v>27.0509090909091</v>
      </c>
      <c r="BF8" s="17" t="n">
        <f aca="false">IF(W8="","",W8*$AV8)</f>
        <v>8.28851652892562</v>
      </c>
      <c r="BG8" s="17" t="n">
        <f aca="false">IF(AD8="","",AD8*$AX8)</f>
        <v>8.28501966942149</v>
      </c>
      <c r="BH8" s="17" t="n">
        <f aca="false">IF(AK8="","",AK8*$AZ8)</f>
        <v>9.44530567901234</v>
      </c>
      <c r="BI8" s="17" t="n">
        <f aca="false">IF(BF8="","",N(BF8)+N(BG8))</f>
        <v>16.5735361983471</v>
      </c>
      <c r="BJ8" s="17" t="n">
        <f aca="false">IF(BI8="","",BI8+N($M8)*N(BH8))</f>
        <v>16.5735361983471</v>
      </c>
      <c r="BK8" s="13" t="n">
        <f aca="false">IFERROR(BD8/AL8,1)</f>
        <v>1</v>
      </c>
    </row>
    <row r="9" customFormat="false" ht="15" hidden="false" customHeight="false" outlineLevel="0" collapsed="false">
      <c r="A9" s="0" t="s">
        <v>912</v>
      </c>
      <c r="B9" s="0" t="s">
        <v>775</v>
      </c>
      <c r="C9" s="0" t="s">
        <v>835</v>
      </c>
      <c r="D9" s="0" t="s">
        <v>842</v>
      </c>
      <c r="E9" s="0" t="s">
        <v>911</v>
      </c>
      <c r="F9" s="0" t="s">
        <v>1174</v>
      </c>
      <c r="G9" s="0" t="str">
        <f aca="false">IFERROR(IF(INDEX(Matches!$W$5:$W$17,MATCH($C9,Matches!$A$5:$A$17,0))="","",INDEX(Matches!$W$5:$W$17,MATCH($C9,Matches!$A$5:$A$17,0))),"")</f>
        <v>Inferno</v>
      </c>
      <c r="H9" s="0" t="str">
        <f aca="false">IFERROR(IF(INDEX(Matches!$X$5:$X$17,MATCH($C9,Matches!$A$5:$A$17,0))="","",INDEX(Matches!$X$5:$X$17,MATCH($C9,Matches!$A$5:$A$17,0))),"")</f>
        <v>Dust2</v>
      </c>
      <c r="I9" s="0" t="str">
        <f aca="false">IFERROR(IF(INDEX(Matches!$Y$5:$Y$17,MATCH($C9,Matches!$A$5:$A$17,0))="","",INDEX(Matches!$Y$5:$Y$17,MATCH($C9,Matches!$A$5:$A$17,0))),"")</f>
        <v>Ancient</v>
      </c>
      <c r="J9" s="11" t="n">
        <f aca="false">IFERROR(IF(INDEX(Matches!$Z$5:$Z$17,MATCH($C9,Matches!$A$5:$A$17,0))="","",INDEX(Matches!$Z$5:$Z$17,MATCH($C9,Matches!$A$5:$A$17,0))),"")</f>
        <v>21.5</v>
      </c>
      <c r="K9" s="11" t="n">
        <f aca="false">IFERROR(IF(INDEX(Matches!$AA$5:$AA$17,MATCH($C9,Matches!$A$5:$A$17,0))="","",INDEX(Matches!$AA$5:$AA$17,MATCH($C9,Matches!$A$5:$A$17,0))),"")</f>
        <v>21.5</v>
      </c>
      <c r="L9" s="11" t="n">
        <f aca="false">IFERROR(IF(INDEX(Matches!$AB$5:$AB$17,MATCH($C9,Matches!$A$5:$A$17,0))="","",INDEX(Matches!$AB$5:$AB$17,MATCH($C9,Matches!$A$5:$A$17,0))),"")</f>
        <v>21.5</v>
      </c>
      <c r="M9" s="10" t="n">
        <f aca="false">IFERROR(IF(INDEX(Matches!$AC$5:$AC$17,MATCH($C9,Matches!$A$5:$A$17,0))="","",INDEX(Matches!$AC$5:$AC$17,MATCH($C9,Matches!$A$5:$A$17,0))),"")</f>
        <v>0</v>
      </c>
      <c r="N9" s="9" t="n">
        <f aca="false">IFERROR(INDEX(Players!$F$2:$F$105,MATCH($F9,Players!$A$2:$A$105,0)),0)</f>
        <v>32</v>
      </c>
      <c r="O9" s="13" t="n">
        <f aca="false">IFERROR(1/(1/INDEX(Players!$H$2:$H$105,MATCH($F9,Players!$A$2:$A$105,0))),"")</f>
        <v>0.64</v>
      </c>
      <c r="P9" s="10" t="n">
        <f aca="false">IFERROR(1/(1/INDEX(Players!$I$2:$I$105,MATCH($F9,Players!$A$2:$A$105,0))),"")</f>
        <v>0.531</v>
      </c>
      <c r="Q9" s="9" t="n">
        <f aca="false">IF($G9="",0,SUMIFS(Map_Stats!$F$2:$F$642,Map_Stats!$A$2:$A$642,$F9&amp;"|"&amp;$G9))</f>
        <v>6</v>
      </c>
      <c r="R9" s="13" t="n">
        <f aca="false">IF($G9="","",IFERROR(1/(1/INDEX(Map_Stats!$K$2:$K$642,MATCH($F9&amp;"|"&amp;$G9,Map_Stats!$A$2:$A$642,0))),$O9))</f>
        <v>0.59</v>
      </c>
      <c r="S9" s="10" t="n">
        <f aca="false">IF(OR($G9="",$P9=""),"",IFERROR(1/(1/INDEX(Map_Stats!$I$2:$I$642,MATCH($F9&amp;"|"&amp;$G9,Map_Stats!$A$2:$A$642,0))),$P9))</f>
        <v>0.582</v>
      </c>
      <c r="T9" s="13" t="n">
        <f aca="false">IF(OR($G9="",R9=""),"",IF($O9="",R9,(Q9*R9+Config!$B$4*$O9)/(Q9+Config!$B$4)))</f>
        <v>0.612727272727273</v>
      </c>
      <c r="U9" s="10" t="n">
        <f aca="false">IF(S9="","",(Q9*S9+Config!$B$4*$P9)/(Q9+Config!$B$4))</f>
        <v>0.558818181818182</v>
      </c>
      <c r="V9" s="17" t="n">
        <f aca="false">IF(OR(T9="",$J9=""),"",T9*$J9*($J9/Config!$B$10)^Config!$B$9)</f>
        <v>13.1736363636364</v>
      </c>
      <c r="W9" s="17" t="n">
        <f aca="false">IF(OR(V9="",U9=""),"",V9*U9)</f>
        <v>7.36166752066116</v>
      </c>
      <c r="X9" s="9" t="n">
        <f aca="false">IF($H9="",0,SUMIFS(Map_Stats!$F$2:$F$642,Map_Stats!$A$2:$A$642,$F9&amp;"|"&amp;$H9))</f>
        <v>6</v>
      </c>
      <c r="Y9" s="13" t="n">
        <f aca="false">IF($H9="","",IFERROR(1/(1/INDEX(Map_Stats!$K$2:$K$642,MATCH($F9&amp;"|"&amp;$H9,Map_Stats!$A$2:$A$642,0))),$O9))</f>
        <v>0.67</v>
      </c>
      <c r="Z9" s="10" t="n">
        <f aca="false">IF(OR($H9="",$P9=""),"",IFERROR(1/(1/INDEX(Map_Stats!$I$2:$I$642,MATCH($F9&amp;"|"&amp;$H9,Map_Stats!$A$2:$A$642,0))),$P9))</f>
        <v>0.525</v>
      </c>
      <c r="AA9" s="13" t="n">
        <f aca="false">IF(OR($H9="",Y9=""),"",IF($O9="",Y9,(X9*Y9+Config!$B$4*$O9)/(X9+Config!$B$4)))</f>
        <v>0.656363636363636</v>
      </c>
      <c r="AB9" s="10" t="n">
        <f aca="false">IF(Z9="","",(X9*Z9+Config!$B$4*$P9)/(X9+Config!$B$4))</f>
        <v>0.527727272727273</v>
      </c>
      <c r="AC9" s="17" t="n">
        <f aca="false">IF(OR(AA9="",$K9=""),"",AA9*$K9*($K9/Config!$B$10)^Config!$B$9)</f>
        <v>14.1118181818182</v>
      </c>
      <c r="AD9" s="17" t="n">
        <f aca="false">IF(OR(AC9="",AB9=""),"",AC9*AB9)</f>
        <v>7.44719132231405</v>
      </c>
      <c r="AE9" s="9" t="n">
        <f aca="false">IF($I9="",0,SUMIFS(Map_Stats!$F$2:$F$642,Map_Stats!$A$2:$A$642,$F9&amp;"|"&amp;$I9))</f>
        <v>4</v>
      </c>
      <c r="AF9" s="13" t="n">
        <f aca="false">IF($I9="","",IFERROR(1/(1/INDEX(Map_Stats!$K$2:$K$642,MATCH($F9&amp;"|"&amp;$I9,Map_Stats!$A$2:$A$642,0))),$O9))</f>
        <v>0.55</v>
      </c>
      <c r="AG9" s="10" t="n">
        <f aca="false">IF(OR($I9="",$P9=""),"",IFERROR(1/(1/INDEX(Map_Stats!$I$2:$I$642,MATCH($F9&amp;"|"&amp;$I9,Map_Stats!$A$2:$A$642,0))),$P9))</f>
        <v>0.642</v>
      </c>
      <c r="AH9" s="13" t="n">
        <f aca="false">IF(OR($I9="",AF9=""),"",IF($O9="",AF9,(AE9*AF9+Config!$B$4*$O9)/(AE9+Config!$B$4)))</f>
        <v>0.6</v>
      </c>
      <c r="AI9" s="10" t="n">
        <f aca="false">IF(AG9="","",(AE9*AG9+Config!$B$4*$P9)/(AE9+Config!$B$4))</f>
        <v>0.580333333333333</v>
      </c>
      <c r="AJ9" s="17" t="n">
        <f aca="false">IF(OR(AH9="",$L9=""),"",AH9*$L9*($L9/Config!$B$10)^Config!$B$9)</f>
        <v>12.9</v>
      </c>
      <c r="AK9" s="17" t="n">
        <f aca="false">IF(OR(AJ9="",AI9=""),"",AJ9*AI9)</f>
        <v>7.4863</v>
      </c>
      <c r="AL9" s="17" t="n">
        <f aca="false">N(V9)+N(AC9)</f>
        <v>27.2854545454546</v>
      </c>
      <c r="AM9" s="17" t="n">
        <f aca="false">AL9+N($M9)*N(AJ9)</f>
        <v>27.2854545454546</v>
      </c>
      <c r="AN9" s="17" t="n">
        <f aca="false">IF(W9="","",N(W9)+N(AD9))</f>
        <v>14.8088588429752</v>
      </c>
      <c r="AO9" s="17" t="n">
        <f aca="false">IF(AN9="","",AN9+N($M9)*N(AK9))</f>
        <v>14.8088588429752</v>
      </c>
      <c r="AP9" s="10" t="n">
        <f aca="false">IFERROR(AN9/AL9,"")</f>
        <v>0.542738213076322</v>
      </c>
      <c r="AQ9" s="0" t="str">
        <f aca="false">TRIM(IF($N9&lt;Config!$B$12,"thin sample ("&amp;$N9&amp;" maps) · ","")&amp;IF(AND($G9&lt;&gt;"",Q9=0),"M1 unplayed→overall KPR · ","")&amp;IF(AND($H9&lt;&gt;"",X9=0),"M2 unplayed→overall KPR · ","")&amp;IF($O9="","no PickFinder stats",""))</f>
        <v/>
      </c>
      <c r="AR9" s="0" t="str">
        <f aca="false">IF($C9=Board!$B$2,COUNTIFS($C$2:$C$105,Board!$B$2,$AL$2:$AL$105,"&gt;"&amp;$AL9)+COUNTIFS($C$1:$C8,Board!$B$2,$AL$1:$AL8,$AL9)+1,"")</f>
        <v/>
      </c>
      <c r="AS9" s="0" t="str">
        <f aca="false">IFERROR(IF($D9=INDEX(Matches!$AD$5:$AD$17,MATCH($C9,Matches!$A$5:$A$17,0)),"A",IF($D9=INDEX(Matches!$AE$5:$AE$17,MATCH($C9,Matches!$A$5:$A$17,0)),"B","")),"")</f>
        <v>B</v>
      </c>
      <c r="AT9" s="10" t="n">
        <f aca="false">IF($AS9="","",IFERROR(IF($AS9="A",INDEX(Matches!$AI$5:$AI$17,MATCH($C9,Matches!$A$5:$A$17,0)),INDEX(Matches!$AJ$5:$AJ$17,MATCH($C9,Matches!$A$5:$A$17,0))),""))</f>
        <v>0</v>
      </c>
      <c r="AU9" s="10" t="str">
        <f aca="false">IF($AS9="","",IFERROR(IF(INDEX(Matches!$AP$5:$AP$17,MATCH($C9,Matches!$A$5:$A$17,0))="","",IF($AS9="A",INDEX(Matches!$AP$5:$AP$17,MATCH($C9,Matches!$A$5:$A$17,0)),1-INDEX(Matches!$AP$5:$AP$17,MATCH($C9,Matches!$A$5:$A$17,0)))),""))</f>
        <v/>
      </c>
      <c r="AV9" s="13" t="n">
        <f aca="false">IF(OR($AU9="",$AT9=""),1,((Config!$B$14*$AU9+Config!$B$15*(1-$AU9))/(Config!$B$14*$AT9+Config!$B$15*(1-$AT9)))^Config!$B$13)</f>
        <v>1</v>
      </c>
      <c r="AW9" s="10" t="str">
        <f aca="false">IF($AS9="","",IFERROR(IF(INDEX(Matches!$AV$5:$AV$17,MATCH($C9,Matches!$A$5:$A$17,0))="","",IF($AS9="A",INDEX(Matches!$AV$5:$AV$17,MATCH($C9,Matches!$A$5:$A$17,0)),1-INDEX(Matches!$AV$5:$AV$17,MATCH($C9,Matches!$A$5:$A$17,0)))),""))</f>
        <v/>
      </c>
      <c r="AX9" s="13" t="n">
        <f aca="false">IF(OR($AW9="",$AT9=""),1,((Config!$B$14*$AW9+Config!$B$15*(1-$AW9))/(Config!$B$14*$AT9+Config!$B$15*(1-$AT9)))^Config!$B$13)</f>
        <v>1</v>
      </c>
      <c r="AY9" s="10" t="str">
        <f aca="false">IF($AS9="","",IFERROR(IF(INDEX(Matches!$BB$5:$BB$17,MATCH($C9,Matches!$A$5:$A$17,0))="","",IF($AS9="A",INDEX(Matches!$BB$5:$BB$17,MATCH($C9,Matches!$A$5:$A$17,0)),1-INDEX(Matches!$BB$5:$BB$17,MATCH($C9,Matches!$A$5:$A$17,0)))),""))</f>
        <v/>
      </c>
      <c r="AZ9" s="13" t="n">
        <f aca="false">IF(OR($AY9="",$AT9=""),1,((Config!$B$14*$AY9+Config!$B$15*(1-$AY9))/(Config!$B$14*$AT9+Config!$B$15*(1-$AT9)))^Config!$B$13)</f>
        <v>1</v>
      </c>
      <c r="BA9" s="17" t="n">
        <f aca="false">IF(V9="","",V9*$AV9)</f>
        <v>13.1736363636364</v>
      </c>
      <c r="BB9" s="17" t="n">
        <f aca="false">IF(AC9="","",AC9*$AX9)</f>
        <v>14.1118181818182</v>
      </c>
      <c r="BC9" s="17" t="n">
        <f aca="false">IF(AJ9="","",AJ9*$AZ9)</f>
        <v>12.9</v>
      </c>
      <c r="BD9" s="17" t="n">
        <f aca="false">N(BA9)+N(BB9)</f>
        <v>27.2854545454546</v>
      </c>
      <c r="BE9" s="17" t="n">
        <f aca="false">BD9+N($M9)*N(BC9)</f>
        <v>27.2854545454546</v>
      </c>
      <c r="BF9" s="17" t="n">
        <f aca="false">IF(W9="","",W9*$AV9)</f>
        <v>7.36166752066116</v>
      </c>
      <c r="BG9" s="17" t="n">
        <f aca="false">IF(AD9="","",AD9*$AX9)</f>
        <v>7.44719132231405</v>
      </c>
      <c r="BH9" s="17" t="n">
        <f aca="false">IF(AK9="","",AK9*$AZ9)</f>
        <v>7.4863</v>
      </c>
      <c r="BI9" s="17" t="n">
        <f aca="false">IF(BF9="","",N(BF9)+N(BG9))</f>
        <v>14.8088588429752</v>
      </c>
      <c r="BJ9" s="17" t="n">
        <f aca="false">IF(BI9="","",BI9+N($M9)*N(BH9))</f>
        <v>14.8088588429752</v>
      </c>
      <c r="BK9" s="13" t="n">
        <f aca="false">IFERROR(BD9/AL9,1)</f>
        <v>1</v>
      </c>
    </row>
    <row r="10" customFormat="false" ht="15" hidden="false" customHeight="false" outlineLevel="0" collapsed="false">
      <c r="A10" s="0" t="s">
        <v>914</v>
      </c>
      <c r="B10" s="0" t="s">
        <v>775</v>
      </c>
      <c r="C10" s="0" t="s">
        <v>835</v>
      </c>
      <c r="D10" s="0" t="s">
        <v>842</v>
      </c>
      <c r="E10" s="0" t="s">
        <v>913</v>
      </c>
      <c r="F10" s="0" t="s">
        <v>1175</v>
      </c>
      <c r="G10" s="0" t="str">
        <f aca="false">IFERROR(IF(INDEX(Matches!$W$5:$W$17,MATCH($C10,Matches!$A$5:$A$17,0))="","",INDEX(Matches!$W$5:$W$17,MATCH($C10,Matches!$A$5:$A$17,0))),"")</f>
        <v>Inferno</v>
      </c>
      <c r="H10" s="0" t="str">
        <f aca="false">IFERROR(IF(INDEX(Matches!$X$5:$X$17,MATCH($C10,Matches!$A$5:$A$17,0))="","",INDEX(Matches!$X$5:$X$17,MATCH($C10,Matches!$A$5:$A$17,0))),"")</f>
        <v>Dust2</v>
      </c>
      <c r="I10" s="0" t="str">
        <f aca="false">IFERROR(IF(INDEX(Matches!$Y$5:$Y$17,MATCH($C10,Matches!$A$5:$A$17,0))="","",INDEX(Matches!$Y$5:$Y$17,MATCH($C10,Matches!$A$5:$A$17,0))),"")</f>
        <v>Ancient</v>
      </c>
      <c r="J10" s="11" t="n">
        <f aca="false">IFERROR(IF(INDEX(Matches!$Z$5:$Z$17,MATCH($C10,Matches!$A$5:$A$17,0))="","",INDEX(Matches!$Z$5:$Z$17,MATCH($C10,Matches!$A$5:$A$17,0))),"")</f>
        <v>21.5</v>
      </c>
      <c r="K10" s="11" t="n">
        <f aca="false">IFERROR(IF(INDEX(Matches!$AA$5:$AA$17,MATCH($C10,Matches!$A$5:$A$17,0))="","",INDEX(Matches!$AA$5:$AA$17,MATCH($C10,Matches!$A$5:$A$17,0))),"")</f>
        <v>21.5</v>
      </c>
      <c r="L10" s="11" t="n">
        <f aca="false">IFERROR(IF(INDEX(Matches!$AB$5:$AB$17,MATCH($C10,Matches!$A$5:$A$17,0))="","",INDEX(Matches!$AB$5:$AB$17,MATCH($C10,Matches!$A$5:$A$17,0))),"")</f>
        <v>21.5</v>
      </c>
      <c r="M10" s="10" t="n">
        <f aca="false">IFERROR(IF(INDEX(Matches!$AC$5:$AC$17,MATCH($C10,Matches!$A$5:$A$17,0))="","",INDEX(Matches!$AC$5:$AC$17,MATCH($C10,Matches!$A$5:$A$17,0))),"")</f>
        <v>0</v>
      </c>
      <c r="N10" s="9" t="n">
        <f aca="false">IFERROR(INDEX(Players!$F$2:$F$105,MATCH($F10,Players!$A$2:$A$105,0)),0)</f>
        <v>32</v>
      </c>
      <c r="O10" s="13" t="n">
        <f aca="false">IFERROR(1/(1/INDEX(Players!$H$2:$H$105,MATCH($F10,Players!$A$2:$A$105,0))),"")</f>
        <v>0.65</v>
      </c>
      <c r="P10" s="10" t="n">
        <f aca="false">IFERROR(1/(1/INDEX(Players!$I$2:$I$105,MATCH($F10,Players!$A$2:$A$105,0))),"")</f>
        <v>0.473</v>
      </c>
      <c r="Q10" s="9" t="n">
        <f aca="false">IF($G10="",0,SUMIFS(Map_Stats!$F$2:$F$642,Map_Stats!$A$2:$A$642,$F10&amp;"|"&amp;$G10))</f>
        <v>6</v>
      </c>
      <c r="R10" s="13" t="n">
        <f aca="false">IF($G10="","",IFERROR(1/(1/INDEX(Map_Stats!$K$2:$K$642,MATCH($F10&amp;"|"&amp;$G10,Map_Stats!$A$2:$A$642,0))),$O10))</f>
        <v>0.65</v>
      </c>
      <c r="S10" s="10" t="n">
        <f aca="false">IF(OR($G10="",$P10=""),"",IFERROR(1/(1/INDEX(Map_Stats!$I$2:$I$642,MATCH($F10&amp;"|"&amp;$G10,Map_Stats!$A$2:$A$642,0))),$P10))</f>
        <v>0.419</v>
      </c>
      <c r="T10" s="13" t="n">
        <f aca="false">IF(OR($G10="",R10=""),"",IF($O10="",R10,(Q10*R10+Config!$B$4*$O10)/(Q10+Config!$B$4)))</f>
        <v>0.65</v>
      </c>
      <c r="U10" s="10" t="n">
        <f aca="false">IF(S10="","",(Q10*S10+Config!$B$4*$P10)/(Q10+Config!$B$4))</f>
        <v>0.443545454545455</v>
      </c>
      <c r="V10" s="17" t="n">
        <f aca="false">IF(OR(T10="",$J10=""),"",T10*$J10*($J10/Config!$B$10)^Config!$B$9)</f>
        <v>13.975</v>
      </c>
      <c r="W10" s="17" t="n">
        <f aca="false">IF(OR(V10="",U10=""),"",V10*U10)</f>
        <v>6.19854772727273</v>
      </c>
      <c r="X10" s="9" t="n">
        <f aca="false">IF($H10="",0,SUMIFS(Map_Stats!$F$2:$F$642,Map_Stats!$A$2:$A$642,$F10&amp;"|"&amp;$H10))</f>
        <v>6</v>
      </c>
      <c r="Y10" s="13" t="n">
        <f aca="false">IF($H10="","",IFERROR(1/(1/INDEX(Map_Stats!$K$2:$K$642,MATCH($F10&amp;"|"&amp;$H10,Map_Stats!$A$2:$A$642,0))),$O10))</f>
        <v>0.66</v>
      </c>
      <c r="Z10" s="10" t="n">
        <f aca="false">IF(OR($H10="",$P10=""),"",IFERROR(1/(1/INDEX(Map_Stats!$I$2:$I$642,MATCH($F10&amp;"|"&amp;$H10,Map_Stats!$A$2:$A$642,0))),$P10))</f>
        <v>0.485</v>
      </c>
      <c r="AA10" s="13" t="n">
        <f aca="false">IF(OR($H10="",Y10=""),"",IF($O10="",Y10,(X10*Y10+Config!$B$4*$O10)/(X10+Config!$B$4)))</f>
        <v>0.655454545454545</v>
      </c>
      <c r="AB10" s="10" t="n">
        <f aca="false">IF(Z10="","",(X10*Z10+Config!$B$4*$P10)/(X10+Config!$B$4))</f>
        <v>0.479545454545455</v>
      </c>
      <c r="AC10" s="17" t="n">
        <f aca="false">IF(OR(AA10="",$K10=""),"",AA10*$K10*($K10/Config!$B$10)^Config!$B$9)</f>
        <v>14.0922727272727</v>
      </c>
      <c r="AD10" s="17" t="n">
        <f aca="false">IF(OR(AC10="",AB10=""),"",AC10*AB10)</f>
        <v>6.75788533057851</v>
      </c>
      <c r="AE10" s="9" t="n">
        <f aca="false">IF($I10="",0,SUMIFS(Map_Stats!$F$2:$F$642,Map_Stats!$A$2:$A$642,$F10&amp;"|"&amp;$I10))</f>
        <v>4</v>
      </c>
      <c r="AF10" s="13" t="n">
        <f aca="false">IF($I10="","",IFERROR(1/(1/INDEX(Map_Stats!$K$2:$K$642,MATCH($F10&amp;"|"&amp;$I10,Map_Stats!$A$2:$A$642,0))),$O10))</f>
        <v>0.68</v>
      </c>
      <c r="AG10" s="10" t="n">
        <f aca="false">IF(OR($I10="",$P10=""),"",IFERROR(1/(1/INDEX(Map_Stats!$I$2:$I$642,MATCH($F10&amp;"|"&amp;$I10,Map_Stats!$A$2:$A$642,0))),$P10))</f>
        <v>0.515</v>
      </c>
      <c r="AH10" s="13" t="n">
        <f aca="false">IF(OR($I10="",AF10=""),"",IF($O10="",AF10,(AE10*AF10+Config!$B$4*$O10)/(AE10+Config!$B$4)))</f>
        <v>0.663333333333333</v>
      </c>
      <c r="AI10" s="10" t="n">
        <f aca="false">IF(AG10="","",(AE10*AG10+Config!$B$4*$P10)/(AE10+Config!$B$4))</f>
        <v>0.491666666666667</v>
      </c>
      <c r="AJ10" s="17" t="n">
        <f aca="false">IF(OR(AH10="",$L10=""),"",AH10*$L10*($L10/Config!$B$10)^Config!$B$9)</f>
        <v>14.2616666666667</v>
      </c>
      <c r="AK10" s="17" t="n">
        <f aca="false">IF(OR(AJ10="",AI10=""),"",AJ10*AI10)</f>
        <v>7.01198611111111</v>
      </c>
      <c r="AL10" s="17" t="n">
        <f aca="false">N(V10)+N(AC10)</f>
        <v>28.0672727272727</v>
      </c>
      <c r="AM10" s="17" t="n">
        <f aca="false">AL10+N($M10)*N(AJ10)</f>
        <v>28.0672727272727</v>
      </c>
      <c r="AN10" s="17" t="n">
        <f aca="false">IF(W10="","",N(W10)+N(AD10))</f>
        <v>12.9564330578512</v>
      </c>
      <c r="AO10" s="17" t="n">
        <f aca="false">IF(AN10="","",AN10+N($M10)*N(AK10))</f>
        <v>12.9564330578512</v>
      </c>
      <c r="AP10" s="10" t="n">
        <f aca="false">IFERROR(AN10/AL10,"")</f>
        <v>0.461620663459104</v>
      </c>
      <c r="AQ10" s="0" t="str">
        <f aca="false">TRIM(IF($N10&lt;Config!$B$12,"thin sample ("&amp;$N10&amp;" maps) · ","")&amp;IF(AND($G10&lt;&gt;"",Q10=0),"M1 unplayed→overall KPR · ","")&amp;IF(AND($H10&lt;&gt;"",X10=0),"M2 unplayed→overall KPR · ","")&amp;IF($O10="","no PickFinder stats",""))</f>
        <v/>
      </c>
      <c r="AR10" s="0" t="str">
        <f aca="false">IF($C10=Board!$B$2,COUNTIFS($C$2:$C$105,Board!$B$2,$AL$2:$AL$105,"&gt;"&amp;$AL10)+COUNTIFS($C$1:$C9,Board!$B$2,$AL$1:$AL9,$AL10)+1,"")</f>
        <v/>
      </c>
      <c r="AS10" s="0" t="str">
        <f aca="false">IFERROR(IF($D10=INDEX(Matches!$AD$5:$AD$17,MATCH($C10,Matches!$A$5:$A$17,0)),"A",IF($D10=INDEX(Matches!$AE$5:$AE$17,MATCH($C10,Matches!$A$5:$A$17,0)),"B","")),"")</f>
        <v>B</v>
      </c>
      <c r="AT10" s="10" t="n">
        <f aca="false">IF($AS10="","",IFERROR(IF($AS10="A",INDEX(Matches!$AI$5:$AI$17,MATCH($C10,Matches!$A$5:$A$17,0)),INDEX(Matches!$AJ$5:$AJ$17,MATCH($C10,Matches!$A$5:$A$17,0))),""))</f>
        <v>0</v>
      </c>
      <c r="AU10" s="10" t="str">
        <f aca="false">IF($AS10="","",IFERROR(IF(INDEX(Matches!$AP$5:$AP$17,MATCH($C10,Matches!$A$5:$A$17,0))="","",IF($AS10="A",INDEX(Matches!$AP$5:$AP$17,MATCH($C10,Matches!$A$5:$A$17,0)),1-INDEX(Matches!$AP$5:$AP$17,MATCH($C10,Matches!$A$5:$A$17,0)))),""))</f>
        <v/>
      </c>
      <c r="AV10" s="13" t="n">
        <f aca="false">IF(OR($AU10="",$AT10=""),1,((Config!$B$14*$AU10+Config!$B$15*(1-$AU10))/(Config!$B$14*$AT10+Config!$B$15*(1-$AT10)))^Config!$B$13)</f>
        <v>1</v>
      </c>
      <c r="AW10" s="10" t="str">
        <f aca="false">IF($AS10="","",IFERROR(IF(INDEX(Matches!$AV$5:$AV$17,MATCH($C10,Matches!$A$5:$A$17,0))="","",IF($AS10="A",INDEX(Matches!$AV$5:$AV$17,MATCH($C10,Matches!$A$5:$A$17,0)),1-INDEX(Matches!$AV$5:$AV$17,MATCH($C10,Matches!$A$5:$A$17,0)))),""))</f>
        <v/>
      </c>
      <c r="AX10" s="13" t="n">
        <f aca="false">IF(OR($AW10="",$AT10=""),1,((Config!$B$14*$AW10+Config!$B$15*(1-$AW10))/(Config!$B$14*$AT10+Config!$B$15*(1-$AT10)))^Config!$B$13)</f>
        <v>1</v>
      </c>
      <c r="AY10" s="10" t="str">
        <f aca="false">IF($AS10="","",IFERROR(IF(INDEX(Matches!$BB$5:$BB$17,MATCH($C10,Matches!$A$5:$A$17,0))="","",IF($AS10="A",INDEX(Matches!$BB$5:$BB$17,MATCH($C10,Matches!$A$5:$A$17,0)),1-INDEX(Matches!$BB$5:$BB$17,MATCH($C10,Matches!$A$5:$A$17,0)))),""))</f>
        <v/>
      </c>
      <c r="AZ10" s="13" t="n">
        <f aca="false">IF(OR($AY10="",$AT10=""),1,((Config!$B$14*$AY10+Config!$B$15*(1-$AY10))/(Config!$B$14*$AT10+Config!$B$15*(1-$AT10)))^Config!$B$13)</f>
        <v>1</v>
      </c>
      <c r="BA10" s="17" t="n">
        <f aca="false">IF(V10="","",V10*$AV10)</f>
        <v>13.975</v>
      </c>
      <c r="BB10" s="17" t="n">
        <f aca="false">IF(AC10="","",AC10*$AX10)</f>
        <v>14.0922727272727</v>
      </c>
      <c r="BC10" s="17" t="n">
        <f aca="false">IF(AJ10="","",AJ10*$AZ10)</f>
        <v>14.2616666666667</v>
      </c>
      <c r="BD10" s="17" t="n">
        <f aca="false">N(BA10)+N(BB10)</f>
        <v>28.0672727272727</v>
      </c>
      <c r="BE10" s="17" t="n">
        <f aca="false">BD10+N($M10)*N(BC10)</f>
        <v>28.0672727272727</v>
      </c>
      <c r="BF10" s="17" t="n">
        <f aca="false">IF(W10="","",W10*$AV10)</f>
        <v>6.19854772727273</v>
      </c>
      <c r="BG10" s="17" t="n">
        <f aca="false">IF(AD10="","",AD10*$AX10)</f>
        <v>6.75788533057851</v>
      </c>
      <c r="BH10" s="17" t="n">
        <f aca="false">IF(AK10="","",AK10*$AZ10)</f>
        <v>7.01198611111111</v>
      </c>
      <c r="BI10" s="17" t="n">
        <f aca="false">IF(BF10="","",N(BF10)+N(BG10))</f>
        <v>12.9564330578512</v>
      </c>
      <c r="BJ10" s="17" t="n">
        <f aca="false">IF(BI10="","",BI10+N($M10)*N(BH10))</f>
        <v>12.9564330578512</v>
      </c>
      <c r="BK10" s="13" t="n">
        <f aca="false">IFERROR(BD10/AL10,1)</f>
        <v>1</v>
      </c>
    </row>
    <row r="11" customFormat="false" ht="15" hidden="false" customHeight="false" outlineLevel="0" collapsed="false">
      <c r="A11" s="0" t="s">
        <v>916</v>
      </c>
      <c r="B11" s="0" t="s">
        <v>775</v>
      </c>
      <c r="C11" s="0" t="s">
        <v>835</v>
      </c>
      <c r="D11" s="0" t="s">
        <v>842</v>
      </c>
      <c r="E11" s="0" t="s">
        <v>915</v>
      </c>
      <c r="F11" s="0" t="s">
        <v>1176</v>
      </c>
      <c r="G11" s="0" t="str">
        <f aca="false">IFERROR(IF(INDEX(Matches!$W$5:$W$17,MATCH($C11,Matches!$A$5:$A$17,0))="","",INDEX(Matches!$W$5:$W$17,MATCH($C11,Matches!$A$5:$A$17,0))),"")</f>
        <v>Inferno</v>
      </c>
      <c r="H11" s="0" t="str">
        <f aca="false">IFERROR(IF(INDEX(Matches!$X$5:$X$17,MATCH($C11,Matches!$A$5:$A$17,0))="","",INDEX(Matches!$X$5:$X$17,MATCH($C11,Matches!$A$5:$A$17,0))),"")</f>
        <v>Dust2</v>
      </c>
      <c r="I11" s="0" t="str">
        <f aca="false">IFERROR(IF(INDEX(Matches!$Y$5:$Y$17,MATCH($C11,Matches!$A$5:$A$17,0))="","",INDEX(Matches!$Y$5:$Y$17,MATCH($C11,Matches!$A$5:$A$17,0))),"")</f>
        <v>Ancient</v>
      </c>
      <c r="J11" s="11" t="n">
        <f aca="false">IFERROR(IF(INDEX(Matches!$Z$5:$Z$17,MATCH($C11,Matches!$A$5:$A$17,0))="","",INDEX(Matches!$Z$5:$Z$17,MATCH($C11,Matches!$A$5:$A$17,0))),"")</f>
        <v>21.5</v>
      </c>
      <c r="K11" s="11" t="n">
        <f aca="false">IFERROR(IF(INDEX(Matches!$AA$5:$AA$17,MATCH($C11,Matches!$A$5:$A$17,0))="","",INDEX(Matches!$AA$5:$AA$17,MATCH($C11,Matches!$A$5:$A$17,0))),"")</f>
        <v>21.5</v>
      </c>
      <c r="L11" s="11" t="n">
        <f aca="false">IFERROR(IF(INDEX(Matches!$AB$5:$AB$17,MATCH($C11,Matches!$A$5:$A$17,0))="","",INDEX(Matches!$AB$5:$AB$17,MATCH($C11,Matches!$A$5:$A$17,0))),"")</f>
        <v>21.5</v>
      </c>
      <c r="M11" s="10" t="n">
        <f aca="false">IFERROR(IF(INDEX(Matches!$AC$5:$AC$17,MATCH($C11,Matches!$A$5:$A$17,0))="","",INDEX(Matches!$AC$5:$AC$17,MATCH($C11,Matches!$A$5:$A$17,0))),"")</f>
        <v>0</v>
      </c>
      <c r="N11" s="9" t="n">
        <f aca="false">IFERROR(INDEX(Players!$F$2:$F$105,MATCH($F11,Players!$A$2:$A$105,0)),0)</f>
        <v>32</v>
      </c>
      <c r="O11" s="13" t="n">
        <f aca="false">IFERROR(1/(1/INDEX(Players!$H$2:$H$105,MATCH($F11,Players!$A$2:$A$105,0))),"")</f>
        <v>0.73</v>
      </c>
      <c r="P11" s="10" t="n">
        <f aca="false">IFERROR(1/(1/INDEX(Players!$I$2:$I$105,MATCH($F11,Players!$A$2:$A$105,0))),"")</f>
        <v>0.567</v>
      </c>
      <c r="Q11" s="9" t="n">
        <f aca="false">IF($G11="",0,SUMIFS(Map_Stats!$F$2:$F$642,Map_Stats!$A$2:$A$642,$F11&amp;"|"&amp;$G11))</f>
        <v>6</v>
      </c>
      <c r="R11" s="13" t="n">
        <f aca="false">IF($G11="","",IFERROR(1/(1/INDEX(Map_Stats!$K$2:$K$642,MATCH($F11&amp;"|"&amp;$G11,Map_Stats!$A$2:$A$642,0))),$O11))</f>
        <v>0.77</v>
      </c>
      <c r="S11" s="10" t="n">
        <f aca="false">IF(OR($G11="",$P11=""),"",IFERROR(1/(1/INDEX(Map_Stats!$I$2:$I$642,MATCH($F11&amp;"|"&amp;$G11,Map_Stats!$A$2:$A$642,0))),$P11))</f>
        <v>0.631</v>
      </c>
      <c r="T11" s="13" t="n">
        <f aca="false">IF(OR($G11="",R11=""),"",IF($O11="",R11,(Q11*R11+Config!$B$4*$O11)/(Q11+Config!$B$4)))</f>
        <v>0.751818181818182</v>
      </c>
      <c r="U11" s="10" t="n">
        <f aca="false">IF(S11="","",(Q11*S11+Config!$B$4*$P11)/(Q11+Config!$B$4))</f>
        <v>0.601909090909091</v>
      </c>
      <c r="V11" s="17" t="n">
        <f aca="false">IF(OR(T11="",$J11=""),"",T11*$J11*($J11/Config!$B$10)^Config!$B$9)</f>
        <v>16.1640909090909</v>
      </c>
      <c r="W11" s="17" t="n">
        <f aca="false">IF(OR(V11="",U11=""),"",V11*U11)</f>
        <v>9.72931326446281</v>
      </c>
      <c r="X11" s="9" t="n">
        <f aca="false">IF($H11="",0,SUMIFS(Map_Stats!$F$2:$F$642,Map_Stats!$A$2:$A$642,$F11&amp;"|"&amp;$H11))</f>
        <v>6</v>
      </c>
      <c r="Y11" s="13" t="n">
        <f aca="false">IF($H11="","",IFERROR(1/(1/INDEX(Map_Stats!$K$2:$K$642,MATCH($F11&amp;"|"&amp;$H11,Map_Stats!$A$2:$A$642,0))),$O11))</f>
        <v>0.59</v>
      </c>
      <c r="Z11" s="10" t="n">
        <f aca="false">IF(OR($H11="",$P11=""),"",IFERROR(1/(1/INDEX(Map_Stats!$I$2:$I$642,MATCH($F11&amp;"|"&amp;$H11,Map_Stats!$A$2:$A$642,0))),$P11))</f>
        <v>0.528</v>
      </c>
      <c r="AA11" s="13" t="n">
        <f aca="false">IF(OR($H11="",Y11=""),"",IF($O11="",Y11,(X11*Y11+Config!$B$4*$O11)/(X11+Config!$B$4)))</f>
        <v>0.653636363636364</v>
      </c>
      <c r="AB11" s="10" t="n">
        <f aca="false">IF(Z11="","",(X11*Z11+Config!$B$4*$P11)/(X11+Config!$B$4))</f>
        <v>0.545727272727273</v>
      </c>
      <c r="AC11" s="17" t="n">
        <f aca="false">IF(OR(AA11="",$K11=""),"",AA11*$K11*($K11/Config!$B$10)^Config!$B$9)</f>
        <v>14.0531818181818</v>
      </c>
      <c r="AD11" s="17" t="n">
        <f aca="false">IF(OR(AC11="",AB11=""),"",AC11*AB11)</f>
        <v>7.66920458677686</v>
      </c>
      <c r="AE11" s="9" t="n">
        <f aca="false">IF($I11="",0,SUMIFS(Map_Stats!$F$2:$F$642,Map_Stats!$A$2:$A$642,$F11&amp;"|"&amp;$I11))</f>
        <v>4</v>
      </c>
      <c r="AF11" s="13" t="n">
        <f aca="false">IF($I11="","",IFERROR(1/(1/INDEX(Map_Stats!$K$2:$K$642,MATCH($F11&amp;"|"&amp;$I11,Map_Stats!$A$2:$A$642,0))),$O11))</f>
        <v>0.79</v>
      </c>
      <c r="AG11" s="10" t="n">
        <f aca="false">IF(OR($I11="",$P11=""),"",IFERROR(1/(1/INDEX(Map_Stats!$I$2:$I$642,MATCH($F11&amp;"|"&amp;$I11,Map_Stats!$A$2:$A$642,0))),$P11))</f>
        <v>0.532</v>
      </c>
      <c r="AH11" s="13" t="n">
        <f aca="false">IF(OR($I11="",AF11=""),"",IF($O11="",AF11,(AE11*AF11+Config!$B$4*$O11)/(AE11+Config!$B$4)))</f>
        <v>0.756666666666667</v>
      </c>
      <c r="AI11" s="10" t="n">
        <f aca="false">IF(AG11="","",(AE11*AG11+Config!$B$4*$P11)/(AE11+Config!$B$4))</f>
        <v>0.551444444444445</v>
      </c>
      <c r="AJ11" s="17" t="n">
        <f aca="false">IF(OR(AH11="",$L11=""),"",AH11*$L11*($L11/Config!$B$10)^Config!$B$9)</f>
        <v>16.2683333333333</v>
      </c>
      <c r="AK11" s="17" t="n">
        <f aca="false">IF(OR(AJ11="",AI11=""),"",AJ11*AI11)</f>
        <v>8.97108203703704</v>
      </c>
      <c r="AL11" s="17" t="n">
        <f aca="false">N(V11)+N(AC11)</f>
        <v>30.2172727272727</v>
      </c>
      <c r="AM11" s="17" t="n">
        <f aca="false">AL11+N($M11)*N(AJ11)</f>
        <v>30.2172727272727</v>
      </c>
      <c r="AN11" s="17" t="n">
        <f aca="false">IF(W11="","",N(W11)+N(AD11))</f>
        <v>17.3985178512397</v>
      </c>
      <c r="AO11" s="17" t="n">
        <f aca="false">IF(AN11="","",AN11+N($M11)*N(AK11))</f>
        <v>17.3985178512397</v>
      </c>
      <c r="AP11" s="10" t="n">
        <f aca="false">IFERROR(AN11/AL11,"")</f>
        <v>0.575780548041868</v>
      </c>
      <c r="AQ11" s="0" t="str">
        <f aca="false">TRIM(IF($N11&lt;Config!$B$12,"thin sample ("&amp;$N11&amp;" maps) · ","")&amp;IF(AND($G11&lt;&gt;"",Q11=0),"M1 unplayed→overall KPR · ","")&amp;IF(AND($H11&lt;&gt;"",X11=0),"M2 unplayed→overall KPR · ","")&amp;IF($O11="","no PickFinder stats",""))</f>
        <v/>
      </c>
      <c r="AR11" s="0" t="str">
        <f aca="false">IF($C11=Board!$B$2,COUNTIFS($C$2:$C$105,Board!$B$2,$AL$2:$AL$105,"&gt;"&amp;$AL11)+COUNTIFS($C$1:$C10,Board!$B$2,$AL$1:$AL10,$AL11)+1,"")</f>
        <v/>
      </c>
      <c r="AS11" s="0" t="str">
        <f aca="false">IFERROR(IF($D11=INDEX(Matches!$AD$5:$AD$17,MATCH($C11,Matches!$A$5:$A$17,0)),"A",IF($D11=INDEX(Matches!$AE$5:$AE$17,MATCH($C11,Matches!$A$5:$A$17,0)),"B","")),"")</f>
        <v>B</v>
      </c>
      <c r="AT11" s="10" t="n">
        <f aca="false">IF($AS11="","",IFERROR(IF($AS11="A",INDEX(Matches!$AI$5:$AI$17,MATCH($C11,Matches!$A$5:$A$17,0)),INDEX(Matches!$AJ$5:$AJ$17,MATCH($C11,Matches!$A$5:$A$17,0))),""))</f>
        <v>0</v>
      </c>
      <c r="AU11" s="10" t="str">
        <f aca="false">IF($AS11="","",IFERROR(IF(INDEX(Matches!$AP$5:$AP$17,MATCH($C11,Matches!$A$5:$A$17,0))="","",IF($AS11="A",INDEX(Matches!$AP$5:$AP$17,MATCH($C11,Matches!$A$5:$A$17,0)),1-INDEX(Matches!$AP$5:$AP$17,MATCH($C11,Matches!$A$5:$A$17,0)))),""))</f>
        <v/>
      </c>
      <c r="AV11" s="13" t="n">
        <f aca="false">IF(OR($AU11="",$AT11=""),1,((Config!$B$14*$AU11+Config!$B$15*(1-$AU11))/(Config!$B$14*$AT11+Config!$B$15*(1-$AT11)))^Config!$B$13)</f>
        <v>1</v>
      </c>
      <c r="AW11" s="10" t="str">
        <f aca="false">IF($AS11="","",IFERROR(IF(INDEX(Matches!$AV$5:$AV$17,MATCH($C11,Matches!$A$5:$A$17,0))="","",IF($AS11="A",INDEX(Matches!$AV$5:$AV$17,MATCH($C11,Matches!$A$5:$A$17,0)),1-INDEX(Matches!$AV$5:$AV$17,MATCH($C11,Matches!$A$5:$A$17,0)))),""))</f>
        <v/>
      </c>
      <c r="AX11" s="13" t="n">
        <f aca="false">IF(OR($AW11="",$AT11=""),1,((Config!$B$14*$AW11+Config!$B$15*(1-$AW11))/(Config!$B$14*$AT11+Config!$B$15*(1-$AT11)))^Config!$B$13)</f>
        <v>1</v>
      </c>
      <c r="AY11" s="10" t="str">
        <f aca="false">IF($AS11="","",IFERROR(IF(INDEX(Matches!$BB$5:$BB$17,MATCH($C11,Matches!$A$5:$A$17,0))="","",IF($AS11="A",INDEX(Matches!$BB$5:$BB$17,MATCH($C11,Matches!$A$5:$A$17,0)),1-INDEX(Matches!$BB$5:$BB$17,MATCH($C11,Matches!$A$5:$A$17,0)))),""))</f>
        <v/>
      </c>
      <c r="AZ11" s="13" t="n">
        <f aca="false">IF(OR($AY11="",$AT11=""),1,((Config!$B$14*$AY11+Config!$B$15*(1-$AY11))/(Config!$B$14*$AT11+Config!$B$15*(1-$AT11)))^Config!$B$13)</f>
        <v>1</v>
      </c>
      <c r="BA11" s="17" t="n">
        <f aca="false">IF(V11="","",V11*$AV11)</f>
        <v>16.1640909090909</v>
      </c>
      <c r="BB11" s="17" t="n">
        <f aca="false">IF(AC11="","",AC11*$AX11)</f>
        <v>14.0531818181818</v>
      </c>
      <c r="BC11" s="17" t="n">
        <f aca="false">IF(AJ11="","",AJ11*$AZ11)</f>
        <v>16.2683333333333</v>
      </c>
      <c r="BD11" s="17" t="n">
        <f aca="false">N(BA11)+N(BB11)</f>
        <v>30.2172727272727</v>
      </c>
      <c r="BE11" s="17" t="n">
        <f aca="false">BD11+N($M11)*N(BC11)</f>
        <v>30.2172727272727</v>
      </c>
      <c r="BF11" s="17" t="n">
        <f aca="false">IF(W11="","",W11*$AV11)</f>
        <v>9.72931326446281</v>
      </c>
      <c r="BG11" s="17" t="n">
        <f aca="false">IF(AD11="","",AD11*$AX11)</f>
        <v>7.66920458677686</v>
      </c>
      <c r="BH11" s="17" t="n">
        <f aca="false">IF(AK11="","",AK11*$AZ11)</f>
        <v>8.97108203703704</v>
      </c>
      <c r="BI11" s="17" t="n">
        <f aca="false">IF(BF11="","",N(BF11)+N(BG11))</f>
        <v>17.3985178512397</v>
      </c>
      <c r="BJ11" s="17" t="n">
        <f aca="false">IF(BI11="","",BI11+N($M11)*N(BH11))</f>
        <v>17.3985178512397</v>
      </c>
      <c r="BK11" s="13" t="n">
        <f aca="false">IFERROR(BD11/AL11,1)</f>
        <v>1</v>
      </c>
    </row>
    <row r="12" customFormat="false" ht="15" hidden="false" customHeight="false" outlineLevel="0" collapsed="false">
      <c r="A12" s="0" t="s">
        <v>918</v>
      </c>
      <c r="B12" s="0" t="s">
        <v>775</v>
      </c>
      <c r="C12" s="0" t="s">
        <v>850</v>
      </c>
      <c r="D12" s="0" t="s">
        <v>855</v>
      </c>
      <c r="E12" s="0" t="s">
        <v>917</v>
      </c>
      <c r="F12" s="0" t="s">
        <v>1177</v>
      </c>
      <c r="G12" s="0" t="str">
        <f aca="false">IFERROR(IF(INDEX(Matches!$W$5:$W$17,MATCH($C12,Matches!$A$5:$A$17,0))="","",INDEX(Matches!$W$5:$W$17,MATCH($C12,Matches!$A$5:$A$17,0))),"")</f>
        <v>Cache</v>
      </c>
      <c r="H12" s="0" t="str">
        <f aca="false">IFERROR(IF(INDEX(Matches!$X$5:$X$17,MATCH($C12,Matches!$A$5:$A$17,0))="","",INDEX(Matches!$X$5:$X$17,MATCH($C12,Matches!$A$5:$A$17,0))),"")</f>
        <v>Dust2</v>
      </c>
      <c r="I12" s="0" t="str">
        <f aca="false">IFERROR(IF(INDEX(Matches!$Y$5:$Y$17,MATCH($C12,Matches!$A$5:$A$17,0))="","",INDEX(Matches!$Y$5:$Y$17,MATCH($C12,Matches!$A$5:$A$17,0))),"")</f>
        <v>Nuke</v>
      </c>
      <c r="J12" s="11" t="n">
        <f aca="false">IFERROR(IF(INDEX(Matches!$Z$5:$Z$17,MATCH($C12,Matches!$A$5:$A$17,0))="","",INDEX(Matches!$Z$5:$Z$17,MATCH($C12,Matches!$A$5:$A$17,0))),"")</f>
        <v>21.5</v>
      </c>
      <c r="K12" s="11" t="n">
        <f aca="false">IFERROR(IF(INDEX(Matches!$AA$5:$AA$17,MATCH($C12,Matches!$A$5:$A$17,0))="","",INDEX(Matches!$AA$5:$AA$17,MATCH($C12,Matches!$A$5:$A$17,0))),"")</f>
        <v>21.5</v>
      </c>
      <c r="L12" s="11" t="n">
        <f aca="false">IFERROR(IF(INDEX(Matches!$AB$5:$AB$17,MATCH($C12,Matches!$A$5:$A$17,0))="","",INDEX(Matches!$AB$5:$AB$17,MATCH($C12,Matches!$A$5:$A$17,0))),"")</f>
        <v>21.5</v>
      </c>
      <c r="M12" s="10" t="n">
        <f aca="false">IFERROR(IF(INDEX(Matches!$AC$5:$AC$17,MATCH($C12,Matches!$A$5:$A$17,0))="","",INDEX(Matches!$AC$5:$AC$17,MATCH($C12,Matches!$A$5:$A$17,0))),"")</f>
        <v>0</v>
      </c>
      <c r="N12" s="9" t="n">
        <f aca="false">IFERROR(INDEX(Players!$F$2:$F$105,MATCH($F12,Players!$A$2:$A$105,0)),0)</f>
        <v>28</v>
      </c>
      <c r="O12" s="13" t="n">
        <f aca="false">IFERROR(1/(1/INDEX(Players!$H$2:$H$105,MATCH($F12,Players!$A$2:$A$105,0))),"")</f>
        <v>0.61</v>
      </c>
      <c r="P12" s="10" t="n">
        <f aca="false">IFERROR(1/(1/INDEX(Players!$I$2:$I$105,MATCH($F12,Players!$A$2:$A$105,0))),"")</f>
        <v>0.496</v>
      </c>
      <c r="Q12" s="9" t="n">
        <f aca="false">IF($G12="",0,SUMIFS(Map_Stats!$F$2:$F$642,Map_Stats!$A$2:$A$642,$F12&amp;"|"&amp;$G12))</f>
        <v>8</v>
      </c>
      <c r="R12" s="13" t="n">
        <f aca="false">IF($G12="","",IFERROR(1/(1/INDEX(Map_Stats!$K$2:$K$642,MATCH($F12&amp;"|"&amp;$G12,Map_Stats!$A$2:$A$642,0))),$O12))</f>
        <v>0.66</v>
      </c>
      <c r="S12" s="10" t="n">
        <f aca="false">IF(OR($G12="",$P12=""),"",IFERROR(1/(1/INDEX(Map_Stats!$I$2:$I$642,MATCH($F12&amp;"|"&amp;$G12,Map_Stats!$A$2:$A$642,0))),$P12))</f>
        <v>0.552</v>
      </c>
      <c r="T12" s="13" t="n">
        <f aca="false">IF(OR($G12="",R12=""),"",IF($O12="",R12,(Q12*R12+Config!$B$4*$O12)/(Q12+Config!$B$4)))</f>
        <v>0.640769230769231</v>
      </c>
      <c r="U12" s="10" t="n">
        <f aca="false">IF(S12="","",(Q12*S12+Config!$B$4*$P12)/(Q12+Config!$B$4))</f>
        <v>0.530461538461539</v>
      </c>
      <c r="V12" s="17" t="n">
        <f aca="false">IF(OR(T12="",$J12=""),"",T12*$J12*($J12/Config!$B$10)^Config!$B$9)</f>
        <v>13.7765384615385</v>
      </c>
      <c r="W12" s="17" t="n">
        <f aca="false">IF(OR(V12="",U12=""),"",V12*U12)</f>
        <v>7.30792378698225</v>
      </c>
      <c r="X12" s="9" t="n">
        <f aca="false">IF($H12="",0,SUMIFS(Map_Stats!$F$2:$F$642,Map_Stats!$A$2:$A$642,$F12&amp;"|"&amp;$H12))</f>
        <v>5</v>
      </c>
      <c r="Y12" s="13" t="n">
        <f aca="false">IF($H12="","",IFERROR(1/(1/INDEX(Map_Stats!$K$2:$K$642,MATCH($F12&amp;"|"&amp;$H12,Map_Stats!$A$2:$A$642,0))),$O12))</f>
        <v>0.54</v>
      </c>
      <c r="Z12" s="10" t="n">
        <f aca="false">IF(OR($H12="",$P12=""),"",IFERROR(1/(1/INDEX(Map_Stats!$I$2:$I$642,MATCH($F12&amp;"|"&amp;$H12,Map_Stats!$A$2:$A$642,0))),$P12))</f>
        <v>0.446</v>
      </c>
      <c r="AA12" s="13" t="n">
        <f aca="false">IF(OR($H12="",Y12=""),"",IF($O12="",Y12,(X12*Y12+Config!$B$4*$O12)/(X12+Config!$B$4)))</f>
        <v>0.575</v>
      </c>
      <c r="AB12" s="10" t="n">
        <f aca="false">IF(Z12="","",(X12*Z12+Config!$B$4*$P12)/(X12+Config!$B$4))</f>
        <v>0.471</v>
      </c>
      <c r="AC12" s="17" t="n">
        <f aca="false">IF(OR(AA12="",$K12=""),"",AA12*$K12*($K12/Config!$B$10)^Config!$B$9)</f>
        <v>12.3625</v>
      </c>
      <c r="AD12" s="17" t="n">
        <f aca="false">IF(OR(AC12="",AB12=""),"",AC12*AB12)</f>
        <v>5.8227375</v>
      </c>
      <c r="AE12" s="9" t="n">
        <f aca="false">IF($I12="",0,SUMIFS(Map_Stats!$F$2:$F$642,Map_Stats!$A$2:$A$642,$F12&amp;"|"&amp;$I12))</f>
        <v>6</v>
      </c>
      <c r="AF12" s="13" t="n">
        <f aca="false">IF($I12="","",IFERROR(1/(1/INDEX(Map_Stats!$K$2:$K$642,MATCH($F12&amp;"|"&amp;$I12,Map_Stats!$A$2:$A$642,0))),$O12))</f>
        <v>0.6</v>
      </c>
      <c r="AG12" s="10" t="n">
        <f aca="false">IF(OR($I12="",$P12=""),"",IFERROR(1/(1/INDEX(Map_Stats!$I$2:$I$642,MATCH($F12&amp;"|"&amp;$I12,Map_Stats!$A$2:$A$642,0))),$P12))</f>
        <v>0.514</v>
      </c>
      <c r="AH12" s="13" t="n">
        <f aca="false">IF(OR($I12="",AF12=""),"",IF($O12="",AF12,(AE12*AF12+Config!$B$4*$O12)/(AE12+Config!$B$4)))</f>
        <v>0.604545454545455</v>
      </c>
      <c r="AI12" s="10" t="n">
        <f aca="false">IF(AG12="","",(AE12*AG12+Config!$B$4*$P12)/(AE12+Config!$B$4))</f>
        <v>0.505818181818182</v>
      </c>
      <c r="AJ12" s="17" t="n">
        <f aca="false">IF(OR(AH12="",$L12=""),"",AH12*$L12*($L12/Config!$B$10)^Config!$B$9)</f>
        <v>12.9977272727273</v>
      </c>
      <c r="AK12" s="17" t="n">
        <f aca="false">IF(OR(AJ12="",AI12=""),"",AJ12*AI12)</f>
        <v>6.5744867768595</v>
      </c>
      <c r="AL12" s="17" t="n">
        <f aca="false">N(V12)+N(AC12)</f>
        <v>26.1390384615385</v>
      </c>
      <c r="AM12" s="17" t="n">
        <f aca="false">AL12+N($M12)*N(AJ12)</f>
        <v>26.1390384615385</v>
      </c>
      <c r="AN12" s="17" t="n">
        <f aca="false">IF(W12="","",N(W12)+N(AD12))</f>
        <v>13.1306612869823</v>
      </c>
      <c r="AO12" s="17" t="n">
        <f aca="false">IF(AN12="","",AN12+N($M12)*N(AK12))</f>
        <v>13.1306612869823</v>
      </c>
      <c r="AP12" s="10" t="n">
        <f aca="false">IFERROR(AN12/AL12,"")</f>
        <v>0.502339108850656</v>
      </c>
      <c r="AQ12" s="0" t="str">
        <f aca="false">TRIM(IF($N12&lt;Config!$B$12,"thin sample ("&amp;$N12&amp;" maps) · ","")&amp;IF(AND($G12&lt;&gt;"",Q12=0),"M1 unplayed→overall KPR · ","")&amp;IF(AND($H12&lt;&gt;"",X12=0),"M2 unplayed→overall KPR · ","")&amp;IF($O12="","no PickFinder stats",""))</f>
        <v/>
      </c>
      <c r="AR12" s="0" t="str">
        <f aca="false">IF($C12=Board!$B$2,COUNTIFS($C$2:$C$105,Board!$B$2,$AL$2:$AL$105,"&gt;"&amp;$AL12)+COUNTIFS($C$1:$C11,Board!$B$2,$AL$1:$AL11,$AL12)+1,"")</f>
        <v/>
      </c>
      <c r="AS12" s="0" t="str">
        <f aca="false">IFERROR(IF($D12=INDEX(Matches!$AD$5:$AD$17,MATCH($C12,Matches!$A$5:$A$17,0)),"A",IF($D12=INDEX(Matches!$AE$5:$AE$17,MATCH($C12,Matches!$A$5:$A$17,0)),"B","")),"")</f>
        <v>A</v>
      </c>
      <c r="AT12" s="10" t="n">
        <f aca="false">IF($AS12="","",IFERROR(IF($AS12="A",INDEX(Matches!$AI$5:$AI$17,MATCH($C12,Matches!$A$5:$A$17,0)),INDEX(Matches!$AJ$5:$AJ$17,MATCH($C12,Matches!$A$5:$A$17,0))),""))</f>
        <v>0.505174597688453</v>
      </c>
      <c r="AU12" s="10" t="str">
        <f aca="false">IF($AS12="","",IFERROR(IF(INDEX(Matches!$AP$5:$AP$17,MATCH($C12,Matches!$A$5:$A$17,0))="","",IF($AS12="A",INDEX(Matches!$AP$5:$AP$17,MATCH($C12,Matches!$A$5:$A$17,0)),1-INDEX(Matches!$AP$5:$AP$17,MATCH($C12,Matches!$A$5:$A$17,0)))),""))</f>
        <v/>
      </c>
      <c r="AV12" s="13" t="n">
        <f aca="false">IF(OR($AU12="",$AT12=""),1,((Config!$B$14*$AU12+Config!$B$15*(1-$AU12))/(Config!$B$14*$AT12+Config!$B$15*(1-$AT12)))^Config!$B$13)</f>
        <v>1</v>
      </c>
      <c r="AW12" s="10" t="str">
        <f aca="false">IF($AS12="","",IFERROR(IF(INDEX(Matches!$AV$5:$AV$17,MATCH($C12,Matches!$A$5:$A$17,0))="","",IF($AS12="A",INDEX(Matches!$AV$5:$AV$17,MATCH($C12,Matches!$A$5:$A$17,0)),1-INDEX(Matches!$AV$5:$AV$17,MATCH($C12,Matches!$A$5:$A$17,0)))),""))</f>
        <v/>
      </c>
      <c r="AX12" s="13" t="n">
        <f aca="false">IF(OR($AW12="",$AT12=""),1,((Config!$B$14*$AW12+Config!$B$15*(1-$AW12))/(Config!$B$14*$AT12+Config!$B$15*(1-$AT12)))^Config!$B$13)</f>
        <v>1</v>
      </c>
      <c r="AY12" s="10" t="str">
        <f aca="false">IF($AS12="","",IFERROR(IF(INDEX(Matches!$BB$5:$BB$17,MATCH($C12,Matches!$A$5:$A$17,0))="","",IF($AS12="A",INDEX(Matches!$BB$5:$BB$17,MATCH($C12,Matches!$A$5:$A$17,0)),1-INDEX(Matches!$BB$5:$BB$17,MATCH($C12,Matches!$A$5:$A$17,0)))),""))</f>
        <v/>
      </c>
      <c r="AZ12" s="13" t="n">
        <f aca="false">IF(OR($AY12="",$AT12=""),1,((Config!$B$14*$AY12+Config!$B$15*(1-$AY12))/(Config!$B$14*$AT12+Config!$B$15*(1-$AT12)))^Config!$B$13)</f>
        <v>1</v>
      </c>
      <c r="BA12" s="17" t="n">
        <f aca="false">IF(V12="","",V12*$AV12)</f>
        <v>13.7765384615385</v>
      </c>
      <c r="BB12" s="17" t="n">
        <f aca="false">IF(AC12="","",AC12*$AX12)</f>
        <v>12.3625</v>
      </c>
      <c r="BC12" s="17" t="n">
        <f aca="false">IF(AJ12="","",AJ12*$AZ12)</f>
        <v>12.9977272727273</v>
      </c>
      <c r="BD12" s="17" t="n">
        <f aca="false">N(BA12)+N(BB12)</f>
        <v>26.1390384615385</v>
      </c>
      <c r="BE12" s="17" t="n">
        <f aca="false">BD12+N($M12)*N(BC12)</f>
        <v>26.1390384615385</v>
      </c>
      <c r="BF12" s="17" t="n">
        <f aca="false">IF(W12="","",W12*$AV12)</f>
        <v>7.30792378698225</v>
      </c>
      <c r="BG12" s="17" t="n">
        <f aca="false">IF(AD12="","",AD12*$AX12)</f>
        <v>5.8227375</v>
      </c>
      <c r="BH12" s="17" t="n">
        <f aca="false">IF(AK12="","",AK12*$AZ12)</f>
        <v>6.5744867768595</v>
      </c>
      <c r="BI12" s="17" t="n">
        <f aca="false">IF(BF12="","",N(BF12)+N(BG12))</f>
        <v>13.1306612869823</v>
      </c>
      <c r="BJ12" s="17" t="n">
        <f aca="false">IF(BI12="","",BI12+N($M12)*N(BH12))</f>
        <v>13.1306612869823</v>
      </c>
      <c r="BK12" s="13" t="n">
        <f aca="false">IFERROR(BD12/AL12,1)</f>
        <v>1</v>
      </c>
    </row>
    <row r="13" customFormat="false" ht="15" hidden="false" customHeight="false" outlineLevel="0" collapsed="false">
      <c r="A13" s="0" t="s">
        <v>921</v>
      </c>
      <c r="B13" s="0" t="s">
        <v>775</v>
      </c>
      <c r="C13" s="0" t="s">
        <v>850</v>
      </c>
      <c r="D13" s="0" t="s">
        <v>855</v>
      </c>
      <c r="E13" s="0" t="s">
        <v>919</v>
      </c>
      <c r="F13" s="0" t="s">
        <v>1178</v>
      </c>
      <c r="G13" s="0" t="str">
        <f aca="false">IFERROR(IF(INDEX(Matches!$W$5:$W$17,MATCH($C13,Matches!$A$5:$A$17,0))="","",INDEX(Matches!$W$5:$W$17,MATCH($C13,Matches!$A$5:$A$17,0))),"")</f>
        <v>Cache</v>
      </c>
      <c r="H13" s="0" t="str">
        <f aca="false">IFERROR(IF(INDEX(Matches!$X$5:$X$17,MATCH($C13,Matches!$A$5:$A$17,0))="","",INDEX(Matches!$X$5:$X$17,MATCH($C13,Matches!$A$5:$A$17,0))),"")</f>
        <v>Dust2</v>
      </c>
      <c r="I13" s="0" t="str">
        <f aca="false">IFERROR(IF(INDEX(Matches!$Y$5:$Y$17,MATCH($C13,Matches!$A$5:$A$17,0))="","",INDEX(Matches!$Y$5:$Y$17,MATCH($C13,Matches!$A$5:$A$17,0))),"")</f>
        <v>Nuke</v>
      </c>
      <c r="J13" s="11" t="n">
        <f aca="false">IFERROR(IF(INDEX(Matches!$Z$5:$Z$17,MATCH($C13,Matches!$A$5:$A$17,0))="","",INDEX(Matches!$Z$5:$Z$17,MATCH($C13,Matches!$A$5:$A$17,0))),"")</f>
        <v>21.5</v>
      </c>
      <c r="K13" s="11" t="n">
        <f aca="false">IFERROR(IF(INDEX(Matches!$AA$5:$AA$17,MATCH($C13,Matches!$A$5:$A$17,0))="","",INDEX(Matches!$AA$5:$AA$17,MATCH($C13,Matches!$A$5:$A$17,0))),"")</f>
        <v>21.5</v>
      </c>
      <c r="L13" s="11" t="n">
        <f aca="false">IFERROR(IF(INDEX(Matches!$AB$5:$AB$17,MATCH($C13,Matches!$A$5:$A$17,0))="","",INDEX(Matches!$AB$5:$AB$17,MATCH($C13,Matches!$A$5:$A$17,0))),"")</f>
        <v>21.5</v>
      </c>
      <c r="M13" s="10" t="n">
        <f aca="false">IFERROR(IF(INDEX(Matches!$AC$5:$AC$17,MATCH($C13,Matches!$A$5:$A$17,0))="","",INDEX(Matches!$AC$5:$AC$17,MATCH($C13,Matches!$A$5:$A$17,0))),"")</f>
        <v>0</v>
      </c>
      <c r="N13" s="9" t="n">
        <f aca="false">IFERROR(INDEX(Players!$F$2:$F$105,MATCH($F13,Players!$A$2:$A$105,0)),0)</f>
        <v>28</v>
      </c>
      <c r="O13" s="13" t="n">
        <f aca="false">IFERROR(1/(1/INDEX(Players!$H$2:$H$105,MATCH($F13,Players!$A$2:$A$105,0))),"")</f>
        <v>0.77</v>
      </c>
      <c r="P13" s="10" t="n">
        <f aca="false">IFERROR(1/(1/INDEX(Players!$I$2:$I$105,MATCH($F13,Players!$A$2:$A$105,0))),"")</f>
        <v>0.471</v>
      </c>
      <c r="Q13" s="9" t="n">
        <f aca="false">IF($G13="",0,SUMIFS(Map_Stats!$F$2:$F$642,Map_Stats!$A$2:$A$642,$F13&amp;"|"&amp;$G13))</f>
        <v>8</v>
      </c>
      <c r="R13" s="13" t="n">
        <f aca="false">IF($G13="","",IFERROR(1/(1/INDEX(Map_Stats!$K$2:$K$642,MATCH($F13&amp;"|"&amp;$G13,Map_Stats!$A$2:$A$642,0))),$O13))</f>
        <v>0.94</v>
      </c>
      <c r="S13" s="10" t="n">
        <f aca="false">IF(OR($G13="",$P13=""),"",IFERROR(1/(1/INDEX(Map_Stats!$I$2:$I$642,MATCH($F13&amp;"|"&amp;$G13,Map_Stats!$A$2:$A$642,0))),$P13))</f>
        <v>0.507</v>
      </c>
      <c r="T13" s="13" t="n">
        <f aca="false">IF(OR($G13="",R13=""),"",IF($O13="",R13,(Q13*R13+Config!$B$4*$O13)/(Q13+Config!$B$4)))</f>
        <v>0.874615384615385</v>
      </c>
      <c r="U13" s="10" t="n">
        <f aca="false">IF(S13="","",(Q13*S13+Config!$B$4*$P13)/(Q13+Config!$B$4))</f>
        <v>0.493153846153846</v>
      </c>
      <c r="V13" s="17" t="n">
        <f aca="false">IF(OR(T13="",$J13=""),"",T13*$J13*($J13/Config!$B$10)^Config!$B$9)</f>
        <v>18.8042307692308</v>
      </c>
      <c r="W13" s="17" t="n">
        <f aca="false">IF(OR(V13="",U13=""),"",V13*U13)</f>
        <v>9.27337872781065</v>
      </c>
      <c r="X13" s="9" t="n">
        <f aca="false">IF($H13="",0,SUMIFS(Map_Stats!$F$2:$F$642,Map_Stats!$A$2:$A$642,$F13&amp;"|"&amp;$H13))</f>
        <v>5</v>
      </c>
      <c r="Y13" s="13" t="n">
        <f aca="false">IF($H13="","",IFERROR(1/(1/INDEX(Map_Stats!$K$2:$K$642,MATCH($F13&amp;"|"&amp;$H13,Map_Stats!$A$2:$A$642,0))),$O13))</f>
        <v>0.69</v>
      </c>
      <c r="Z13" s="10" t="n">
        <f aca="false">IF(OR($H13="",$P13=""),"",IFERROR(1/(1/INDEX(Map_Stats!$I$2:$I$642,MATCH($F13&amp;"|"&amp;$H13,Map_Stats!$A$2:$A$642,0))),$P13))</f>
        <v>0.472</v>
      </c>
      <c r="AA13" s="13" t="n">
        <f aca="false">IF(OR($H13="",Y13=""),"",IF($O13="",Y13,(X13*Y13+Config!$B$4*$O13)/(X13+Config!$B$4)))</f>
        <v>0.73</v>
      </c>
      <c r="AB13" s="10" t="n">
        <f aca="false">IF(Z13="","",(X13*Z13+Config!$B$4*$P13)/(X13+Config!$B$4))</f>
        <v>0.4715</v>
      </c>
      <c r="AC13" s="17" t="n">
        <f aca="false">IF(OR(AA13="",$K13=""),"",AA13*$K13*($K13/Config!$B$10)^Config!$B$9)</f>
        <v>15.695</v>
      </c>
      <c r="AD13" s="17" t="n">
        <f aca="false">IF(OR(AC13="",AB13=""),"",AC13*AB13)</f>
        <v>7.4001925</v>
      </c>
      <c r="AE13" s="9" t="n">
        <f aca="false">IF($I13="",0,SUMIFS(Map_Stats!$F$2:$F$642,Map_Stats!$A$2:$A$642,$F13&amp;"|"&amp;$I13))</f>
        <v>6</v>
      </c>
      <c r="AF13" s="13" t="n">
        <f aca="false">IF($I13="","",IFERROR(1/(1/INDEX(Map_Stats!$K$2:$K$642,MATCH($F13&amp;"|"&amp;$I13,Map_Stats!$A$2:$A$642,0))),$O13))</f>
        <v>0.71</v>
      </c>
      <c r="AG13" s="10" t="n">
        <f aca="false">IF(OR($I13="",$P13=""),"",IFERROR(1/(1/INDEX(Map_Stats!$I$2:$I$642,MATCH($F13&amp;"|"&amp;$I13,Map_Stats!$A$2:$A$642,0))),$P13))</f>
        <v>0.482</v>
      </c>
      <c r="AH13" s="13" t="n">
        <f aca="false">IF(OR($I13="",AF13=""),"",IF($O13="",AF13,(AE13*AF13+Config!$B$4*$O13)/(AE13+Config!$B$4)))</f>
        <v>0.737272727272727</v>
      </c>
      <c r="AI13" s="10" t="n">
        <f aca="false">IF(AG13="","",(AE13*AG13+Config!$B$4*$P13)/(AE13+Config!$B$4))</f>
        <v>0.477</v>
      </c>
      <c r="AJ13" s="17" t="n">
        <f aca="false">IF(OR(AH13="",$L13=""),"",AH13*$L13*($L13/Config!$B$10)^Config!$B$9)</f>
        <v>15.8513636363636</v>
      </c>
      <c r="AK13" s="17" t="n">
        <f aca="false">IF(OR(AJ13="",AI13=""),"",AJ13*AI13)</f>
        <v>7.56110045454545</v>
      </c>
      <c r="AL13" s="17" t="n">
        <f aca="false">N(V13)+N(AC13)</f>
        <v>34.4992307692308</v>
      </c>
      <c r="AM13" s="17" t="n">
        <f aca="false">AL13+N($M13)*N(AJ13)</f>
        <v>34.4992307692308</v>
      </c>
      <c r="AN13" s="17" t="n">
        <f aca="false">IF(W13="","",N(W13)+N(AD13))</f>
        <v>16.6735712278107</v>
      </c>
      <c r="AO13" s="17" t="n">
        <f aca="false">IF(AN13="","",AN13+N($M13)*N(AK13))</f>
        <v>16.6735712278107</v>
      </c>
      <c r="AP13" s="10" t="n">
        <f aca="false">IFERROR(AN13/AL13,"")</f>
        <v>0.483302695626521</v>
      </c>
      <c r="AQ13" s="0" t="str">
        <f aca="false">TRIM(IF($N13&lt;Config!$B$12,"thin sample ("&amp;$N13&amp;" maps) · ","")&amp;IF(AND($G13&lt;&gt;"",Q13=0),"M1 unplayed→overall KPR · ","")&amp;IF(AND($H13&lt;&gt;"",X13=0),"M2 unplayed→overall KPR · ","")&amp;IF($O13="","no PickFinder stats",""))</f>
        <v/>
      </c>
      <c r="AR13" s="0" t="str">
        <f aca="false">IF($C13=Board!$B$2,COUNTIFS($C$2:$C$105,Board!$B$2,$AL$2:$AL$105,"&gt;"&amp;$AL13)+COUNTIFS($C$1:$C12,Board!$B$2,$AL$1:$AL12,$AL13)+1,"")</f>
        <v/>
      </c>
      <c r="AS13" s="0" t="str">
        <f aca="false">IFERROR(IF($D13=INDEX(Matches!$AD$5:$AD$17,MATCH($C13,Matches!$A$5:$A$17,0)),"A",IF($D13=INDEX(Matches!$AE$5:$AE$17,MATCH($C13,Matches!$A$5:$A$17,0)),"B","")),"")</f>
        <v>A</v>
      </c>
      <c r="AT13" s="10" t="n">
        <f aca="false">IF($AS13="","",IFERROR(IF($AS13="A",INDEX(Matches!$AI$5:$AI$17,MATCH($C13,Matches!$A$5:$A$17,0)),INDEX(Matches!$AJ$5:$AJ$17,MATCH($C13,Matches!$A$5:$A$17,0))),""))</f>
        <v>0.505174597688453</v>
      </c>
      <c r="AU13" s="10" t="str">
        <f aca="false">IF($AS13="","",IFERROR(IF(INDEX(Matches!$AP$5:$AP$17,MATCH($C13,Matches!$A$5:$A$17,0))="","",IF($AS13="A",INDEX(Matches!$AP$5:$AP$17,MATCH($C13,Matches!$A$5:$A$17,0)),1-INDEX(Matches!$AP$5:$AP$17,MATCH($C13,Matches!$A$5:$A$17,0)))),""))</f>
        <v/>
      </c>
      <c r="AV13" s="13" t="n">
        <f aca="false">IF(OR($AU13="",$AT13=""),1,((Config!$B$14*$AU13+Config!$B$15*(1-$AU13))/(Config!$B$14*$AT13+Config!$B$15*(1-$AT13)))^Config!$B$13)</f>
        <v>1</v>
      </c>
      <c r="AW13" s="10" t="str">
        <f aca="false">IF($AS13="","",IFERROR(IF(INDEX(Matches!$AV$5:$AV$17,MATCH($C13,Matches!$A$5:$A$17,0))="","",IF($AS13="A",INDEX(Matches!$AV$5:$AV$17,MATCH($C13,Matches!$A$5:$A$17,0)),1-INDEX(Matches!$AV$5:$AV$17,MATCH($C13,Matches!$A$5:$A$17,0)))),""))</f>
        <v/>
      </c>
      <c r="AX13" s="13" t="n">
        <f aca="false">IF(OR($AW13="",$AT13=""),1,((Config!$B$14*$AW13+Config!$B$15*(1-$AW13))/(Config!$B$14*$AT13+Config!$B$15*(1-$AT13)))^Config!$B$13)</f>
        <v>1</v>
      </c>
      <c r="AY13" s="10" t="str">
        <f aca="false">IF($AS13="","",IFERROR(IF(INDEX(Matches!$BB$5:$BB$17,MATCH($C13,Matches!$A$5:$A$17,0))="","",IF($AS13="A",INDEX(Matches!$BB$5:$BB$17,MATCH($C13,Matches!$A$5:$A$17,0)),1-INDEX(Matches!$BB$5:$BB$17,MATCH($C13,Matches!$A$5:$A$17,0)))),""))</f>
        <v/>
      </c>
      <c r="AZ13" s="13" t="n">
        <f aca="false">IF(OR($AY13="",$AT13=""),1,((Config!$B$14*$AY13+Config!$B$15*(1-$AY13))/(Config!$B$14*$AT13+Config!$B$15*(1-$AT13)))^Config!$B$13)</f>
        <v>1</v>
      </c>
      <c r="BA13" s="17" t="n">
        <f aca="false">IF(V13="","",V13*$AV13)</f>
        <v>18.8042307692308</v>
      </c>
      <c r="BB13" s="17" t="n">
        <f aca="false">IF(AC13="","",AC13*$AX13)</f>
        <v>15.695</v>
      </c>
      <c r="BC13" s="17" t="n">
        <f aca="false">IF(AJ13="","",AJ13*$AZ13)</f>
        <v>15.8513636363636</v>
      </c>
      <c r="BD13" s="17" t="n">
        <f aca="false">N(BA13)+N(BB13)</f>
        <v>34.4992307692308</v>
      </c>
      <c r="BE13" s="17" t="n">
        <f aca="false">BD13+N($M13)*N(BC13)</f>
        <v>34.4992307692308</v>
      </c>
      <c r="BF13" s="17" t="n">
        <f aca="false">IF(W13="","",W13*$AV13)</f>
        <v>9.27337872781065</v>
      </c>
      <c r="BG13" s="17" t="n">
        <f aca="false">IF(AD13="","",AD13*$AX13)</f>
        <v>7.4001925</v>
      </c>
      <c r="BH13" s="17" t="n">
        <f aca="false">IF(AK13="","",AK13*$AZ13)</f>
        <v>7.56110045454545</v>
      </c>
      <c r="BI13" s="17" t="n">
        <f aca="false">IF(BF13="","",N(BF13)+N(BG13))</f>
        <v>16.6735712278107</v>
      </c>
      <c r="BJ13" s="17" t="n">
        <f aca="false">IF(BI13="","",BI13+N($M13)*N(BH13))</f>
        <v>16.6735712278107</v>
      </c>
      <c r="BK13" s="13" t="n">
        <f aca="false">IFERROR(BD13/AL13,1)</f>
        <v>1</v>
      </c>
    </row>
    <row r="14" customFormat="false" ht="15" hidden="false" customHeight="false" outlineLevel="0" collapsed="false">
      <c r="A14" s="0" t="s">
        <v>923</v>
      </c>
      <c r="B14" s="0" t="s">
        <v>775</v>
      </c>
      <c r="C14" s="0" t="s">
        <v>850</v>
      </c>
      <c r="D14" s="0" t="s">
        <v>855</v>
      </c>
      <c r="E14" s="0" t="s">
        <v>922</v>
      </c>
      <c r="F14" s="0" t="s">
        <v>1179</v>
      </c>
      <c r="G14" s="0" t="str">
        <f aca="false">IFERROR(IF(INDEX(Matches!$W$5:$W$17,MATCH($C14,Matches!$A$5:$A$17,0))="","",INDEX(Matches!$W$5:$W$17,MATCH($C14,Matches!$A$5:$A$17,0))),"")</f>
        <v>Cache</v>
      </c>
      <c r="H14" s="0" t="str">
        <f aca="false">IFERROR(IF(INDEX(Matches!$X$5:$X$17,MATCH($C14,Matches!$A$5:$A$17,0))="","",INDEX(Matches!$X$5:$X$17,MATCH($C14,Matches!$A$5:$A$17,0))),"")</f>
        <v>Dust2</v>
      </c>
      <c r="I14" s="0" t="str">
        <f aca="false">IFERROR(IF(INDEX(Matches!$Y$5:$Y$17,MATCH($C14,Matches!$A$5:$A$17,0))="","",INDEX(Matches!$Y$5:$Y$17,MATCH($C14,Matches!$A$5:$A$17,0))),"")</f>
        <v>Nuke</v>
      </c>
      <c r="J14" s="11" t="n">
        <f aca="false">IFERROR(IF(INDEX(Matches!$Z$5:$Z$17,MATCH($C14,Matches!$A$5:$A$17,0))="","",INDEX(Matches!$Z$5:$Z$17,MATCH($C14,Matches!$A$5:$A$17,0))),"")</f>
        <v>21.5</v>
      </c>
      <c r="K14" s="11" t="n">
        <f aca="false">IFERROR(IF(INDEX(Matches!$AA$5:$AA$17,MATCH($C14,Matches!$A$5:$A$17,0))="","",INDEX(Matches!$AA$5:$AA$17,MATCH($C14,Matches!$A$5:$A$17,0))),"")</f>
        <v>21.5</v>
      </c>
      <c r="L14" s="11" t="n">
        <f aca="false">IFERROR(IF(INDEX(Matches!$AB$5:$AB$17,MATCH($C14,Matches!$A$5:$A$17,0))="","",INDEX(Matches!$AB$5:$AB$17,MATCH($C14,Matches!$A$5:$A$17,0))),"")</f>
        <v>21.5</v>
      </c>
      <c r="M14" s="10" t="n">
        <f aca="false">IFERROR(IF(INDEX(Matches!$AC$5:$AC$17,MATCH($C14,Matches!$A$5:$A$17,0))="","",INDEX(Matches!$AC$5:$AC$17,MATCH($C14,Matches!$A$5:$A$17,0))),"")</f>
        <v>0</v>
      </c>
      <c r="N14" s="9" t="n">
        <f aca="false">IFERROR(INDEX(Players!$F$2:$F$105,MATCH($F14,Players!$A$2:$A$105,0)),0)</f>
        <v>28</v>
      </c>
      <c r="O14" s="13" t="n">
        <f aca="false">IFERROR(1/(1/INDEX(Players!$H$2:$H$105,MATCH($F14,Players!$A$2:$A$105,0))),"")</f>
        <v>0.8</v>
      </c>
      <c r="P14" s="10" t="n">
        <f aca="false">IFERROR(1/(1/INDEX(Players!$I$2:$I$105,MATCH($F14,Players!$A$2:$A$105,0))),"")</f>
        <v>0.593</v>
      </c>
      <c r="Q14" s="9" t="n">
        <f aca="false">IF($G14="",0,SUMIFS(Map_Stats!$F$2:$F$642,Map_Stats!$A$2:$A$642,$F14&amp;"|"&amp;$G14))</f>
        <v>8</v>
      </c>
      <c r="R14" s="13" t="n">
        <f aca="false">IF($G14="","",IFERROR(1/(1/INDEX(Map_Stats!$K$2:$K$642,MATCH($F14&amp;"|"&amp;$G14,Map_Stats!$A$2:$A$642,0))),$O14))</f>
        <v>0.86</v>
      </c>
      <c r="S14" s="10" t="n">
        <f aca="false">IF(OR($G14="",$P14=""),"",IFERROR(1/(1/INDEX(Map_Stats!$I$2:$I$642,MATCH($F14&amp;"|"&amp;$G14,Map_Stats!$A$2:$A$642,0))),$P14))</f>
        <v>0.562</v>
      </c>
      <c r="T14" s="13" t="n">
        <f aca="false">IF(OR($G14="",R14=""),"",IF($O14="",R14,(Q14*R14+Config!$B$4*$O14)/(Q14+Config!$B$4)))</f>
        <v>0.836923076923077</v>
      </c>
      <c r="U14" s="10" t="n">
        <f aca="false">IF(S14="","",(Q14*S14+Config!$B$4*$P14)/(Q14+Config!$B$4))</f>
        <v>0.573923076923077</v>
      </c>
      <c r="V14" s="17" t="n">
        <f aca="false">IF(OR(T14="",$J14=""),"",T14*$J14*($J14/Config!$B$10)^Config!$B$9)</f>
        <v>17.9938461538462</v>
      </c>
      <c r="W14" s="17" t="n">
        <f aca="false">IF(OR(V14="",U14=""),"",V14*U14)</f>
        <v>10.3270835502959</v>
      </c>
      <c r="X14" s="9" t="n">
        <f aca="false">IF($H14="",0,SUMIFS(Map_Stats!$F$2:$F$642,Map_Stats!$A$2:$A$642,$F14&amp;"|"&amp;$H14))</f>
        <v>5</v>
      </c>
      <c r="Y14" s="13" t="n">
        <f aca="false">IF($H14="","",IFERROR(1/(1/INDEX(Map_Stats!$K$2:$K$642,MATCH($F14&amp;"|"&amp;$H14,Map_Stats!$A$2:$A$642,0))),$O14))</f>
        <v>0.65</v>
      </c>
      <c r="Z14" s="10" t="n">
        <f aca="false">IF(OR($H14="",$P14=""),"",IFERROR(1/(1/INDEX(Map_Stats!$I$2:$I$642,MATCH($F14&amp;"|"&amp;$H14,Map_Stats!$A$2:$A$642,0))),$P14))</f>
        <v>0.515</v>
      </c>
      <c r="AA14" s="13" t="n">
        <f aca="false">IF(OR($H14="",Y14=""),"",IF($O14="",Y14,(X14*Y14+Config!$B$4*$O14)/(X14+Config!$B$4)))</f>
        <v>0.725</v>
      </c>
      <c r="AB14" s="10" t="n">
        <f aca="false">IF(Z14="","",(X14*Z14+Config!$B$4*$P14)/(X14+Config!$B$4))</f>
        <v>0.554</v>
      </c>
      <c r="AC14" s="17" t="n">
        <f aca="false">IF(OR(AA14="",$K14=""),"",AA14*$K14*($K14/Config!$B$10)^Config!$B$9)</f>
        <v>15.5875</v>
      </c>
      <c r="AD14" s="17" t="n">
        <f aca="false">IF(OR(AC14="",AB14=""),"",AC14*AB14)</f>
        <v>8.635475</v>
      </c>
      <c r="AE14" s="9" t="n">
        <f aca="false">IF($I14="",0,SUMIFS(Map_Stats!$F$2:$F$642,Map_Stats!$A$2:$A$642,$F14&amp;"|"&amp;$I14))</f>
        <v>6</v>
      </c>
      <c r="AF14" s="13" t="n">
        <f aca="false">IF($I14="","",IFERROR(1/(1/INDEX(Map_Stats!$K$2:$K$642,MATCH($F14&amp;"|"&amp;$I14,Map_Stats!$A$2:$A$642,0))),$O14))</f>
        <v>1</v>
      </c>
      <c r="AG14" s="10" t="n">
        <f aca="false">IF(OR($I14="",$P14=""),"",IFERROR(1/(1/INDEX(Map_Stats!$I$2:$I$642,MATCH($F14&amp;"|"&amp;$I14,Map_Stats!$A$2:$A$642,0))),$P14))</f>
        <v>0.675</v>
      </c>
      <c r="AH14" s="13" t="n">
        <f aca="false">IF(OR($I14="",AF14=""),"",IF($O14="",AF14,(AE14*AF14+Config!$B$4*$O14)/(AE14+Config!$B$4)))</f>
        <v>0.909090909090909</v>
      </c>
      <c r="AI14" s="10" t="n">
        <f aca="false">IF(AG14="","",(AE14*AG14+Config!$B$4*$P14)/(AE14+Config!$B$4))</f>
        <v>0.637727272727273</v>
      </c>
      <c r="AJ14" s="17" t="n">
        <f aca="false">IF(OR(AH14="",$L14=""),"",AH14*$L14*($L14/Config!$B$10)^Config!$B$9)</f>
        <v>19.5454545454545</v>
      </c>
      <c r="AK14" s="17" t="n">
        <f aca="false">IF(OR(AJ14="",AI14=""),"",AJ14*AI14)</f>
        <v>12.4646694214876</v>
      </c>
      <c r="AL14" s="17" t="n">
        <f aca="false">N(V14)+N(AC14)</f>
        <v>33.5813461538462</v>
      </c>
      <c r="AM14" s="17" t="n">
        <f aca="false">AL14+N($M14)*N(AJ14)</f>
        <v>33.5813461538462</v>
      </c>
      <c r="AN14" s="17" t="n">
        <f aca="false">IF(W14="","",N(W14)+N(AD14))</f>
        <v>18.9625585502959</v>
      </c>
      <c r="AO14" s="17" t="n">
        <f aca="false">IF(AN14="","",AN14+N($M14)*N(AK14))</f>
        <v>18.9625585502959</v>
      </c>
      <c r="AP14" s="10" t="n">
        <f aca="false">IFERROR(AN14/AL14,"")</f>
        <v>0.564675354687174</v>
      </c>
      <c r="AQ14" s="0" t="str">
        <f aca="false">TRIM(IF($N14&lt;Config!$B$12,"thin sample ("&amp;$N14&amp;" maps) · ","")&amp;IF(AND($G14&lt;&gt;"",Q14=0),"M1 unplayed→overall KPR · ","")&amp;IF(AND($H14&lt;&gt;"",X14=0),"M2 unplayed→overall KPR · ","")&amp;IF($O14="","no PickFinder stats",""))</f>
        <v/>
      </c>
      <c r="AR14" s="0" t="str">
        <f aca="false">IF($C14=Board!$B$2,COUNTIFS($C$2:$C$105,Board!$B$2,$AL$2:$AL$105,"&gt;"&amp;$AL14)+COUNTIFS($C$1:$C13,Board!$B$2,$AL$1:$AL13,$AL14)+1,"")</f>
        <v/>
      </c>
      <c r="AS14" s="0" t="str">
        <f aca="false">IFERROR(IF($D14=INDEX(Matches!$AD$5:$AD$17,MATCH($C14,Matches!$A$5:$A$17,0)),"A",IF($D14=INDEX(Matches!$AE$5:$AE$17,MATCH($C14,Matches!$A$5:$A$17,0)),"B","")),"")</f>
        <v>A</v>
      </c>
      <c r="AT14" s="10" t="n">
        <f aca="false">IF($AS14="","",IFERROR(IF($AS14="A",INDEX(Matches!$AI$5:$AI$17,MATCH($C14,Matches!$A$5:$A$17,0)),INDEX(Matches!$AJ$5:$AJ$17,MATCH($C14,Matches!$A$5:$A$17,0))),""))</f>
        <v>0.505174597688453</v>
      </c>
      <c r="AU14" s="10" t="str">
        <f aca="false">IF($AS14="","",IFERROR(IF(INDEX(Matches!$AP$5:$AP$17,MATCH($C14,Matches!$A$5:$A$17,0))="","",IF($AS14="A",INDEX(Matches!$AP$5:$AP$17,MATCH($C14,Matches!$A$5:$A$17,0)),1-INDEX(Matches!$AP$5:$AP$17,MATCH($C14,Matches!$A$5:$A$17,0)))),""))</f>
        <v/>
      </c>
      <c r="AV14" s="13" t="n">
        <f aca="false">IF(OR($AU14="",$AT14=""),1,((Config!$B$14*$AU14+Config!$B$15*(1-$AU14))/(Config!$B$14*$AT14+Config!$B$15*(1-$AT14)))^Config!$B$13)</f>
        <v>1</v>
      </c>
      <c r="AW14" s="10" t="str">
        <f aca="false">IF($AS14="","",IFERROR(IF(INDEX(Matches!$AV$5:$AV$17,MATCH($C14,Matches!$A$5:$A$17,0))="","",IF($AS14="A",INDEX(Matches!$AV$5:$AV$17,MATCH($C14,Matches!$A$5:$A$17,0)),1-INDEX(Matches!$AV$5:$AV$17,MATCH($C14,Matches!$A$5:$A$17,0)))),""))</f>
        <v/>
      </c>
      <c r="AX14" s="13" t="n">
        <f aca="false">IF(OR($AW14="",$AT14=""),1,((Config!$B$14*$AW14+Config!$B$15*(1-$AW14))/(Config!$B$14*$AT14+Config!$B$15*(1-$AT14)))^Config!$B$13)</f>
        <v>1</v>
      </c>
      <c r="AY14" s="10" t="str">
        <f aca="false">IF($AS14="","",IFERROR(IF(INDEX(Matches!$BB$5:$BB$17,MATCH($C14,Matches!$A$5:$A$17,0))="","",IF($AS14="A",INDEX(Matches!$BB$5:$BB$17,MATCH($C14,Matches!$A$5:$A$17,0)),1-INDEX(Matches!$BB$5:$BB$17,MATCH($C14,Matches!$A$5:$A$17,0)))),""))</f>
        <v/>
      </c>
      <c r="AZ14" s="13" t="n">
        <f aca="false">IF(OR($AY14="",$AT14=""),1,((Config!$B$14*$AY14+Config!$B$15*(1-$AY14))/(Config!$B$14*$AT14+Config!$B$15*(1-$AT14)))^Config!$B$13)</f>
        <v>1</v>
      </c>
      <c r="BA14" s="17" t="n">
        <f aca="false">IF(V14="","",V14*$AV14)</f>
        <v>17.9938461538462</v>
      </c>
      <c r="BB14" s="17" t="n">
        <f aca="false">IF(AC14="","",AC14*$AX14)</f>
        <v>15.5875</v>
      </c>
      <c r="BC14" s="17" t="n">
        <f aca="false">IF(AJ14="","",AJ14*$AZ14)</f>
        <v>19.5454545454545</v>
      </c>
      <c r="BD14" s="17" t="n">
        <f aca="false">N(BA14)+N(BB14)</f>
        <v>33.5813461538462</v>
      </c>
      <c r="BE14" s="17" t="n">
        <f aca="false">BD14+N($M14)*N(BC14)</f>
        <v>33.5813461538462</v>
      </c>
      <c r="BF14" s="17" t="n">
        <f aca="false">IF(W14="","",W14*$AV14)</f>
        <v>10.3270835502959</v>
      </c>
      <c r="BG14" s="17" t="n">
        <f aca="false">IF(AD14="","",AD14*$AX14)</f>
        <v>8.635475</v>
      </c>
      <c r="BH14" s="17" t="n">
        <f aca="false">IF(AK14="","",AK14*$AZ14)</f>
        <v>12.4646694214876</v>
      </c>
      <c r="BI14" s="17" t="n">
        <f aca="false">IF(BF14="","",N(BF14)+N(BG14))</f>
        <v>18.9625585502959</v>
      </c>
      <c r="BJ14" s="17" t="n">
        <f aca="false">IF(BI14="","",BI14+N($M14)*N(BH14))</f>
        <v>18.9625585502959</v>
      </c>
      <c r="BK14" s="13" t="n">
        <f aca="false">IFERROR(BD14/AL14,1)</f>
        <v>1</v>
      </c>
    </row>
    <row r="15" customFormat="false" ht="15" hidden="false" customHeight="false" outlineLevel="0" collapsed="false">
      <c r="A15" s="0" t="s">
        <v>925</v>
      </c>
      <c r="B15" s="0" t="s">
        <v>775</v>
      </c>
      <c r="C15" s="0" t="s">
        <v>850</v>
      </c>
      <c r="D15" s="0" t="s">
        <v>855</v>
      </c>
      <c r="E15" s="0" t="s">
        <v>924</v>
      </c>
      <c r="F15" s="0" t="s">
        <v>1180</v>
      </c>
      <c r="G15" s="0" t="str">
        <f aca="false">IFERROR(IF(INDEX(Matches!$W$5:$W$17,MATCH($C15,Matches!$A$5:$A$17,0))="","",INDEX(Matches!$W$5:$W$17,MATCH($C15,Matches!$A$5:$A$17,0))),"")</f>
        <v>Cache</v>
      </c>
      <c r="H15" s="0" t="str">
        <f aca="false">IFERROR(IF(INDEX(Matches!$X$5:$X$17,MATCH($C15,Matches!$A$5:$A$17,0))="","",INDEX(Matches!$X$5:$X$17,MATCH($C15,Matches!$A$5:$A$17,0))),"")</f>
        <v>Dust2</v>
      </c>
      <c r="I15" s="0" t="str">
        <f aca="false">IFERROR(IF(INDEX(Matches!$Y$5:$Y$17,MATCH($C15,Matches!$A$5:$A$17,0))="","",INDEX(Matches!$Y$5:$Y$17,MATCH($C15,Matches!$A$5:$A$17,0))),"")</f>
        <v>Nuke</v>
      </c>
      <c r="J15" s="11" t="n">
        <f aca="false">IFERROR(IF(INDEX(Matches!$Z$5:$Z$17,MATCH($C15,Matches!$A$5:$A$17,0))="","",INDEX(Matches!$Z$5:$Z$17,MATCH($C15,Matches!$A$5:$A$17,0))),"")</f>
        <v>21.5</v>
      </c>
      <c r="K15" s="11" t="n">
        <f aca="false">IFERROR(IF(INDEX(Matches!$AA$5:$AA$17,MATCH($C15,Matches!$A$5:$A$17,0))="","",INDEX(Matches!$AA$5:$AA$17,MATCH($C15,Matches!$A$5:$A$17,0))),"")</f>
        <v>21.5</v>
      </c>
      <c r="L15" s="11" t="n">
        <f aca="false">IFERROR(IF(INDEX(Matches!$AB$5:$AB$17,MATCH($C15,Matches!$A$5:$A$17,0))="","",INDEX(Matches!$AB$5:$AB$17,MATCH($C15,Matches!$A$5:$A$17,0))),"")</f>
        <v>21.5</v>
      </c>
      <c r="M15" s="10" t="n">
        <f aca="false">IFERROR(IF(INDEX(Matches!$AC$5:$AC$17,MATCH($C15,Matches!$A$5:$A$17,0))="","",INDEX(Matches!$AC$5:$AC$17,MATCH($C15,Matches!$A$5:$A$17,0))),"")</f>
        <v>0</v>
      </c>
      <c r="N15" s="9" t="n">
        <f aca="false">IFERROR(INDEX(Players!$F$2:$F$105,MATCH($F15,Players!$A$2:$A$105,0)),0)</f>
        <v>28</v>
      </c>
      <c r="O15" s="13" t="n">
        <f aca="false">IFERROR(1/(1/INDEX(Players!$H$2:$H$105,MATCH($F15,Players!$A$2:$A$105,0))),"")</f>
        <v>0.68</v>
      </c>
      <c r="P15" s="10" t="n">
        <f aca="false">IFERROR(1/(1/INDEX(Players!$I$2:$I$105,MATCH($F15,Players!$A$2:$A$105,0))),"")</f>
        <v>0.302</v>
      </c>
      <c r="Q15" s="9" t="n">
        <f aca="false">IF($G15="",0,SUMIFS(Map_Stats!$F$2:$F$642,Map_Stats!$A$2:$A$642,$F15&amp;"|"&amp;$G15))</f>
        <v>8</v>
      </c>
      <c r="R15" s="13" t="n">
        <f aca="false">IF($G15="","",IFERROR(1/(1/INDEX(Map_Stats!$K$2:$K$642,MATCH($F15&amp;"|"&amp;$G15,Map_Stats!$A$2:$A$642,0))),$O15))</f>
        <v>0.68</v>
      </c>
      <c r="S15" s="10" t="n">
        <f aca="false">IF(OR($G15="",$P15=""),"",IFERROR(1/(1/INDEX(Map_Stats!$I$2:$I$642,MATCH($F15&amp;"|"&amp;$G15,Map_Stats!$A$2:$A$642,0))),$P15))</f>
        <v>0.333</v>
      </c>
      <c r="T15" s="13" t="n">
        <f aca="false">IF(OR($G15="",R15=""),"",IF($O15="",R15,(Q15*R15+Config!$B$4*$O15)/(Q15+Config!$B$4)))</f>
        <v>0.68</v>
      </c>
      <c r="U15" s="10" t="n">
        <f aca="false">IF(S15="","",(Q15*S15+Config!$B$4*$P15)/(Q15+Config!$B$4))</f>
        <v>0.321076923076923</v>
      </c>
      <c r="V15" s="17" t="n">
        <f aca="false">IF(OR(T15="",$J15=""),"",T15*$J15*($J15/Config!$B$10)^Config!$B$9)</f>
        <v>14.62</v>
      </c>
      <c r="W15" s="17" t="n">
        <f aca="false">IF(OR(V15="",U15=""),"",V15*U15)</f>
        <v>4.69414461538462</v>
      </c>
      <c r="X15" s="9" t="n">
        <f aca="false">IF($H15="",0,SUMIFS(Map_Stats!$F$2:$F$642,Map_Stats!$A$2:$A$642,$F15&amp;"|"&amp;$H15))</f>
        <v>5</v>
      </c>
      <c r="Y15" s="13" t="n">
        <f aca="false">IF($H15="","",IFERROR(1/(1/INDEX(Map_Stats!$K$2:$K$642,MATCH($F15&amp;"|"&amp;$H15,Map_Stats!$A$2:$A$642,0))),$O15))</f>
        <v>0.65</v>
      </c>
      <c r="Z15" s="10" t="n">
        <f aca="false">IF(OR($H15="",$P15=""),"",IFERROR(1/(1/INDEX(Map_Stats!$I$2:$I$642,MATCH($F15&amp;"|"&amp;$H15,Map_Stats!$A$2:$A$642,0))),$P15))</f>
        <v>0.279</v>
      </c>
      <c r="AA15" s="13" t="n">
        <f aca="false">IF(OR($H15="",Y15=""),"",IF($O15="",Y15,(X15*Y15+Config!$B$4*$O15)/(X15+Config!$B$4)))</f>
        <v>0.665</v>
      </c>
      <c r="AB15" s="10" t="n">
        <f aca="false">IF(Z15="","",(X15*Z15+Config!$B$4*$P15)/(X15+Config!$B$4))</f>
        <v>0.2905</v>
      </c>
      <c r="AC15" s="17" t="n">
        <f aca="false">IF(OR(AA15="",$K15=""),"",AA15*$K15*($K15/Config!$B$10)^Config!$B$9)</f>
        <v>14.2975</v>
      </c>
      <c r="AD15" s="17" t="n">
        <f aca="false">IF(OR(AC15="",AB15=""),"",AC15*AB15)</f>
        <v>4.15342375</v>
      </c>
      <c r="AE15" s="9" t="n">
        <f aca="false">IF($I15="",0,SUMIFS(Map_Stats!$F$2:$F$642,Map_Stats!$A$2:$A$642,$F15&amp;"|"&amp;$I15))</f>
        <v>6</v>
      </c>
      <c r="AF15" s="13" t="n">
        <f aca="false">IF($I15="","",IFERROR(1/(1/INDEX(Map_Stats!$K$2:$K$642,MATCH($F15&amp;"|"&amp;$I15,Map_Stats!$A$2:$A$642,0))),$O15))</f>
        <v>0.6</v>
      </c>
      <c r="AG15" s="10" t="n">
        <f aca="false">IF(OR($I15="",$P15=""),"",IFERROR(1/(1/INDEX(Map_Stats!$I$2:$I$642,MATCH($F15&amp;"|"&amp;$I15,Map_Stats!$A$2:$A$642,0))),$P15))</f>
        <v>0.286</v>
      </c>
      <c r="AH15" s="13" t="n">
        <f aca="false">IF(OR($I15="",AF15=""),"",IF($O15="",AF15,(AE15*AF15+Config!$B$4*$O15)/(AE15+Config!$B$4)))</f>
        <v>0.636363636363636</v>
      </c>
      <c r="AI15" s="10" t="n">
        <f aca="false">IF(AG15="","",(AE15*AG15+Config!$B$4*$P15)/(AE15+Config!$B$4))</f>
        <v>0.293272727272727</v>
      </c>
      <c r="AJ15" s="17" t="n">
        <f aca="false">IF(OR(AH15="",$L15=""),"",AH15*$L15*($L15/Config!$B$10)^Config!$B$9)</f>
        <v>13.6818181818182</v>
      </c>
      <c r="AK15" s="17" t="n">
        <f aca="false">IF(OR(AJ15="",AI15=""),"",AJ15*AI15)</f>
        <v>4.01250413223141</v>
      </c>
      <c r="AL15" s="17" t="n">
        <f aca="false">N(V15)+N(AC15)</f>
        <v>28.9175</v>
      </c>
      <c r="AM15" s="17" t="n">
        <f aca="false">AL15+N($M15)*N(AJ15)</f>
        <v>28.9175</v>
      </c>
      <c r="AN15" s="17" t="n">
        <f aca="false">IF(W15="","",N(W15)+N(AD15))</f>
        <v>8.84756836538462</v>
      </c>
      <c r="AO15" s="17" t="n">
        <f aca="false">IF(AN15="","",AN15+N($M15)*N(AK15))</f>
        <v>8.84756836538462</v>
      </c>
      <c r="AP15" s="10" t="n">
        <f aca="false">IFERROR(AN15/AL15,"")</f>
        <v>0.305958964826995</v>
      </c>
      <c r="AQ15" s="0" t="str">
        <f aca="false">TRIM(IF($N15&lt;Config!$B$12,"thin sample ("&amp;$N15&amp;" maps) · ","")&amp;IF(AND($G15&lt;&gt;"",Q15=0),"M1 unplayed→overall KPR · ","")&amp;IF(AND($H15&lt;&gt;"",X15=0),"M2 unplayed→overall KPR · ","")&amp;IF($O15="","no PickFinder stats",""))</f>
        <v/>
      </c>
      <c r="AR15" s="0" t="str">
        <f aca="false">IF($C15=Board!$B$2,COUNTIFS($C$2:$C$105,Board!$B$2,$AL$2:$AL$105,"&gt;"&amp;$AL15)+COUNTIFS($C$1:$C14,Board!$B$2,$AL$1:$AL14,$AL15)+1,"")</f>
        <v/>
      </c>
      <c r="AS15" s="0" t="str">
        <f aca="false">IFERROR(IF($D15=INDEX(Matches!$AD$5:$AD$17,MATCH($C15,Matches!$A$5:$A$17,0)),"A",IF($D15=INDEX(Matches!$AE$5:$AE$17,MATCH($C15,Matches!$A$5:$A$17,0)),"B","")),"")</f>
        <v>A</v>
      </c>
      <c r="AT15" s="10" t="n">
        <f aca="false">IF($AS15="","",IFERROR(IF($AS15="A",INDEX(Matches!$AI$5:$AI$17,MATCH($C15,Matches!$A$5:$A$17,0)),INDEX(Matches!$AJ$5:$AJ$17,MATCH($C15,Matches!$A$5:$A$17,0))),""))</f>
        <v>0.505174597688453</v>
      </c>
      <c r="AU15" s="10" t="str">
        <f aca="false">IF($AS15="","",IFERROR(IF(INDEX(Matches!$AP$5:$AP$17,MATCH($C15,Matches!$A$5:$A$17,0))="","",IF($AS15="A",INDEX(Matches!$AP$5:$AP$17,MATCH($C15,Matches!$A$5:$A$17,0)),1-INDEX(Matches!$AP$5:$AP$17,MATCH($C15,Matches!$A$5:$A$17,0)))),""))</f>
        <v/>
      </c>
      <c r="AV15" s="13" t="n">
        <f aca="false">IF(OR($AU15="",$AT15=""),1,((Config!$B$14*$AU15+Config!$B$15*(1-$AU15))/(Config!$B$14*$AT15+Config!$B$15*(1-$AT15)))^Config!$B$13)</f>
        <v>1</v>
      </c>
      <c r="AW15" s="10" t="str">
        <f aca="false">IF($AS15="","",IFERROR(IF(INDEX(Matches!$AV$5:$AV$17,MATCH($C15,Matches!$A$5:$A$17,0))="","",IF($AS15="A",INDEX(Matches!$AV$5:$AV$17,MATCH($C15,Matches!$A$5:$A$17,0)),1-INDEX(Matches!$AV$5:$AV$17,MATCH($C15,Matches!$A$5:$A$17,0)))),""))</f>
        <v/>
      </c>
      <c r="AX15" s="13" t="n">
        <f aca="false">IF(OR($AW15="",$AT15=""),1,((Config!$B$14*$AW15+Config!$B$15*(1-$AW15))/(Config!$B$14*$AT15+Config!$B$15*(1-$AT15)))^Config!$B$13)</f>
        <v>1</v>
      </c>
      <c r="AY15" s="10" t="str">
        <f aca="false">IF($AS15="","",IFERROR(IF(INDEX(Matches!$BB$5:$BB$17,MATCH($C15,Matches!$A$5:$A$17,0))="","",IF($AS15="A",INDEX(Matches!$BB$5:$BB$17,MATCH($C15,Matches!$A$5:$A$17,0)),1-INDEX(Matches!$BB$5:$BB$17,MATCH($C15,Matches!$A$5:$A$17,0)))),""))</f>
        <v/>
      </c>
      <c r="AZ15" s="13" t="n">
        <f aca="false">IF(OR($AY15="",$AT15=""),1,((Config!$B$14*$AY15+Config!$B$15*(1-$AY15))/(Config!$B$14*$AT15+Config!$B$15*(1-$AT15)))^Config!$B$13)</f>
        <v>1</v>
      </c>
      <c r="BA15" s="17" t="n">
        <f aca="false">IF(V15="","",V15*$AV15)</f>
        <v>14.62</v>
      </c>
      <c r="BB15" s="17" t="n">
        <f aca="false">IF(AC15="","",AC15*$AX15)</f>
        <v>14.2975</v>
      </c>
      <c r="BC15" s="17" t="n">
        <f aca="false">IF(AJ15="","",AJ15*$AZ15)</f>
        <v>13.6818181818182</v>
      </c>
      <c r="BD15" s="17" t="n">
        <f aca="false">N(BA15)+N(BB15)</f>
        <v>28.9175</v>
      </c>
      <c r="BE15" s="17" t="n">
        <f aca="false">BD15+N($M15)*N(BC15)</f>
        <v>28.9175</v>
      </c>
      <c r="BF15" s="17" t="n">
        <f aca="false">IF(W15="","",W15*$AV15)</f>
        <v>4.69414461538462</v>
      </c>
      <c r="BG15" s="17" t="n">
        <f aca="false">IF(AD15="","",AD15*$AX15)</f>
        <v>4.15342375</v>
      </c>
      <c r="BH15" s="17" t="n">
        <f aca="false">IF(AK15="","",AK15*$AZ15)</f>
        <v>4.01250413223141</v>
      </c>
      <c r="BI15" s="17" t="n">
        <f aca="false">IF(BF15="","",N(BF15)+N(BG15))</f>
        <v>8.84756836538462</v>
      </c>
      <c r="BJ15" s="17" t="n">
        <f aca="false">IF(BI15="","",BI15+N($M15)*N(BH15))</f>
        <v>8.84756836538462</v>
      </c>
      <c r="BK15" s="13" t="n">
        <f aca="false">IFERROR(BD15/AL15,1)</f>
        <v>1</v>
      </c>
    </row>
    <row r="16" customFormat="false" ht="15" hidden="false" customHeight="false" outlineLevel="0" collapsed="false">
      <c r="A16" s="0" t="s">
        <v>927</v>
      </c>
      <c r="B16" s="0" t="s">
        <v>775</v>
      </c>
      <c r="C16" s="0" t="s">
        <v>850</v>
      </c>
      <c r="D16" s="0" t="s">
        <v>855</v>
      </c>
      <c r="E16" s="0" t="s">
        <v>926</v>
      </c>
      <c r="F16" s="0" t="s">
        <v>1181</v>
      </c>
      <c r="G16" s="0" t="str">
        <f aca="false">IFERROR(IF(INDEX(Matches!$W$5:$W$17,MATCH($C16,Matches!$A$5:$A$17,0))="","",INDEX(Matches!$W$5:$W$17,MATCH($C16,Matches!$A$5:$A$17,0))),"")</f>
        <v>Cache</v>
      </c>
      <c r="H16" s="0" t="str">
        <f aca="false">IFERROR(IF(INDEX(Matches!$X$5:$X$17,MATCH($C16,Matches!$A$5:$A$17,0))="","",INDEX(Matches!$X$5:$X$17,MATCH($C16,Matches!$A$5:$A$17,0))),"")</f>
        <v>Dust2</v>
      </c>
      <c r="I16" s="0" t="str">
        <f aca="false">IFERROR(IF(INDEX(Matches!$Y$5:$Y$17,MATCH($C16,Matches!$A$5:$A$17,0))="","",INDEX(Matches!$Y$5:$Y$17,MATCH($C16,Matches!$A$5:$A$17,0))),"")</f>
        <v>Nuke</v>
      </c>
      <c r="J16" s="11" t="n">
        <f aca="false">IFERROR(IF(INDEX(Matches!$Z$5:$Z$17,MATCH($C16,Matches!$A$5:$A$17,0))="","",INDEX(Matches!$Z$5:$Z$17,MATCH($C16,Matches!$A$5:$A$17,0))),"")</f>
        <v>21.5</v>
      </c>
      <c r="K16" s="11" t="n">
        <f aca="false">IFERROR(IF(INDEX(Matches!$AA$5:$AA$17,MATCH($C16,Matches!$A$5:$A$17,0))="","",INDEX(Matches!$AA$5:$AA$17,MATCH($C16,Matches!$A$5:$A$17,0))),"")</f>
        <v>21.5</v>
      </c>
      <c r="L16" s="11" t="n">
        <f aca="false">IFERROR(IF(INDEX(Matches!$AB$5:$AB$17,MATCH($C16,Matches!$A$5:$A$17,0))="","",INDEX(Matches!$AB$5:$AB$17,MATCH($C16,Matches!$A$5:$A$17,0))),"")</f>
        <v>21.5</v>
      </c>
      <c r="M16" s="10" t="n">
        <f aca="false">IFERROR(IF(INDEX(Matches!$AC$5:$AC$17,MATCH($C16,Matches!$A$5:$A$17,0))="","",INDEX(Matches!$AC$5:$AC$17,MATCH($C16,Matches!$A$5:$A$17,0))),"")</f>
        <v>0</v>
      </c>
      <c r="N16" s="9" t="n">
        <f aca="false">IFERROR(INDEX(Players!$F$2:$F$105,MATCH($F16,Players!$A$2:$A$105,0)),0)</f>
        <v>28</v>
      </c>
      <c r="O16" s="13" t="n">
        <f aca="false">IFERROR(1/(1/INDEX(Players!$H$2:$H$105,MATCH($F16,Players!$A$2:$A$105,0))),"")</f>
        <v>0.63</v>
      </c>
      <c r="P16" s="10" t="n">
        <f aca="false">IFERROR(1/(1/INDEX(Players!$I$2:$I$105,MATCH($F16,Players!$A$2:$A$105,0))),"")</f>
        <v>0.501</v>
      </c>
      <c r="Q16" s="9" t="n">
        <f aca="false">IF($G16="",0,SUMIFS(Map_Stats!$F$2:$F$642,Map_Stats!$A$2:$A$642,$F16&amp;"|"&amp;$G16))</f>
        <v>8</v>
      </c>
      <c r="R16" s="13" t="n">
        <f aca="false">IF($G16="","",IFERROR(1/(1/INDEX(Map_Stats!$K$2:$K$642,MATCH($F16&amp;"|"&amp;$G16,Map_Stats!$A$2:$A$642,0))),$O16))</f>
        <v>0.6</v>
      </c>
      <c r="S16" s="10" t="n">
        <f aca="false">IF(OR($G16="",$P16=""),"",IFERROR(1/(1/INDEX(Map_Stats!$I$2:$I$642,MATCH($F16&amp;"|"&amp;$G16,Map_Stats!$A$2:$A$642,0))),$P16))</f>
        <v>0.505</v>
      </c>
      <c r="T16" s="13" t="n">
        <f aca="false">IF(OR($G16="",R16=""),"",IF($O16="",R16,(Q16*R16+Config!$B$4*$O16)/(Q16+Config!$B$4)))</f>
        <v>0.611538461538462</v>
      </c>
      <c r="U16" s="10" t="n">
        <f aca="false">IF(S16="","",(Q16*S16+Config!$B$4*$P16)/(Q16+Config!$B$4))</f>
        <v>0.503461538461538</v>
      </c>
      <c r="V16" s="17" t="n">
        <f aca="false">IF(OR(T16="",$J16=""),"",T16*$J16*($J16/Config!$B$10)^Config!$B$9)</f>
        <v>13.1480769230769</v>
      </c>
      <c r="W16" s="17" t="n">
        <f aca="false">IF(OR(V16="",U16=""),"",V16*U16)</f>
        <v>6.61955103550296</v>
      </c>
      <c r="X16" s="9" t="n">
        <f aca="false">IF($H16="",0,SUMIFS(Map_Stats!$F$2:$F$642,Map_Stats!$A$2:$A$642,$F16&amp;"|"&amp;$H16))</f>
        <v>5</v>
      </c>
      <c r="Y16" s="13" t="n">
        <f aca="false">IF($H16="","",IFERROR(1/(1/INDEX(Map_Stats!$K$2:$K$642,MATCH($F16&amp;"|"&amp;$H16,Map_Stats!$A$2:$A$642,0))),$O16))</f>
        <v>0.62</v>
      </c>
      <c r="Z16" s="10" t="n">
        <f aca="false">IF(OR($H16="",$P16=""),"",IFERROR(1/(1/INDEX(Map_Stats!$I$2:$I$642,MATCH($F16&amp;"|"&amp;$H16,Map_Stats!$A$2:$A$642,0))),$P16))</f>
        <v>0.438</v>
      </c>
      <c r="AA16" s="13" t="n">
        <f aca="false">IF(OR($H16="",Y16=""),"",IF($O16="",Y16,(X16*Y16+Config!$B$4*$O16)/(X16+Config!$B$4)))</f>
        <v>0.625</v>
      </c>
      <c r="AB16" s="10" t="n">
        <f aca="false">IF(Z16="","",(X16*Z16+Config!$B$4*$P16)/(X16+Config!$B$4))</f>
        <v>0.4695</v>
      </c>
      <c r="AC16" s="17" t="n">
        <f aca="false">IF(OR(AA16="",$K16=""),"",AA16*$K16*($K16/Config!$B$10)^Config!$B$9)</f>
        <v>13.4375</v>
      </c>
      <c r="AD16" s="17" t="n">
        <f aca="false">IF(OR(AC16="",AB16=""),"",AC16*AB16)</f>
        <v>6.30890625</v>
      </c>
      <c r="AE16" s="9" t="n">
        <f aca="false">IF($I16="",0,SUMIFS(Map_Stats!$F$2:$F$642,Map_Stats!$A$2:$A$642,$F16&amp;"|"&amp;$I16))</f>
        <v>6</v>
      </c>
      <c r="AF16" s="13" t="n">
        <f aca="false">IF($I16="","",IFERROR(1/(1/INDEX(Map_Stats!$K$2:$K$642,MATCH($F16&amp;"|"&amp;$I16,Map_Stats!$A$2:$A$642,0))),$O16))</f>
        <v>0.77</v>
      </c>
      <c r="AG16" s="10" t="n">
        <f aca="false">IF(OR($I16="",$P16=""),"",IFERROR(1/(1/INDEX(Map_Stats!$I$2:$I$642,MATCH($F16&amp;"|"&amp;$I16,Map_Stats!$A$2:$A$642,0))),$P16))</f>
        <v>0.556</v>
      </c>
      <c r="AH16" s="13" t="n">
        <f aca="false">IF(OR($I16="",AF16=""),"",IF($O16="",AF16,(AE16*AF16+Config!$B$4*$O16)/(AE16+Config!$B$4)))</f>
        <v>0.706363636363636</v>
      </c>
      <c r="AI16" s="10" t="n">
        <f aca="false">IF(AG16="","",(AE16*AG16+Config!$B$4*$P16)/(AE16+Config!$B$4))</f>
        <v>0.531</v>
      </c>
      <c r="AJ16" s="17" t="n">
        <f aca="false">IF(OR(AH16="",$L16=""),"",AH16*$L16*($L16/Config!$B$10)^Config!$B$9)</f>
        <v>15.1868181818182</v>
      </c>
      <c r="AK16" s="17" t="n">
        <f aca="false">IF(OR(AJ16="",AI16=""),"",AJ16*AI16)</f>
        <v>8.06420045454546</v>
      </c>
      <c r="AL16" s="17" t="n">
        <f aca="false">N(V16)+N(AC16)</f>
        <v>26.5855769230769</v>
      </c>
      <c r="AM16" s="17" t="n">
        <f aca="false">AL16+N($M16)*N(AJ16)</f>
        <v>26.5855769230769</v>
      </c>
      <c r="AN16" s="17" t="n">
        <f aca="false">IF(W16="","",N(W16)+N(AD16))</f>
        <v>12.928457285503</v>
      </c>
      <c r="AO16" s="17" t="n">
        <f aca="false">IF(AN16="","",AN16+N($M16)*N(AK16))</f>
        <v>12.928457285503</v>
      </c>
      <c r="AP16" s="10" t="n">
        <f aca="false">IFERROR(AN16/AL16,"")</f>
        <v>0.486295908601507</v>
      </c>
      <c r="AQ16" s="0" t="str">
        <f aca="false">TRIM(IF($N16&lt;Config!$B$12,"thin sample ("&amp;$N16&amp;" maps) · ","")&amp;IF(AND($G16&lt;&gt;"",Q16=0),"M1 unplayed→overall KPR · ","")&amp;IF(AND($H16&lt;&gt;"",X16=0),"M2 unplayed→overall KPR · ","")&amp;IF($O16="","no PickFinder stats",""))</f>
        <v/>
      </c>
      <c r="AR16" s="0" t="str">
        <f aca="false">IF($C16=Board!$B$2,COUNTIFS($C$2:$C$105,Board!$B$2,$AL$2:$AL$105,"&gt;"&amp;$AL16)+COUNTIFS($C$1:$C15,Board!$B$2,$AL$1:$AL15,$AL16)+1,"")</f>
        <v/>
      </c>
      <c r="AS16" s="0" t="str">
        <f aca="false">IFERROR(IF($D16=INDEX(Matches!$AD$5:$AD$17,MATCH($C16,Matches!$A$5:$A$17,0)),"A",IF($D16=INDEX(Matches!$AE$5:$AE$17,MATCH($C16,Matches!$A$5:$A$17,0)),"B","")),"")</f>
        <v>A</v>
      </c>
      <c r="AT16" s="10" t="n">
        <f aca="false">IF($AS16="","",IFERROR(IF($AS16="A",INDEX(Matches!$AI$5:$AI$17,MATCH($C16,Matches!$A$5:$A$17,0)),INDEX(Matches!$AJ$5:$AJ$17,MATCH($C16,Matches!$A$5:$A$17,0))),""))</f>
        <v>0.505174597688453</v>
      </c>
      <c r="AU16" s="10" t="str">
        <f aca="false">IF($AS16="","",IFERROR(IF(INDEX(Matches!$AP$5:$AP$17,MATCH($C16,Matches!$A$5:$A$17,0))="","",IF($AS16="A",INDEX(Matches!$AP$5:$AP$17,MATCH($C16,Matches!$A$5:$A$17,0)),1-INDEX(Matches!$AP$5:$AP$17,MATCH($C16,Matches!$A$5:$A$17,0)))),""))</f>
        <v/>
      </c>
      <c r="AV16" s="13" t="n">
        <f aca="false">IF(OR($AU16="",$AT16=""),1,((Config!$B$14*$AU16+Config!$B$15*(1-$AU16))/(Config!$B$14*$AT16+Config!$B$15*(1-$AT16)))^Config!$B$13)</f>
        <v>1</v>
      </c>
      <c r="AW16" s="10" t="str">
        <f aca="false">IF($AS16="","",IFERROR(IF(INDEX(Matches!$AV$5:$AV$17,MATCH($C16,Matches!$A$5:$A$17,0))="","",IF($AS16="A",INDEX(Matches!$AV$5:$AV$17,MATCH($C16,Matches!$A$5:$A$17,0)),1-INDEX(Matches!$AV$5:$AV$17,MATCH($C16,Matches!$A$5:$A$17,0)))),""))</f>
        <v/>
      </c>
      <c r="AX16" s="13" t="n">
        <f aca="false">IF(OR($AW16="",$AT16=""),1,((Config!$B$14*$AW16+Config!$B$15*(1-$AW16))/(Config!$B$14*$AT16+Config!$B$15*(1-$AT16)))^Config!$B$13)</f>
        <v>1</v>
      </c>
      <c r="AY16" s="10" t="str">
        <f aca="false">IF($AS16="","",IFERROR(IF(INDEX(Matches!$BB$5:$BB$17,MATCH($C16,Matches!$A$5:$A$17,0))="","",IF($AS16="A",INDEX(Matches!$BB$5:$BB$17,MATCH($C16,Matches!$A$5:$A$17,0)),1-INDEX(Matches!$BB$5:$BB$17,MATCH($C16,Matches!$A$5:$A$17,0)))),""))</f>
        <v/>
      </c>
      <c r="AZ16" s="13" t="n">
        <f aca="false">IF(OR($AY16="",$AT16=""),1,((Config!$B$14*$AY16+Config!$B$15*(1-$AY16))/(Config!$B$14*$AT16+Config!$B$15*(1-$AT16)))^Config!$B$13)</f>
        <v>1</v>
      </c>
      <c r="BA16" s="17" t="n">
        <f aca="false">IF(V16="","",V16*$AV16)</f>
        <v>13.1480769230769</v>
      </c>
      <c r="BB16" s="17" t="n">
        <f aca="false">IF(AC16="","",AC16*$AX16)</f>
        <v>13.4375</v>
      </c>
      <c r="BC16" s="17" t="n">
        <f aca="false">IF(AJ16="","",AJ16*$AZ16)</f>
        <v>15.1868181818182</v>
      </c>
      <c r="BD16" s="17" t="n">
        <f aca="false">N(BA16)+N(BB16)</f>
        <v>26.5855769230769</v>
      </c>
      <c r="BE16" s="17" t="n">
        <f aca="false">BD16+N($M16)*N(BC16)</f>
        <v>26.5855769230769</v>
      </c>
      <c r="BF16" s="17" t="n">
        <f aca="false">IF(W16="","",W16*$AV16)</f>
        <v>6.61955103550296</v>
      </c>
      <c r="BG16" s="17" t="n">
        <f aca="false">IF(AD16="","",AD16*$AX16)</f>
        <v>6.30890625</v>
      </c>
      <c r="BH16" s="17" t="n">
        <f aca="false">IF(AK16="","",AK16*$AZ16)</f>
        <v>8.06420045454546</v>
      </c>
      <c r="BI16" s="17" t="n">
        <f aca="false">IF(BF16="","",N(BF16)+N(BG16))</f>
        <v>12.928457285503</v>
      </c>
      <c r="BJ16" s="17" t="n">
        <f aca="false">IF(BI16="","",BI16+N($M16)*N(BH16))</f>
        <v>12.928457285503</v>
      </c>
      <c r="BK16" s="13" t="n">
        <f aca="false">IFERROR(BD16/AL16,1)</f>
        <v>1</v>
      </c>
    </row>
    <row r="17" customFormat="false" ht="15" hidden="false" customHeight="false" outlineLevel="0" collapsed="false">
      <c r="A17" s="0" t="s">
        <v>929</v>
      </c>
      <c r="B17" s="0" t="s">
        <v>775</v>
      </c>
      <c r="C17" s="0" t="s">
        <v>792</v>
      </c>
      <c r="D17" s="0" t="s">
        <v>798</v>
      </c>
      <c r="E17" s="0" t="s">
        <v>928</v>
      </c>
      <c r="F17" s="0" t="s">
        <v>1182</v>
      </c>
      <c r="G17" s="0" t="str">
        <f aca="false">IFERROR(IF(INDEX(Matches!$W$5:$W$17,MATCH($C17,Matches!$A$5:$A$17,0))="","",INDEX(Matches!$W$5:$W$17,MATCH($C17,Matches!$A$5:$A$17,0))),"")</f>
        <v>Nuke</v>
      </c>
      <c r="H17" s="0" t="str">
        <f aca="false">IFERROR(IF(INDEX(Matches!$X$5:$X$17,MATCH($C17,Matches!$A$5:$A$17,0))="","",INDEX(Matches!$X$5:$X$17,MATCH($C17,Matches!$A$5:$A$17,0))),"")</f>
        <v>Inferno</v>
      </c>
      <c r="I17" s="0" t="str">
        <f aca="false">IFERROR(IF(INDEX(Matches!$Y$5:$Y$17,MATCH($C17,Matches!$A$5:$A$17,0))="","",INDEX(Matches!$Y$5:$Y$17,MATCH($C17,Matches!$A$5:$A$17,0))),"")</f>
        <v>Mirage</v>
      </c>
      <c r="J17" s="11" t="n">
        <f aca="false">IFERROR(IF(INDEX(Matches!$Z$5:$Z$17,MATCH($C17,Matches!$A$5:$A$17,0))="","",INDEX(Matches!$Z$5:$Z$17,MATCH($C17,Matches!$A$5:$A$17,0))),"")</f>
        <v>21.5</v>
      </c>
      <c r="K17" s="11" t="n">
        <f aca="false">IFERROR(IF(INDEX(Matches!$AA$5:$AA$17,MATCH($C17,Matches!$A$5:$A$17,0))="","",INDEX(Matches!$AA$5:$AA$17,MATCH($C17,Matches!$A$5:$A$17,0))),"")</f>
        <v>21.5</v>
      </c>
      <c r="L17" s="11" t="n">
        <f aca="false">IFERROR(IF(INDEX(Matches!$AB$5:$AB$17,MATCH($C17,Matches!$A$5:$A$17,0))="","",INDEX(Matches!$AB$5:$AB$17,MATCH($C17,Matches!$A$5:$A$17,0))),"")</f>
        <v>21.5</v>
      </c>
      <c r="M17" s="10" t="n">
        <f aca="false">IFERROR(IF(INDEX(Matches!$AC$5:$AC$17,MATCH($C17,Matches!$A$5:$A$17,0))="","",INDEX(Matches!$AC$5:$AC$17,MATCH($C17,Matches!$A$5:$A$17,0))),"")</f>
        <v>0</v>
      </c>
      <c r="N17" s="9" t="n">
        <f aca="false">IFERROR(INDEX(Players!$F$2:$F$105,MATCH($F17,Players!$A$2:$A$105,0)),0)</f>
        <v>30</v>
      </c>
      <c r="O17" s="13" t="n">
        <f aca="false">IFERROR(1/(1/INDEX(Players!$H$2:$H$105,MATCH($F17,Players!$A$2:$A$105,0))),"")</f>
        <v>0.64</v>
      </c>
      <c r="P17" s="10" t="n">
        <f aca="false">IFERROR(1/(1/INDEX(Players!$I$2:$I$105,MATCH($F17,Players!$A$2:$A$105,0))),"")</f>
        <v>0.595</v>
      </c>
      <c r="Q17" s="9" t="n">
        <f aca="false">IF($G17="",0,SUMIFS(Map_Stats!$F$2:$F$642,Map_Stats!$A$2:$A$642,$F17&amp;"|"&amp;$G17))</f>
        <v>9</v>
      </c>
      <c r="R17" s="13" t="n">
        <f aca="false">IF($G17="","",IFERROR(1/(1/INDEX(Map_Stats!$K$2:$K$642,MATCH($F17&amp;"|"&amp;$G17,Map_Stats!$A$2:$A$642,0))),$O17))</f>
        <v>0.63</v>
      </c>
      <c r="S17" s="10" t="n">
        <f aca="false">IF(OR($G17="",$P17=""),"",IFERROR(1/(1/INDEX(Map_Stats!$I$2:$I$642,MATCH($F17&amp;"|"&amp;$G17,Map_Stats!$A$2:$A$642,0))),$P17))</f>
        <v>0.634</v>
      </c>
      <c r="T17" s="13" t="n">
        <f aca="false">IF(OR($G17="",R17=""),"",IF($O17="",R17,(Q17*R17+Config!$B$4*$O17)/(Q17+Config!$B$4)))</f>
        <v>0.633571428571429</v>
      </c>
      <c r="U17" s="10" t="n">
        <f aca="false">IF(S17="","",(Q17*S17+Config!$B$4*$P17)/(Q17+Config!$B$4))</f>
        <v>0.620071428571429</v>
      </c>
      <c r="V17" s="17" t="n">
        <f aca="false">IF(OR(T17="",$J17=""),"",T17*$J17*($J17/Config!$B$10)^Config!$B$9)</f>
        <v>13.6217857142857</v>
      </c>
      <c r="W17" s="17" t="n">
        <f aca="false">IF(OR(V17="",U17=""),"",V17*U17)</f>
        <v>8.44648012755102</v>
      </c>
      <c r="X17" s="9" t="n">
        <f aca="false">IF($H17="",0,SUMIFS(Map_Stats!$F$2:$F$642,Map_Stats!$A$2:$A$642,$F17&amp;"|"&amp;$H17))</f>
        <v>5</v>
      </c>
      <c r="Y17" s="13" t="n">
        <f aca="false">IF($H17="","",IFERROR(1/(1/INDEX(Map_Stats!$K$2:$K$642,MATCH($F17&amp;"|"&amp;$H17,Map_Stats!$A$2:$A$642,0))),$O17))</f>
        <v>0.52</v>
      </c>
      <c r="Z17" s="10" t="n">
        <f aca="false">IF(OR($H17="",$P17=""),"",IFERROR(1/(1/INDEX(Map_Stats!$I$2:$I$642,MATCH($F17&amp;"|"&amp;$H17,Map_Stats!$A$2:$A$642,0))),$P17))</f>
        <v>0.492</v>
      </c>
      <c r="AA17" s="13" t="n">
        <f aca="false">IF(OR($H17="",Y17=""),"",IF($O17="",Y17,(X17*Y17+Config!$B$4*$O17)/(X17+Config!$B$4)))</f>
        <v>0.58</v>
      </c>
      <c r="AB17" s="10" t="n">
        <f aca="false">IF(Z17="","",(X17*Z17+Config!$B$4*$P17)/(X17+Config!$B$4))</f>
        <v>0.5435</v>
      </c>
      <c r="AC17" s="17" t="n">
        <f aca="false">IF(OR(AA17="",$K17=""),"",AA17*$K17*($K17/Config!$B$10)^Config!$B$9)</f>
        <v>12.47</v>
      </c>
      <c r="AD17" s="17" t="n">
        <f aca="false">IF(OR(AC17="",AB17=""),"",AC17*AB17)</f>
        <v>6.777445</v>
      </c>
      <c r="AE17" s="9" t="n">
        <f aca="false">IF($I17="",0,SUMIFS(Map_Stats!$F$2:$F$642,Map_Stats!$A$2:$A$642,$F17&amp;"|"&amp;$I17))</f>
        <v>7</v>
      </c>
      <c r="AF17" s="13" t="n">
        <f aca="false">IF($I17="","",IFERROR(1/(1/INDEX(Map_Stats!$K$2:$K$642,MATCH($F17&amp;"|"&amp;$I17,Map_Stats!$A$2:$A$642,0))),$O17))</f>
        <v>0.64</v>
      </c>
      <c r="AG17" s="10" t="n">
        <f aca="false">IF(OR($I17="",$P17=""),"",IFERROR(1/(1/INDEX(Map_Stats!$I$2:$I$642,MATCH($F17&amp;"|"&amp;$I17,Map_Stats!$A$2:$A$642,0))),$P17))</f>
        <v>0.618</v>
      </c>
      <c r="AH17" s="13" t="n">
        <f aca="false">IF(OR($I17="",AF17=""),"",IF($O17="",AF17,(AE17*AF17+Config!$B$4*$O17)/(AE17+Config!$B$4)))</f>
        <v>0.64</v>
      </c>
      <c r="AI17" s="10" t="n">
        <f aca="false">IF(AG17="","",(AE17*AG17+Config!$B$4*$P17)/(AE17+Config!$B$4))</f>
        <v>0.608416666666667</v>
      </c>
      <c r="AJ17" s="17" t="n">
        <f aca="false">IF(OR(AH17="",$L17=""),"",AH17*$L17*($L17/Config!$B$10)^Config!$B$9)</f>
        <v>13.76</v>
      </c>
      <c r="AK17" s="17" t="n">
        <f aca="false">IF(OR(AJ17="",AI17=""),"",AJ17*AI17)</f>
        <v>8.37181333333333</v>
      </c>
      <c r="AL17" s="17" t="n">
        <f aca="false">N(V17)+N(AC17)</f>
        <v>26.0917857142857</v>
      </c>
      <c r="AM17" s="17" t="n">
        <f aca="false">AL17+N($M17)*N(AJ17)</f>
        <v>26.0917857142857</v>
      </c>
      <c r="AN17" s="17" t="n">
        <f aca="false">IF(W17="","",N(W17)+N(AD17))</f>
        <v>15.223925127551</v>
      </c>
      <c r="AO17" s="17" t="n">
        <f aca="false">IF(AN17="","",AN17+N($M17)*N(AK17))</f>
        <v>15.223925127551</v>
      </c>
      <c r="AP17" s="10" t="n">
        <f aca="false">IFERROR(AN17/AL17,"")</f>
        <v>0.583475784074666</v>
      </c>
      <c r="AQ17" s="0" t="str">
        <f aca="false">TRIM(IF($N17&lt;Config!$B$12,"thin sample ("&amp;$N17&amp;" maps) · ","")&amp;IF(AND($G17&lt;&gt;"",Q17=0),"M1 unplayed→overall KPR · ","")&amp;IF(AND($H17&lt;&gt;"",X17=0),"M2 unplayed→overall KPR · ","")&amp;IF($O17="","no PickFinder stats",""))</f>
        <v/>
      </c>
      <c r="AR17" s="0" t="str">
        <f aca="false">IF($C17=Board!$B$2,COUNTIFS($C$2:$C$105,Board!$B$2,$AL$2:$AL$105,"&gt;"&amp;$AL17)+COUNTIFS($C$1:$C16,Board!$B$2,$AL$1:$AL16,$AL17)+1,"")</f>
        <v/>
      </c>
      <c r="AS17" s="0" t="str">
        <f aca="false">IFERROR(IF($D17=INDEX(Matches!$AD$5:$AD$17,MATCH($C17,Matches!$A$5:$A$17,0)),"A",IF($D17=INDEX(Matches!$AE$5:$AE$17,MATCH($C17,Matches!$A$5:$A$17,0)),"B","")),"")</f>
        <v>A</v>
      </c>
      <c r="AT17" s="10" t="n">
        <f aca="false">IF($AS17="","",IFERROR(IF($AS17="A",INDEX(Matches!$AI$5:$AI$17,MATCH($C17,Matches!$A$5:$A$17,0)),INDEX(Matches!$AJ$5:$AJ$17,MATCH($C17,Matches!$A$5:$A$17,0))),""))</f>
        <v>0.520665204004499</v>
      </c>
      <c r="AU17" s="10" t="str">
        <f aca="false">IF($AS17="","",IFERROR(IF(INDEX(Matches!$AP$5:$AP$17,MATCH($C17,Matches!$A$5:$A$17,0))="","",IF($AS17="A",INDEX(Matches!$AP$5:$AP$17,MATCH($C17,Matches!$A$5:$A$17,0)),1-INDEX(Matches!$AP$5:$AP$17,MATCH($C17,Matches!$A$5:$A$17,0)))),""))</f>
        <v/>
      </c>
      <c r="AV17" s="13" t="n">
        <f aca="false">IF(OR($AU17="",$AT17=""),1,((Config!$B$14*$AU17+Config!$B$15*(1-$AU17))/(Config!$B$14*$AT17+Config!$B$15*(1-$AT17)))^Config!$B$13)</f>
        <v>1</v>
      </c>
      <c r="AW17" s="10" t="str">
        <f aca="false">IF($AS17="","",IFERROR(IF(INDEX(Matches!$AV$5:$AV$17,MATCH($C17,Matches!$A$5:$A$17,0))="","",IF($AS17="A",INDEX(Matches!$AV$5:$AV$17,MATCH($C17,Matches!$A$5:$A$17,0)),1-INDEX(Matches!$AV$5:$AV$17,MATCH($C17,Matches!$A$5:$A$17,0)))),""))</f>
        <v/>
      </c>
      <c r="AX17" s="13" t="n">
        <f aca="false">IF(OR($AW17="",$AT17=""),1,((Config!$B$14*$AW17+Config!$B$15*(1-$AW17))/(Config!$B$14*$AT17+Config!$B$15*(1-$AT17)))^Config!$B$13)</f>
        <v>1</v>
      </c>
      <c r="AY17" s="10" t="str">
        <f aca="false">IF($AS17="","",IFERROR(IF(INDEX(Matches!$BB$5:$BB$17,MATCH($C17,Matches!$A$5:$A$17,0))="","",IF($AS17="A",INDEX(Matches!$BB$5:$BB$17,MATCH($C17,Matches!$A$5:$A$17,0)),1-INDEX(Matches!$BB$5:$BB$17,MATCH($C17,Matches!$A$5:$A$17,0)))),""))</f>
        <v/>
      </c>
      <c r="AZ17" s="13" t="n">
        <f aca="false">IF(OR($AY17="",$AT17=""),1,((Config!$B$14*$AY17+Config!$B$15*(1-$AY17))/(Config!$B$14*$AT17+Config!$B$15*(1-$AT17)))^Config!$B$13)</f>
        <v>1</v>
      </c>
      <c r="BA17" s="17" t="n">
        <f aca="false">IF(V17="","",V17*$AV17)</f>
        <v>13.6217857142857</v>
      </c>
      <c r="BB17" s="17" t="n">
        <f aca="false">IF(AC17="","",AC17*$AX17)</f>
        <v>12.47</v>
      </c>
      <c r="BC17" s="17" t="n">
        <f aca="false">IF(AJ17="","",AJ17*$AZ17)</f>
        <v>13.76</v>
      </c>
      <c r="BD17" s="17" t="n">
        <f aca="false">N(BA17)+N(BB17)</f>
        <v>26.0917857142857</v>
      </c>
      <c r="BE17" s="17" t="n">
        <f aca="false">BD17+N($M17)*N(BC17)</f>
        <v>26.0917857142857</v>
      </c>
      <c r="BF17" s="17" t="n">
        <f aca="false">IF(W17="","",W17*$AV17)</f>
        <v>8.44648012755102</v>
      </c>
      <c r="BG17" s="17" t="n">
        <f aca="false">IF(AD17="","",AD17*$AX17)</f>
        <v>6.777445</v>
      </c>
      <c r="BH17" s="17" t="n">
        <f aca="false">IF(AK17="","",AK17*$AZ17)</f>
        <v>8.37181333333333</v>
      </c>
      <c r="BI17" s="17" t="n">
        <f aca="false">IF(BF17="","",N(BF17)+N(BG17))</f>
        <v>15.223925127551</v>
      </c>
      <c r="BJ17" s="17" t="n">
        <f aca="false">IF(BI17="","",BI17+N($M17)*N(BH17))</f>
        <v>15.223925127551</v>
      </c>
      <c r="BK17" s="13" t="n">
        <f aca="false">IFERROR(BD17/AL17,1)</f>
        <v>1</v>
      </c>
    </row>
    <row r="18" customFormat="false" ht="15" hidden="false" customHeight="false" outlineLevel="0" collapsed="false">
      <c r="A18" s="0" t="s">
        <v>931</v>
      </c>
      <c r="B18" s="0" t="s">
        <v>775</v>
      </c>
      <c r="C18" s="0" t="s">
        <v>792</v>
      </c>
      <c r="D18" s="0" t="s">
        <v>798</v>
      </c>
      <c r="E18" s="0" t="s">
        <v>930</v>
      </c>
      <c r="F18" s="0" t="s">
        <v>1183</v>
      </c>
      <c r="G18" s="0" t="str">
        <f aca="false">IFERROR(IF(INDEX(Matches!$W$5:$W$17,MATCH($C18,Matches!$A$5:$A$17,0))="","",INDEX(Matches!$W$5:$W$17,MATCH($C18,Matches!$A$5:$A$17,0))),"")</f>
        <v>Nuke</v>
      </c>
      <c r="H18" s="0" t="str">
        <f aca="false">IFERROR(IF(INDEX(Matches!$X$5:$X$17,MATCH($C18,Matches!$A$5:$A$17,0))="","",INDEX(Matches!$X$5:$X$17,MATCH($C18,Matches!$A$5:$A$17,0))),"")</f>
        <v>Inferno</v>
      </c>
      <c r="I18" s="0" t="str">
        <f aca="false">IFERROR(IF(INDEX(Matches!$Y$5:$Y$17,MATCH($C18,Matches!$A$5:$A$17,0))="","",INDEX(Matches!$Y$5:$Y$17,MATCH($C18,Matches!$A$5:$A$17,0))),"")</f>
        <v>Mirage</v>
      </c>
      <c r="J18" s="11" t="n">
        <f aca="false">IFERROR(IF(INDEX(Matches!$Z$5:$Z$17,MATCH($C18,Matches!$A$5:$A$17,0))="","",INDEX(Matches!$Z$5:$Z$17,MATCH($C18,Matches!$A$5:$A$17,0))),"")</f>
        <v>21.5</v>
      </c>
      <c r="K18" s="11" t="n">
        <f aca="false">IFERROR(IF(INDEX(Matches!$AA$5:$AA$17,MATCH($C18,Matches!$A$5:$A$17,0))="","",INDEX(Matches!$AA$5:$AA$17,MATCH($C18,Matches!$A$5:$A$17,0))),"")</f>
        <v>21.5</v>
      </c>
      <c r="L18" s="11" t="n">
        <f aca="false">IFERROR(IF(INDEX(Matches!$AB$5:$AB$17,MATCH($C18,Matches!$A$5:$A$17,0))="","",INDEX(Matches!$AB$5:$AB$17,MATCH($C18,Matches!$A$5:$A$17,0))),"")</f>
        <v>21.5</v>
      </c>
      <c r="M18" s="10" t="n">
        <f aca="false">IFERROR(IF(INDEX(Matches!$AC$5:$AC$17,MATCH($C18,Matches!$A$5:$A$17,0))="","",INDEX(Matches!$AC$5:$AC$17,MATCH($C18,Matches!$A$5:$A$17,0))),"")</f>
        <v>0</v>
      </c>
      <c r="N18" s="9" t="n">
        <f aca="false">IFERROR(INDEX(Players!$F$2:$F$105,MATCH($F18,Players!$A$2:$A$105,0)),0)</f>
        <v>30</v>
      </c>
      <c r="O18" s="13" t="n">
        <f aca="false">IFERROR(1/(1/INDEX(Players!$H$2:$H$105,MATCH($F18,Players!$A$2:$A$105,0))),"")</f>
        <v>0.78</v>
      </c>
      <c r="P18" s="10" t="n">
        <f aca="false">IFERROR(1/(1/INDEX(Players!$I$2:$I$105,MATCH($F18,Players!$A$2:$A$105,0))),"")</f>
        <v>0.348</v>
      </c>
      <c r="Q18" s="9" t="n">
        <f aca="false">IF($G18="",0,SUMIFS(Map_Stats!$F$2:$F$642,Map_Stats!$A$2:$A$642,$F18&amp;"|"&amp;$G18))</f>
        <v>9</v>
      </c>
      <c r="R18" s="13" t="n">
        <f aca="false">IF($G18="","",IFERROR(1/(1/INDEX(Map_Stats!$K$2:$K$642,MATCH($F18&amp;"|"&amp;$G18,Map_Stats!$A$2:$A$642,0))),$O18))</f>
        <v>0.69</v>
      </c>
      <c r="S18" s="10" t="n">
        <f aca="false">IF(OR($G18="",$P18=""),"",IFERROR(1/(1/INDEX(Map_Stats!$I$2:$I$642,MATCH($F18&amp;"|"&amp;$G18,Map_Stats!$A$2:$A$642,0))),$P18))</f>
        <v>0.353</v>
      </c>
      <c r="T18" s="13" t="n">
        <f aca="false">IF(OR($G18="",R18=""),"",IF($O18="",R18,(Q18*R18+Config!$B$4*$O18)/(Q18+Config!$B$4)))</f>
        <v>0.722142857142857</v>
      </c>
      <c r="U18" s="10" t="n">
        <f aca="false">IF(S18="","",(Q18*S18+Config!$B$4*$P18)/(Q18+Config!$B$4))</f>
        <v>0.351214285714286</v>
      </c>
      <c r="V18" s="17" t="n">
        <f aca="false">IF(OR(T18="",$J18=""),"",T18*$J18*($J18/Config!$B$10)^Config!$B$9)</f>
        <v>15.5260714285714</v>
      </c>
      <c r="W18" s="17" t="n">
        <f aca="false">IF(OR(V18="",U18=""),"",V18*U18)</f>
        <v>5.45297808673469</v>
      </c>
      <c r="X18" s="9" t="n">
        <f aca="false">IF($H18="",0,SUMIFS(Map_Stats!$F$2:$F$642,Map_Stats!$A$2:$A$642,$F18&amp;"|"&amp;$H18))</f>
        <v>5</v>
      </c>
      <c r="Y18" s="13" t="n">
        <f aca="false">IF($H18="","",IFERROR(1/(1/INDEX(Map_Stats!$K$2:$K$642,MATCH($F18&amp;"|"&amp;$H18,Map_Stats!$A$2:$A$642,0))),$O18))</f>
        <v>0.79</v>
      </c>
      <c r="Z18" s="10" t="n">
        <f aca="false">IF(OR($H18="",$P18=""),"",IFERROR(1/(1/INDEX(Map_Stats!$I$2:$I$642,MATCH($F18&amp;"|"&amp;$H18,Map_Stats!$A$2:$A$642,0))),$P18))</f>
        <v>0.378</v>
      </c>
      <c r="AA18" s="13" t="n">
        <f aca="false">IF(OR($H18="",Y18=""),"",IF($O18="",Y18,(X18*Y18+Config!$B$4*$O18)/(X18+Config!$B$4)))</f>
        <v>0.785</v>
      </c>
      <c r="AB18" s="10" t="n">
        <f aca="false">IF(Z18="","",(X18*Z18+Config!$B$4*$P18)/(X18+Config!$B$4))</f>
        <v>0.363</v>
      </c>
      <c r="AC18" s="17" t="n">
        <f aca="false">IF(OR(AA18="",$K18=""),"",AA18*$K18*($K18/Config!$B$10)^Config!$B$9)</f>
        <v>16.8775</v>
      </c>
      <c r="AD18" s="17" t="n">
        <f aca="false">IF(OR(AC18="",AB18=""),"",AC18*AB18)</f>
        <v>6.1265325</v>
      </c>
      <c r="AE18" s="9" t="n">
        <f aca="false">IF($I18="",0,SUMIFS(Map_Stats!$F$2:$F$642,Map_Stats!$A$2:$A$642,$F18&amp;"|"&amp;$I18))</f>
        <v>7</v>
      </c>
      <c r="AF18" s="13" t="n">
        <f aca="false">IF($I18="","",IFERROR(1/(1/INDEX(Map_Stats!$K$2:$K$642,MATCH($F18&amp;"|"&amp;$I18,Map_Stats!$A$2:$A$642,0))),$O18))</f>
        <v>0.9</v>
      </c>
      <c r="AG18" s="10" t="n">
        <f aca="false">IF(OR($I18="",$P18=""),"",IFERROR(1/(1/INDEX(Map_Stats!$I$2:$I$642,MATCH($F18&amp;"|"&amp;$I18,Map_Stats!$A$2:$A$642,0))),$P18))</f>
        <v>0.347</v>
      </c>
      <c r="AH18" s="13" t="n">
        <f aca="false">IF(OR($I18="",AF18=""),"",IF($O18="",AF18,(AE18*AF18+Config!$B$4*$O18)/(AE18+Config!$B$4)))</f>
        <v>0.85</v>
      </c>
      <c r="AI18" s="10" t="n">
        <f aca="false">IF(AG18="","",(AE18*AG18+Config!$B$4*$P18)/(AE18+Config!$B$4))</f>
        <v>0.347416666666667</v>
      </c>
      <c r="AJ18" s="17" t="n">
        <f aca="false">IF(OR(AH18="",$L18=""),"",AH18*$L18*($L18/Config!$B$10)^Config!$B$9)</f>
        <v>18.275</v>
      </c>
      <c r="AK18" s="17" t="n">
        <f aca="false">IF(OR(AJ18="",AI18=""),"",AJ18*AI18)</f>
        <v>6.34903958333333</v>
      </c>
      <c r="AL18" s="17" t="n">
        <f aca="false">N(V18)+N(AC18)</f>
        <v>32.4035714285714</v>
      </c>
      <c r="AM18" s="17" t="n">
        <f aca="false">AL18+N($M18)*N(AJ18)</f>
        <v>32.4035714285714</v>
      </c>
      <c r="AN18" s="17" t="n">
        <f aca="false">IF(W18="","",N(W18)+N(AD18))</f>
        <v>11.5795105867347</v>
      </c>
      <c r="AO18" s="17" t="n">
        <f aca="false">IF(AN18="","",AN18+N($M18)*N(AK18))</f>
        <v>11.5795105867347</v>
      </c>
      <c r="AP18" s="10" t="n">
        <f aca="false">IFERROR(AN18/AL18,"")</f>
        <v>0.357352911306703</v>
      </c>
      <c r="AQ18" s="0" t="str">
        <f aca="false">TRIM(IF($N18&lt;Config!$B$12,"thin sample ("&amp;$N18&amp;" maps) · ","")&amp;IF(AND($G18&lt;&gt;"",Q18=0),"M1 unplayed→overall KPR · ","")&amp;IF(AND($H18&lt;&gt;"",X18=0),"M2 unplayed→overall KPR · ","")&amp;IF($O18="","no PickFinder stats",""))</f>
        <v/>
      </c>
      <c r="AR18" s="0" t="str">
        <f aca="false">IF($C18=Board!$B$2,COUNTIFS($C$2:$C$105,Board!$B$2,$AL$2:$AL$105,"&gt;"&amp;$AL18)+COUNTIFS($C$1:$C17,Board!$B$2,$AL$1:$AL17,$AL18)+1,"")</f>
        <v/>
      </c>
      <c r="AS18" s="0" t="str">
        <f aca="false">IFERROR(IF($D18=INDEX(Matches!$AD$5:$AD$17,MATCH($C18,Matches!$A$5:$A$17,0)),"A",IF($D18=INDEX(Matches!$AE$5:$AE$17,MATCH($C18,Matches!$A$5:$A$17,0)),"B","")),"")</f>
        <v>A</v>
      </c>
      <c r="AT18" s="10" t="n">
        <f aca="false">IF($AS18="","",IFERROR(IF($AS18="A",INDEX(Matches!$AI$5:$AI$17,MATCH($C18,Matches!$A$5:$A$17,0)),INDEX(Matches!$AJ$5:$AJ$17,MATCH($C18,Matches!$A$5:$A$17,0))),""))</f>
        <v>0.520665204004499</v>
      </c>
      <c r="AU18" s="10" t="str">
        <f aca="false">IF($AS18="","",IFERROR(IF(INDEX(Matches!$AP$5:$AP$17,MATCH($C18,Matches!$A$5:$A$17,0))="","",IF($AS18="A",INDEX(Matches!$AP$5:$AP$17,MATCH($C18,Matches!$A$5:$A$17,0)),1-INDEX(Matches!$AP$5:$AP$17,MATCH($C18,Matches!$A$5:$A$17,0)))),""))</f>
        <v/>
      </c>
      <c r="AV18" s="13" t="n">
        <f aca="false">IF(OR($AU18="",$AT18=""),1,((Config!$B$14*$AU18+Config!$B$15*(1-$AU18))/(Config!$B$14*$AT18+Config!$B$15*(1-$AT18)))^Config!$B$13)</f>
        <v>1</v>
      </c>
      <c r="AW18" s="10" t="str">
        <f aca="false">IF($AS18="","",IFERROR(IF(INDEX(Matches!$AV$5:$AV$17,MATCH($C18,Matches!$A$5:$A$17,0))="","",IF($AS18="A",INDEX(Matches!$AV$5:$AV$17,MATCH($C18,Matches!$A$5:$A$17,0)),1-INDEX(Matches!$AV$5:$AV$17,MATCH($C18,Matches!$A$5:$A$17,0)))),""))</f>
        <v/>
      </c>
      <c r="AX18" s="13" t="n">
        <f aca="false">IF(OR($AW18="",$AT18=""),1,((Config!$B$14*$AW18+Config!$B$15*(1-$AW18))/(Config!$B$14*$AT18+Config!$B$15*(1-$AT18)))^Config!$B$13)</f>
        <v>1</v>
      </c>
      <c r="AY18" s="10" t="str">
        <f aca="false">IF($AS18="","",IFERROR(IF(INDEX(Matches!$BB$5:$BB$17,MATCH($C18,Matches!$A$5:$A$17,0))="","",IF($AS18="A",INDEX(Matches!$BB$5:$BB$17,MATCH($C18,Matches!$A$5:$A$17,0)),1-INDEX(Matches!$BB$5:$BB$17,MATCH($C18,Matches!$A$5:$A$17,0)))),""))</f>
        <v/>
      </c>
      <c r="AZ18" s="13" t="n">
        <f aca="false">IF(OR($AY18="",$AT18=""),1,((Config!$B$14*$AY18+Config!$B$15*(1-$AY18))/(Config!$B$14*$AT18+Config!$B$15*(1-$AT18)))^Config!$B$13)</f>
        <v>1</v>
      </c>
      <c r="BA18" s="17" t="n">
        <f aca="false">IF(V18="","",V18*$AV18)</f>
        <v>15.5260714285714</v>
      </c>
      <c r="BB18" s="17" t="n">
        <f aca="false">IF(AC18="","",AC18*$AX18)</f>
        <v>16.8775</v>
      </c>
      <c r="BC18" s="17" t="n">
        <f aca="false">IF(AJ18="","",AJ18*$AZ18)</f>
        <v>18.275</v>
      </c>
      <c r="BD18" s="17" t="n">
        <f aca="false">N(BA18)+N(BB18)</f>
        <v>32.4035714285714</v>
      </c>
      <c r="BE18" s="17" t="n">
        <f aca="false">BD18+N($M18)*N(BC18)</f>
        <v>32.4035714285714</v>
      </c>
      <c r="BF18" s="17" t="n">
        <f aca="false">IF(W18="","",W18*$AV18)</f>
        <v>5.45297808673469</v>
      </c>
      <c r="BG18" s="17" t="n">
        <f aca="false">IF(AD18="","",AD18*$AX18)</f>
        <v>6.1265325</v>
      </c>
      <c r="BH18" s="17" t="n">
        <f aca="false">IF(AK18="","",AK18*$AZ18)</f>
        <v>6.34903958333333</v>
      </c>
      <c r="BI18" s="17" t="n">
        <f aca="false">IF(BF18="","",N(BF18)+N(BG18))</f>
        <v>11.5795105867347</v>
      </c>
      <c r="BJ18" s="17" t="n">
        <f aca="false">IF(BI18="","",BI18+N($M18)*N(BH18))</f>
        <v>11.5795105867347</v>
      </c>
      <c r="BK18" s="13" t="n">
        <f aca="false">IFERROR(BD18/AL18,1)</f>
        <v>1</v>
      </c>
    </row>
    <row r="19" customFormat="false" ht="15" hidden="false" customHeight="false" outlineLevel="0" collapsed="false">
      <c r="A19" s="0" t="s">
        <v>933</v>
      </c>
      <c r="B19" s="0" t="s">
        <v>775</v>
      </c>
      <c r="C19" s="0" t="s">
        <v>792</v>
      </c>
      <c r="D19" s="0" t="s">
        <v>798</v>
      </c>
      <c r="E19" s="0" t="s">
        <v>932</v>
      </c>
      <c r="F19" s="0" t="s">
        <v>1184</v>
      </c>
      <c r="G19" s="0" t="str">
        <f aca="false">IFERROR(IF(INDEX(Matches!$W$5:$W$17,MATCH($C19,Matches!$A$5:$A$17,0))="","",INDEX(Matches!$W$5:$W$17,MATCH($C19,Matches!$A$5:$A$17,0))),"")</f>
        <v>Nuke</v>
      </c>
      <c r="H19" s="0" t="str">
        <f aca="false">IFERROR(IF(INDEX(Matches!$X$5:$X$17,MATCH($C19,Matches!$A$5:$A$17,0))="","",INDEX(Matches!$X$5:$X$17,MATCH($C19,Matches!$A$5:$A$17,0))),"")</f>
        <v>Inferno</v>
      </c>
      <c r="I19" s="0" t="str">
        <f aca="false">IFERROR(IF(INDEX(Matches!$Y$5:$Y$17,MATCH($C19,Matches!$A$5:$A$17,0))="","",INDEX(Matches!$Y$5:$Y$17,MATCH($C19,Matches!$A$5:$A$17,0))),"")</f>
        <v>Mirage</v>
      </c>
      <c r="J19" s="11" t="n">
        <f aca="false">IFERROR(IF(INDEX(Matches!$Z$5:$Z$17,MATCH($C19,Matches!$A$5:$A$17,0))="","",INDEX(Matches!$Z$5:$Z$17,MATCH($C19,Matches!$A$5:$A$17,0))),"")</f>
        <v>21.5</v>
      </c>
      <c r="K19" s="11" t="n">
        <f aca="false">IFERROR(IF(INDEX(Matches!$AA$5:$AA$17,MATCH($C19,Matches!$A$5:$A$17,0))="","",INDEX(Matches!$AA$5:$AA$17,MATCH($C19,Matches!$A$5:$A$17,0))),"")</f>
        <v>21.5</v>
      </c>
      <c r="L19" s="11" t="n">
        <f aca="false">IFERROR(IF(INDEX(Matches!$AB$5:$AB$17,MATCH($C19,Matches!$A$5:$A$17,0))="","",INDEX(Matches!$AB$5:$AB$17,MATCH($C19,Matches!$A$5:$A$17,0))),"")</f>
        <v>21.5</v>
      </c>
      <c r="M19" s="10" t="n">
        <f aca="false">IFERROR(IF(INDEX(Matches!$AC$5:$AC$17,MATCH($C19,Matches!$A$5:$A$17,0))="","",INDEX(Matches!$AC$5:$AC$17,MATCH($C19,Matches!$A$5:$A$17,0))),"")</f>
        <v>0</v>
      </c>
      <c r="N19" s="9" t="n">
        <f aca="false">IFERROR(INDEX(Players!$F$2:$F$105,MATCH($F19,Players!$A$2:$A$105,0)),0)</f>
        <v>30</v>
      </c>
      <c r="O19" s="13" t="n">
        <f aca="false">IFERROR(1/(1/INDEX(Players!$H$2:$H$105,MATCH($F19,Players!$A$2:$A$105,0))),"")</f>
        <v>0.7</v>
      </c>
      <c r="P19" s="10" t="n">
        <f aca="false">IFERROR(1/(1/INDEX(Players!$I$2:$I$105,MATCH($F19,Players!$A$2:$A$105,0))),"")</f>
        <v>0.666</v>
      </c>
      <c r="Q19" s="9" t="n">
        <f aca="false">IF($G19="",0,SUMIFS(Map_Stats!$F$2:$F$642,Map_Stats!$A$2:$A$642,$F19&amp;"|"&amp;$G19))</f>
        <v>9</v>
      </c>
      <c r="R19" s="13" t="n">
        <f aca="false">IF($G19="","",IFERROR(1/(1/INDEX(Map_Stats!$K$2:$K$642,MATCH($F19&amp;"|"&amp;$G19,Map_Stats!$A$2:$A$642,0))),$O19))</f>
        <v>0.67</v>
      </c>
      <c r="S19" s="10" t="n">
        <f aca="false">IF(OR($G19="",$P19=""),"",IFERROR(1/(1/INDEX(Map_Stats!$I$2:$I$642,MATCH($F19&amp;"|"&amp;$G19,Map_Stats!$A$2:$A$642,0))),$P19))</f>
        <v>0.671</v>
      </c>
      <c r="T19" s="13" t="n">
        <f aca="false">IF(OR($G19="",R19=""),"",IF($O19="",R19,(Q19*R19+Config!$B$4*$O19)/(Q19+Config!$B$4)))</f>
        <v>0.680714285714286</v>
      </c>
      <c r="U19" s="10" t="n">
        <f aca="false">IF(S19="","",(Q19*S19+Config!$B$4*$P19)/(Q19+Config!$B$4))</f>
        <v>0.669214285714286</v>
      </c>
      <c r="V19" s="17" t="n">
        <f aca="false">IF(OR(T19="",$J19=""),"",T19*$J19*($J19/Config!$B$10)^Config!$B$9)</f>
        <v>14.6353571428571</v>
      </c>
      <c r="W19" s="17" t="n">
        <f aca="false">IF(OR(V19="",U19=""),"",V19*U19)</f>
        <v>9.79419007653061</v>
      </c>
      <c r="X19" s="9" t="n">
        <f aca="false">IF($H19="",0,SUMIFS(Map_Stats!$F$2:$F$642,Map_Stats!$A$2:$A$642,$F19&amp;"|"&amp;$H19))</f>
        <v>5</v>
      </c>
      <c r="Y19" s="13" t="n">
        <f aca="false">IF($H19="","",IFERROR(1/(1/INDEX(Map_Stats!$K$2:$K$642,MATCH($F19&amp;"|"&amp;$H19,Map_Stats!$A$2:$A$642,0))),$O19))</f>
        <v>0.71</v>
      </c>
      <c r="Z19" s="10" t="n">
        <f aca="false">IF(OR($H19="",$P19=""),"",IFERROR(1/(1/INDEX(Map_Stats!$I$2:$I$642,MATCH($F19&amp;"|"&amp;$H19,Map_Stats!$A$2:$A$642,0))),$P19))</f>
        <v>0.63</v>
      </c>
      <c r="AA19" s="13" t="n">
        <f aca="false">IF(OR($H19="",Y19=""),"",IF($O19="",Y19,(X19*Y19+Config!$B$4*$O19)/(X19+Config!$B$4)))</f>
        <v>0.705</v>
      </c>
      <c r="AB19" s="10" t="n">
        <f aca="false">IF(Z19="","",(X19*Z19+Config!$B$4*$P19)/(X19+Config!$B$4))</f>
        <v>0.648</v>
      </c>
      <c r="AC19" s="17" t="n">
        <f aca="false">IF(OR(AA19="",$K19=""),"",AA19*$K19*($K19/Config!$B$10)^Config!$B$9)</f>
        <v>15.1575</v>
      </c>
      <c r="AD19" s="17" t="n">
        <f aca="false">IF(OR(AC19="",AB19=""),"",AC19*AB19)</f>
        <v>9.82206</v>
      </c>
      <c r="AE19" s="9" t="n">
        <f aca="false">IF($I19="",0,SUMIFS(Map_Stats!$F$2:$F$642,Map_Stats!$A$2:$A$642,$F19&amp;"|"&amp;$I19))</f>
        <v>7</v>
      </c>
      <c r="AF19" s="13" t="n">
        <f aca="false">IF($I19="","",IFERROR(1/(1/INDEX(Map_Stats!$K$2:$K$642,MATCH($F19&amp;"|"&amp;$I19,Map_Stats!$A$2:$A$642,0))),$O19))</f>
        <v>0.79</v>
      </c>
      <c r="AG19" s="10" t="n">
        <f aca="false">IF(OR($I19="",$P19=""),"",IFERROR(1/(1/INDEX(Map_Stats!$I$2:$I$642,MATCH($F19&amp;"|"&amp;$I19,Map_Stats!$A$2:$A$642,0))),$P19))</f>
        <v>0.667</v>
      </c>
      <c r="AH19" s="13" t="n">
        <f aca="false">IF(OR($I19="",AF19=""),"",IF($O19="",AF19,(AE19*AF19+Config!$B$4*$O19)/(AE19+Config!$B$4)))</f>
        <v>0.7525</v>
      </c>
      <c r="AI19" s="10" t="n">
        <f aca="false">IF(AG19="","",(AE19*AG19+Config!$B$4*$P19)/(AE19+Config!$B$4))</f>
        <v>0.666583333333333</v>
      </c>
      <c r="AJ19" s="17" t="n">
        <f aca="false">IF(OR(AH19="",$L19=""),"",AH19*$L19*($L19/Config!$B$10)^Config!$B$9)</f>
        <v>16.17875</v>
      </c>
      <c r="AK19" s="17" t="n">
        <f aca="false">IF(OR(AJ19="",AI19=""),"",AJ19*AI19)</f>
        <v>10.7844851041667</v>
      </c>
      <c r="AL19" s="17" t="n">
        <f aca="false">N(V19)+N(AC19)</f>
        <v>29.7928571428571</v>
      </c>
      <c r="AM19" s="17" t="n">
        <f aca="false">AL19+N($M19)*N(AJ19)</f>
        <v>29.7928571428571</v>
      </c>
      <c r="AN19" s="17" t="n">
        <f aca="false">IF(W19="","",N(W19)+N(AD19))</f>
        <v>19.6162500765306</v>
      </c>
      <c r="AO19" s="17" t="n">
        <f aca="false">IF(AN19="","",AN19+N($M19)*N(AK19))</f>
        <v>19.6162500765306</v>
      </c>
      <c r="AP19" s="10" t="n">
        <f aca="false">IFERROR(AN19/AL19,"")</f>
        <v>0.658421244477172</v>
      </c>
      <c r="AQ19" s="0" t="str">
        <f aca="false">TRIM(IF($N19&lt;Config!$B$12,"thin sample ("&amp;$N19&amp;" maps) · ","")&amp;IF(AND($G19&lt;&gt;"",Q19=0),"M1 unplayed→overall KPR · ","")&amp;IF(AND($H19&lt;&gt;"",X19=0),"M2 unplayed→overall KPR · ","")&amp;IF($O19="","no PickFinder stats",""))</f>
        <v/>
      </c>
      <c r="AR19" s="0" t="str">
        <f aca="false">IF($C19=Board!$B$2,COUNTIFS($C$2:$C$105,Board!$B$2,$AL$2:$AL$105,"&gt;"&amp;$AL19)+COUNTIFS($C$1:$C18,Board!$B$2,$AL$1:$AL18,$AL19)+1,"")</f>
        <v/>
      </c>
      <c r="AS19" s="0" t="str">
        <f aca="false">IFERROR(IF($D19=INDEX(Matches!$AD$5:$AD$17,MATCH($C19,Matches!$A$5:$A$17,0)),"A",IF($D19=INDEX(Matches!$AE$5:$AE$17,MATCH($C19,Matches!$A$5:$A$17,0)),"B","")),"")</f>
        <v>A</v>
      </c>
      <c r="AT19" s="10" t="n">
        <f aca="false">IF($AS19="","",IFERROR(IF($AS19="A",INDEX(Matches!$AI$5:$AI$17,MATCH($C19,Matches!$A$5:$A$17,0)),INDEX(Matches!$AJ$5:$AJ$17,MATCH($C19,Matches!$A$5:$A$17,0))),""))</f>
        <v>0.520665204004499</v>
      </c>
      <c r="AU19" s="10" t="str">
        <f aca="false">IF($AS19="","",IFERROR(IF(INDEX(Matches!$AP$5:$AP$17,MATCH($C19,Matches!$A$5:$A$17,0))="","",IF($AS19="A",INDEX(Matches!$AP$5:$AP$17,MATCH($C19,Matches!$A$5:$A$17,0)),1-INDEX(Matches!$AP$5:$AP$17,MATCH($C19,Matches!$A$5:$A$17,0)))),""))</f>
        <v/>
      </c>
      <c r="AV19" s="13" t="n">
        <f aca="false">IF(OR($AU19="",$AT19=""),1,((Config!$B$14*$AU19+Config!$B$15*(1-$AU19))/(Config!$B$14*$AT19+Config!$B$15*(1-$AT19)))^Config!$B$13)</f>
        <v>1</v>
      </c>
      <c r="AW19" s="10" t="str">
        <f aca="false">IF($AS19="","",IFERROR(IF(INDEX(Matches!$AV$5:$AV$17,MATCH($C19,Matches!$A$5:$A$17,0))="","",IF($AS19="A",INDEX(Matches!$AV$5:$AV$17,MATCH($C19,Matches!$A$5:$A$17,0)),1-INDEX(Matches!$AV$5:$AV$17,MATCH($C19,Matches!$A$5:$A$17,0)))),""))</f>
        <v/>
      </c>
      <c r="AX19" s="13" t="n">
        <f aca="false">IF(OR($AW19="",$AT19=""),1,((Config!$B$14*$AW19+Config!$B$15*(1-$AW19))/(Config!$B$14*$AT19+Config!$B$15*(1-$AT19)))^Config!$B$13)</f>
        <v>1</v>
      </c>
      <c r="AY19" s="10" t="str">
        <f aca="false">IF($AS19="","",IFERROR(IF(INDEX(Matches!$BB$5:$BB$17,MATCH($C19,Matches!$A$5:$A$17,0))="","",IF($AS19="A",INDEX(Matches!$BB$5:$BB$17,MATCH($C19,Matches!$A$5:$A$17,0)),1-INDEX(Matches!$BB$5:$BB$17,MATCH($C19,Matches!$A$5:$A$17,0)))),""))</f>
        <v/>
      </c>
      <c r="AZ19" s="13" t="n">
        <f aca="false">IF(OR($AY19="",$AT19=""),1,((Config!$B$14*$AY19+Config!$B$15*(1-$AY19))/(Config!$B$14*$AT19+Config!$B$15*(1-$AT19)))^Config!$B$13)</f>
        <v>1</v>
      </c>
      <c r="BA19" s="17" t="n">
        <f aca="false">IF(V19="","",V19*$AV19)</f>
        <v>14.6353571428571</v>
      </c>
      <c r="BB19" s="17" t="n">
        <f aca="false">IF(AC19="","",AC19*$AX19)</f>
        <v>15.1575</v>
      </c>
      <c r="BC19" s="17" t="n">
        <f aca="false">IF(AJ19="","",AJ19*$AZ19)</f>
        <v>16.17875</v>
      </c>
      <c r="BD19" s="17" t="n">
        <f aca="false">N(BA19)+N(BB19)</f>
        <v>29.7928571428571</v>
      </c>
      <c r="BE19" s="17" t="n">
        <f aca="false">BD19+N($M19)*N(BC19)</f>
        <v>29.7928571428571</v>
      </c>
      <c r="BF19" s="17" t="n">
        <f aca="false">IF(W19="","",W19*$AV19)</f>
        <v>9.79419007653061</v>
      </c>
      <c r="BG19" s="17" t="n">
        <f aca="false">IF(AD19="","",AD19*$AX19)</f>
        <v>9.82206</v>
      </c>
      <c r="BH19" s="17" t="n">
        <f aca="false">IF(AK19="","",AK19*$AZ19)</f>
        <v>10.7844851041667</v>
      </c>
      <c r="BI19" s="17" t="n">
        <f aca="false">IF(BF19="","",N(BF19)+N(BG19))</f>
        <v>19.6162500765306</v>
      </c>
      <c r="BJ19" s="17" t="n">
        <f aca="false">IF(BI19="","",BI19+N($M19)*N(BH19))</f>
        <v>19.6162500765306</v>
      </c>
      <c r="BK19" s="13" t="n">
        <f aca="false">IFERROR(BD19/AL19,1)</f>
        <v>1</v>
      </c>
    </row>
    <row r="20" customFormat="false" ht="15" hidden="false" customHeight="false" outlineLevel="0" collapsed="false">
      <c r="A20" s="0" t="s">
        <v>935</v>
      </c>
      <c r="B20" s="0" t="s">
        <v>775</v>
      </c>
      <c r="C20" s="0" t="s">
        <v>792</v>
      </c>
      <c r="D20" s="0" t="s">
        <v>798</v>
      </c>
      <c r="E20" s="0" t="s">
        <v>934</v>
      </c>
      <c r="F20" s="0" t="s">
        <v>1185</v>
      </c>
      <c r="G20" s="0" t="str">
        <f aca="false">IFERROR(IF(INDEX(Matches!$W$5:$W$17,MATCH($C20,Matches!$A$5:$A$17,0))="","",INDEX(Matches!$W$5:$W$17,MATCH($C20,Matches!$A$5:$A$17,0))),"")</f>
        <v>Nuke</v>
      </c>
      <c r="H20" s="0" t="str">
        <f aca="false">IFERROR(IF(INDEX(Matches!$X$5:$X$17,MATCH($C20,Matches!$A$5:$A$17,0))="","",INDEX(Matches!$X$5:$X$17,MATCH($C20,Matches!$A$5:$A$17,0))),"")</f>
        <v>Inferno</v>
      </c>
      <c r="I20" s="0" t="str">
        <f aca="false">IFERROR(IF(INDEX(Matches!$Y$5:$Y$17,MATCH($C20,Matches!$A$5:$A$17,0))="","",INDEX(Matches!$Y$5:$Y$17,MATCH($C20,Matches!$A$5:$A$17,0))),"")</f>
        <v>Mirage</v>
      </c>
      <c r="J20" s="11" t="n">
        <f aca="false">IFERROR(IF(INDEX(Matches!$Z$5:$Z$17,MATCH($C20,Matches!$A$5:$A$17,0))="","",INDEX(Matches!$Z$5:$Z$17,MATCH($C20,Matches!$A$5:$A$17,0))),"")</f>
        <v>21.5</v>
      </c>
      <c r="K20" s="11" t="n">
        <f aca="false">IFERROR(IF(INDEX(Matches!$AA$5:$AA$17,MATCH($C20,Matches!$A$5:$A$17,0))="","",INDEX(Matches!$AA$5:$AA$17,MATCH($C20,Matches!$A$5:$A$17,0))),"")</f>
        <v>21.5</v>
      </c>
      <c r="L20" s="11" t="n">
        <f aca="false">IFERROR(IF(INDEX(Matches!$AB$5:$AB$17,MATCH($C20,Matches!$A$5:$A$17,0))="","",INDEX(Matches!$AB$5:$AB$17,MATCH($C20,Matches!$A$5:$A$17,0))),"")</f>
        <v>21.5</v>
      </c>
      <c r="M20" s="10" t="n">
        <f aca="false">IFERROR(IF(INDEX(Matches!$AC$5:$AC$17,MATCH($C20,Matches!$A$5:$A$17,0))="","",INDEX(Matches!$AC$5:$AC$17,MATCH($C20,Matches!$A$5:$A$17,0))),"")</f>
        <v>0</v>
      </c>
      <c r="N20" s="9" t="n">
        <f aca="false">IFERROR(INDEX(Players!$F$2:$F$105,MATCH($F20,Players!$A$2:$A$105,0)),0)</f>
        <v>30</v>
      </c>
      <c r="O20" s="13" t="n">
        <f aca="false">IFERROR(1/(1/INDEX(Players!$H$2:$H$105,MATCH($F20,Players!$A$2:$A$105,0))),"")</f>
        <v>0.66</v>
      </c>
      <c r="P20" s="10" t="n">
        <f aca="false">IFERROR(1/(1/INDEX(Players!$I$2:$I$105,MATCH($F20,Players!$A$2:$A$105,0))),"")</f>
        <v>0.5</v>
      </c>
      <c r="Q20" s="9" t="n">
        <f aca="false">IF($G20="",0,SUMIFS(Map_Stats!$F$2:$F$642,Map_Stats!$A$2:$A$642,$F20&amp;"|"&amp;$G20))</f>
        <v>9</v>
      </c>
      <c r="R20" s="13" t="n">
        <f aca="false">IF($G20="","",IFERROR(1/(1/INDEX(Map_Stats!$K$2:$K$642,MATCH($F20&amp;"|"&amp;$G20,Map_Stats!$A$2:$A$642,0))),$O20))</f>
        <v>0.66</v>
      </c>
      <c r="S20" s="10" t="n">
        <f aca="false">IF(OR($G20="",$P20=""),"",IFERROR(1/(1/INDEX(Map_Stats!$I$2:$I$642,MATCH($F20&amp;"|"&amp;$G20,Map_Stats!$A$2:$A$642,0))),$P20))</f>
        <v>0.493</v>
      </c>
      <c r="T20" s="13" t="n">
        <f aca="false">IF(OR($G20="",R20=""),"",IF($O20="",R20,(Q20*R20+Config!$B$4*$O20)/(Q20+Config!$B$4)))</f>
        <v>0.66</v>
      </c>
      <c r="U20" s="10" t="n">
        <f aca="false">IF(S20="","",(Q20*S20+Config!$B$4*$P20)/(Q20+Config!$B$4))</f>
        <v>0.4955</v>
      </c>
      <c r="V20" s="17" t="n">
        <f aca="false">IF(OR(T20="",$J20=""),"",T20*$J20*($J20/Config!$B$10)^Config!$B$9)</f>
        <v>14.19</v>
      </c>
      <c r="W20" s="17" t="n">
        <f aca="false">IF(OR(V20="",U20=""),"",V20*U20)</f>
        <v>7.031145</v>
      </c>
      <c r="X20" s="9" t="n">
        <f aca="false">IF($H20="",0,SUMIFS(Map_Stats!$F$2:$F$642,Map_Stats!$A$2:$A$642,$F20&amp;"|"&amp;$H20))</f>
        <v>5</v>
      </c>
      <c r="Y20" s="13" t="n">
        <f aca="false">IF($H20="","",IFERROR(1/(1/INDEX(Map_Stats!$K$2:$K$642,MATCH($F20&amp;"|"&amp;$H20,Map_Stats!$A$2:$A$642,0))),$O20))</f>
        <v>0.8</v>
      </c>
      <c r="Z20" s="10" t="n">
        <f aca="false">IF(OR($H20="",$P20=""),"",IFERROR(1/(1/INDEX(Map_Stats!$I$2:$I$642,MATCH($F20&amp;"|"&amp;$H20,Map_Stats!$A$2:$A$642,0))),$P20))</f>
        <v>0.549</v>
      </c>
      <c r="AA20" s="13" t="n">
        <f aca="false">IF(OR($H20="",Y20=""),"",IF($O20="",Y20,(X20*Y20+Config!$B$4*$O20)/(X20+Config!$B$4)))</f>
        <v>0.73</v>
      </c>
      <c r="AB20" s="10" t="n">
        <f aca="false">IF(Z20="","",(X20*Z20+Config!$B$4*$P20)/(X20+Config!$B$4))</f>
        <v>0.5245</v>
      </c>
      <c r="AC20" s="17" t="n">
        <f aca="false">IF(OR(AA20="",$K20=""),"",AA20*$K20*($K20/Config!$B$10)^Config!$B$9)</f>
        <v>15.695</v>
      </c>
      <c r="AD20" s="17" t="n">
        <f aca="false">IF(OR(AC20="",AB20=""),"",AC20*AB20)</f>
        <v>8.2320275</v>
      </c>
      <c r="AE20" s="9" t="n">
        <f aca="false">IF($I20="",0,SUMIFS(Map_Stats!$F$2:$F$642,Map_Stats!$A$2:$A$642,$F20&amp;"|"&amp;$I20))</f>
        <v>7</v>
      </c>
      <c r="AF20" s="13" t="n">
        <f aca="false">IF($I20="","",IFERROR(1/(1/INDEX(Map_Stats!$K$2:$K$642,MATCH($F20&amp;"|"&amp;$I20,Map_Stats!$A$2:$A$642,0))),$O20))</f>
        <v>0.63</v>
      </c>
      <c r="AG20" s="10" t="n">
        <f aca="false">IF(OR($I20="",$P20=""),"",IFERROR(1/(1/INDEX(Map_Stats!$I$2:$I$642,MATCH($F20&amp;"|"&amp;$I20,Map_Stats!$A$2:$A$642,0))),$P20))</f>
        <v>0.48</v>
      </c>
      <c r="AH20" s="13" t="n">
        <f aca="false">IF(OR($I20="",AF20=""),"",IF($O20="",AF20,(AE20*AF20+Config!$B$4*$O20)/(AE20+Config!$B$4)))</f>
        <v>0.6425</v>
      </c>
      <c r="AI20" s="10" t="n">
        <f aca="false">IF(AG20="","",(AE20*AG20+Config!$B$4*$P20)/(AE20+Config!$B$4))</f>
        <v>0.488333333333333</v>
      </c>
      <c r="AJ20" s="17" t="n">
        <f aca="false">IF(OR(AH20="",$L20=""),"",AH20*$L20*($L20/Config!$B$10)^Config!$B$9)</f>
        <v>13.81375</v>
      </c>
      <c r="AK20" s="17" t="n">
        <f aca="false">IF(OR(AJ20="",AI20=""),"",AJ20*AI20)</f>
        <v>6.74571458333333</v>
      </c>
      <c r="AL20" s="17" t="n">
        <f aca="false">N(V20)+N(AC20)</f>
        <v>29.885</v>
      </c>
      <c r="AM20" s="17" t="n">
        <f aca="false">AL20+N($M20)*N(AJ20)</f>
        <v>29.885</v>
      </c>
      <c r="AN20" s="17" t="n">
        <f aca="false">IF(W20="","",N(W20)+N(AD20))</f>
        <v>15.2631725</v>
      </c>
      <c r="AO20" s="17" t="n">
        <f aca="false">IF(AN20="","",AN20+N($M20)*N(AK20))</f>
        <v>15.2631725</v>
      </c>
      <c r="AP20" s="10" t="n">
        <f aca="false">IFERROR(AN20/AL20,"")</f>
        <v>0.510730215827338</v>
      </c>
      <c r="AQ20" s="0" t="str">
        <f aca="false">TRIM(IF($N20&lt;Config!$B$12,"thin sample ("&amp;$N20&amp;" maps) · ","")&amp;IF(AND($G20&lt;&gt;"",Q20=0),"M1 unplayed→overall KPR · ","")&amp;IF(AND($H20&lt;&gt;"",X20=0),"M2 unplayed→overall KPR · ","")&amp;IF($O20="","no PickFinder stats",""))</f>
        <v/>
      </c>
      <c r="AR20" s="0" t="str">
        <f aca="false">IF($C20=Board!$B$2,COUNTIFS($C$2:$C$105,Board!$B$2,$AL$2:$AL$105,"&gt;"&amp;$AL20)+COUNTIFS($C$1:$C19,Board!$B$2,$AL$1:$AL19,$AL20)+1,"")</f>
        <v/>
      </c>
      <c r="AS20" s="0" t="str">
        <f aca="false">IFERROR(IF($D20=INDEX(Matches!$AD$5:$AD$17,MATCH($C20,Matches!$A$5:$A$17,0)),"A",IF($D20=INDEX(Matches!$AE$5:$AE$17,MATCH($C20,Matches!$A$5:$A$17,0)),"B","")),"")</f>
        <v>A</v>
      </c>
      <c r="AT20" s="10" t="n">
        <f aca="false">IF($AS20="","",IFERROR(IF($AS20="A",INDEX(Matches!$AI$5:$AI$17,MATCH($C20,Matches!$A$5:$A$17,0)),INDEX(Matches!$AJ$5:$AJ$17,MATCH($C20,Matches!$A$5:$A$17,0))),""))</f>
        <v>0.520665204004499</v>
      </c>
      <c r="AU20" s="10" t="str">
        <f aca="false">IF($AS20="","",IFERROR(IF(INDEX(Matches!$AP$5:$AP$17,MATCH($C20,Matches!$A$5:$A$17,0))="","",IF($AS20="A",INDEX(Matches!$AP$5:$AP$17,MATCH($C20,Matches!$A$5:$A$17,0)),1-INDEX(Matches!$AP$5:$AP$17,MATCH($C20,Matches!$A$5:$A$17,0)))),""))</f>
        <v/>
      </c>
      <c r="AV20" s="13" t="n">
        <f aca="false">IF(OR($AU20="",$AT20=""),1,((Config!$B$14*$AU20+Config!$B$15*(1-$AU20))/(Config!$B$14*$AT20+Config!$B$15*(1-$AT20)))^Config!$B$13)</f>
        <v>1</v>
      </c>
      <c r="AW20" s="10" t="str">
        <f aca="false">IF($AS20="","",IFERROR(IF(INDEX(Matches!$AV$5:$AV$17,MATCH($C20,Matches!$A$5:$A$17,0))="","",IF($AS20="A",INDEX(Matches!$AV$5:$AV$17,MATCH($C20,Matches!$A$5:$A$17,0)),1-INDEX(Matches!$AV$5:$AV$17,MATCH($C20,Matches!$A$5:$A$17,0)))),""))</f>
        <v/>
      </c>
      <c r="AX20" s="13" t="n">
        <f aca="false">IF(OR($AW20="",$AT20=""),1,((Config!$B$14*$AW20+Config!$B$15*(1-$AW20))/(Config!$B$14*$AT20+Config!$B$15*(1-$AT20)))^Config!$B$13)</f>
        <v>1</v>
      </c>
      <c r="AY20" s="10" t="str">
        <f aca="false">IF($AS20="","",IFERROR(IF(INDEX(Matches!$BB$5:$BB$17,MATCH($C20,Matches!$A$5:$A$17,0))="","",IF($AS20="A",INDEX(Matches!$BB$5:$BB$17,MATCH($C20,Matches!$A$5:$A$17,0)),1-INDEX(Matches!$BB$5:$BB$17,MATCH($C20,Matches!$A$5:$A$17,0)))),""))</f>
        <v/>
      </c>
      <c r="AZ20" s="13" t="n">
        <f aca="false">IF(OR($AY20="",$AT20=""),1,((Config!$B$14*$AY20+Config!$B$15*(1-$AY20))/(Config!$B$14*$AT20+Config!$B$15*(1-$AT20)))^Config!$B$13)</f>
        <v>1</v>
      </c>
      <c r="BA20" s="17" t="n">
        <f aca="false">IF(V20="","",V20*$AV20)</f>
        <v>14.19</v>
      </c>
      <c r="BB20" s="17" t="n">
        <f aca="false">IF(AC20="","",AC20*$AX20)</f>
        <v>15.695</v>
      </c>
      <c r="BC20" s="17" t="n">
        <f aca="false">IF(AJ20="","",AJ20*$AZ20)</f>
        <v>13.81375</v>
      </c>
      <c r="BD20" s="17" t="n">
        <f aca="false">N(BA20)+N(BB20)</f>
        <v>29.885</v>
      </c>
      <c r="BE20" s="17" t="n">
        <f aca="false">BD20+N($M20)*N(BC20)</f>
        <v>29.885</v>
      </c>
      <c r="BF20" s="17" t="n">
        <f aca="false">IF(W20="","",W20*$AV20)</f>
        <v>7.031145</v>
      </c>
      <c r="BG20" s="17" t="n">
        <f aca="false">IF(AD20="","",AD20*$AX20)</f>
        <v>8.2320275</v>
      </c>
      <c r="BH20" s="17" t="n">
        <f aca="false">IF(AK20="","",AK20*$AZ20)</f>
        <v>6.74571458333333</v>
      </c>
      <c r="BI20" s="17" t="n">
        <f aca="false">IF(BF20="","",N(BF20)+N(BG20))</f>
        <v>15.2631725</v>
      </c>
      <c r="BJ20" s="17" t="n">
        <f aca="false">IF(BI20="","",BI20+N($M20)*N(BH20))</f>
        <v>15.2631725</v>
      </c>
      <c r="BK20" s="13" t="n">
        <f aca="false">IFERROR(BD20/AL20,1)</f>
        <v>1</v>
      </c>
    </row>
    <row r="21" customFormat="false" ht="15" hidden="false" customHeight="false" outlineLevel="0" collapsed="false">
      <c r="A21" s="0" t="s">
        <v>937</v>
      </c>
      <c r="B21" s="0" t="s">
        <v>775</v>
      </c>
      <c r="C21" s="0" t="s">
        <v>792</v>
      </c>
      <c r="D21" s="0" t="s">
        <v>798</v>
      </c>
      <c r="E21" s="0" t="s">
        <v>936</v>
      </c>
      <c r="F21" s="0" t="s">
        <v>1186</v>
      </c>
      <c r="G21" s="0" t="str">
        <f aca="false">IFERROR(IF(INDEX(Matches!$W$5:$W$17,MATCH($C21,Matches!$A$5:$A$17,0))="","",INDEX(Matches!$W$5:$W$17,MATCH($C21,Matches!$A$5:$A$17,0))),"")</f>
        <v>Nuke</v>
      </c>
      <c r="H21" s="0" t="str">
        <f aca="false">IFERROR(IF(INDEX(Matches!$X$5:$X$17,MATCH($C21,Matches!$A$5:$A$17,0))="","",INDEX(Matches!$X$5:$X$17,MATCH($C21,Matches!$A$5:$A$17,0))),"")</f>
        <v>Inferno</v>
      </c>
      <c r="I21" s="0" t="str">
        <f aca="false">IFERROR(IF(INDEX(Matches!$Y$5:$Y$17,MATCH($C21,Matches!$A$5:$A$17,0))="","",INDEX(Matches!$Y$5:$Y$17,MATCH($C21,Matches!$A$5:$A$17,0))),"")</f>
        <v>Mirage</v>
      </c>
      <c r="J21" s="11" t="n">
        <f aca="false">IFERROR(IF(INDEX(Matches!$Z$5:$Z$17,MATCH($C21,Matches!$A$5:$A$17,0))="","",INDEX(Matches!$Z$5:$Z$17,MATCH($C21,Matches!$A$5:$A$17,0))),"")</f>
        <v>21.5</v>
      </c>
      <c r="K21" s="11" t="n">
        <f aca="false">IFERROR(IF(INDEX(Matches!$AA$5:$AA$17,MATCH($C21,Matches!$A$5:$A$17,0))="","",INDEX(Matches!$AA$5:$AA$17,MATCH($C21,Matches!$A$5:$A$17,0))),"")</f>
        <v>21.5</v>
      </c>
      <c r="L21" s="11" t="n">
        <f aca="false">IFERROR(IF(INDEX(Matches!$AB$5:$AB$17,MATCH($C21,Matches!$A$5:$A$17,0))="","",INDEX(Matches!$AB$5:$AB$17,MATCH($C21,Matches!$A$5:$A$17,0))),"")</f>
        <v>21.5</v>
      </c>
      <c r="M21" s="10" t="n">
        <f aca="false">IFERROR(IF(INDEX(Matches!$AC$5:$AC$17,MATCH($C21,Matches!$A$5:$A$17,0))="","",INDEX(Matches!$AC$5:$AC$17,MATCH($C21,Matches!$A$5:$A$17,0))),"")</f>
        <v>0</v>
      </c>
      <c r="N21" s="9" t="n">
        <f aca="false">IFERROR(INDEX(Players!$F$2:$F$105,MATCH($F21,Players!$A$2:$A$105,0)),0)</f>
        <v>30</v>
      </c>
      <c r="O21" s="13" t="n">
        <f aca="false">IFERROR(1/(1/INDEX(Players!$H$2:$H$105,MATCH($F21,Players!$A$2:$A$105,0))),"")</f>
        <v>0.52</v>
      </c>
      <c r="P21" s="10" t="n">
        <f aca="false">IFERROR(1/(1/INDEX(Players!$I$2:$I$105,MATCH($F21,Players!$A$2:$A$105,0))),"")</f>
        <v>0.522</v>
      </c>
      <c r="Q21" s="9" t="n">
        <f aca="false">IF($G21="",0,SUMIFS(Map_Stats!$F$2:$F$642,Map_Stats!$A$2:$A$642,$F21&amp;"|"&amp;$G21))</f>
        <v>9</v>
      </c>
      <c r="R21" s="13" t="n">
        <f aca="false">IF($G21="","",IFERROR(1/(1/INDEX(Map_Stats!$K$2:$K$642,MATCH($F21&amp;"|"&amp;$G21,Map_Stats!$A$2:$A$642,0))),$O21))</f>
        <v>0.54</v>
      </c>
      <c r="S21" s="10" t="n">
        <f aca="false">IF(OR($G21="",$P21=""),"",IFERROR(1/(1/INDEX(Map_Stats!$I$2:$I$642,MATCH($F21&amp;"|"&amp;$G21,Map_Stats!$A$2:$A$642,0))),$P21))</f>
        <v>0.446</v>
      </c>
      <c r="T21" s="13" t="n">
        <f aca="false">IF(OR($G21="",R21=""),"",IF($O21="",R21,(Q21*R21+Config!$B$4*$O21)/(Q21+Config!$B$4)))</f>
        <v>0.532857142857143</v>
      </c>
      <c r="U21" s="10" t="n">
        <f aca="false">IF(S21="","",(Q21*S21+Config!$B$4*$P21)/(Q21+Config!$B$4))</f>
        <v>0.473142857142857</v>
      </c>
      <c r="V21" s="17" t="n">
        <f aca="false">IF(OR(T21="",$J21=""),"",T21*$J21*($J21/Config!$B$10)^Config!$B$9)</f>
        <v>11.4564285714286</v>
      </c>
      <c r="W21" s="17" t="n">
        <f aca="false">IF(OR(V21="",U21=""),"",V21*U21)</f>
        <v>5.42052734693878</v>
      </c>
      <c r="X21" s="9" t="n">
        <f aca="false">IF($H21="",0,SUMIFS(Map_Stats!$F$2:$F$642,Map_Stats!$A$2:$A$642,$F21&amp;"|"&amp;$H21))</f>
        <v>5</v>
      </c>
      <c r="Y21" s="13" t="n">
        <f aca="false">IF($H21="","",IFERROR(1/(1/INDEX(Map_Stats!$K$2:$K$642,MATCH($F21&amp;"|"&amp;$H21,Map_Stats!$A$2:$A$642,0))),$O21))</f>
        <v>0.51</v>
      </c>
      <c r="Z21" s="10" t="n">
        <f aca="false">IF(OR($H21="",$P21=""),"",IFERROR(1/(1/INDEX(Map_Stats!$I$2:$I$642,MATCH($F21&amp;"|"&amp;$H21,Map_Stats!$A$2:$A$642,0))),$P21))</f>
        <v>0.448</v>
      </c>
      <c r="AA21" s="13" t="n">
        <f aca="false">IF(OR($H21="",Y21=""),"",IF($O21="",Y21,(X21*Y21+Config!$B$4*$O21)/(X21+Config!$B$4)))</f>
        <v>0.515</v>
      </c>
      <c r="AB21" s="10" t="n">
        <f aca="false">IF(Z21="","",(X21*Z21+Config!$B$4*$P21)/(X21+Config!$B$4))</f>
        <v>0.485</v>
      </c>
      <c r="AC21" s="17" t="n">
        <f aca="false">IF(OR(AA21="",$K21=""),"",AA21*$K21*($K21/Config!$B$10)^Config!$B$9)</f>
        <v>11.0725</v>
      </c>
      <c r="AD21" s="17" t="n">
        <f aca="false">IF(OR(AC21="",AB21=""),"",AC21*AB21)</f>
        <v>5.3701625</v>
      </c>
      <c r="AE21" s="9" t="n">
        <f aca="false">IF($I21="",0,SUMIFS(Map_Stats!$F$2:$F$642,Map_Stats!$A$2:$A$642,$F21&amp;"|"&amp;$I21))</f>
        <v>7</v>
      </c>
      <c r="AF21" s="13" t="n">
        <f aca="false">IF($I21="","",IFERROR(1/(1/INDEX(Map_Stats!$K$2:$K$642,MATCH($F21&amp;"|"&amp;$I21,Map_Stats!$A$2:$A$642,0))),$O21))</f>
        <v>0.53</v>
      </c>
      <c r="AG21" s="10" t="n">
        <f aca="false">IF(OR($I21="",$P21=""),"",IFERROR(1/(1/INDEX(Map_Stats!$I$2:$I$642,MATCH($F21&amp;"|"&amp;$I21,Map_Stats!$A$2:$A$642,0))),$P21))</f>
        <v>0.56</v>
      </c>
      <c r="AH21" s="13" t="n">
        <f aca="false">IF(OR($I21="",AF21=""),"",IF($O21="",AF21,(AE21*AF21+Config!$B$4*$O21)/(AE21+Config!$B$4)))</f>
        <v>0.525833333333333</v>
      </c>
      <c r="AI21" s="10" t="n">
        <f aca="false">IF(AG21="","",(AE21*AG21+Config!$B$4*$P21)/(AE21+Config!$B$4))</f>
        <v>0.544166666666667</v>
      </c>
      <c r="AJ21" s="17" t="n">
        <f aca="false">IF(OR(AH21="",$L21=""),"",AH21*$L21*($L21/Config!$B$10)^Config!$B$9)</f>
        <v>11.3054166666667</v>
      </c>
      <c r="AK21" s="17" t="n">
        <f aca="false">IF(OR(AJ21="",AI21=""),"",AJ21*AI21)</f>
        <v>6.15203090277778</v>
      </c>
      <c r="AL21" s="17" t="n">
        <f aca="false">N(V21)+N(AC21)</f>
        <v>22.5289285714286</v>
      </c>
      <c r="AM21" s="17" t="n">
        <f aca="false">AL21+N($M21)*N(AJ21)</f>
        <v>22.5289285714286</v>
      </c>
      <c r="AN21" s="17" t="n">
        <f aca="false">IF(W21="","",N(W21)+N(AD21))</f>
        <v>10.7906898469388</v>
      </c>
      <c r="AO21" s="17" t="n">
        <f aca="false">IF(AN21="","",AN21+N($M21)*N(AK21))</f>
        <v>10.7906898469388</v>
      </c>
      <c r="AP21" s="10" t="n">
        <f aca="false">IFERROR(AN21/AL21,"")</f>
        <v>0.478970396338495</v>
      </c>
      <c r="AQ21" s="0" t="str">
        <f aca="false">TRIM(IF($N21&lt;Config!$B$12,"thin sample ("&amp;$N21&amp;" maps) · ","")&amp;IF(AND($G21&lt;&gt;"",Q21=0),"M1 unplayed→overall KPR · ","")&amp;IF(AND($H21&lt;&gt;"",X21=0),"M2 unplayed→overall KPR · ","")&amp;IF($O21="","no PickFinder stats",""))</f>
        <v/>
      </c>
      <c r="AR21" s="0" t="str">
        <f aca="false">IF($C21=Board!$B$2,COUNTIFS($C$2:$C$105,Board!$B$2,$AL$2:$AL$105,"&gt;"&amp;$AL21)+COUNTIFS($C$1:$C20,Board!$B$2,$AL$1:$AL20,$AL21)+1,"")</f>
        <v/>
      </c>
      <c r="AS21" s="0" t="str">
        <f aca="false">IFERROR(IF($D21=INDEX(Matches!$AD$5:$AD$17,MATCH($C21,Matches!$A$5:$A$17,0)),"A",IF($D21=INDEX(Matches!$AE$5:$AE$17,MATCH($C21,Matches!$A$5:$A$17,0)),"B","")),"")</f>
        <v>A</v>
      </c>
      <c r="AT21" s="10" t="n">
        <f aca="false">IF($AS21="","",IFERROR(IF($AS21="A",INDEX(Matches!$AI$5:$AI$17,MATCH($C21,Matches!$A$5:$A$17,0)),INDEX(Matches!$AJ$5:$AJ$17,MATCH($C21,Matches!$A$5:$A$17,0))),""))</f>
        <v>0.520665204004499</v>
      </c>
      <c r="AU21" s="10" t="str">
        <f aca="false">IF($AS21="","",IFERROR(IF(INDEX(Matches!$AP$5:$AP$17,MATCH($C21,Matches!$A$5:$A$17,0))="","",IF($AS21="A",INDEX(Matches!$AP$5:$AP$17,MATCH($C21,Matches!$A$5:$A$17,0)),1-INDEX(Matches!$AP$5:$AP$17,MATCH($C21,Matches!$A$5:$A$17,0)))),""))</f>
        <v/>
      </c>
      <c r="AV21" s="13" t="n">
        <f aca="false">IF(OR($AU21="",$AT21=""),1,((Config!$B$14*$AU21+Config!$B$15*(1-$AU21))/(Config!$B$14*$AT21+Config!$B$15*(1-$AT21)))^Config!$B$13)</f>
        <v>1</v>
      </c>
      <c r="AW21" s="10" t="str">
        <f aca="false">IF($AS21="","",IFERROR(IF(INDEX(Matches!$AV$5:$AV$17,MATCH($C21,Matches!$A$5:$A$17,0))="","",IF($AS21="A",INDEX(Matches!$AV$5:$AV$17,MATCH($C21,Matches!$A$5:$A$17,0)),1-INDEX(Matches!$AV$5:$AV$17,MATCH($C21,Matches!$A$5:$A$17,0)))),""))</f>
        <v/>
      </c>
      <c r="AX21" s="13" t="n">
        <f aca="false">IF(OR($AW21="",$AT21=""),1,((Config!$B$14*$AW21+Config!$B$15*(1-$AW21))/(Config!$B$14*$AT21+Config!$B$15*(1-$AT21)))^Config!$B$13)</f>
        <v>1</v>
      </c>
      <c r="AY21" s="10" t="str">
        <f aca="false">IF($AS21="","",IFERROR(IF(INDEX(Matches!$BB$5:$BB$17,MATCH($C21,Matches!$A$5:$A$17,0))="","",IF($AS21="A",INDEX(Matches!$BB$5:$BB$17,MATCH($C21,Matches!$A$5:$A$17,0)),1-INDEX(Matches!$BB$5:$BB$17,MATCH($C21,Matches!$A$5:$A$17,0)))),""))</f>
        <v/>
      </c>
      <c r="AZ21" s="13" t="n">
        <f aca="false">IF(OR($AY21="",$AT21=""),1,((Config!$B$14*$AY21+Config!$B$15*(1-$AY21))/(Config!$B$14*$AT21+Config!$B$15*(1-$AT21)))^Config!$B$13)</f>
        <v>1</v>
      </c>
      <c r="BA21" s="17" t="n">
        <f aca="false">IF(V21="","",V21*$AV21)</f>
        <v>11.4564285714286</v>
      </c>
      <c r="BB21" s="17" t="n">
        <f aca="false">IF(AC21="","",AC21*$AX21)</f>
        <v>11.0725</v>
      </c>
      <c r="BC21" s="17" t="n">
        <f aca="false">IF(AJ21="","",AJ21*$AZ21)</f>
        <v>11.3054166666667</v>
      </c>
      <c r="BD21" s="17" t="n">
        <f aca="false">N(BA21)+N(BB21)</f>
        <v>22.5289285714286</v>
      </c>
      <c r="BE21" s="17" t="n">
        <f aca="false">BD21+N($M21)*N(BC21)</f>
        <v>22.5289285714286</v>
      </c>
      <c r="BF21" s="17" t="n">
        <f aca="false">IF(W21="","",W21*$AV21)</f>
        <v>5.42052734693878</v>
      </c>
      <c r="BG21" s="17" t="n">
        <f aca="false">IF(AD21="","",AD21*$AX21)</f>
        <v>5.3701625</v>
      </c>
      <c r="BH21" s="17" t="n">
        <f aca="false">IF(AK21="","",AK21*$AZ21)</f>
        <v>6.15203090277778</v>
      </c>
      <c r="BI21" s="17" t="n">
        <f aca="false">IF(BF21="","",N(BF21)+N(BG21))</f>
        <v>10.7906898469388</v>
      </c>
      <c r="BJ21" s="17" t="n">
        <f aca="false">IF(BI21="","",BI21+N($M21)*N(BH21))</f>
        <v>10.7906898469388</v>
      </c>
      <c r="BK21" s="13" t="n">
        <f aca="false">IFERROR(BD21/AL21,1)</f>
        <v>1</v>
      </c>
    </row>
    <row r="22" customFormat="false" ht="15" hidden="false" customHeight="false" outlineLevel="0" collapsed="false">
      <c r="A22" s="0" t="s">
        <v>940</v>
      </c>
      <c r="B22" s="0" t="s">
        <v>775</v>
      </c>
      <c r="C22" s="0" t="s">
        <v>792</v>
      </c>
      <c r="D22" s="0" t="s">
        <v>799</v>
      </c>
      <c r="E22" s="0" t="s">
        <v>938</v>
      </c>
      <c r="F22" s="0" t="s">
        <v>1187</v>
      </c>
      <c r="G22" s="0" t="str">
        <f aca="false">IFERROR(IF(INDEX(Matches!$W$5:$W$17,MATCH($C22,Matches!$A$5:$A$17,0))="","",INDEX(Matches!$W$5:$W$17,MATCH($C22,Matches!$A$5:$A$17,0))),"")</f>
        <v>Nuke</v>
      </c>
      <c r="H22" s="0" t="str">
        <f aca="false">IFERROR(IF(INDEX(Matches!$X$5:$X$17,MATCH($C22,Matches!$A$5:$A$17,0))="","",INDEX(Matches!$X$5:$X$17,MATCH($C22,Matches!$A$5:$A$17,0))),"")</f>
        <v>Inferno</v>
      </c>
      <c r="I22" s="0" t="str">
        <f aca="false">IFERROR(IF(INDEX(Matches!$Y$5:$Y$17,MATCH($C22,Matches!$A$5:$A$17,0))="","",INDEX(Matches!$Y$5:$Y$17,MATCH($C22,Matches!$A$5:$A$17,0))),"")</f>
        <v>Mirage</v>
      </c>
      <c r="J22" s="11" t="n">
        <f aca="false">IFERROR(IF(INDEX(Matches!$Z$5:$Z$17,MATCH($C22,Matches!$A$5:$A$17,0))="","",INDEX(Matches!$Z$5:$Z$17,MATCH($C22,Matches!$A$5:$A$17,0))),"")</f>
        <v>21.5</v>
      </c>
      <c r="K22" s="11" t="n">
        <f aca="false">IFERROR(IF(INDEX(Matches!$AA$5:$AA$17,MATCH($C22,Matches!$A$5:$A$17,0))="","",INDEX(Matches!$AA$5:$AA$17,MATCH($C22,Matches!$A$5:$A$17,0))),"")</f>
        <v>21.5</v>
      </c>
      <c r="L22" s="11" t="n">
        <f aca="false">IFERROR(IF(INDEX(Matches!$AB$5:$AB$17,MATCH($C22,Matches!$A$5:$A$17,0))="","",INDEX(Matches!$AB$5:$AB$17,MATCH($C22,Matches!$A$5:$A$17,0))),"")</f>
        <v>21.5</v>
      </c>
      <c r="M22" s="10" t="n">
        <f aca="false">IFERROR(IF(INDEX(Matches!$AC$5:$AC$17,MATCH($C22,Matches!$A$5:$A$17,0))="","",INDEX(Matches!$AC$5:$AC$17,MATCH($C22,Matches!$A$5:$A$17,0))),"")</f>
        <v>0</v>
      </c>
      <c r="N22" s="9" t="n">
        <f aca="false">IFERROR(INDEX(Players!$F$2:$F$105,MATCH($F22,Players!$A$2:$A$105,0)),0)</f>
        <v>34</v>
      </c>
      <c r="O22" s="13" t="n">
        <f aca="false">IFERROR(1/(1/INDEX(Players!$H$2:$H$105,MATCH($F22,Players!$A$2:$A$105,0))),"")</f>
        <v>0.72</v>
      </c>
      <c r="P22" s="10" t="n">
        <f aca="false">IFERROR(1/(1/INDEX(Players!$I$2:$I$105,MATCH($F22,Players!$A$2:$A$105,0))),"")</f>
        <v>0.631</v>
      </c>
      <c r="Q22" s="9" t="n">
        <f aca="false">IF($G22="",0,SUMIFS(Map_Stats!$F$2:$F$642,Map_Stats!$A$2:$A$642,$F22&amp;"|"&amp;$G22))</f>
        <v>6</v>
      </c>
      <c r="R22" s="13" t="n">
        <f aca="false">IF($G22="","",IFERROR(1/(1/INDEX(Map_Stats!$K$2:$K$642,MATCH($F22&amp;"|"&amp;$G22,Map_Stats!$A$2:$A$642,0))),$O22))</f>
        <v>0.68</v>
      </c>
      <c r="S22" s="10" t="n">
        <f aca="false">IF(OR($G22="",$P22=""),"",IFERROR(1/(1/INDEX(Map_Stats!$I$2:$I$642,MATCH($F22&amp;"|"&amp;$G22,Map_Stats!$A$2:$A$642,0))),$P22))</f>
        <v>0.619</v>
      </c>
      <c r="T22" s="13" t="n">
        <f aca="false">IF(OR($G22="",R22=""),"",IF($O22="",R22,(Q22*R22+Config!$B$4*$O22)/(Q22+Config!$B$4)))</f>
        <v>0.698181818181818</v>
      </c>
      <c r="U22" s="10" t="n">
        <f aca="false">IF(S22="","",(Q22*S22+Config!$B$4*$P22)/(Q22+Config!$B$4))</f>
        <v>0.624454545454546</v>
      </c>
      <c r="V22" s="17" t="n">
        <f aca="false">IF(OR(T22="",$J22=""),"",T22*$J22*($J22/Config!$B$10)^Config!$B$9)</f>
        <v>15.0109090909091</v>
      </c>
      <c r="W22" s="17" t="n">
        <f aca="false">IF(OR(V22="",U22=""),"",V22*U22)</f>
        <v>9.37363041322314</v>
      </c>
      <c r="X22" s="9" t="n">
        <f aca="false">IF($H22="",0,SUMIFS(Map_Stats!$F$2:$F$642,Map_Stats!$A$2:$A$642,$F22&amp;"|"&amp;$H22))</f>
        <v>1</v>
      </c>
      <c r="Y22" s="13" t="n">
        <f aca="false">IF($H22="","",IFERROR(1/(1/INDEX(Map_Stats!$K$2:$K$642,MATCH($F22&amp;"|"&amp;$H22,Map_Stats!$A$2:$A$642,0))),$O22))</f>
        <v>1.11</v>
      </c>
      <c r="Z22" s="10" t="n">
        <f aca="false">IF(OR($H22="",$P22=""),"",IFERROR(1/(1/INDEX(Map_Stats!$I$2:$I$642,MATCH($F22&amp;"|"&amp;$H22,Map_Stats!$A$2:$A$642,0))),$P22))</f>
        <v>0.524</v>
      </c>
      <c r="AA22" s="13" t="n">
        <f aca="false">IF(OR($H22="",Y22=""),"",IF($O22="",Y22,(X22*Y22+Config!$B$4*$O22)/(X22+Config!$B$4)))</f>
        <v>0.785</v>
      </c>
      <c r="AB22" s="10" t="n">
        <f aca="false">IF(Z22="","",(X22*Z22+Config!$B$4*$P22)/(X22+Config!$B$4))</f>
        <v>0.613166666666667</v>
      </c>
      <c r="AC22" s="17" t="n">
        <f aca="false">IF(OR(AA22="",$K22=""),"",AA22*$K22*($K22/Config!$B$10)^Config!$B$9)</f>
        <v>16.8775</v>
      </c>
      <c r="AD22" s="17" t="n">
        <f aca="false">IF(OR(AC22="",AB22=""),"",AC22*AB22)</f>
        <v>10.3487204166667</v>
      </c>
      <c r="AE22" s="9" t="n">
        <f aca="false">IF($I22="",0,SUMIFS(Map_Stats!$F$2:$F$642,Map_Stats!$A$2:$A$642,$F22&amp;"|"&amp;$I22))</f>
        <v>6</v>
      </c>
      <c r="AF22" s="13" t="n">
        <f aca="false">IF($I22="","",IFERROR(1/(1/INDEX(Map_Stats!$K$2:$K$642,MATCH($F22&amp;"|"&amp;$I22,Map_Stats!$A$2:$A$642,0))),$O22))</f>
        <v>0.73</v>
      </c>
      <c r="AG22" s="10" t="n">
        <f aca="false">IF(OR($I22="",$P22=""),"",IFERROR(1/(1/INDEX(Map_Stats!$I$2:$I$642,MATCH($F22&amp;"|"&amp;$I22,Map_Stats!$A$2:$A$642,0))),$P22))</f>
        <v>0.66</v>
      </c>
      <c r="AH22" s="13" t="n">
        <f aca="false">IF(OR($I22="",AF22=""),"",IF($O22="",AF22,(AE22*AF22+Config!$B$4*$O22)/(AE22+Config!$B$4)))</f>
        <v>0.725454545454546</v>
      </c>
      <c r="AI22" s="10" t="n">
        <f aca="false">IF(AG22="","",(AE22*AG22+Config!$B$4*$P22)/(AE22+Config!$B$4))</f>
        <v>0.646818181818182</v>
      </c>
      <c r="AJ22" s="17" t="n">
        <f aca="false">IF(OR(AH22="",$L22=""),"",AH22*$L22*($L22/Config!$B$10)^Config!$B$9)</f>
        <v>15.5972727272727</v>
      </c>
      <c r="AK22" s="17" t="n">
        <f aca="false">IF(OR(AJ22="",AI22=""),"",AJ22*AI22)</f>
        <v>10.0885995867769</v>
      </c>
      <c r="AL22" s="17" t="n">
        <f aca="false">N(V22)+N(AC22)</f>
        <v>31.8884090909091</v>
      </c>
      <c r="AM22" s="17" t="n">
        <f aca="false">AL22+N($M22)*N(AJ22)</f>
        <v>31.8884090909091</v>
      </c>
      <c r="AN22" s="17" t="n">
        <f aca="false">IF(W22="","",N(W22)+N(AD22))</f>
        <v>19.7223508298898</v>
      </c>
      <c r="AO22" s="17" t="n">
        <f aca="false">IF(AN22="","",AN22+N($M22)*N(AK22))</f>
        <v>19.7223508298898</v>
      </c>
      <c r="AP22" s="10" t="n">
        <f aca="false">IFERROR(AN22/AL22,"")</f>
        <v>0.618480237557927</v>
      </c>
      <c r="AQ22" s="0" t="str">
        <f aca="false">TRIM(IF($N22&lt;Config!$B$12,"thin sample ("&amp;$N22&amp;" maps) · ","")&amp;IF(AND($G22&lt;&gt;"",Q22=0),"M1 unplayed→overall KPR · ","")&amp;IF(AND($H22&lt;&gt;"",X22=0),"M2 unplayed→overall KPR · ","")&amp;IF($O22="","no PickFinder stats",""))</f>
        <v/>
      </c>
      <c r="AR22" s="0" t="str">
        <f aca="false">IF($C22=Board!$B$2,COUNTIFS($C$2:$C$105,Board!$B$2,$AL$2:$AL$105,"&gt;"&amp;$AL22)+COUNTIFS($C$1:$C21,Board!$B$2,$AL$1:$AL21,$AL22)+1,"")</f>
        <v/>
      </c>
      <c r="AS22" s="0" t="str">
        <f aca="false">IFERROR(IF($D22=INDEX(Matches!$AD$5:$AD$17,MATCH($C22,Matches!$A$5:$A$17,0)),"A",IF($D22=INDEX(Matches!$AE$5:$AE$17,MATCH($C22,Matches!$A$5:$A$17,0)),"B","")),"")</f>
        <v>B</v>
      </c>
      <c r="AT22" s="10" t="n">
        <f aca="false">IF($AS22="","",IFERROR(IF($AS22="A",INDEX(Matches!$AI$5:$AI$17,MATCH($C22,Matches!$A$5:$A$17,0)),INDEX(Matches!$AJ$5:$AJ$17,MATCH($C22,Matches!$A$5:$A$17,0))),""))</f>
        <v>0.532676558319604</v>
      </c>
      <c r="AU22" s="10" t="str">
        <f aca="false">IF($AS22="","",IFERROR(IF(INDEX(Matches!$AP$5:$AP$17,MATCH($C22,Matches!$A$5:$A$17,0))="","",IF($AS22="A",INDEX(Matches!$AP$5:$AP$17,MATCH($C22,Matches!$A$5:$A$17,0)),1-INDEX(Matches!$AP$5:$AP$17,MATCH($C22,Matches!$A$5:$A$17,0)))),""))</f>
        <v/>
      </c>
      <c r="AV22" s="13" t="n">
        <f aca="false">IF(OR($AU22="",$AT22=""),1,((Config!$B$14*$AU22+Config!$B$15*(1-$AU22))/(Config!$B$14*$AT22+Config!$B$15*(1-$AT22)))^Config!$B$13)</f>
        <v>1</v>
      </c>
      <c r="AW22" s="10" t="str">
        <f aca="false">IF($AS22="","",IFERROR(IF(INDEX(Matches!$AV$5:$AV$17,MATCH($C22,Matches!$A$5:$A$17,0))="","",IF($AS22="A",INDEX(Matches!$AV$5:$AV$17,MATCH($C22,Matches!$A$5:$A$17,0)),1-INDEX(Matches!$AV$5:$AV$17,MATCH($C22,Matches!$A$5:$A$17,0)))),""))</f>
        <v/>
      </c>
      <c r="AX22" s="13" t="n">
        <f aca="false">IF(OR($AW22="",$AT22=""),1,((Config!$B$14*$AW22+Config!$B$15*(1-$AW22))/(Config!$B$14*$AT22+Config!$B$15*(1-$AT22)))^Config!$B$13)</f>
        <v>1</v>
      </c>
      <c r="AY22" s="10" t="str">
        <f aca="false">IF($AS22="","",IFERROR(IF(INDEX(Matches!$BB$5:$BB$17,MATCH($C22,Matches!$A$5:$A$17,0))="","",IF($AS22="A",INDEX(Matches!$BB$5:$BB$17,MATCH($C22,Matches!$A$5:$A$17,0)),1-INDEX(Matches!$BB$5:$BB$17,MATCH($C22,Matches!$A$5:$A$17,0)))),""))</f>
        <v/>
      </c>
      <c r="AZ22" s="13" t="n">
        <f aca="false">IF(OR($AY22="",$AT22=""),1,((Config!$B$14*$AY22+Config!$B$15*(1-$AY22))/(Config!$B$14*$AT22+Config!$B$15*(1-$AT22)))^Config!$B$13)</f>
        <v>1</v>
      </c>
      <c r="BA22" s="17" t="n">
        <f aca="false">IF(V22="","",V22*$AV22)</f>
        <v>15.0109090909091</v>
      </c>
      <c r="BB22" s="17" t="n">
        <f aca="false">IF(AC22="","",AC22*$AX22)</f>
        <v>16.8775</v>
      </c>
      <c r="BC22" s="17" t="n">
        <f aca="false">IF(AJ22="","",AJ22*$AZ22)</f>
        <v>15.5972727272727</v>
      </c>
      <c r="BD22" s="17" t="n">
        <f aca="false">N(BA22)+N(BB22)</f>
        <v>31.8884090909091</v>
      </c>
      <c r="BE22" s="17" t="n">
        <f aca="false">BD22+N($M22)*N(BC22)</f>
        <v>31.8884090909091</v>
      </c>
      <c r="BF22" s="17" t="n">
        <f aca="false">IF(W22="","",W22*$AV22)</f>
        <v>9.37363041322314</v>
      </c>
      <c r="BG22" s="17" t="n">
        <f aca="false">IF(AD22="","",AD22*$AX22)</f>
        <v>10.3487204166667</v>
      </c>
      <c r="BH22" s="17" t="n">
        <f aca="false">IF(AK22="","",AK22*$AZ22)</f>
        <v>10.0885995867769</v>
      </c>
      <c r="BI22" s="17" t="n">
        <f aca="false">IF(BF22="","",N(BF22)+N(BG22))</f>
        <v>19.7223508298898</v>
      </c>
      <c r="BJ22" s="17" t="n">
        <f aca="false">IF(BI22="","",BI22+N($M22)*N(BH22))</f>
        <v>19.7223508298898</v>
      </c>
      <c r="BK22" s="13" t="n">
        <f aca="false">IFERROR(BD22/AL22,1)</f>
        <v>1</v>
      </c>
    </row>
    <row r="23" customFormat="false" ht="15" hidden="false" customHeight="false" outlineLevel="0" collapsed="false">
      <c r="A23" s="0" t="s">
        <v>942</v>
      </c>
      <c r="B23" s="0" t="s">
        <v>775</v>
      </c>
      <c r="C23" s="0" t="s">
        <v>792</v>
      </c>
      <c r="D23" s="0" t="s">
        <v>799</v>
      </c>
      <c r="E23" s="0" t="s">
        <v>941</v>
      </c>
      <c r="F23" s="0" t="s">
        <v>1188</v>
      </c>
      <c r="G23" s="0" t="str">
        <f aca="false">IFERROR(IF(INDEX(Matches!$W$5:$W$17,MATCH($C23,Matches!$A$5:$A$17,0))="","",INDEX(Matches!$W$5:$W$17,MATCH($C23,Matches!$A$5:$A$17,0))),"")</f>
        <v>Nuke</v>
      </c>
      <c r="H23" s="0" t="str">
        <f aca="false">IFERROR(IF(INDEX(Matches!$X$5:$X$17,MATCH($C23,Matches!$A$5:$A$17,0))="","",INDEX(Matches!$X$5:$X$17,MATCH($C23,Matches!$A$5:$A$17,0))),"")</f>
        <v>Inferno</v>
      </c>
      <c r="I23" s="0" t="str">
        <f aca="false">IFERROR(IF(INDEX(Matches!$Y$5:$Y$17,MATCH($C23,Matches!$A$5:$A$17,0))="","",INDEX(Matches!$Y$5:$Y$17,MATCH($C23,Matches!$A$5:$A$17,0))),"")</f>
        <v>Mirage</v>
      </c>
      <c r="J23" s="11" t="n">
        <f aca="false">IFERROR(IF(INDEX(Matches!$Z$5:$Z$17,MATCH($C23,Matches!$A$5:$A$17,0))="","",INDEX(Matches!$Z$5:$Z$17,MATCH($C23,Matches!$A$5:$A$17,0))),"")</f>
        <v>21.5</v>
      </c>
      <c r="K23" s="11" t="n">
        <f aca="false">IFERROR(IF(INDEX(Matches!$AA$5:$AA$17,MATCH($C23,Matches!$A$5:$A$17,0))="","",INDEX(Matches!$AA$5:$AA$17,MATCH($C23,Matches!$A$5:$A$17,0))),"")</f>
        <v>21.5</v>
      </c>
      <c r="L23" s="11" t="n">
        <f aca="false">IFERROR(IF(INDEX(Matches!$AB$5:$AB$17,MATCH($C23,Matches!$A$5:$A$17,0))="","",INDEX(Matches!$AB$5:$AB$17,MATCH($C23,Matches!$A$5:$A$17,0))),"")</f>
        <v>21.5</v>
      </c>
      <c r="M23" s="10" t="n">
        <f aca="false">IFERROR(IF(INDEX(Matches!$AC$5:$AC$17,MATCH($C23,Matches!$A$5:$A$17,0))="","",INDEX(Matches!$AC$5:$AC$17,MATCH($C23,Matches!$A$5:$A$17,0))),"")</f>
        <v>0</v>
      </c>
      <c r="N23" s="9" t="n">
        <f aca="false">IFERROR(INDEX(Players!$F$2:$F$105,MATCH($F23,Players!$A$2:$A$105,0)),0)</f>
        <v>35</v>
      </c>
      <c r="O23" s="13" t="n">
        <f aca="false">IFERROR(1/(1/INDEX(Players!$H$2:$H$105,MATCH($F23,Players!$A$2:$A$105,0))),"")</f>
        <v>0.6</v>
      </c>
      <c r="P23" s="10" t="n">
        <f aca="false">IFERROR(1/(1/INDEX(Players!$I$2:$I$105,MATCH($F23,Players!$A$2:$A$105,0))),"")</f>
        <v>0.57</v>
      </c>
      <c r="Q23" s="9" t="n">
        <f aca="false">IF($G23="",0,SUMIFS(Map_Stats!$F$2:$F$642,Map_Stats!$A$2:$A$642,$F23&amp;"|"&amp;$G23))</f>
        <v>8</v>
      </c>
      <c r="R23" s="13" t="n">
        <f aca="false">IF($G23="","",IFERROR(1/(1/INDEX(Map_Stats!$K$2:$K$642,MATCH($F23&amp;"|"&amp;$G23,Map_Stats!$A$2:$A$642,0))),$O23))</f>
        <v>0.54</v>
      </c>
      <c r="S23" s="10" t="n">
        <f aca="false">IF(OR($G23="",$P23=""),"",IFERROR(1/(1/INDEX(Map_Stats!$I$2:$I$642,MATCH($F23&amp;"|"&amp;$G23,Map_Stats!$A$2:$A$642,0))),$P23))</f>
        <v>0.615</v>
      </c>
      <c r="T23" s="13" t="n">
        <f aca="false">IF(OR($G23="",R23=""),"",IF($O23="",R23,(Q23*R23+Config!$B$4*$O23)/(Q23+Config!$B$4)))</f>
        <v>0.563076923076923</v>
      </c>
      <c r="U23" s="10" t="n">
        <f aca="false">IF(S23="","",(Q23*S23+Config!$B$4*$P23)/(Q23+Config!$B$4))</f>
        <v>0.597692307692308</v>
      </c>
      <c r="V23" s="17" t="n">
        <f aca="false">IF(OR(T23="",$J23=""),"",T23*$J23*($J23/Config!$B$10)^Config!$B$9)</f>
        <v>12.1061538461538</v>
      </c>
      <c r="W23" s="17" t="n">
        <f aca="false">IF(OR(V23="",U23=""),"",V23*U23)</f>
        <v>7.2357550295858</v>
      </c>
      <c r="X23" s="9" t="n">
        <f aca="false">IF($H23="",0,SUMIFS(Map_Stats!$F$2:$F$642,Map_Stats!$A$2:$A$642,$F23&amp;"|"&amp;$H23))</f>
        <v>3</v>
      </c>
      <c r="Y23" s="13" t="n">
        <f aca="false">IF($H23="","",IFERROR(1/(1/INDEX(Map_Stats!$K$2:$K$642,MATCH($F23&amp;"|"&amp;$H23,Map_Stats!$A$2:$A$642,0))),$O23))</f>
        <v>0.48</v>
      </c>
      <c r="Z23" s="10" t="n">
        <f aca="false">IF(OR($H23="",$P23=""),"",IFERROR(1/(1/INDEX(Map_Stats!$I$2:$I$642,MATCH($F23&amp;"|"&amp;$H23,Map_Stats!$A$2:$A$642,0))),$P23))</f>
        <v>0.625</v>
      </c>
      <c r="AA23" s="13" t="n">
        <f aca="false">IF(OR($H23="",Y23=""),"",IF($O23="",Y23,(X23*Y23+Config!$B$4*$O23)/(X23+Config!$B$4)))</f>
        <v>0.555</v>
      </c>
      <c r="AB23" s="10" t="n">
        <f aca="false">IF(Z23="","",(X23*Z23+Config!$B$4*$P23)/(X23+Config!$B$4))</f>
        <v>0.590625</v>
      </c>
      <c r="AC23" s="17" t="n">
        <f aca="false">IF(OR(AA23="",$K23=""),"",AA23*$K23*($K23/Config!$B$10)^Config!$B$9)</f>
        <v>11.9325</v>
      </c>
      <c r="AD23" s="17" t="n">
        <f aca="false">IF(OR(AC23="",AB23=""),"",AC23*AB23)</f>
        <v>7.0476328125</v>
      </c>
      <c r="AE23" s="9" t="n">
        <f aca="false">IF($I23="",0,SUMIFS(Map_Stats!$F$2:$F$642,Map_Stats!$A$2:$A$642,$F23&amp;"|"&amp;$I23))</f>
        <v>4</v>
      </c>
      <c r="AF23" s="13" t="n">
        <f aca="false">IF($I23="","",IFERROR(1/(1/INDEX(Map_Stats!$K$2:$K$642,MATCH($F23&amp;"|"&amp;$I23,Map_Stats!$A$2:$A$642,0))),$O23))</f>
        <v>0.55</v>
      </c>
      <c r="AG23" s="10" t="n">
        <f aca="false">IF(OR($I23="",$P23=""),"",IFERROR(1/(1/INDEX(Map_Stats!$I$2:$I$642,MATCH($F23&amp;"|"&amp;$I23,Map_Stats!$A$2:$A$642,0))),$P23))</f>
        <v>0.491</v>
      </c>
      <c r="AH23" s="13" t="n">
        <f aca="false">IF(OR($I23="",AF23=""),"",IF($O23="",AF23,(AE23*AF23+Config!$B$4*$O23)/(AE23+Config!$B$4)))</f>
        <v>0.577777777777778</v>
      </c>
      <c r="AI23" s="10" t="n">
        <f aca="false">IF(AG23="","",(AE23*AG23+Config!$B$4*$P23)/(AE23+Config!$B$4))</f>
        <v>0.534888888888889</v>
      </c>
      <c r="AJ23" s="17" t="n">
        <f aca="false">IF(OR(AH23="",$L23=""),"",AH23*$L23*($L23/Config!$B$10)^Config!$B$9)</f>
        <v>12.4222222222222</v>
      </c>
      <c r="AK23" s="17" t="n">
        <f aca="false">IF(OR(AJ23="",AI23=""),"",AJ23*AI23)</f>
        <v>6.64450864197531</v>
      </c>
      <c r="AL23" s="17" t="n">
        <f aca="false">N(V23)+N(AC23)</f>
        <v>24.0386538461539</v>
      </c>
      <c r="AM23" s="17" t="n">
        <f aca="false">AL23+N($M23)*N(AJ23)</f>
        <v>24.0386538461539</v>
      </c>
      <c r="AN23" s="17" t="n">
        <f aca="false">IF(W23="","",N(W23)+N(AD23))</f>
        <v>14.2833878420858</v>
      </c>
      <c r="AO23" s="17" t="n">
        <f aca="false">IF(AN23="","",AN23+N($M23)*N(AK23))</f>
        <v>14.2833878420858</v>
      </c>
      <c r="AP23" s="10" t="n">
        <f aca="false">IFERROR(AN23/AL23,"")</f>
        <v>0.594184180757323</v>
      </c>
      <c r="AQ23" s="0" t="str">
        <f aca="false">TRIM(IF($N23&lt;Config!$B$12,"thin sample ("&amp;$N23&amp;" maps) · ","")&amp;IF(AND($G23&lt;&gt;"",Q23=0),"M1 unplayed→overall KPR · ","")&amp;IF(AND($H23&lt;&gt;"",X23=0),"M2 unplayed→overall KPR · ","")&amp;IF($O23="","no PickFinder stats",""))</f>
        <v/>
      </c>
      <c r="AR23" s="0" t="str">
        <f aca="false">IF($C23=Board!$B$2,COUNTIFS($C$2:$C$105,Board!$B$2,$AL$2:$AL$105,"&gt;"&amp;$AL23)+COUNTIFS($C$1:$C22,Board!$B$2,$AL$1:$AL22,$AL23)+1,"")</f>
        <v/>
      </c>
      <c r="AS23" s="0" t="str">
        <f aca="false">IFERROR(IF($D23=INDEX(Matches!$AD$5:$AD$17,MATCH($C23,Matches!$A$5:$A$17,0)),"A",IF($D23=INDEX(Matches!$AE$5:$AE$17,MATCH($C23,Matches!$A$5:$A$17,0)),"B","")),"")</f>
        <v>B</v>
      </c>
      <c r="AT23" s="10" t="n">
        <f aca="false">IF($AS23="","",IFERROR(IF($AS23="A",INDEX(Matches!$AI$5:$AI$17,MATCH($C23,Matches!$A$5:$A$17,0)),INDEX(Matches!$AJ$5:$AJ$17,MATCH($C23,Matches!$A$5:$A$17,0))),""))</f>
        <v>0.532676558319604</v>
      </c>
      <c r="AU23" s="10" t="str">
        <f aca="false">IF($AS23="","",IFERROR(IF(INDEX(Matches!$AP$5:$AP$17,MATCH($C23,Matches!$A$5:$A$17,0))="","",IF($AS23="A",INDEX(Matches!$AP$5:$AP$17,MATCH($C23,Matches!$A$5:$A$17,0)),1-INDEX(Matches!$AP$5:$AP$17,MATCH($C23,Matches!$A$5:$A$17,0)))),""))</f>
        <v/>
      </c>
      <c r="AV23" s="13" t="n">
        <f aca="false">IF(OR($AU23="",$AT23=""),1,((Config!$B$14*$AU23+Config!$B$15*(1-$AU23))/(Config!$B$14*$AT23+Config!$B$15*(1-$AT23)))^Config!$B$13)</f>
        <v>1</v>
      </c>
      <c r="AW23" s="10" t="str">
        <f aca="false">IF($AS23="","",IFERROR(IF(INDEX(Matches!$AV$5:$AV$17,MATCH($C23,Matches!$A$5:$A$17,0))="","",IF($AS23="A",INDEX(Matches!$AV$5:$AV$17,MATCH($C23,Matches!$A$5:$A$17,0)),1-INDEX(Matches!$AV$5:$AV$17,MATCH($C23,Matches!$A$5:$A$17,0)))),""))</f>
        <v/>
      </c>
      <c r="AX23" s="13" t="n">
        <f aca="false">IF(OR($AW23="",$AT23=""),1,((Config!$B$14*$AW23+Config!$B$15*(1-$AW23))/(Config!$B$14*$AT23+Config!$B$15*(1-$AT23)))^Config!$B$13)</f>
        <v>1</v>
      </c>
      <c r="AY23" s="10" t="str">
        <f aca="false">IF($AS23="","",IFERROR(IF(INDEX(Matches!$BB$5:$BB$17,MATCH($C23,Matches!$A$5:$A$17,0))="","",IF($AS23="A",INDEX(Matches!$BB$5:$BB$17,MATCH($C23,Matches!$A$5:$A$17,0)),1-INDEX(Matches!$BB$5:$BB$17,MATCH($C23,Matches!$A$5:$A$17,0)))),""))</f>
        <v/>
      </c>
      <c r="AZ23" s="13" t="n">
        <f aca="false">IF(OR($AY23="",$AT23=""),1,((Config!$B$14*$AY23+Config!$B$15*(1-$AY23))/(Config!$B$14*$AT23+Config!$B$15*(1-$AT23)))^Config!$B$13)</f>
        <v>1</v>
      </c>
      <c r="BA23" s="17" t="n">
        <f aca="false">IF(V23="","",V23*$AV23)</f>
        <v>12.1061538461538</v>
      </c>
      <c r="BB23" s="17" t="n">
        <f aca="false">IF(AC23="","",AC23*$AX23)</f>
        <v>11.9325</v>
      </c>
      <c r="BC23" s="17" t="n">
        <f aca="false">IF(AJ23="","",AJ23*$AZ23)</f>
        <v>12.4222222222222</v>
      </c>
      <c r="BD23" s="17" t="n">
        <f aca="false">N(BA23)+N(BB23)</f>
        <v>24.0386538461539</v>
      </c>
      <c r="BE23" s="17" t="n">
        <f aca="false">BD23+N($M23)*N(BC23)</f>
        <v>24.0386538461539</v>
      </c>
      <c r="BF23" s="17" t="n">
        <f aca="false">IF(W23="","",W23*$AV23)</f>
        <v>7.2357550295858</v>
      </c>
      <c r="BG23" s="17" t="n">
        <f aca="false">IF(AD23="","",AD23*$AX23)</f>
        <v>7.0476328125</v>
      </c>
      <c r="BH23" s="17" t="n">
        <f aca="false">IF(AK23="","",AK23*$AZ23)</f>
        <v>6.64450864197531</v>
      </c>
      <c r="BI23" s="17" t="n">
        <f aca="false">IF(BF23="","",N(BF23)+N(BG23))</f>
        <v>14.2833878420858</v>
      </c>
      <c r="BJ23" s="17" t="n">
        <f aca="false">IF(BI23="","",BI23+N($M23)*N(BH23))</f>
        <v>14.2833878420858</v>
      </c>
      <c r="BK23" s="13" t="n">
        <f aca="false">IFERROR(BD23/AL23,1)</f>
        <v>1</v>
      </c>
    </row>
    <row r="24" customFormat="false" ht="15" hidden="false" customHeight="false" outlineLevel="0" collapsed="false">
      <c r="A24" s="0" t="s">
        <v>944</v>
      </c>
      <c r="B24" s="0" t="s">
        <v>775</v>
      </c>
      <c r="C24" s="0" t="s">
        <v>792</v>
      </c>
      <c r="D24" s="0" t="s">
        <v>799</v>
      </c>
      <c r="E24" s="0" t="s">
        <v>943</v>
      </c>
      <c r="F24" s="0" t="s">
        <v>1189</v>
      </c>
      <c r="G24" s="0" t="str">
        <f aca="false">IFERROR(IF(INDEX(Matches!$W$5:$W$17,MATCH($C24,Matches!$A$5:$A$17,0))="","",INDEX(Matches!$W$5:$W$17,MATCH($C24,Matches!$A$5:$A$17,0))),"")</f>
        <v>Nuke</v>
      </c>
      <c r="H24" s="0" t="str">
        <f aca="false">IFERROR(IF(INDEX(Matches!$X$5:$X$17,MATCH($C24,Matches!$A$5:$A$17,0))="","",INDEX(Matches!$X$5:$X$17,MATCH($C24,Matches!$A$5:$A$17,0))),"")</f>
        <v>Inferno</v>
      </c>
      <c r="I24" s="0" t="str">
        <f aca="false">IFERROR(IF(INDEX(Matches!$Y$5:$Y$17,MATCH($C24,Matches!$A$5:$A$17,0))="","",INDEX(Matches!$Y$5:$Y$17,MATCH($C24,Matches!$A$5:$A$17,0))),"")</f>
        <v>Mirage</v>
      </c>
      <c r="J24" s="11" t="n">
        <f aca="false">IFERROR(IF(INDEX(Matches!$Z$5:$Z$17,MATCH($C24,Matches!$A$5:$A$17,0))="","",INDEX(Matches!$Z$5:$Z$17,MATCH($C24,Matches!$A$5:$A$17,0))),"")</f>
        <v>21.5</v>
      </c>
      <c r="K24" s="11" t="n">
        <f aca="false">IFERROR(IF(INDEX(Matches!$AA$5:$AA$17,MATCH($C24,Matches!$A$5:$A$17,0))="","",INDEX(Matches!$AA$5:$AA$17,MATCH($C24,Matches!$A$5:$A$17,0))),"")</f>
        <v>21.5</v>
      </c>
      <c r="L24" s="11" t="n">
        <f aca="false">IFERROR(IF(INDEX(Matches!$AB$5:$AB$17,MATCH($C24,Matches!$A$5:$A$17,0))="","",INDEX(Matches!$AB$5:$AB$17,MATCH($C24,Matches!$A$5:$A$17,0))),"")</f>
        <v>21.5</v>
      </c>
      <c r="M24" s="10" t="n">
        <f aca="false">IFERROR(IF(INDEX(Matches!$AC$5:$AC$17,MATCH($C24,Matches!$A$5:$A$17,0))="","",INDEX(Matches!$AC$5:$AC$17,MATCH($C24,Matches!$A$5:$A$17,0))),"")</f>
        <v>0</v>
      </c>
      <c r="N24" s="9" t="n">
        <f aca="false">IFERROR(INDEX(Players!$F$2:$F$105,MATCH($F24,Players!$A$2:$A$105,0)),0)</f>
        <v>33</v>
      </c>
      <c r="O24" s="13" t="n">
        <f aca="false">IFERROR(1/(1/INDEX(Players!$H$2:$H$105,MATCH($F24,Players!$A$2:$A$105,0))),"")</f>
        <v>0.75</v>
      </c>
      <c r="P24" s="10" t="n">
        <f aca="false">IFERROR(1/(1/INDEX(Players!$I$2:$I$105,MATCH($F24,Players!$A$2:$A$105,0))),"")</f>
        <v>0.505</v>
      </c>
      <c r="Q24" s="9" t="n">
        <f aca="false">IF($G24="",0,SUMIFS(Map_Stats!$F$2:$F$642,Map_Stats!$A$2:$A$642,$F24&amp;"|"&amp;$G24))</f>
        <v>6</v>
      </c>
      <c r="R24" s="13" t="n">
        <f aca="false">IF($G24="","",IFERROR(1/(1/INDEX(Map_Stats!$K$2:$K$642,MATCH($F24&amp;"|"&amp;$G24,Map_Stats!$A$2:$A$642,0))),$O24))</f>
        <v>0.69</v>
      </c>
      <c r="S24" s="10" t="n">
        <f aca="false">IF(OR($G24="",$P24=""),"",IFERROR(1/(1/INDEX(Map_Stats!$I$2:$I$642,MATCH($F24&amp;"|"&amp;$G24,Map_Stats!$A$2:$A$642,0))),$P24))</f>
        <v>0.444</v>
      </c>
      <c r="T24" s="13" t="n">
        <f aca="false">IF(OR($G24="",R24=""),"",IF($O24="",R24,(Q24*R24+Config!$B$4*$O24)/(Q24+Config!$B$4)))</f>
        <v>0.717272727272727</v>
      </c>
      <c r="U24" s="10" t="n">
        <f aca="false">IF(S24="","",(Q24*S24+Config!$B$4*$P24)/(Q24+Config!$B$4))</f>
        <v>0.471727272727273</v>
      </c>
      <c r="V24" s="17" t="n">
        <f aca="false">IF(OR(T24="",$J24=""),"",T24*$J24*($J24/Config!$B$10)^Config!$B$9)</f>
        <v>15.4213636363636</v>
      </c>
      <c r="W24" s="17" t="n">
        <f aca="false">IF(OR(V24="",U24=""),"",V24*U24)</f>
        <v>7.27467780991736</v>
      </c>
      <c r="X24" s="9" t="n">
        <f aca="false">IF($H24="",0,SUMIFS(Map_Stats!$F$2:$F$642,Map_Stats!$A$2:$A$642,$F24&amp;"|"&amp;$H24))</f>
        <v>1</v>
      </c>
      <c r="Y24" s="13" t="n">
        <f aca="false">IF($H24="","",IFERROR(1/(1/INDEX(Map_Stats!$K$2:$K$642,MATCH($F24&amp;"|"&amp;$H24,Map_Stats!$A$2:$A$642,0))),$O24))</f>
        <v>0.79</v>
      </c>
      <c r="Z24" s="10" t="n">
        <f aca="false">IF(OR($H24="",$P24=""),"",IFERROR(1/(1/INDEX(Map_Stats!$I$2:$I$642,MATCH($F24&amp;"|"&amp;$H24,Map_Stats!$A$2:$A$642,0))),$P24))</f>
        <v>0.667</v>
      </c>
      <c r="AA24" s="13" t="n">
        <f aca="false">IF(OR($H24="",Y24=""),"",IF($O24="",Y24,(X24*Y24+Config!$B$4*$O24)/(X24+Config!$B$4)))</f>
        <v>0.756666666666667</v>
      </c>
      <c r="AB24" s="10" t="n">
        <f aca="false">IF(Z24="","",(X24*Z24+Config!$B$4*$P24)/(X24+Config!$B$4))</f>
        <v>0.532</v>
      </c>
      <c r="AC24" s="17" t="n">
        <f aca="false">IF(OR(AA24="",$K24=""),"",AA24*$K24*($K24/Config!$B$10)^Config!$B$9)</f>
        <v>16.2683333333333</v>
      </c>
      <c r="AD24" s="17" t="n">
        <f aca="false">IF(OR(AC24="",AB24=""),"",AC24*AB24)</f>
        <v>8.65475333333333</v>
      </c>
      <c r="AE24" s="9" t="n">
        <f aca="false">IF($I24="",0,SUMIFS(Map_Stats!$F$2:$F$642,Map_Stats!$A$2:$A$642,$F24&amp;"|"&amp;$I24))</f>
        <v>4</v>
      </c>
      <c r="AF24" s="13" t="n">
        <f aca="false">IF($I24="","",IFERROR(1/(1/INDEX(Map_Stats!$K$2:$K$642,MATCH($F24&amp;"|"&amp;$I24,Map_Stats!$A$2:$A$642,0))),$O24))</f>
        <v>0.72</v>
      </c>
      <c r="AG24" s="10" t="n">
        <f aca="false">IF(OR($I24="",$P24=""),"",IFERROR(1/(1/INDEX(Map_Stats!$I$2:$I$642,MATCH($F24&amp;"|"&amp;$I24,Map_Stats!$A$2:$A$642,0))),$P24))</f>
        <v>0.426</v>
      </c>
      <c r="AH24" s="13" t="n">
        <f aca="false">IF(OR($I24="",AF24=""),"",IF($O24="",AF24,(AE24*AF24+Config!$B$4*$O24)/(AE24+Config!$B$4)))</f>
        <v>0.736666666666667</v>
      </c>
      <c r="AI24" s="10" t="n">
        <f aca="false">IF(AG24="","",(AE24*AG24+Config!$B$4*$P24)/(AE24+Config!$B$4))</f>
        <v>0.469888888888889</v>
      </c>
      <c r="AJ24" s="17" t="n">
        <f aca="false">IF(OR(AH24="",$L24=""),"",AH24*$L24*($L24/Config!$B$10)^Config!$B$9)</f>
        <v>15.8383333333333</v>
      </c>
      <c r="AK24" s="17" t="n">
        <f aca="false">IF(OR(AJ24="",AI24=""),"",AJ24*AI24)</f>
        <v>7.44225685185185</v>
      </c>
      <c r="AL24" s="17" t="n">
        <f aca="false">N(V24)+N(AC24)</f>
        <v>31.689696969697</v>
      </c>
      <c r="AM24" s="17" t="n">
        <f aca="false">AL24+N($M24)*N(AJ24)</f>
        <v>31.689696969697</v>
      </c>
      <c r="AN24" s="17" t="n">
        <f aca="false">IF(W24="","",N(W24)+N(AD24))</f>
        <v>15.9294311432507</v>
      </c>
      <c r="AO24" s="17" t="n">
        <f aca="false">IF(AN24="","",AN24+N($M24)*N(AK24))</f>
        <v>15.9294311432507</v>
      </c>
      <c r="AP24" s="10" t="n">
        <f aca="false">IFERROR(AN24/AL24,"")</f>
        <v>0.502669090161483</v>
      </c>
      <c r="AQ24" s="0" t="str">
        <f aca="false">TRIM(IF($N24&lt;Config!$B$12,"thin sample ("&amp;$N24&amp;" maps) · ","")&amp;IF(AND($G24&lt;&gt;"",Q24=0),"M1 unplayed→overall KPR · ","")&amp;IF(AND($H24&lt;&gt;"",X24=0),"M2 unplayed→overall KPR · ","")&amp;IF($O24="","no PickFinder stats",""))</f>
        <v/>
      </c>
      <c r="AR24" s="0" t="str">
        <f aca="false">IF($C24=Board!$B$2,COUNTIFS($C$2:$C$105,Board!$B$2,$AL$2:$AL$105,"&gt;"&amp;$AL24)+COUNTIFS($C$1:$C23,Board!$B$2,$AL$1:$AL23,$AL24)+1,"")</f>
        <v/>
      </c>
      <c r="AS24" s="0" t="str">
        <f aca="false">IFERROR(IF($D24=INDEX(Matches!$AD$5:$AD$17,MATCH($C24,Matches!$A$5:$A$17,0)),"A",IF($D24=INDEX(Matches!$AE$5:$AE$17,MATCH($C24,Matches!$A$5:$A$17,0)),"B","")),"")</f>
        <v>B</v>
      </c>
      <c r="AT24" s="10" t="n">
        <f aca="false">IF($AS24="","",IFERROR(IF($AS24="A",INDEX(Matches!$AI$5:$AI$17,MATCH($C24,Matches!$A$5:$A$17,0)),INDEX(Matches!$AJ$5:$AJ$17,MATCH($C24,Matches!$A$5:$A$17,0))),""))</f>
        <v>0.532676558319604</v>
      </c>
      <c r="AU24" s="10" t="str">
        <f aca="false">IF($AS24="","",IFERROR(IF(INDEX(Matches!$AP$5:$AP$17,MATCH($C24,Matches!$A$5:$A$17,0))="","",IF($AS24="A",INDEX(Matches!$AP$5:$AP$17,MATCH($C24,Matches!$A$5:$A$17,0)),1-INDEX(Matches!$AP$5:$AP$17,MATCH($C24,Matches!$A$5:$A$17,0)))),""))</f>
        <v/>
      </c>
      <c r="AV24" s="13" t="n">
        <f aca="false">IF(OR($AU24="",$AT24=""),1,((Config!$B$14*$AU24+Config!$B$15*(1-$AU24))/(Config!$B$14*$AT24+Config!$B$15*(1-$AT24)))^Config!$B$13)</f>
        <v>1</v>
      </c>
      <c r="AW24" s="10" t="str">
        <f aca="false">IF($AS24="","",IFERROR(IF(INDEX(Matches!$AV$5:$AV$17,MATCH($C24,Matches!$A$5:$A$17,0))="","",IF($AS24="A",INDEX(Matches!$AV$5:$AV$17,MATCH($C24,Matches!$A$5:$A$17,0)),1-INDEX(Matches!$AV$5:$AV$17,MATCH($C24,Matches!$A$5:$A$17,0)))),""))</f>
        <v/>
      </c>
      <c r="AX24" s="13" t="n">
        <f aca="false">IF(OR($AW24="",$AT24=""),1,((Config!$B$14*$AW24+Config!$B$15*(1-$AW24))/(Config!$B$14*$AT24+Config!$B$15*(1-$AT24)))^Config!$B$13)</f>
        <v>1</v>
      </c>
      <c r="AY24" s="10" t="str">
        <f aca="false">IF($AS24="","",IFERROR(IF(INDEX(Matches!$BB$5:$BB$17,MATCH($C24,Matches!$A$5:$A$17,0))="","",IF($AS24="A",INDEX(Matches!$BB$5:$BB$17,MATCH($C24,Matches!$A$5:$A$17,0)),1-INDEX(Matches!$BB$5:$BB$17,MATCH($C24,Matches!$A$5:$A$17,0)))),""))</f>
        <v/>
      </c>
      <c r="AZ24" s="13" t="n">
        <f aca="false">IF(OR($AY24="",$AT24=""),1,((Config!$B$14*$AY24+Config!$B$15*(1-$AY24))/(Config!$B$14*$AT24+Config!$B$15*(1-$AT24)))^Config!$B$13)</f>
        <v>1</v>
      </c>
      <c r="BA24" s="17" t="n">
        <f aca="false">IF(V24="","",V24*$AV24)</f>
        <v>15.4213636363636</v>
      </c>
      <c r="BB24" s="17" t="n">
        <f aca="false">IF(AC24="","",AC24*$AX24)</f>
        <v>16.2683333333333</v>
      </c>
      <c r="BC24" s="17" t="n">
        <f aca="false">IF(AJ24="","",AJ24*$AZ24)</f>
        <v>15.8383333333333</v>
      </c>
      <c r="BD24" s="17" t="n">
        <f aca="false">N(BA24)+N(BB24)</f>
        <v>31.689696969697</v>
      </c>
      <c r="BE24" s="17" t="n">
        <f aca="false">BD24+N($M24)*N(BC24)</f>
        <v>31.689696969697</v>
      </c>
      <c r="BF24" s="17" t="n">
        <f aca="false">IF(W24="","",W24*$AV24)</f>
        <v>7.27467780991736</v>
      </c>
      <c r="BG24" s="17" t="n">
        <f aca="false">IF(AD24="","",AD24*$AX24)</f>
        <v>8.65475333333333</v>
      </c>
      <c r="BH24" s="17" t="n">
        <f aca="false">IF(AK24="","",AK24*$AZ24)</f>
        <v>7.44225685185185</v>
      </c>
      <c r="BI24" s="17" t="n">
        <f aca="false">IF(BF24="","",N(BF24)+N(BG24))</f>
        <v>15.9294311432507</v>
      </c>
      <c r="BJ24" s="17" t="n">
        <f aca="false">IF(BI24="","",BI24+N($M24)*N(BH24))</f>
        <v>15.9294311432507</v>
      </c>
      <c r="BK24" s="13" t="n">
        <f aca="false">IFERROR(BD24/AL24,1)</f>
        <v>1</v>
      </c>
    </row>
    <row r="25" customFormat="false" ht="15" hidden="false" customHeight="false" outlineLevel="0" collapsed="false">
      <c r="A25" s="0" t="s">
        <v>946</v>
      </c>
      <c r="B25" s="0" t="s">
        <v>775</v>
      </c>
      <c r="C25" s="0" t="s">
        <v>792</v>
      </c>
      <c r="D25" s="0" t="s">
        <v>799</v>
      </c>
      <c r="E25" s="0" t="s">
        <v>945</v>
      </c>
      <c r="F25" s="0" t="s">
        <v>1190</v>
      </c>
      <c r="G25" s="0" t="str">
        <f aca="false">IFERROR(IF(INDEX(Matches!$W$5:$W$17,MATCH($C25,Matches!$A$5:$A$17,0))="","",INDEX(Matches!$W$5:$W$17,MATCH($C25,Matches!$A$5:$A$17,0))),"")</f>
        <v>Nuke</v>
      </c>
      <c r="H25" s="0" t="str">
        <f aca="false">IFERROR(IF(INDEX(Matches!$X$5:$X$17,MATCH($C25,Matches!$A$5:$A$17,0))="","",INDEX(Matches!$X$5:$X$17,MATCH($C25,Matches!$A$5:$A$17,0))),"")</f>
        <v>Inferno</v>
      </c>
      <c r="I25" s="0" t="str">
        <f aca="false">IFERROR(IF(INDEX(Matches!$Y$5:$Y$17,MATCH($C25,Matches!$A$5:$A$17,0))="","",INDEX(Matches!$Y$5:$Y$17,MATCH($C25,Matches!$A$5:$A$17,0))),"")</f>
        <v>Mirage</v>
      </c>
      <c r="J25" s="11" t="n">
        <f aca="false">IFERROR(IF(INDEX(Matches!$Z$5:$Z$17,MATCH($C25,Matches!$A$5:$A$17,0))="","",INDEX(Matches!$Z$5:$Z$17,MATCH($C25,Matches!$A$5:$A$17,0))),"")</f>
        <v>21.5</v>
      </c>
      <c r="K25" s="11" t="n">
        <f aca="false">IFERROR(IF(INDEX(Matches!$AA$5:$AA$17,MATCH($C25,Matches!$A$5:$A$17,0))="","",INDEX(Matches!$AA$5:$AA$17,MATCH($C25,Matches!$A$5:$A$17,0))),"")</f>
        <v>21.5</v>
      </c>
      <c r="L25" s="11" t="n">
        <f aca="false">IFERROR(IF(INDEX(Matches!$AB$5:$AB$17,MATCH($C25,Matches!$A$5:$A$17,0))="","",INDEX(Matches!$AB$5:$AB$17,MATCH($C25,Matches!$A$5:$A$17,0))),"")</f>
        <v>21.5</v>
      </c>
      <c r="M25" s="10" t="n">
        <f aca="false">IFERROR(IF(INDEX(Matches!$AC$5:$AC$17,MATCH($C25,Matches!$A$5:$A$17,0))="","",INDEX(Matches!$AC$5:$AC$17,MATCH($C25,Matches!$A$5:$A$17,0))),"")</f>
        <v>0</v>
      </c>
      <c r="N25" s="9" t="n">
        <f aca="false">IFERROR(INDEX(Players!$F$2:$F$105,MATCH($F25,Players!$A$2:$A$105,0)),0)</f>
        <v>36</v>
      </c>
      <c r="O25" s="13" t="n">
        <f aca="false">IFERROR(1/(1/INDEX(Players!$H$2:$H$105,MATCH($F25,Players!$A$2:$A$105,0))),"")</f>
        <v>0.71</v>
      </c>
      <c r="P25" s="10" t="n">
        <f aca="false">IFERROR(1/(1/INDEX(Players!$I$2:$I$105,MATCH($F25,Players!$A$2:$A$105,0))),"")</f>
        <v>0.656</v>
      </c>
      <c r="Q25" s="9" t="n">
        <f aca="false">IF($G25="",0,SUMIFS(Map_Stats!$F$2:$F$642,Map_Stats!$A$2:$A$642,$F25&amp;"|"&amp;$G25))</f>
        <v>6</v>
      </c>
      <c r="R25" s="13" t="n">
        <f aca="false">IF($G25="","",IFERROR(1/(1/INDEX(Map_Stats!$K$2:$K$642,MATCH($F25&amp;"|"&amp;$G25,Map_Stats!$A$2:$A$642,0))),$O25))</f>
        <v>0.66</v>
      </c>
      <c r="S25" s="10" t="n">
        <f aca="false">IF(OR($G25="",$P25=""),"",IFERROR(1/(1/INDEX(Map_Stats!$I$2:$I$642,MATCH($F25&amp;"|"&amp;$G25,Map_Stats!$A$2:$A$642,0))),$P25))</f>
        <v>0.6</v>
      </c>
      <c r="T25" s="13" t="n">
        <f aca="false">IF(OR($G25="",R25=""),"",IF($O25="",R25,(Q25*R25+Config!$B$4*$O25)/(Q25+Config!$B$4)))</f>
        <v>0.682727272727273</v>
      </c>
      <c r="U25" s="10" t="n">
        <f aca="false">IF(S25="","",(Q25*S25+Config!$B$4*$P25)/(Q25+Config!$B$4))</f>
        <v>0.625454545454545</v>
      </c>
      <c r="V25" s="17" t="n">
        <f aca="false">IF(OR(T25="",$J25=""),"",T25*$J25*($J25/Config!$B$10)^Config!$B$9)</f>
        <v>14.6786363636364</v>
      </c>
      <c r="W25" s="17" t="n">
        <f aca="false">IF(OR(V25="",U25=""),"",V25*U25)</f>
        <v>9.18081983471074</v>
      </c>
      <c r="X25" s="9" t="n">
        <f aca="false">IF($H25="",0,SUMIFS(Map_Stats!$F$2:$F$642,Map_Stats!$A$2:$A$642,$F25&amp;"|"&amp;$H25))</f>
        <v>1</v>
      </c>
      <c r="Y25" s="13" t="n">
        <f aca="false">IF($H25="","",IFERROR(1/(1/INDEX(Map_Stats!$K$2:$K$642,MATCH($F25&amp;"|"&amp;$H25,Map_Stats!$A$2:$A$642,0))),$O25))</f>
        <v>0.59</v>
      </c>
      <c r="Z25" s="10" t="n">
        <f aca="false">IF(OR($H25="",$P25=""),"",IFERROR(1/(1/INDEX(Map_Stats!$I$2:$I$642,MATCH($F25&amp;"|"&amp;$H25,Map_Stats!$A$2:$A$642,0))),$P25))</f>
        <v>0.615</v>
      </c>
      <c r="AA25" s="13" t="n">
        <f aca="false">IF(OR($H25="",Y25=""),"",IF($O25="",Y25,(X25*Y25+Config!$B$4*$O25)/(X25+Config!$B$4)))</f>
        <v>0.69</v>
      </c>
      <c r="AB25" s="10" t="n">
        <f aca="false">IF(Z25="","",(X25*Z25+Config!$B$4*$P25)/(X25+Config!$B$4))</f>
        <v>0.649166666666667</v>
      </c>
      <c r="AC25" s="17" t="n">
        <f aca="false">IF(OR(AA25="",$K25=""),"",AA25*$K25*($K25/Config!$B$10)^Config!$B$9)</f>
        <v>14.835</v>
      </c>
      <c r="AD25" s="17" t="n">
        <f aca="false">IF(OR(AC25="",AB25=""),"",AC25*AB25)</f>
        <v>9.6303875</v>
      </c>
      <c r="AE25" s="9" t="n">
        <f aca="false">IF($I25="",0,SUMIFS(Map_Stats!$F$2:$F$642,Map_Stats!$A$2:$A$642,$F25&amp;"|"&amp;$I25))</f>
        <v>4</v>
      </c>
      <c r="AF25" s="13" t="n">
        <f aca="false">IF($I25="","",IFERROR(1/(1/INDEX(Map_Stats!$K$2:$K$642,MATCH($F25&amp;"|"&amp;$I25,Map_Stats!$A$2:$A$642,0))),$O25))</f>
        <v>0.78</v>
      </c>
      <c r="AG25" s="10" t="n">
        <f aca="false">IF(OR($I25="",$P25=""),"",IFERROR(1/(1/INDEX(Map_Stats!$I$2:$I$642,MATCH($F25&amp;"|"&amp;$I25,Map_Stats!$A$2:$A$642,0))),$P25))</f>
        <v>0.676</v>
      </c>
      <c r="AH25" s="13" t="n">
        <f aca="false">IF(OR($I25="",AF25=""),"",IF($O25="",AF25,(AE25*AF25+Config!$B$4*$O25)/(AE25+Config!$B$4)))</f>
        <v>0.741111111111111</v>
      </c>
      <c r="AI25" s="10" t="n">
        <f aca="false">IF(AG25="","",(AE25*AG25+Config!$B$4*$P25)/(AE25+Config!$B$4))</f>
        <v>0.664888888888889</v>
      </c>
      <c r="AJ25" s="17" t="n">
        <f aca="false">IF(OR(AH25="",$L25=""),"",AH25*$L25*($L25/Config!$B$10)^Config!$B$9)</f>
        <v>15.9338888888889</v>
      </c>
      <c r="AK25" s="17" t="n">
        <f aca="false">IF(OR(AJ25="",AI25=""),"",AJ25*AI25)</f>
        <v>10.5942656790123</v>
      </c>
      <c r="AL25" s="17" t="n">
        <f aca="false">N(V25)+N(AC25)</f>
        <v>29.5136363636364</v>
      </c>
      <c r="AM25" s="17" t="n">
        <f aca="false">AL25+N($M25)*N(AJ25)</f>
        <v>29.5136363636364</v>
      </c>
      <c r="AN25" s="17" t="n">
        <f aca="false">IF(W25="","",N(W25)+N(AD25))</f>
        <v>18.8112073347107</v>
      </c>
      <c r="AO25" s="17" t="n">
        <f aca="false">IF(AN25="","",AN25+N($M25)*N(AK25))</f>
        <v>18.8112073347107</v>
      </c>
      <c r="AP25" s="10" t="n">
        <f aca="false">IFERROR(AN25/AL25,"")</f>
        <v>0.637373419626731</v>
      </c>
      <c r="AQ25" s="0" t="str">
        <f aca="false">TRIM(IF($N25&lt;Config!$B$12,"thin sample ("&amp;$N25&amp;" maps) · ","")&amp;IF(AND($G25&lt;&gt;"",Q25=0),"M1 unplayed→overall KPR · ","")&amp;IF(AND($H25&lt;&gt;"",X25=0),"M2 unplayed→overall KPR · ","")&amp;IF($O25="","no PickFinder stats",""))</f>
        <v/>
      </c>
      <c r="AR25" s="0" t="str">
        <f aca="false">IF($C25=Board!$B$2,COUNTIFS($C$2:$C$105,Board!$B$2,$AL$2:$AL$105,"&gt;"&amp;$AL25)+COUNTIFS($C$1:$C24,Board!$B$2,$AL$1:$AL24,$AL25)+1,"")</f>
        <v/>
      </c>
      <c r="AS25" s="0" t="str">
        <f aca="false">IFERROR(IF($D25=INDEX(Matches!$AD$5:$AD$17,MATCH($C25,Matches!$A$5:$A$17,0)),"A",IF($D25=INDEX(Matches!$AE$5:$AE$17,MATCH($C25,Matches!$A$5:$A$17,0)),"B","")),"")</f>
        <v>B</v>
      </c>
      <c r="AT25" s="10" t="n">
        <f aca="false">IF($AS25="","",IFERROR(IF($AS25="A",INDEX(Matches!$AI$5:$AI$17,MATCH($C25,Matches!$A$5:$A$17,0)),INDEX(Matches!$AJ$5:$AJ$17,MATCH($C25,Matches!$A$5:$A$17,0))),""))</f>
        <v>0.532676558319604</v>
      </c>
      <c r="AU25" s="10" t="str">
        <f aca="false">IF($AS25="","",IFERROR(IF(INDEX(Matches!$AP$5:$AP$17,MATCH($C25,Matches!$A$5:$A$17,0))="","",IF($AS25="A",INDEX(Matches!$AP$5:$AP$17,MATCH($C25,Matches!$A$5:$A$17,0)),1-INDEX(Matches!$AP$5:$AP$17,MATCH($C25,Matches!$A$5:$A$17,0)))),""))</f>
        <v/>
      </c>
      <c r="AV25" s="13" t="n">
        <f aca="false">IF(OR($AU25="",$AT25=""),1,((Config!$B$14*$AU25+Config!$B$15*(1-$AU25))/(Config!$B$14*$AT25+Config!$B$15*(1-$AT25)))^Config!$B$13)</f>
        <v>1</v>
      </c>
      <c r="AW25" s="10" t="str">
        <f aca="false">IF($AS25="","",IFERROR(IF(INDEX(Matches!$AV$5:$AV$17,MATCH($C25,Matches!$A$5:$A$17,0))="","",IF($AS25="A",INDEX(Matches!$AV$5:$AV$17,MATCH($C25,Matches!$A$5:$A$17,0)),1-INDEX(Matches!$AV$5:$AV$17,MATCH($C25,Matches!$A$5:$A$17,0)))),""))</f>
        <v/>
      </c>
      <c r="AX25" s="13" t="n">
        <f aca="false">IF(OR($AW25="",$AT25=""),1,((Config!$B$14*$AW25+Config!$B$15*(1-$AW25))/(Config!$B$14*$AT25+Config!$B$15*(1-$AT25)))^Config!$B$13)</f>
        <v>1</v>
      </c>
      <c r="AY25" s="10" t="str">
        <f aca="false">IF($AS25="","",IFERROR(IF(INDEX(Matches!$BB$5:$BB$17,MATCH($C25,Matches!$A$5:$A$17,0))="","",IF($AS25="A",INDEX(Matches!$BB$5:$BB$17,MATCH($C25,Matches!$A$5:$A$17,0)),1-INDEX(Matches!$BB$5:$BB$17,MATCH($C25,Matches!$A$5:$A$17,0)))),""))</f>
        <v/>
      </c>
      <c r="AZ25" s="13" t="n">
        <f aca="false">IF(OR($AY25="",$AT25=""),1,((Config!$B$14*$AY25+Config!$B$15*(1-$AY25))/(Config!$B$14*$AT25+Config!$B$15*(1-$AT25)))^Config!$B$13)</f>
        <v>1</v>
      </c>
      <c r="BA25" s="17" t="n">
        <f aca="false">IF(V25="","",V25*$AV25)</f>
        <v>14.6786363636364</v>
      </c>
      <c r="BB25" s="17" t="n">
        <f aca="false">IF(AC25="","",AC25*$AX25)</f>
        <v>14.835</v>
      </c>
      <c r="BC25" s="17" t="n">
        <f aca="false">IF(AJ25="","",AJ25*$AZ25)</f>
        <v>15.9338888888889</v>
      </c>
      <c r="BD25" s="17" t="n">
        <f aca="false">N(BA25)+N(BB25)</f>
        <v>29.5136363636364</v>
      </c>
      <c r="BE25" s="17" t="n">
        <f aca="false">BD25+N($M25)*N(BC25)</f>
        <v>29.5136363636364</v>
      </c>
      <c r="BF25" s="17" t="n">
        <f aca="false">IF(W25="","",W25*$AV25)</f>
        <v>9.18081983471074</v>
      </c>
      <c r="BG25" s="17" t="n">
        <f aca="false">IF(AD25="","",AD25*$AX25)</f>
        <v>9.6303875</v>
      </c>
      <c r="BH25" s="17" t="n">
        <f aca="false">IF(AK25="","",AK25*$AZ25)</f>
        <v>10.5942656790123</v>
      </c>
      <c r="BI25" s="17" t="n">
        <f aca="false">IF(BF25="","",N(BF25)+N(BG25))</f>
        <v>18.8112073347107</v>
      </c>
      <c r="BJ25" s="17" t="n">
        <f aca="false">IF(BI25="","",BI25+N($M25)*N(BH25))</f>
        <v>18.8112073347107</v>
      </c>
      <c r="BK25" s="13" t="n">
        <f aca="false">IFERROR(BD25/AL25,1)</f>
        <v>1</v>
      </c>
    </row>
    <row r="26" customFormat="false" ht="15" hidden="false" customHeight="false" outlineLevel="0" collapsed="false">
      <c r="A26" s="0" t="s">
        <v>948</v>
      </c>
      <c r="B26" s="0" t="s">
        <v>775</v>
      </c>
      <c r="C26" s="0" t="s">
        <v>792</v>
      </c>
      <c r="D26" s="0" t="s">
        <v>799</v>
      </c>
      <c r="E26" s="0" t="s">
        <v>947</v>
      </c>
      <c r="F26" s="0" t="s">
        <v>1191</v>
      </c>
      <c r="G26" s="0" t="str">
        <f aca="false">IFERROR(IF(INDEX(Matches!$W$5:$W$17,MATCH($C26,Matches!$A$5:$A$17,0))="","",INDEX(Matches!$W$5:$W$17,MATCH($C26,Matches!$A$5:$A$17,0))),"")</f>
        <v>Nuke</v>
      </c>
      <c r="H26" s="0" t="str">
        <f aca="false">IFERROR(IF(INDEX(Matches!$X$5:$X$17,MATCH($C26,Matches!$A$5:$A$17,0))="","",INDEX(Matches!$X$5:$X$17,MATCH($C26,Matches!$A$5:$A$17,0))),"")</f>
        <v>Inferno</v>
      </c>
      <c r="I26" s="0" t="str">
        <f aca="false">IFERROR(IF(INDEX(Matches!$Y$5:$Y$17,MATCH($C26,Matches!$A$5:$A$17,0))="","",INDEX(Matches!$Y$5:$Y$17,MATCH($C26,Matches!$A$5:$A$17,0))),"")</f>
        <v>Mirage</v>
      </c>
      <c r="J26" s="11" t="n">
        <f aca="false">IFERROR(IF(INDEX(Matches!$Z$5:$Z$17,MATCH($C26,Matches!$A$5:$A$17,0))="","",INDEX(Matches!$Z$5:$Z$17,MATCH($C26,Matches!$A$5:$A$17,0))),"")</f>
        <v>21.5</v>
      </c>
      <c r="K26" s="11" t="n">
        <f aca="false">IFERROR(IF(INDEX(Matches!$AA$5:$AA$17,MATCH($C26,Matches!$A$5:$A$17,0))="","",INDEX(Matches!$AA$5:$AA$17,MATCH($C26,Matches!$A$5:$A$17,0))),"")</f>
        <v>21.5</v>
      </c>
      <c r="L26" s="11" t="n">
        <f aca="false">IFERROR(IF(INDEX(Matches!$AB$5:$AB$17,MATCH($C26,Matches!$A$5:$A$17,0))="","",INDEX(Matches!$AB$5:$AB$17,MATCH($C26,Matches!$A$5:$A$17,0))),"")</f>
        <v>21.5</v>
      </c>
      <c r="M26" s="10" t="n">
        <f aca="false">IFERROR(IF(INDEX(Matches!$AC$5:$AC$17,MATCH($C26,Matches!$A$5:$A$17,0))="","",INDEX(Matches!$AC$5:$AC$17,MATCH($C26,Matches!$A$5:$A$17,0))),"")</f>
        <v>0</v>
      </c>
      <c r="N26" s="9" t="n">
        <f aca="false">IFERROR(INDEX(Players!$F$2:$F$105,MATCH($F26,Players!$A$2:$A$105,0)),0)</f>
        <v>35</v>
      </c>
      <c r="O26" s="13" t="n">
        <f aca="false">IFERROR(1/(1/INDEX(Players!$H$2:$H$105,MATCH($F26,Players!$A$2:$A$105,0))),"")</f>
        <v>0.7</v>
      </c>
      <c r="P26" s="10" t="n">
        <f aca="false">IFERROR(1/(1/INDEX(Players!$I$2:$I$105,MATCH($F26,Players!$A$2:$A$105,0))),"")</f>
        <v>0.386</v>
      </c>
      <c r="Q26" s="9" t="n">
        <f aca="false">IF($G26="",0,SUMIFS(Map_Stats!$F$2:$F$642,Map_Stats!$A$2:$A$642,$F26&amp;"|"&amp;$G26))</f>
        <v>8</v>
      </c>
      <c r="R26" s="13" t="n">
        <f aca="false">IF($G26="","",IFERROR(1/(1/INDEX(Map_Stats!$K$2:$K$642,MATCH($F26&amp;"|"&amp;$G26,Map_Stats!$A$2:$A$642,0))),$O26))</f>
        <v>0.7</v>
      </c>
      <c r="S26" s="10" t="n">
        <f aca="false">IF(OR($G26="",$P26=""),"",IFERROR(1/(1/INDEX(Map_Stats!$I$2:$I$642,MATCH($F26&amp;"|"&amp;$G26,Map_Stats!$A$2:$A$642,0))),$P26))</f>
        <v>0.422</v>
      </c>
      <c r="T26" s="13" t="n">
        <f aca="false">IF(OR($G26="",R26=""),"",IF($O26="",R26,(Q26*R26+Config!$B$4*$O26)/(Q26+Config!$B$4)))</f>
        <v>0.7</v>
      </c>
      <c r="U26" s="10" t="n">
        <f aca="false">IF(S26="","",(Q26*S26+Config!$B$4*$P26)/(Q26+Config!$B$4))</f>
        <v>0.408153846153846</v>
      </c>
      <c r="V26" s="17" t="n">
        <f aca="false">IF(OR(T26="",$J26=""),"",T26*$J26*($J26/Config!$B$10)^Config!$B$9)</f>
        <v>15.05</v>
      </c>
      <c r="W26" s="17" t="n">
        <f aca="false">IF(OR(V26="",U26=""),"",V26*U26)</f>
        <v>6.14271538461538</v>
      </c>
      <c r="X26" s="9" t="n">
        <f aca="false">IF($H26="",0,SUMIFS(Map_Stats!$F$2:$F$642,Map_Stats!$A$2:$A$642,$F26&amp;"|"&amp;$H26))</f>
        <v>3</v>
      </c>
      <c r="Y26" s="13" t="n">
        <f aca="false">IF($H26="","",IFERROR(1/(1/INDEX(Map_Stats!$K$2:$K$642,MATCH($F26&amp;"|"&amp;$H26,Map_Stats!$A$2:$A$642,0))),$O26))</f>
        <v>0.7</v>
      </c>
      <c r="Z26" s="10" t="n">
        <f aca="false">IF(OR($H26="",$P26=""),"",IFERROR(1/(1/INDEX(Map_Stats!$I$2:$I$642,MATCH($F26&amp;"|"&amp;$H26,Map_Stats!$A$2:$A$642,0))),$P26))</f>
        <v>0.435</v>
      </c>
      <c r="AA26" s="13" t="n">
        <f aca="false">IF(OR($H26="",Y26=""),"",IF($O26="",Y26,(X26*Y26+Config!$B$4*$O26)/(X26+Config!$B$4)))</f>
        <v>0.7</v>
      </c>
      <c r="AB26" s="10" t="n">
        <f aca="false">IF(Z26="","",(X26*Z26+Config!$B$4*$P26)/(X26+Config!$B$4))</f>
        <v>0.404375</v>
      </c>
      <c r="AC26" s="17" t="n">
        <f aca="false">IF(OR(AA26="",$K26=""),"",AA26*$K26*($K26/Config!$B$10)^Config!$B$9)</f>
        <v>15.05</v>
      </c>
      <c r="AD26" s="17" t="n">
        <f aca="false">IF(OR(AC26="",AB26=""),"",AC26*AB26)</f>
        <v>6.08584375</v>
      </c>
      <c r="AE26" s="9" t="n">
        <f aca="false">IF($I26="",0,SUMIFS(Map_Stats!$F$2:$F$642,Map_Stats!$A$2:$A$642,$F26&amp;"|"&amp;$I26))</f>
        <v>4</v>
      </c>
      <c r="AF26" s="13" t="n">
        <f aca="false">IF($I26="","",IFERROR(1/(1/INDEX(Map_Stats!$K$2:$K$642,MATCH($F26&amp;"|"&amp;$I26,Map_Stats!$A$2:$A$642,0))),$O26))</f>
        <v>0.71</v>
      </c>
      <c r="AG26" s="10" t="n">
        <f aca="false">IF(OR($I26="",$P26=""),"",IFERROR(1/(1/INDEX(Map_Stats!$I$2:$I$642,MATCH($F26&amp;"|"&amp;$I26,Map_Stats!$A$2:$A$642,0))),$P26))</f>
        <v>0.342</v>
      </c>
      <c r="AH26" s="13" t="n">
        <f aca="false">IF(OR($I26="",AF26=""),"",IF($O26="",AF26,(AE26*AF26+Config!$B$4*$O26)/(AE26+Config!$B$4)))</f>
        <v>0.704444444444444</v>
      </c>
      <c r="AI26" s="10" t="n">
        <f aca="false">IF(AG26="","",(AE26*AG26+Config!$B$4*$P26)/(AE26+Config!$B$4))</f>
        <v>0.366444444444444</v>
      </c>
      <c r="AJ26" s="17" t="n">
        <f aca="false">IF(OR(AH26="",$L26=""),"",AH26*$L26*($L26/Config!$B$10)^Config!$B$9)</f>
        <v>15.1455555555556</v>
      </c>
      <c r="AK26" s="17" t="n">
        <f aca="false">IF(OR(AJ26="",AI26=""),"",AJ26*AI26)</f>
        <v>5.55000469135802</v>
      </c>
      <c r="AL26" s="17" t="n">
        <f aca="false">N(V26)+N(AC26)</f>
        <v>30.1</v>
      </c>
      <c r="AM26" s="17" t="n">
        <f aca="false">AL26+N($M26)*N(AJ26)</f>
        <v>30.1</v>
      </c>
      <c r="AN26" s="17" t="n">
        <f aca="false">IF(W26="","",N(W26)+N(AD26))</f>
        <v>12.2285591346154</v>
      </c>
      <c r="AO26" s="17" t="n">
        <f aca="false">IF(AN26="","",AN26+N($M26)*N(AK26))</f>
        <v>12.2285591346154</v>
      </c>
      <c r="AP26" s="10" t="n">
        <f aca="false">IFERROR(AN26/AL26,"")</f>
        <v>0.406264423076923</v>
      </c>
      <c r="AQ26" s="0" t="str">
        <f aca="false">TRIM(IF($N26&lt;Config!$B$12,"thin sample ("&amp;$N26&amp;" maps) · ","")&amp;IF(AND($G26&lt;&gt;"",Q26=0),"M1 unplayed→overall KPR · ","")&amp;IF(AND($H26&lt;&gt;"",X26=0),"M2 unplayed→overall KPR · ","")&amp;IF($O26="","no PickFinder stats",""))</f>
        <v/>
      </c>
      <c r="AR26" s="0" t="str">
        <f aca="false">IF($C26=Board!$B$2,COUNTIFS($C$2:$C$105,Board!$B$2,$AL$2:$AL$105,"&gt;"&amp;$AL26)+COUNTIFS($C$1:$C25,Board!$B$2,$AL$1:$AL25,$AL26)+1,"")</f>
        <v/>
      </c>
      <c r="AS26" s="0" t="str">
        <f aca="false">IFERROR(IF($D26=INDEX(Matches!$AD$5:$AD$17,MATCH($C26,Matches!$A$5:$A$17,0)),"A",IF($D26=INDEX(Matches!$AE$5:$AE$17,MATCH($C26,Matches!$A$5:$A$17,0)),"B","")),"")</f>
        <v>B</v>
      </c>
      <c r="AT26" s="10" t="n">
        <f aca="false">IF($AS26="","",IFERROR(IF($AS26="A",INDEX(Matches!$AI$5:$AI$17,MATCH($C26,Matches!$A$5:$A$17,0)),INDEX(Matches!$AJ$5:$AJ$17,MATCH($C26,Matches!$A$5:$A$17,0))),""))</f>
        <v>0.532676558319604</v>
      </c>
      <c r="AU26" s="10" t="str">
        <f aca="false">IF($AS26="","",IFERROR(IF(INDEX(Matches!$AP$5:$AP$17,MATCH($C26,Matches!$A$5:$A$17,0))="","",IF($AS26="A",INDEX(Matches!$AP$5:$AP$17,MATCH($C26,Matches!$A$5:$A$17,0)),1-INDEX(Matches!$AP$5:$AP$17,MATCH($C26,Matches!$A$5:$A$17,0)))),""))</f>
        <v/>
      </c>
      <c r="AV26" s="13" t="n">
        <f aca="false">IF(OR($AU26="",$AT26=""),1,((Config!$B$14*$AU26+Config!$B$15*(1-$AU26))/(Config!$B$14*$AT26+Config!$B$15*(1-$AT26)))^Config!$B$13)</f>
        <v>1</v>
      </c>
      <c r="AW26" s="10" t="str">
        <f aca="false">IF($AS26="","",IFERROR(IF(INDEX(Matches!$AV$5:$AV$17,MATCH($C26,Matches!$A$5:$A$17,0))="","",IF($AS26="A",INDEX(Matches!$AV$5:$AV$17,MATCH($C26,Matches!$A$5:$A$17,0)),1-INDEX(Matches!$AV$5:$AV$17,MATCH($C26,Matches!$A$5:$A$17,0)))),""))</f>
        <v/>
      </c>
      <c r="AX26" s="13" t="n">
        <f aca="false">IF(OR($AW26="",$AT26=""),1,((Config!$B$14*$AW26+Config!$B$15*(1-$AW26))/(Config!$B$14*$AT26+Config!$B$15*(1-$AT26)))^Config!$B$13)</f>
        <v>1</v>
      </c>
      <c r="AY26" s="10" t="str">
        <f aca="false">IF($AS26="","",IFERROR(IF(INDEX(Matches!$BB$5:$BB$17,MATCH($C26,Matches!$A$5:$A$17,0))="","",IF($AS26="A",INDEX(Matches!$BB$5:$BB$17,MATCH($C26,Matches!$A$5:$A$17,0)),1-INDEX(Matches!$BB$5:$BB$17,MATCH($C26,Matches!$A$5:$A$17,0)))),""))</f>
        <v/>
      </c>
      <c r="AZ26" s="13" t="n">
        <f aca="false">IF(OR($AY26="",$AT26=""),1,((Config!$B$14*$AY26+Config!$B$15*(1-$AY26))/(Config!$B$14*$AT26+Config!$B$15*(1-$AT26)))^Config!$B$13)</f>
        <v>1</v>
      </c>
      <c r="BA26" s="17" t="n">
        <f aca="false">IF(V26="","",V26*$AV26)</f>
        <v>15.05</v>
      </c>
      <c r="BB26" s="17" t="n">
        <f aca="false">IF(AC26="","",AC26*$AX26)</f>
        <v>15.05</v>
      </c>
      <c r="BC26" s="17" t="n">
        <f aca="false">IF(AJ26="","",AJ26*$AZ26)</f>
        <v>15.1455555555556</v>
      </c>
      <c r="BD26" s="17" t="n">
        <f aca="false">N(BA26)+N(BB26)</f>
        <v>30.1</v>
      </c>
      <c r="BE26" s="17" t="n">
        <f aca="false">BD26+N($M26)*N(BC26)</f>
        <v>30.1</v>
      </c>
      <c r="BF26" s="17" t="n">
        <f aca="false">IF(W26="","",W26*$AV26)</f>
        <v>6.14271538461538</v>
      </c>
      <c r="BG26" s="17" t="n">
        <f aca="false">IF(AD26="","",AD26*$AX26)</f>
        <v>6.08584375</v>
      </c>
      <c r="BH26" s="17" t="n">
        <f aca="false">IF(AK26="","",AK26*$AZ26)</f>
        <v>5.55000469135802</v>
      </c>
      <c r="BI26" s="17" t="n">
        <f aca="false">IF(BF26="","",N(BF26)+N(BG26))</f>
        <v>12.2285591346154</v>
      </c>
      <c r="BJ26" s="17" t="n">
        <f aca="false">IF(BI26="","",BI26+N($M26)*N(BH26))</f>
        <v>12.2285591346154</v>
      </c>
      <c r="BK26" s="13" t="n">
        <f aca="false">IFERROR(BD26/AL26,1)</f>
        <v>1</v>
      </c>
    </row>
    <row r="27" customFormat="false" ht="15" hidden="false" customHeight="false" outlineLevel="0" collapsed="false">
      <c r="A27" s="0" t="s">
        <v>951</v>
      </c>
      <c r="B27" s="0" t="s">
        <v>775</v>
      </c>
      <c r="C27" s="0" t="s">
        <v>800</v>
      </c>
      <c r="D27" s="0" t="s">
        <v>805</v>
      </c>
      <c r="E27" s="0" t="s">
        <v>949</v>
      </c>
      <c r="F27" s="0" t="s">
        <v>1192</v>
      </c>
      <c r="G27" s="0" t="str">
        <f aca="false">IFERROR(IF(INDEX(Matches!$W$5:$W$17,MATCH($C27,Matches!$A$5:$A$17,0))="","",INDEX(Matches!$W$5:$W$17,MATCH($C27,Matches!$A$5:$A$17,0))),"")</f>
        <v>Cache</v>
      </c>
      <c r="H27" s="0" t="str">
        <f aca="false">IFERROR(IF(INDEX(Matches!$X$5:$X$17,MATCH($C27,Matches!$A$5:$A$17,0))="","",INDEX(Matches!$X$5:$X$17,MATCH($C27,Matches!$A$5:$A$17,0))),"")</f>
        <v>Nuke</v>
      </c>
      <c r="I27" s="0" t="str">
        <f aca="false">IFERROR(IF(INDEX(Matches!$Y$5:$Y$17,MATCH($C27,Matches!$A$5:$A$17,0))="","",INDEX(Matches!$Y$5:$Y$17,MATCH($C27,Matches!$A$5:$A$17,0))),"")</f>
        <v>Ancient</v>
      </c>
      <c r="J27" s="11" t="n">
        <f aca="false">IFERROR(IF(INDEX(Matches!$Z$5:$Z$17,MATCH($C27,Matches!$A$5:$A$17,0))="","",INDEX(Matches!$Z$5:$Z$17,MATCH($C27,Matches!$A$5:$A$17,0))),"")</f>
        <v>21.14</v>
      </c>
      <c r="K27" s="11" t="n">
        <f aca="false">IFERROR(IF(INDEX(Matches!$AA$5:$AA$17,MATCH($C27,Matches!$A$5:$A$17,0))="","",INDEX(Matches!$AA$5:$AA$17,MATCH($C27,Matches!$A$5:$A$17,0))),"")</f>
        <v>21.12</v>
      </c>
      <c r="L27" s="11" t="n">
        <f aca="false">IFERROR(IF(INDEX(Matches!$AB$5:$AB$17,MATCH($C27,Matches!$A$5:$A$17,0))="","",INDEX(Matches!$AB$5:$AB$17,MATCH($C27,Matches!$A$5:$A$17,0))),"")</f>
        <v>21.5</v>
      </c>
      <c r="M27" s="10" t="n">
        <f aca="false">IFERROR(IF(INDEX(Matches!$AC$5:$AC$17,MATCH($C27,Matches!$A$5:$A$17,0))="","",INDEX(Matches!$AC$5:$AC$17,MATCH($C27,Matches!$A$5:$A$17,0))),"")</f>
        <v>0.4526</v>
      </c>
      <c r="N27" s="9" t="n">
        <f aca="false">IFERROR(INDEX(Players!$F$2:$F$105,MATCH($F27,Players!$A$2:$A$105,0)),0)</f>
        <v>31</v>
      </c>
      <c r="O27" s="13" t="n">
        <f aca="false">IFERROR(1/(1/INDEX(Players!$H$2:$H$105,MATCH($F27,Players!$A$2:$A$105,0))),"")</f>
        <v>0.75</v>
      </c>
      <c r="P27" s="10" t="n">
        <f aca="false">IFERROR(1/(1/INDEX(Players!$I$2:$I$105,MATCH($F27,Players!$A$2:$A$105,0))),"")</f>
        <v>0.534</v>
      </c>
      <c r="Q27" s="9" t="n">
        <f aca="false">IF($G27="",0,SUMIFS(Map_Stats!$F$2:$F$642,Map_Stats!$A$2:$A$642,$F27&amp;"|"&amp;$G27))</f>
        <v>8</v>
      </c>
      <c r="R27" s="13" t="n">
        <f aca="false">IF($G27="","",IFERROR(1/(1/INDEX(Map_Stats!$K$2:$K$642,MATCH($F27&amp;"|"&amp;$G27,Map_Stats!$A$2:$A$642,0))),$O27))</f>
        <v>0.72</v>
      </c>
      <c r="S27" s="10" t="n">
        <f aca="false">IF(OR($G27="",$P27=""),"",IFERROR(1/(1/INDEX(Map_Stats!$I$2:$I$642,MATCH($F27&amp;"|"&amp;$G27,Map_Stats!$A$2:$A$642,0))),$P27))</f>
        <v>0.508</v>
      </c>
      <c r="T27" s="13" t="n">
        <f aca="false">IF(OR($G27="",R27=""),"",IF($O27="",R27,(Q27*R27+Config!$B$4*$O27)/(Q27+Config!$B$4)))</f>
        <v>0.731538461538462</v>
      </c>
      <c r="U27" s="10" t="n">
        <f aca="false">IF(S27="","",(Q27*S27+Config!$B$4*$P27)/(Q27+Config!$B$4))</f>
        <v>0.518</v>
      </c>
      <c r="V27" s="17" t="n">
        <f aca="false">IF(OR(T27="",$J27=""),"",T27*$J27*($J27/Config!$B$10)^Config!$B$9)</f>
        <v>15.4647230769231</v>
      </c>
      <c r="W27" s="17" t="n">
        <f aca="false">IF(OR(V27="",U27=""),"",V27*U27)</f>
        <v>8.01072655384615</v>
      </c>
      <c r="X27" s="9" t="n">
        <f aca="false">IF($H27="",0,SUMIFS(Map_Stats!$F$2:$F$642,Map_Stats!$A$2:$A$642,$F27&amp;"|"&amp;$H27))</f>
        <v>5</v>
      </c>
      <c r="Y27" s="13" t="n">
        <f aca="false">IF($H27="","",IFERROR(1/(1/INDEX(Map_Stats!$K$2:$K$642,MATCH($F27&amp;"|"&amp;$H27,Map_Stats!$A$2:$A$642,0))),$O27))</f>
        <v>0.72</v>
      </c>
      <c r="Z27" s="10" t="n">
        <f aca="false">IF(OR($H27="",$P27=""),"",IFERROR(1/(1/INDEX(Map_Stats!$I$2:$I$642,MATCH($F27&amp;"|"&amp;$H27,Map_Stats!$A$2:$A$642,0))),$P27))</f>
        <v>0.639</v>
      </c>
      <c r="AA27" s="13" t="n">
        <f aca="false">IF(OR($H27="",Y27=""),"",IF($O27="",Y27,(X27*Y27+Config!$B$4*$O27)/(X27+Config!$B$4)))</f>
        <v>0.735</v>
      </c>
      <c r="AB27" s="10" t="n">
        <f aca="false">IF(Z27="","",(X27*Z27+Config!$B$4*$P27)/(X27+Config!$B$4))</f>
        <v>0.5865</v>
      </c>
      <c r="AC27" s="17" t="n">
        <f aca="false">IF(OR(AA27="",$K27=""),"",AA27*$K27*($K27/Config!$B$10)^Config!$B$9)</f>
        <v>15.5232</v>
      </c>
      <c r="AD27" s="17" t="n">
        <f aca="false">IF(OR(AC27="",AB27=""),"",AC27*AB27)</f>
        <v>9.1043568</v>
      </c>
      <c r="AE27" s="9" t="n">
        <f aca="false">IF($I27="",0,SUMIFS(Map_Stats!$F$2:$F$642,Map_Stats!$A$2:$A$642,$F27&amp;"|"&amp;$I27))</f>
        <v>5</v>
      </c>
      <c r="AF27" s="13" t="n">
        <f aca="false">IF($I27="","",IFERROR(1/(1/INDEX(Map_Stats!$K$2:$K$642,MATCH($F27&amp;"|"&amp;$I27,Map_Stats!$A$2:$A$642,0))),$O27))</f>
        <v>0.71</v>
      </c>
      <c r="AG27" s="10" t="n">
        <f aca="false">IF(OR($I27="",$P27=""),"",IFERROR(1/(1/INDEX(Map_Stats!$I$2:$I$642,MATCH($F27&amp;"|"&amp;$I27,Map_Stats!$A$2:$A$642,0))),$P27))</f>
        <v>0.516</v>
      </c>
      <c r="AH27" s="13" t="n">
        <f aca="false">IF(OR($I27="",AF27=""),"",IF($O27="",AF27,(AE27*AF27+Config!$B$4*$O27)/(AE27+Config!$B$4)))</f>
        <v>0.73</v>
      </c>
      <c r="AI27" s="10" t="n">
        <f aca="false">IF(AG27="","",(AE27*AG27+Config!$B$4*$P27)/(AE27+Config!$B$4))</f>
        <v>0.525</v>
      </c>
      <c r="AJ27" s="17" t="n">
        <f aca="false">IF(OR(AH27="",$L27=""),"",AH27*$L27*($L27/Config!$B$10)^Config!$B$9)</f>
        <v>15.695</v>
      </c>
      <c r="AK27" s="17" t="n">
        <f aca="false">IF(OR(AJ27="",AI27=""),"",AJ27*AI27)</f>
        <v>8.239875</v>
      </c>
      <c r="AL27" s="17" t="n">
        <f aca="false">N(V27)+N(AC27)</f>
        <v>30.9879230769231</v>
      </c>
      <c r="AM27" s="17" t="n">
        <f aca="false">AL27+N($M27)*N(AJ27)</f>
        <v>38.0914800769231</v>
      </c>
      <c r="AN27" s="17" t="n">
        <f aca="false">IF(W27="","",N(W27)+N(AD27))</f>
        <v>17.1150833538462</v>
      </c>
      <c r="AO27" s="17" t="n">
        <f aca="false">IF(AN27="","",AN27+N($M27)*N(AK27))</f>
        <v>20.8444507788462</v>
      </c>
      <c r="AP27" s="10" t="n">
        <f aca="false">IFERROR(AN27/AL27,"")</f>
        <v>0.552314632747745</v>
      </c>
      <c r="AQ27" s="0" t="str">
        <f aca="false">TRIM(IF($N27&lt;Config!$B$12,"thin sample ("&amp;$N27&amp;" maps) · ","")&amp;IF(AND($G27&lt;&gt;"",Q27=0),"M1 unplayed→overall KPR · ","")&amp;IF(AND($H27&lt;&gt;"",X27=0),"M2 unplayed→overall KPR · ","")&amp;IF($O27="","no PickFinder stats",""))</f>
        <v/>
      </c>
      <c r="AR27" s="0" t="str">
        <f aca="false">IF($C27=Board!$B$2,COUNTIFS($C$2:$C$105,Board!$B$2,$AL$2:$AL$105,"&gt;"&amp;$AL27)+COUNTIFS($C$1:$C26,Board!$B$2,$AL$1:$AL26,$AL27)+1,"")</f>
        <v/>
      </c>
      <c r="AS27" s="0" t="str">
        <f aca="false">IFERROR(IF($D27=INDEX(Matches!$AD$5:$AD$17,MATCH($C27,Matches!$A$5:$A$17,0)),"A",IF($D27=INDEX(Matches!$AE$5:$AE$17,MATCH($C27,Matches!$A$5:$A$17,0)),"B","")),"")</f>
        <v>A</v>
      </c>
      <c r="AT27" s="10" t="n">
        <f aca="false">IF($AS27="","",IFERROR(IF($AS27="A",INDEX(Matches!$AI$5:$AI$17,MATCH($C27,Matches!$A$5:$A$17,0)),INDEX(Matches!$AJ$5:$AJ$17,MATCH($C27,Matches!$A$5:$A$17,0))),""))</f>
        <v>0.508489937716301</v>
      </c>
      <c r="AU27" s="10" t="n">
        <f aca="false">IF($AS27="","",IFERROR(IF(INDEX(Matches!$AP$5:$AP$17,MATCH($C27,Matches!$A$5:$A$17,0))="","",IF($AS27="A",INDEX(Matches!$AP$5:$AP$17,MATCH($C27,Matches!$A$5:$A$17,0)),1-INDEX(Matches!$AP$5:$AP$17,MATCH($C27,Matches!$A$5:$A$17,0)))),""))</f>
        <v>0.516673446651551</v>
      </c>
      <c r="AV27" s="13" t="n">
        <f aca="false">IF(OR($AU27="",$AT27=""),1,((Config!$B$14*$AU27+Config!$B$15*(1-$AU27))/(Config!$B$14*$AT27+Config!$B$15*(1-$AT27)))^Config!$B$13)</f>
        <v>1.00725785929361</v>
      </c>
      <c r="AW27" s="10" t="n">
        <f aca="false">IF($AS27="","",IFERROR(IF(INDEX(Matches!$AV$5:$AV$17,MATCH($C27,Matches!$A$5:$A$17,0))="","",IF($AS27="A",INDEX(Matches!$AV$5:$AV$17,MATCH($C27,Matches!$A$5:$A$17,0)),1-INDEX(Matches!$AV$5:$AV$17,MATCH($C27,Matches!$A$5:$A$17,0)))),""))</f>
        <v>0.470378295493099</v>
      </c>
      <c r="AX27" s="13" t="n">
        <f aca="false">IF(OR($AW27="",$AT27=""),1,((Config!$B$14*$AW27+Config!$B$15*(1-$AW27))/(Config!$B$14*$AT27+Config!$B$15*(1-$AT27)))^Config!$B$13)</f>
        <v>0.966199225919725</v>
      </c>
      <c r="AY27" s="10" t="n">
        <f aca="false">IF($AS27="","",IFERROR(IF(INDEX(Matches!$BB$5:$BB$17,MATCH($C27,Matches!$A$5:$A$17,0))="","",IF($AS27="A",INDEX(Matches!$BB$5:$BB$17,MATCH($C27,Matches!$A$5:$A$17,0)),1-INDEX(Matches!$BB$5:$BB$17,MATCH($C27,Matches!$A$5:$A$17,0)))),""))</f>
        <v>0.495657829800534</v>
      </c>
      <c r="AZ27" s="13" t="n">
        <f aca="false">IF(OR($AY27="",$AT27=""),1,((Config!$B$14*$AY27+Config!$B$15*(1-$AY27))/(Config!$B$14*$AT27+Config!$B$15*(1-$AT27)))^Config!$B$13)</f>
        <v>0.988619352110455</v>
      </c>
      <c r="BA27" s="17" t="n">
        <f aca="false">IF(V27="","",V27*$AV27)</f>
        <v>15.57696386103</v>
      </c>
      <c r="BB27" s="17" t="n">
        <f aca="false">IF(AC27="","",AC27*$AX27)</f>
        <v>14.9985038237971</v>
      </c>
      <c r="BC27" s="17" t="n">
        <f aca="false">IF(AJ27="","",AJ27*$AZ27)</f>
        <v>15.5163807313736</v>
      </c>
      <c r="BD27" s="17" t="n">
        <f aca="false">N(BA27)+N(BB27)</f>
        <v>30.5754676848271</v>
      </c>
      <c r="BE27" s="17" t="n">
        <f aca="false">BD27+N($M27)*N(BC27)</f>
        <v>37.5981816038467</v>
      </c>
      <c r="BF27" s="17" t="n">
        <f aca="false">IF(W27="","",W27*$AV27)</f>
        <v>8.06886728001353</v>
      </c>
      <c r="BG27" s="17" t="n">
        <f aca="false">IF(AD27="","",AD27*$AX27)</f>
        <v>8.79662249265698</v>
      </c>
      <c r="BH27" s="17" t="n">
        <f aca="false">IF(AK27="","",AK27*$AZ27)</f>
        <v>8.14609988397114</v>
      </c>
      <c r="BI27" s="17" t="n">
        <f aca="false">IF(BF27="","",N(BF27)+N(BG27))</f>
        <v>16.8654897726705</v>
      </c>
      <c r="BJ27" s="17" t="n">
        <f aca="false">IF(BI27="","",BI27+N($M27)*N(BH27))</f>
        <v>20.5524145801559</v>
      </c>
      <c r="BK27" s="13" t="n">
        <f aca="false">IFERROR(BD27/AL27,1)</f>
        <v>0.986689801989241</v>
      </c>
    </row>
    <row r="28" customFormat="false" ht="15" hidden="false" customHeight="false" outlineLevel="0" collapsed="false">
      <c r="A28" s="0" t="s">
        <v>953</v>
      </c>
      <c r="B28" s="0" t="s">
        <v>775</v>
      </c>
      <c r="C28" s="0" t="s">
        <v>800</v>
      </c>
      <c r="D28" s="0" t="s">
        <v>805</v>
      </c>
      <c r="E28" s="0" t="s">
        <v>952</v>
      </c>
      <c r="F28" s="0" t="s">
        <v>1193</v>
      </c>
      <c r="G28" s="0" t="str">
        <f aca="false">IFERROR(IF(INDEX(Matches!$W$5:$W$17,MATCH($C28,Matches!$A$5:$A$17,0))="","",INDEX(Matches!$W$5:$W$17,MATCH($C28,Matches!$A$5:$A$17,0))),"")</f>
        <v>Cache</v>
      </c>
      <c r="H28" s="0" t="str">
        <f aca="false">IFERROR(IF(INDEX(Matches!$X$5:$X$17,MATCH($C28,Matches!$A$5:$A$17,0))="","",INDEX(Matches!$X$5:$X$17,MATCH($C28,Matches!$A$5:$A$17,0))),"")</f>
        <v>Nuke</v>
      </c>
      <c r="I28" s="0" t="str">
        <f aca="false">IFERROR(IF(INDEX(Matches!$Y$5:$Y$17,MATCH($C28,Matches!$A$5:$A$17,0))="","",INDEX(Matches!$Y$5:$Y$17,MATCH($C28,Matches!$A$5:$A$17,0))),"")</f>
        <v>Ancient</v>
      </c>
      <c r="J28" s="11" t="n">
        <f aca="false">IFERROR(IF(INDEX(Matches!$Z$5:$Z$17,MATCH($C28,Matches!$A$5:$A$17,0))="","",INDEX(Matches!$Z$5:$Z$17,MATCH($C28,Matches!$A$5:$A$17,0))),"")</f>
        <v>21.14</v>
      </c>
      <c r="K28" s="11" t="n">
        <f aca="false">IFERROR(IF(INDEX(Matches!$AA$5:$AA$17,MATCH($C28,Matches!$A$5:$A$17,0))="","",INDEX(Matches!$AA$5:$AA$17,MATCH($C28,Matches!$A$5:$A$17,0))),"")</f>
        <v>21.12</v>
      </c>
      <c r="L28" s="11" t="n">
        <f aca="false">IFERROR(IF(INDEX(Matches!$AB$5:$AB$17,MATCH($C28,Matches!$A$5:$A$17,0))="","",INDEX(Matches!$AB$5:$AB$17,MATCH($C28,Matches!$A$5:$A$17,0))),"")</f>
        <v>21.5</v>
      </c>
      <c r="M28" s="10" t="n">
        <f aca="false">IFERROR(IF(INDEX(Matches!$AC$5:$AC$17,MATCH($C28,Matches!$A$5:$A$17,0))="","",INDEX(Matches!$AC$5:$AC$17,MATCH($C28,Matches!$A$5:$A$17,0))),"")</f>
        <v>0.4526</v>
      </c>
      <c r="N28" s="9" t="n">
        <f aca="false">IFERROR(INDEX(Players!$F$2:$F$105,MATCH($F28,Players!$A$2:$A$105,0)),0)</f>
        <v>31</v>
      </c>
      <c r="O28" s="13" t="n">
        <f aca="false">IFERROR(1/(1/INDEX(Players!$H$2:$H$105,MATCH($F28,Players!$A$2:$A$105,0))),"")</f>
        <v>0.62</v>
      </c>
      <c r="P28" s="10" t="n">
        <f aca="false">IFERROR(1/(1/INDEX(Players!$I$2:$I$105,MATCH($F28,Players!$A$2:$A$105,0))),"")</f>
        <v>0.533</v>
      </c>
      <c r="Q28" s="9" t="n">
        <f aca="false">IF($G28="",0,SUMIFS(Map_Stats!$F$2:$F$642,Map_Stats!$A$2:$A$642,$F28&amp;"|"&amp;$G28))</f>
        <v>8</v>
      </c>
      <c r="R28" s="13" t="n">
        <f aca="false">IF($G28="","",IFERROR(1/(1/INDEX(Map_Stats!$K$2:$K$642,MATCH($F28&amp;"|"&amp;$G28,Map_Stats!$A$2:$A$642,0))),$O28))</f>
        <v>0.6</v>
      </c>
      <c r="S28" s="10" t="n">
        <f aca="false">IF(OR($G28="",$P28=""),"",IFERROR(1/(1/INDEX(Map_Stats!$I$2:$I$642,MATCH($F28&amp;"|"&amp;$G28,Map_Stats!$A$2:$A$642,0))),$P28))</f>
        <v>0.541</v>
      </c>
      <c r="T28" s="13" t="n">
        <f aca="false">IF(OR($G28="",R28=""),"",IF($O28="",R28,(Q28*R28+Config!$B$4*$O28)/(Q28+Config!$B$4)))</f>
        <v>0.607692307692308</v>
      </c>
      <c r="U28" s="10" t="n">
        <f aca="false">IF(S28="","",(Q28*S28+Config!$B$4*$P28)/(Q28+Config!$B$4))</f>
        <v>0.537923076923077</v>
      </c>
      <c r="V28" s="17" t="n">
        <f aca="false">IF(OR(T28="",$J28=""),"",T28*$J28*($J28/Config!$B$10)^Config!$B$9)</f>
        <v>12.8466153846154</v>
      </c>
      <c r="W28" s="17" t="n">
        <f aca="false">IF(OR(V28="",U28=""),"",V28*U28)</f>
        <v>6.91049087573965</v>
      </c>
      <c r="X28" s="9" t="n">
        <f aca="false">IF($H28="",0,SUMIFS(Map_Stats!$F$2:$F$642,Map_Stats!$A$2:$A$642,$F28&amp;"|"&amp;$H28))</f>
        <v>8</v>
      </c>
      <c r="Y28" s="13" t="n">
        <f aca="false">IF($H28="","",IFERROR(1/(1/INDEX(Map_Stats!$K$2:$K$642,MATCH($F28&amp;"|"&amp;$H28,Map_Stats!$A$2:$A$642,0))),$O28))</f>
        <v>0.6</v>
      </c>
      <c r="Z28" s="10" t="n">
        <f aca="false">IF(OR($H28="",$P28=""),"",IFERROR(1/(1/INDEX(Map_Stats!$I$2:$I$642,MATCH($F28&amp;"|"&amp;$H28,Map_Stats!$A$2:$A$642,0))),$P28))</f>
        <v>0.486</v>
      </c>
      <c r="AA28" s="13" t="n">
        <f aca="false">IF(OR($H28="",Y28=""),"",IF($O28="",Y28,(X28*Y28+Config!$B$4*$O28)/(X28+Config!$B$4)))</f>
        <v>0.607692307692308</v>
      </c>
      <c r="AB28" s="10" t="n">
        <f aca="false">IF(Z28="","",(X28*Z28+Config!$B$4*$P28)/(X28+Config!$B$4))</f>
        <v>0.504076923076923</v>
      </c>
      <c r="AC28" s="17" t="n">
        <f aca="false">IF(OR(AA28="",$K28=""),"",AA28*$K28*($K28/Config!$B$10)^Config!$B$9)</f>
        <v>12.8344615384615</v>
      </c>
      <c r="AD28" s="17" t="n">
        <f aca="false">IF(OR(AC28="",AB28=""),"",AC28*AB28)</f>
        <v>6.46955588165681</v>
      </c>
      <c r="AE28" s="9" t="n">
        <f aca="false">IF($I28="",0,SUMIFS(Map_Stats!$F$2:$F$642,Map_Stats!$A$2:$A$642,$F28&amp;"|"&amp;$I28))</f>
        <v>4</v>
      </c>
      <c r="AF28" s="13" t="n">
        <f aca="false">IF($I28="","",IFERROR(1/(1/INDEX(Map_Stats!$K$2:$K$642,MATCH($F28&amp;"|"&amp;$I28,Map_Stats!$A$2:$A$642,0))),$O28))</f>
        <v>0.87</v>
      </c>
      <c r="AG28" s="10" t="n">
        <f aca="false">IF(OR($I28="",$P28=""),"",IFERROR(1/(1/INDEX(Map_Stats!$I$2:$I$642,MATCH($F28&amp;"|"&amp;$I28,Map_Stats!$A$2:$A$642,0))),$P28))</f>
        <v>0.554</v>
      </c>
      <c r="AH28" s="13" t="n">
        <f aca="false">IF(OR($I28="",AF28=""),"",IF($O28="",AF28,(AE28*AF28+Config!$B$4*$O28)/(AE28+Config!$B$4)))</f>
        <v>0.731111111111111</v>
      </c>
      <c r="AI28" s="10" t="n">
        <f aca="false">IF(AG28="","",(AE28*AG28+Config!$B$4*$P28)/(AE28+Config!$B$4))</f>
        <v>0.542333333333333</v>
      </c>
      <c r="AJ28" s="17" t="n">
        <f aca="false">IF(OR(AH28="",$L28=""),"",AH28*$L28*($L28/Config!$B$10)^Config!$B$9)</f>
        <v>15.7188888888889</v>
      </c>
      <c r="AK28" s="17" t="n">
        <f aca="false">IF(OR(AJ28="",AI28=""),"",AJ28*AI28)</f>
        <v>8.52487740740741</v>
      </c>
      <c r="AL28" s="17" t="n">
        <f aca="false">N(V28)+N(AC28)</f>
        <v>25.6810769230769</v>
      </c>
      <c r="AM28" s="17" t="n">
        <f aca="false">AL28+N($M28)*N(AJ28)</f>
        <v>32.795446034188</v>
      </c>
      <c r="AN28" s="17" t="n">
        <f aca="false">IF(W28="","",N(W28)+N(AD28))</f>
        <v>13.3800467573965</v>
      </c>
      <c r="AO28" s="17" t="n">
        <f aca="false">IF(AN28="","",AN28+N($M28)*N(AK28))</f>
        <v>17.238406271989</v>
      </c>
      <c r="AP28" s="10" t="n">
        <f aca="false">IFERROR(AN28/AL28,"")</f>
        <v>0.521008009028359</v>
      </c>
      <c r="AQ28" s="0" t="str">
        <f aca="false">TRIM(IF($N28&lt;Config!$B$12,"thin sample ("&amp;$N28&amp;" maps) · ","")&amp;IF(AND($G28&lt;&gt;"",Q28=0),"M1 unplayed→overall KPR · ","")&amp;IF(AND($H28&lt;&gt;"",X28=0),"M2 unplayed→overall KPR · ","")&amp;IF($O28="","no PickFinder stats",""))</f>
        <v/>
      </c>
      <c r="AR28" s="0" t="str">
        <f aca="false">IF($C28=Board!$B$2,COUNTIFS($C$2:$C$105,Board!$B$2,$AL$2:$AL$105,"&gt;"&amp;$AL28)+COUNTIFS($C$1:$C27,Board!$B$2,$AL$1:$AL27,$AL28)+1,"")</f>
        <v/>
      </c>
      <c r="AS28" s="0" t="str">
        <f aca="false">IFERROR(IF($D28=INDEX(Matches!$AD$5:$AD$17,MATCH($C28,Matches!$A$5:$A$17,0)),"A",IF($D28=INDEX(Matches!$AE$5:$AE$17,MATCH($C28,Matches!$A$5:$A$17,0)),"B","")),"")</f>
        <v>A</v>
      </c>
      <c r="AT28" s="10" t="n">
        <f aca="false">IF($AS28="","",IFERROR(IF($AS28="A",INDEX(Matches!$AI$5:$AI$17,MATCH($C28,Matches!$A$5:$A$17,0)),INDEX(Matches!$AJ$5:$AJ$17,MATCH($C28,Matches!$A$5:$A$17,0))),""))</f>
        <v>0.508489937716301</v>
      </c>
      <c r="AU28" s="10" t="n">
        <f aca="false">IF($AS28="","",IFERROR(IF(INDEX(Matches!$AP$5:$AP$17,MATCH($C28,Matches!$A$5:$A$17,0))="","",IF($AS28="A",INDEX(Matches!$AP$5:$AP$17,MATCH($C28,Matches!$A$5:$A$17,0)),1-INDEX(Matches!$AP$5:$AP$17,MATCH($C28,Matches!$A$5:$A$17,0)))),""))</f>
        <v>0.516673446651551</v>
      </c>
      <c r="AV28" s="13" t="n">
        <f aca="false">IF(OR($AU28="",$AT28=""),1,((Config!$B$14*$AU28+Config!$B$15*(1-$AU28))/(Config!$B$14*$AT28+Config!$B$15*(1-$AT28)))^Config!$B$13)</f>
        <v>1.00725785929361</v>
      </c>
      <c r="AW28" s="10" t="n">
        <f aca="false">IF($AS28="","",IFERROR(IF(INDEX(Matches!$AV$5:$AV$17,MATCH($C28,Matches!$A$5:$A$17,0))="","",IF($AS28="A",INDEX(Matches!$AV$5:$AV$17,MATCH($C28,Matches!$A$5:$A$17,0)),1-INDEX(Matches!$AV$5:$AV$17,MATCH($C28,Matches!$A$5:$A$17,0)))),""))</f>
        <v>0.470378295493099</v>
      </c>
      <c r="AX28" s="13" t="n">
        <f aca="false">IF(OR($AW28="",$AT28=""),1,((Config!$B$14*$AW28+Config!$B$15*(1-$AW28))/(Config!$B$14*$AT28+Config!$B$15*(1-$AT28)))^Config!$B$13)</f>
        <v>0.966199225919725</v>
      </c>
      <c r="AY28" s="10" t="n">
        <f aca="false">IF($AS28="","",IFERROR(IF(INDEX(Matches!$BB$5:$BB$17,MATCH($C28,Matches!$A$5:$A$17,0))="","",IF($AS28="A",INDEX(Matches!$BB$5:$BB$17,MATCH($C28,Matches!$A$5:$A$17,0)),1-INDEX(Matches!$BB$5:$BB$17,MATCH($C28,Matches!$A$5:$A$17,0)))),""))</f>
        <v>0.495657829800534</v>
      </c>
      <c r="AZ28" s="13" t="n">
        <f aca="false">IF(OR($AY28="",$AT28=""),1,((Config!$B$14*$AY28+Config!$B$15*(1-$AY28))/(Config!$B$14*$AT28+Config!$B$15*(1-$AT28)))^Config!$B$13)</f>
        <v>0.988619352110455</v>
      </c>
      <c r="BA28" s="17" t="n">
        <f aca="false">IF(V28="","",V28*$AV28)</f>
        <v>12.939854311476</v>
      </c>
      <c r="BB28" s="17" t="n">
        <f aca="false">IF(AC28="","",AC28*$AX28)</f>
        <v>12.400646803558</v>
      </c>
      <c r="BC28" s="17" t="n">
        <f aca="false">IF(AJ28="","",AJ28*$AZ28)</f>
        <v>15.5399977492296</v>
      </c>
      <c r="BD28" s="17" t="n">
        <f aca="false">N(BA28)+N(BB28)</f>
        <v>25.340501115034</v>
      </c>
      <c r="BE28" s="17" t="n">
        <f aca="false">BD28+N($M28)*N(BC28)</f>
        <v>32.3739040963353</v>
      </c>
      <c r="BF28" s="17" t="n">
        <f aca="false">IF(W28="","",W28*$AV28)</f>
        <v>6.96064624616552</v>
      </c>
      <c r="BG28" s="17" t="n">
        <f aca="false">IF(AD28="","",AD28*$AX28)</f>
        <v>6.25087988490121</v>
      </c>
      <c r="BH28" s="17" t="n">
        <f aca="false">IF(AK28="","",AK28*$AZ28)</f>
        <v>8.42785877933217</v>
      </c>
      <c r="BI28" s="17" t="n">
        <f aca="false">IF(BF28="","",N(BF28)+N(BG28))</f>
        <v>13.2115261310667</v>
      </c>
      <c r="BJ28" s="17" t="n">
        <f aca="false">IF(BI28="","",BI28+N($M28)*N(BH28))</f>
        <v>17.0259750145925</v>
      </c>
      <c r="BK28" s="13" t="n">
        <f aca="false">IFERROR(BD28/AL28,1)</f>
        <v>0.98673825832682</v>
      </c>
    </row>
    <row r="29" customFormat="false" ht="15" hidden="false" customHeight="false" outlineLevel="0" collapsed="false">
      <c r="A29" s="0" t="s">
        <v>955</v>
      </c>
      <c r="B29" s="0" t="s">
        <v>775</v>
      </c>
      <c r="C29" s="0" t="s">
        <v>800</v>
      </c>
      <c r="D29" s="0" t="s">
        <v>805</v>
      </c>
      <c r="E29" s="0" t="s">
        <v>954</v>
      </c>
      <c r="F29" s="0" t="s">
        <v>1194</v>
      </c>
      <c r="G29" s="0" t="str">
        <f aca="false">IFERROR(IF(INDEX(Matches!$W$5:$W$17,MATCH($C29,Matches!$A$5:$A$17,0))="","",INDEX(Matches!$W$5:$W$17,MATCH($C29,Matches!$A$5:$A$17,0))),"")</f>
        <v>Cache</v>
      </c>
      <c r="H29" s="0" t="str">
        <f aca="false">IFERROR(IF(INDEX(Matches!$X$5:$X$17,MATCH($C29,Matches!$A$5:$A$17,0))="","",INDEX(Matches!$X$5:$X$17,MATCH($C29,Matches!$A$5:$A$17,0))),"")</f>
        <v>Nuke</v>
      </c>
      <c r="I29" s="0" t="str">
        <f aca="false">IFERROR(IF(INDEX(Matches!$Y$5:$Y$17,MATCH($C29,Matches!$A$5:$A$17,0))="","",INDEX(Matches!$Y$5:$Y$17,MATCH($C29,Matches!$A$5:$A$17,0))),"")</f>
        <v>Ancient</v>
      </c>
      <c r="J29" s="11" t="n">
        <f aca="false">IFERROR(IF(INDEX(Matches!$Z$5:$Z$17,MATCH($C29,Matches!$A$5:$A$17,0))="","",INDEX(Matches!$Z$5:$Z$17,MATCH($C29,Matches!$A$5:$A$17,0))),"")</f>
        <v>21.14</v>
      </c>
      <c r="K29" s="11" t="n">
        <f aca="false">IFERROR(IF(INDEX(Matches!$AA$5:$AA$17,MATCH($C29,Matches!$A$5:$A$17,0))="","",INDEX(Matches!$AA$5:$AA$17,MATCH($C29,Matches!$A$5:$A$17,0))),"")</f>
        <v>21.12</v>
      </c>
      <c r="L29" s="11" t="n">
        <f aca="false">IFERROR(IF(INDEX(Matches!$AB$5:$AB$17,MATCH($C29,Matches!$A$5:$A$17,0))="","",INDEX(Matches!$AB$5:$AB$17,MATCH($C29,Matches!$A$5:$A$17,0))),"")</f>
        <v>21.5</v>
      </c>
      <c r="M29" s="10" t="n">
        <f aca="false">IFERROR(IF(INDEX(Matches!$AC$5:$AC$17,MATCH($C29,Matches!$A$5:$A$17,0))="","",INDEX(Matches!$AC$5:$AC$17,MATCH($C29,Matches!$A$5:$A$17,0))),"")</f>
        <v>0.4526</v>
      </c>
      <c r="N29" s="9" t="n">
        <f aca="false">IFERROR(INDEX(Players!$F$2:$F$105,MATCH($F29,Players!$A$2:$A$105,0)),0)</f>
        <v>31</v>
      </c>
      <c r="O29" s="13" t="n">
        <f aca="false">IFERROR(1/(1/INDEX(Players!$H$2:$H$105,MATCH($F29,Players!$A$2:$A$105,0))),"")</f>
        <v>0.7</v>
      </c>
      <c r="P29" s="10" t="n">
        <f aca="false">IFERROR(1/(1/INDEX(Players!$I$2:$I$105,MATCH($F29,Players!$A$2:$A$105,0))),"")</f>
        <v>0.492</v>
      </c>
      <c r="Q29" s="9" t="n">
        <f aca="false">IF($G29="",0,SUMIFS(Map_Stats!$F$2:$F$642,Map_Stats!$A$2:$A$642,$F29&amp;"|"&amp;$G29))</f>
        <v>8</v>
      </c>
      <c r="R29" s="13" t="n">
        <f aca="false">IF($G29="","",IFERROR(1/(1/INDEX(Map_Stats!$K$2:$K$642,MATCH($F29&amp;"|"&amp;$G29,Map_Stats!$A$2:$A$642,0))),$O29))</f>
        <v>0.78</v>
      </c>
      <c r="S29" s="10" t="n">
        <f aca="false">IF(OR($G29="",$P29=""),"",IFERROR(1/(1/INDEX(Map_Stats!$I$2:$I$642,MATCH($F29&amp;"|"&amp;$G29,Map_Stats!$A$2:$A$642,0))),$P29))</f>
        <v>0.564</v>
      </c>
      <c r="T29" s="13" t="n">
        <f aca="false">IF(OR($G29="",R29=""),"",IF($O29="",R29,(Q29*R29+Config!$B$4*$O29)/(Q29+Config!$B$4)))</f>
        <v>0.749230769230769</v>
      </c>
      <c r="U29" s="10" t="n">
        <f aca="false">IF(S29="","",(Q29*S29+Config!$B$4*$P29)/(Q29+Config!$B$4))</f>
        <v>0.536307692307692</v>
      </c>
      <c r="V29" s="17" t="n">
        <f aca="false">IF(OR(T29="",$J29=""),"",T29*$J29*($J29/Config!$B$10)^Config!$B$9)</f>
        <v>15.8387384615385</v>
      </c>
      <c r="W29" s="17" t="n">
        <f aca="false">IF(OR(V29="",U29=""),"",V29*U29)</f>
        <v>8.49443727337278</v>
      </c>
      <c r="X29" s="9" t="n">
        <f aca="false">IF($H29="",0,SUMIFS(Map_Stats!$F$2:$F$642,Map_Stats!$A$2:$A$642,$F29&amp;"|"&amp;$H29))</f>
        <v>5</v>
      </c>
      <c r="Y29" s="13" t="n">
        <f aca="false">IF($H29="","",IFERROR(1/(1/INDEX(Map_Stats!$K$2:$K$642,MATCH($F29&amp;"|"&amp;$H29,Map_Stats!$A$2:$A$642,0))),$O29))</f>
        <v>0.64</v>
      </c>
      <c r="Z29" s="10" t="n">
        <f aca="false">IF(OR($H29="",$P29=""),"",IFERROR(1/(1/INDEX(Map_Stats!$I$2:$I$642,MATCH($F29&amp;"|"&amp;$H29,Map_Stats!$A$2:$A$642,0))),$P29))</f>
        <v>0.547</v>
      </c>
      <c r="AA29" s="13" t="n">
        <f aca="false">IF(OR($H29="",Y29=""),"",IF($O29="",Y29,(X29*Y29+Config!$B$4*$O29)/(X29+Config!$B$4)))</f>
        <v>0.67</v>
      </c>
      <c r="AB29" s="10" t="n">
        <f aca="false">IF(Z29="","",(X29*Z29+Config!$B$4*$P29)/(X29+Config!$B$4))</f>
        <v>0.5195</v>
      </c>
      <c r="AC29" s="17" t="n">
        <f aca="false">IF(OR(AA29="",$K29=""),"",AA29*$K29*($K29/Config!$B$10)^Config!$B$9)</f>
        <v>14.1504</v>
      </c>
      <c r="AD29" s="17" t="n">
        <f aca="false">IF(OR(AC29="",AB29=""),"",AC29*AB29)</f>
        <v>7.3511328</v>
      </c>
      <c r="AE29" s="9" t="n">
        <f aca="false">IF($I29="",0,SUMIFS(Map_Stats!$F$2:$F$642,Map_Stats!$A$2:$A$642,$F29&amp;"|"&amp;$I29))</f>
        <v>5</v>
      </c>
      <c r="AF29" s="13" t="n">
        <f aca="false">IF($I29="","",IFERROR(1/(1/INDEX(Map_Stats!$K$2:$K$642,MATCH($F29&amp;"|"&amp;$I29,Map_Stats!$A$2:$A$642,0))),$O29))</f>
        <v>0.77</v>
      </c>
      <c r="AG29" s="10" t="n">
        <f aca="false">IF(OR($I29="",$P29=""),"",IFERROR(1/(1/INDEX(Map_Stats!$I$2:$I$642,MATCH($F29&amp;"|"&amp;$I29,Map_Stats!$A$2:$A$642,0))),$P29))</f>
        <v>0.448</v>
      </c>
      <c r="AH29" s="13" t="n">
        <f aca="false">IF(OR($I29="",AF29=""),"",IF($O29="",AF29,(AE29*AF29+Config!$B$4*$O29)/(AE29+Config!$B$4)))</f>
        <v>0.735</v>
      </c>
      <c r="AI29" s="10" t="n">
        <f aca="false">IF(AG29="","",(AE29*AG29+Config!$B$4*$P29)/(AE29+Config!$B$4))</f>
        <v>0.47</v>
      </c>
      <c r="AJ29" s="17" t="n">
        <f aca="false">IF(OR(AH29="",$L29=""),"",AH29*$L29*($L29/Config!$B$10)^Config!$B$9)</f>
        <v>15.8025</v>
      </c>
      <c r="AK29" s="17" t="n">
        <f aca="false">IF(OR(AJ29="",AI29=""),"",AJ29*AI29)</f>
        <v>7.427175</v>
      </c>
      <c r="AL29" s="17" t="n">
        <f aca="false">N(V29)+N(AC29)</f>
        <v>29.9891384615385</v>
      </c>
      <c r="AM29" s="17" t="n">
        <f aca="false">AL29+N($M29)*N(AJ29)</f>
        <v>37.1413499615385</v>
      </c>
      <c r="AN29" s="17" t="n">
        <f aca="false">IF(W29="","",N(W29)+N(AD29))</f>
        <v>15.8455700733728</v>
      </c>
      <c r="AO29" s="17" t="n">
        <f aca="false">IF(AN29="","",AN29+N($M29)*N(AK29))</f>
        <v>19.2071094783728</v>
      </c>
      <c r="AP29" s="10" t="n">
        <f aca="false">IFERROR(AN29/AL29,"")</f>
        <v>0.52837696867134</v>
      </c>
      <c r="AQ29" s="0" t="str">
        <f aca="false">TRIM(IF($N29&lt;Config!$B$12,"thin sample ("&amp;$N29&amp;" maps) · ","")&amp;IF(AND($G29&lt;&gt;"",Q29=0),"M1 unplayed→overall KPR · ","")&amp;IF(AND($H29&lt;&gt;"",X29=0),"M2 unplayed→overall KPR · ","")&amp;IF($O29="","no PickFinder stats",""))</f>
        <v/>
      </c>
      <c r="AR29" s="0" t="str">
        <f aca="false">IF($C29=Board!$B$2,COUNTIFS($C$2:$C$105,Board!$B$2,$AL$2:$AL$105,"&gt;"&amp;$AL29)+COUNTIFS($C$1:$C28,Board!$B$2,$AL$1:$AL28,$AL29)+1,"")</f>
        <v/>
      </c>
      <c r="AS29" s="0" t="str">
        <f aca="false">IFERROR(IF($D29=INDEX(Matches!$AD$5:$AD$17,MATCH($C29,Matches!$A$5:$A$17,0)),"A",IF($D29=INDEX(Matches!$AE$5:$AE$17,MATCH($C29,Matches!$A$5:$A$17,0)),"B","")),"")</f>
        <v>A</v>
      </c>
      <c r="AT29" s="10" t="n">
        <f aca="false">IF($AS29="","",IFERROR(IF($AS29="A",INDEX(Matches!$AI$5:$AI$17,MATCH($C29,Matches!$A$5:$A$17,0)),INDEX(Matches!$AJ$5:$AJ$17,MATCH($C29,Matches!$A$5:$A$17,0))),""))</f>
        <v>0.508489937716301</v>
      </c>
      <c r="AU29" s="10" t="n">
        <f aca="false">IF($AS29="","",IFERROR(IF(INDEX(Matches!$AP$5:$AP$17,MATCH($C29,Matches!$A$5:$A$17,0))="","",IF($AS29="A",INDEX(Matches!$AP$5:$AP$17,MATCH($C29,Matches!$A$5:$A$17,0)),1-INDEX(Matches!$AP$5:$AP$17,MATCH($C29,Matches!$A$5:$A$17,0)))),""))</f>
        <v>0.516673446651551</v>
      </c>
      <c r="AV29" s="13" t="n">
        <f aca="false">IF(OR($AU29="",$AT29=""),1,((Config!$B$14*$AU29+Config!$B$15*(1-$AU29))/(Config!$B$14*$AT29+Config!$B$15*(1-$AT29)))^Config!$B$13)</f>
        <v>1.00725785929361</v>
      </c>
      <c r="AW29" s="10" t="n">
        <f aca="false">IF($AS29="","",IFERROR(IF(INDEX(Matches!$AV$5:$AV$17,MATCH($C29,Matches!$A$5:$A$17,0))="","",IF($AS29="A",INDEX(Matches!$AV$5:$AV$17,MATCH($C29,Matches!$A$5:$A$17,0)),1-INDEX(Matches!$AV$5:$AV$17,MATCH($C29,Matches!$A$5:$A$17,0)))),""))</f>
        <v>0.470378295493099</v>
      </c>
      <c r="AX29" s="13" t="n">
        <f aca="false">IF(OR($AW29="",$AT29=""),1,((Config!$B$14*$AW29+Config!$B$15*(1-$AW29))/(Config!$B$14*$AT29+Config!$B$15*(1-$AT29)))^Config!$B$13)</f>
        <v>0.966199225919725</v>
      </c>
      <c r="AY29" s="10" t="n">
        <f aca="false">IF($AS29="","",IFERROR(IF(INDEX(Matches!$BB$5:$BB$17,MATCH($C29,Matches!$A$5:$A$17,0))="","",IF($AS29="A",INDEX(Matches!$BB$5:$BB$17,MATCH($C29,Matches!$A$5:$A$17,0)),1-INDEX(Matches!$BB$5:$BB$17,MATCH($C29,Matches!$A$5:$A$17,0)))),""))</f>
        <v>0.495657829800534</v>
      </c>
      <c r="AZ29" s="13" t="n">
        <f aca="false">IF(OR($AY29="",$AT29=""),1,((Config!$B$14*$AY29+Config!$B$15*(1-$AY29))/(Config!$B$14*$AT29+Config!$B$15*(1-$AT29)))^Config!$B$13)</f>
        <v>0.988619352110455</v>
      </c>
      <c r="BA29" s="17" t="n">
        <f aca="false">IF(V29="","",V29*$AV29)</f>
        <v>15.9536937966806</v>
      </c>
      <c r="BB29" s="17" t="n">
        <f aca="false">IF(AC29="","",AC29*$AX29)</f>
        <v>13.6721055264545</v>
      </c>
      <c r="BC29" s="17" t="n">
        <f aca="false">IF(AJ29="","",AJ29*$AZ29)</f>
        <v>15.6226573117255</v>
      </c>
      <c r="BD29" s="17" t="n">
        <f aca="false">N(BA29)+N(BB29)</f>
        <v>29.625799323135</v>
      </c>
      <c r="BE29" s="17" t="n">
        <f aca="false">BD29+N($M29)*N(BC29)</f>
        <v>36.696614022422</v>
      </c>
      <c r="BF29" s="17" t="n">
        <f aca="false">IF(W29="","",W29*$AV29)</f>
        <v>8.55608870388129</v>
      </c>
      <c r="BG29" s="17" t="n">
        <f aca="false">IF(AD29="","",AD29*$AX29)</f>
        <v>7.1026588209931</v>
      </c>
      <c r="BH29" s="17" t="n">
        <f aca="false">IF(AK29="","",AK29*$AZ29)</f>
        <v>7.34264893651097</v>
      </c>
      <c r="BI29" s="17" t="n">
        <f aca="false">IF(BF29="","",N(BF29)+N(BG29))</f>
        <v>15.6587475248744</v>
      </c>
      <c r="BJ29" s="17" t="n">
        <f aca="false">IF(BI29="","",BI29+N($M29)*N(BH29))</f>
        <v>18.9820304335393</v>
      </c>
      <c r="BK29" s="13" t="n">
        <f aca="false">IFERROR(BD29/AL29,1)</f>
        <v>0.987884308885051</v>
      </c>
    </row>
    <row r="30" customFormat="false" ht="15" hidden="false" customHeight="false" outlineLevel="0" collapsed="false">
      <c r="A30" s="0" t="s">
        <v>957</v>
      </c>
      <c r="B30" s="0" t="s">
        <v>775</v>
      </c>
      <c r="C30" s="0" t="s">
        <v>800</v>
      </c>
      <c r="D30" s="0" t="s">
        <v>805</v>
      </c>
      <c r="E30" s="0" t="s">
        <v>956</v>
      </c>
      <c r="F30" s="0" t="s">
        <v>1195</v>
      </c>
      <c r="G30" s="0" t="str">
        <f aca="false">IFERROR(IF(INDEX(Matches!$W$5:$W$17,MATCH($C30,Matches!$A$5:$A$17,0))="","",INDEX(Matches!$W$5:$W$17,MATCH($C30,Matches!$A$5:$A$17,0))),"")</f>
        <v>Cache</v>
      </c>
      <c r="H30" s="0" t="str">
        <f aca="false">IFERROR(IF(INDEX(Matches!$X$5:$X$17,MATCH($C30,Matches!$A$5:$A$17,0))="","",INDEX(Matches!$X$5:$X$17,MATCH($C30,Matches!$A$5:$A$17,0))),"")</f>
        <v>Nuke</v>
      </c>
      <c r="I30" s="0" t="str">
        <f aca="false">IFERROR(IF(INDEX(Matches!$Y$5:$Y$17,MATCH($C30,Matches!$A$5:$A$17,0))="","",INDEX(Matches!$Y$5:$Y$17,MATCH($C30,Matches!$A$5:$A$17,0))),"")</f>
        <v>Ancient</v>
      </c>
      <c r="J30" s="11" t="n">
        <f aca="false">IFERROR(IF(INDEX(Matches!$Z$5:$Z$17,MATCH($C30,Matches!$A$5:$A$17,0))="","",INDEX(Matches!$Z$5:$Z$17,MATCH($C30,Matches!$A$5:$A$17,0))),"")</f>
        <v>21.14</v>
      </c>
      <c r="K30" s="11" t="n">
        <f aca="false">IFERROR(IF(INDEX(Matches!$AA$5:$AA$17,MATCH($C30,Matches!$A$5:$A$17,0))="","",INDEX(Matches!$AA$5:$AA$17,MATCH($C30,Matches!$A$5:$A$17,0))),"")</f>
        <v>21.12</v>
      </c>
      <c r="L30" s="11" t="n">
        <f aca="false">IFERROR(IF(INDEX(Matches!$AB$5:$AB$17,MATCH($C30,Matches!$A$5:$A$17,0))="","",INDEX(Matches!$AB$5:$AB$17,MATCH($C30,Matches!$A$5:$A$17,0))),"")</f>
        <v>21.5</v>
      </c>
      <c r="M30" s="10" t="n">
        <f aca="false">IFERROR(IF(INDEX(Matches!$AC$5:$AC$17,MATCH($C30,Matches!$A$5:$A$17,0))="","",INDEX(Matches!$AC$5:$AC$17,MATCH($C30,Matches!$A$5:$A$17,0))),"")</f>
        <v>0.4526</v>
      </c>
      <c r="N30" s="9" t="n">
        <f aca="false">IFERROR(INDEX(Players!$F$2:$F$105,MATCH($F30,Players!$A$2:$A$105,0)),0)</f>
        <v>31</v>
      </c>
      <c r="O30" s="13" t="n">
        <f aca="false">IFERROR(1/(1/INDEX(Players!$H$2:$H$105,MATCH($F30,Players!$A$2:$A$105,0))),"")</f>
        <v>0.63</v>
      </c>
      <c r="P30" s="10" t="n">
        <f aca="false">IFERROR(1/(1/INDEX(Players!$I$2:$I$105,MATCH($F30,Players!$A$2:$A$105,0))),"")</f>
        <v>0.379</v>
      </c>
      <c r="Q30" s="9" t="n">
        <f aca="false">IF($G30="",0,SUMIFS(Map_Stats!$F$2:$F$642,Map_Stats!$A$2:$A$642,$F30&amp;"|"&amp;$G30))</f>
        <v>8</v>
      </c>
      <c r="R30" s="13" t="n">
        <f aca="false">IF($G30="","",IFERROR(1/(1/INDEX(Map_Stats!$K$2:$K$642,MATCH($F30&amp;"|"&amp;$G30,Map_Stats!$A$2:$A$642,0))),$O30))</f>
        <v>0.6</v>
      </c>
      <c r="S30" s="10" t="n">
        <f aca="false">IF(OR($G30="",$P30=""),"",IFERROR(1/(1/INDEX(Map_Stats!$I$2:$I$642,MATCH($F30&amp;"|"&amp;$G30,Map_Stats!$A$2:$A$642,0))),$P30))</f>
        <v>0.383</v>
      </c>
      <c r="T30" s="13" t="n">
        <f aca="false">IF(OR($G30="",R30=""),"",IF($O30="",R30,(Q30*R30+Config!$B$4*$O30)/(Q30+Config!$B$4)))</f>
        <v>0.611538461538462</v>
      </c>
      <c r="U30" s="10" t="n">
        <f aca="false">IF(S30="","",(Q30*S30+Config!$B$4*$P30)/(Q30+Config!$B$4))</f>
        <v>0.381461538461538</v>
      </c>
      <c r="V30" s="17" t="n">
        <f aca="false">IF(OR(T30="",$J30=""),"",T30*$J30*($J30/Config!$B$10)^Config!$B$9)</f>
        <v>12.9279230769231</v>
      </c>
      <c r="W30" s="17" t="n">
        <f aca="false">IF(OR(V30="",U30=""),"",V30*U30)</f>
        <v>4.9315054260355</v>
      </c>
      <c r="X30" s="9" t="n">
        <f aca="false">IF($H30="",0,SUMIFS(Map_Stats!$F$2:$F$642,Map_Stats!$A$2:$A$642,$F30&amp;"|"&amp;$H30))</f>
        <v>5</v>
      </c>
      <c r="Y30" s="13" t="n">
        <f aca="false">IF($H30="","",IFERROR(1/(1/INDEX(Map_Stats!$K$2:$K$642,MATCH($F30&amp;"|"&amp;$H30,Map_Stats!$A$2:$A$642,0))),$O30))</f>
        <v>0.59</v>
      </c>
      <c r="Z30" s="10" t="n">
        <f aca="false">IF(OR($H30="",$P30=""),"",IFERROR(1/(1/INDEX(Map_Stats!$I$2:$I$642,MATCH($F30&amp;"|"&amp;$H30,Map_Stats!$A$2:$A$642,0))),$P30))</f>
        <v>0.441</v>
      </c>
      <c r="AA30" s="13" t="n">
        <f aca="false">IF(OR($H30="",Y30=""),"",IF($O30="",Y30,(X30*Y30+Config!$B$4*$O30)/(X30+Config!$B$4)))</f>
        <v>0.61</v>
      </c>
      <c r="AB30" s="10" t="n">
        <f aca="false">IF(Z30="","",(X30*Z30+Config!$B$4*$P30)/(X30+Config!$B$4))</f>
        <v>0.41</v>
      </c>
      <c r="AC30" s="17" t="n">
        <f aca="false">IF(OR(AA30="",$K30=""),"",AA30*$K30*($K30/Config!$B$10)^Config!$B$9)</f>
        <v>12.8832</v>
      </c>
      <c r="AD30" s="17" t="n">
        <f aca="false">IF(OR(AC30="",AB30=""),"",AC30*AB30)</f>
        <v>5.282112</v>
      </c>
      <c r="AE30" s="9" t="n">
        <f aca="false">IF($I30="",0,SUMIFS(Map_Stats!$F$2:$F$642,Map_Stats!$A$2:$A$642,$F30&amp;"|"&amp;$I30))</f>
        <v>5</v>
      </c>
      <c r="AF30" s="13" t="n">
        <f aca="false">IF($I30="","",IFERROR(1/(1/INDEX(Map_Stats!$K$2:$K$642,MATCH($F30&amp;"|"&amp;$I30,Map_Stats!$A$2:$A$642,0))),$O30))</f>
        <v>0.71</v>
      </c>
      <c r="AG30" s="10" t="n">
        <f aca="false">IF(OR($I30="",$P30=""),"",IFERROR(1/(1/INDEX(Map_Stats!$I$2:$I$642,MATCH($F30&amp;"|"&amp;$I30,Map_Stats!$A$2:$A$642,0))),$P30))</f>
        <v>0.5</v>
      </c>
      <c r="AH30" s="13" t="n">
        <f aca="false">IF(OR($I30="",AF30=""),"",IF($O30="",AF30,(AE30*AF30+Config!$B$4*$O30)/(AE30+Config!$B$4)))</f>
        <v>0.67</v>
      </c>
      <c r="AI30" s="10" t="n">
        <f aca="false">IF(AG30="","",(AE30*AG30+Config!$B$4*$P30)/(AE30+Config!$B$4))</f>
        <v>0.4395</v>
      </c>
      <c r="AJ30" s="17" t="n">
        <f aca="false">IF(OR(AH30="",$L30=""),"",AH30*$L30*($L30/Config!$B$10)^Config!$B$9)</f>
        <v>14.405</v>
      </c>
      <c r="AK30" s="17" t="n">
        <f aca="false">IF(OR(AJ30="",AI30=""),"",AJ30*AI30)</f>
        <v>6.3309975</v>
      </c>
      <c r="AL30" s="17" t="n">
        <f aca="false">N(V30)+N(AC30)</f>
        <v>25.8111230769231</v>
      </c>
      <c r="AM30" s="17" t="n">
        <f aca="false">AL30+N($M30)*N(AJ30)</f>
        <v>32.3308260769231</v>
      </c>
      <c r="AN30" s="17" t="n">
        <f aca="false">IF(W30="","",N(W30)+N(AD30))</f>
        <v>10.2136174260355</v>
      </c>
      <c r="AO30" s="17" t="n">
        <f aca="false">IF(AN30="","",AN30+N($M30)*N(AK30))</f>
        <v>13.0790268945355</v>
      </c>
      <c r="AP30" s="10" t="n">
        <f aca="false">IFERROR(AN30/AL30,"")</f>
        <v>0.395706044855025</v>
      </c>
      <c r="AQ30" s="0" t="str">
        <f aca="false">TRIM(IF($N30&lt;Config!$B$12,"thin sample ("&amp;$N30&amp;" maps) · ","")&amp;IF(AND($G30&lt;&gt;"",Q30=0),"M1 unplayed→overall KPR · ","")&amp;IF(AND($H30&lt;&gt;"",X30=0),"M2 unplayed→overall KPR · ","")&amp;IF($O30="","no PickFinder stats",""))</f>
        <v/>
      </c>
      <c r="AR30" s="0" t="str">
        <f aca="false">IF($C30=Board!$B$2,COUNTIFS($C$2:$C$105,Board!$B$2,$AL$2:$AL$105,"&gt;"&amp;$AL30)+COUNTIFS($C$1:$C29,Board!$B$2,$AL$1:$AL29,$AL30)+1,"")</f>
        <v/>
      </c>
      <c r="AS30" s="0" t="str">
        <f aca="false">IFERROR(IF($D30=INDEX(Matches!$AD$5:$AD$17,MATCH($C30,Matches!$A$5:$A$17,0)),"A",IF($D30=INDEX(Matches!$AE$5:$AE$17,MATCH($C30,Matches!$A$5:$A$17,0)),"B","")),"")</f>
        <v>A</v>
      </c>
      <c r="AT30" s="10" t="n">
        <f aca="false">IF($AS30="","",IFERROR(IF($AS30="A",INDEX(Matches!$AI$5:$AI$17,MATCH($C30,Matches!$A$5:$A$17,0)),INDEX(Matches!$AJ$5:$AJ$17,MATCH($C30,Matches!$A$5:$A$17,0))),""))</f>
        <v>0.508489937716301</v>
      </c>
      <c r="AU30" s="10" t="n">
        <f aca="false">IF($AS30="","",IFERROR(IF(INDEX(Matches!$AP$5:$AP$17,MATCH($C30,Matches!$A$5:$A$17,0))="","",IF($AS30="A",INDEX(Matches!$AP$5:$AP$17,MATCH($C30,Matches!$A$5:$A$17,0)),1-INDEX(Matches!$AP$5:$AP$17,MATCH($C30,Matches!$A$5:$A$17,0)))),""))</f>
        <v>0.516673446651551</v>
      </c>
      <c r="AV30" s="13" t="n">
        <f aca="false">IF(OR($AU30="",$AT30=""),1,((Config!$B$14*$AU30+Config!$B$15*(1-$AU30))/(Config!$B$14*$AT30+Config!$B$15*(1-$AT30)))^Config!$B$13)</f>
        <v>1.00725785929361</v>
      </c>
      <c r="AW30" s="10" t="n">
        <f aca="false">IF($AS30="","",IFERROR(IF(INDEX(Matches!$AV$5:$AV$17,MATCH($C30,Matches!$A$5:$A$17,0))="","",IF($AS30="A",INDEX(Matches!$AV$5:$AV$17,MATCH($C30,Matches!$A$5:$A$17,0)),1-INDEX(Matches!$AV$5:$AV$17,MATCH($C30,Matches!$A$5:$A$17,0)))),""))</f>
        <v>0.470378295493099</v>
      </c>
      <c r="AX30" s="13" t="n">
        <f aca="false">IF(OR($AW30="",$AT30=""),1,((Config!$B$14*$AW30+Config!$B$15*(1-$AW30))/(Config!$B$14*$AT30+Config!$B$15*(1-$AT30)))^Config!$B$13)</f>
        <v>0.966199225919725</v>
      </c>
      <c r="AY30" s="10" t="n">
        <f aca="false">IF($AS30="","",IFERROR(IF(INDEX(Matches!$BB$5:$BB$17,MATCH($C30,Matches!$A$5:$A$17,0))="","",IF($AS30="A",INDEX(Matches!$BB$5:$BB$17,MATCH($C30,Matches!$A$5:$A$17,0)),1-INDEX(Matches!$BB$5:$BB$17,MATCH($C30,Matches!$A$5:$A$17,0)))),""))</f>
        <v>0.495657829800534</v>
      </c>
      <c r="AZ30" s="13" t="n">
        <f aca="false">IF(OR($AY30="",$AT30=""),1,((Config!$B$14*$AY30+Config!$B$15*(1-$AY30))/(Config!$B$14*$AT30+Config!$B$15*(1-$AT30)))^Config!$B$13)</f>
        <v>0.988619352110455</v>
      </c>
      <c r="BA30" s="17" t="n">
        <f aca="false">IF(V30="","",V30*$AV30)</f>
        <v>13.021752123574</v>
      </c>
      <c r="BB30" s="17" t="n">
        <f aca="false">IF(AC30="","",AC30*$AX30)</f>
        <v>12.447737867369</v>
      </c>
      <c r="BC30" s="17" t="n">
        <f aca="false">IF(AJ30="","",AJ30*$AZ30)</f>
        <v>14.2410617671511</v>
      </c>
      <c r="BD30" s="17" t="n">
        <f aca="false">N(BA30)+N(BB30)</f>
        <v>25.469489990943</v>
      </c>
      <c r="BE30" s="17" t="n">
        <f aca="false">BD30+N($M30)*N(BC30)</f>
        <v>31.9149945467555</v>
      </c>
      <c r="BF30" s="17" t="n">
        <f aca="false">IF(W30="","",W30*$AV30)</f>
        <v>4.96729759852333</v>
      </c>
      <c r="BG30" s="17" t="n">
        <f aca="false">IF(AD30="","",AD30*$AX30)</f>
        <v>5.10357252562129</v>
      </c>
      <c r="BH30" s="17" t="n">
        <f aca="false">IF(AK30="","",AK30*$AZ30)</f>
        <v>6.25894664666291</v>
      </c>
      <c r="BI30" s="17" t="n">
        <f aca="false">IF(BF30="","",N(BF30)+N(BG30))</f>
        <v>10.0708701241446</v>
      </c>
      <c r="BJ30" s="17" t="n">
        <f aca="false">IF(BI30="","",BI30+N($M30)*N(BH30))</f>
        <v>12.9036693764242</v>
      </c>
      <c r="BK30" s="13" t="n">
        <f aca="false">IFERROR(BD30/AL30,1)</f>
        <v>0.986764113868196</v>
      </c>
    </row>
    <row r="31" customFormat="false" ht="15" hidden="false" customHeight="false" outlineLevel="0" collapsed="false">
      <c r="A31" s="0" t="s">
        <v>959</v>
      </c>
      <c r="B31" s="0" t="s">
        <v>775</v>
      </c>
      <c r="C31" s="0" t="s">
        <v>800</v>
      </c>
      <c r="D31" s="0" t="s">
        <v>806</v>
      </c>
      <c r="E31" s="0" t="s">
        <v>958</v>
      </c>
      <c r="F31" s="0" t="s">
        <v>1196</v>
      </c>
      <c r="G31" s="0" t="str">
        <f aca="false">IFERROR(IF(INDEX(Matches!$W$5:$W$17,MATCH($C31,Matches!$A$5:$A$17,0))="","",INDEX(Matches!$W$5:$W$17,MATCH($C31,Matches!$A$5:$A$17,0))),"")</f>
        <v>Cache</v>
      </c>
      <c r="H31" s="0" t="str">
        <f aca="false">IFERROR(IF(INDEX(Matches!$X$5:$X$17,MATCH($C31,Matches!$A$5:$A$17,0))="","",INDEX(Matches!$X$5:$X$17,MATCH($C31,Matches!$A$5:$A$17,0))),"")</f>
        <v>Nuke</v>
      </c>
      <c r="I31" s="0" t="str">
        <f aca="false">IFERROR(IF(INDEX(Matches!$Y$5:$Y$17,MATCH($C31,Matches!$A$5:$A$17,0))="","",INDEX(Matches!$Y$5:$Y$17,MATCH($C31,Matches!$A$5:$A$17,0))),"")</f>
        <v>Ancient</v>
      </c>
      <c r="J31" s="11" t="n">
        <f aca="false">IFERROR(IF(INDEX(Matches!$Z$5:$Z$17,MATCH($C31,Matches!$A$5:$A$17,0))="","",INDEX(Matches!$Z$5:$Z$17,MATCH($C31,Matches!$A$5:$A$17,0))),"")</f>
        <v>21.14</v>
      </c>
      <c r="K31" s="11" t="n">
        <f aca="false">IFERROR(IF(INDEX(Matches!$AA$5:$AA$17,MATCH($C31,Matches!$A$5:$A$17,0))="","",INDEX(Matches!$AA$5:$AA$17,MATCH($C31,Matches!$A$5:$A$17,0))),"")</f>
        <v>21.12</v>
      </c>
      <c r="L31" s="11" t="n">
        <f aca="false">IFERROR(IF(INDEX(Matches!$AB$5:$AB$17,MATCH($C31,Matches!$A$5:$A$17,0))="","",INDEX(Matches!$AB$5:$AB$17,MATCH($C31,Matches!$A$5:$A$17,0))),"")</f>
        <v>21.5</v>
      </c>
      <c r="M31" s="10" t="n">
        <f aca="false">IFERROR(IF(INDEX(Matches!$AC$5:$AC$17,MATCH($C31,Matches!$A$5:$A$17,0))="","",INDEX(Matches!$AC$5:$AC$17,MATCH($C31,Matches!$A$5:$A$17,0))),"")</f>
        <v>0.4526</v>
      </c>
      <c r="N31" s="9" t="n">
        <f aca="false">IFERROR(INDEX(Players!$F$2:$F$105,MATCH($F31,Players!$A$2:$A$105,0)),0)</f>
        <v>28</v>
      </c>
      <c r="O31" s="13" t="n">
        <f aca="false">IFERROR(1/(1/INDEX(Players!$H$2:$H$105,MATCH($F31,Players!$A$2:$A$105,0))),"")</f>
        <v>0.62</v>
      </c>
      <c r="P31" s="10" t="n">
        <f aca="false">IFERROR(1/(1/INDEX(Players!$I$2:$I$105,MATCH($F31,Players!$A$2:$A$105,0))),"")</f>
        <v>0.507</v>
      </c>
      <c r="Q31" s="9" t="n">
        <f aca="false">IF($G31="",0,SUMIFS(Map_Stats!$F$2:$F$642,Map_Stats!$A$2:$A$642,$F31&amp;"|"&amp;$G31))</f>
        <v>5</v>
      </c>
      <c r="R31" s="13" t="n">
        <f aca="false">IF($G31="","",IFERROR(1/(1/INDEX(Map_Stats!$K$2:$K$642,MATCH($F31&amp;"|"&amp;$G31,Map_Stats!$A$2:$A$642,0))),$O31))</f>
        <v>0.55</v>
      </c>
      <c r="S31" s="10" t="n">
        <f aca="false">IF(OR($G31="",$P31=""),"",IFERROR(1/(1/INDEX(Map_Stats!$I$2:$I$642,MATCH($F31&amp;"|"&amp;$G31,Map_Stats!$A$2:$A$642,0))),$P31))</f>
        <v>0.569</v>
      </c>
      <c r="T31" s="13" t="n">
        <f aca="false">IF(OR($G31="",R31=""),"",IF($O31="",R31,(Q31*R31+Config!$B$4*$O31)/(Q31+Config!$B$4)))</f>
        <v>0.585</v>
      </c>
      <c r="U31" s="10" t="n">
        <f aca="false">IF(S31="","",(Q31*S31+Config!$B$4*$P31)/(Q31+Config!$B$4))</f>
        <v>0.538</v>
      </c>
      <c r="V31" s="17" t="n">
        <f aca="false">IF(OR(T31="",$J31=""),"",T31*$J31*($J31/Config!$B$10)^Config!$B$9)</f>
        <v>12.3669</v>
      </c>
      <c r="W31" s="17" t="n">
        <f aca="false">IF(OR(V31="",U31=""),"",V31*U31)</f>
        <v>6.6533922</v>
      </c>
      <c r="X31" s="9" t="n">
        <f aca="false">IF($H31="",0,SUMIFS(Map_Stats!$F$2:$F$642,Map_Stats!$A$2:$A$642,$F31&amp;"|"&amp;$H31))</f>
        <v>5</v>
      </c>
      <c r="Y31" s="13" t="n">
        <f aca="false">IF($H31="","",IFERROR(1/(1/INDEX(Map_Stats!$K$2:$K$642,MATCH($F31&amp;"|"&amp;$H31,Map_Stats!$A$2:$A$642,0))),$O31))</f>
        <v>0.67</v>
      </c>
      <c r="Z31" s="10" t="n">
        <f aca="false">IF(OR($H31="",$P31=""),"",IFERROR(1/(1/INDEX(Map_Stats!$I$2:$I$642,MATCH($F31&amp;"|"&amp;$H31,Map_Stats!$A$2:$A$642,0))),$P31))</f>
        <v>0.535</v>
      </c>
      <c r="AA31" s="13" t="n">
        <f aca="false">IF(OR($H31="",Y31=""),"",IF($O31="",Y31,(X31*Y31+Config!$B$4*$O31)/(X31+Config!$B$4)))</f>
        <v>0.645</v>
      </c>
      <c r="AB31" s="10" t="n">
        <f aca="false">IF(Z31="","",(X31*Z31+Config!$B$4*$P31)/(X31+Config!$B$4))</f>
        <v>0.521</v>
      </c>
      <c r="AC31" s="17" t="n">
        <f aca="false">IF(OR(AA31="",$K31=""),"",AA31*$K31*($K31/Config!$B$10)^Config!$B$9)</f>
        <v>13.6224</v>
      </c>
      <c r="AD31" s="17" t="n">
        <f aca="false">IF(OR(AC31="",AB31=""),"",AC31*AB31)</f>
        <v>7.0972704</v>
      </c>
      <c r="AE31" s="9" t="n">
        <f aca="false">IF($I31="",0,SUMIFS(Map_Stats!$F$2:$F$642,Map_Stats!$A$2:$A$642,$F31&amp;"|"&amp;$I31))</f>
        <v>3</v>
      </c>
      <c r="AF31" s="13" t="n">
        <f aca="false">IF($I31="","",IFERROR(1/(1/INDEX(Map_Stats!$K$2:$K$642,MATCH($F31&amp;"|"&amp;$I31,Map_Stats!$A$2:$A$642,0))),$O31))</f>
        <v>0.66</v>
      </c>
      <c r="AG31" s="10" t="n">
        <f aca="false">IF(OR($I31="",$P31=""),"",IFERROR(1/(1/INDEX(Map_Stats!$I$2:$I$642,MATCH($F31&amp;"|"&amp;$I31,Map_Stats!$A$2:$A$642,0))),$P31))</f>
        <v>0.525</v>
      </c>
      <c r="AH31" s="13" t="n">
        <f aca="false">IF(OR($I31="",AF31=""),"",IF($O31="",AF31,(AE31*AF31+Config!$B$4*$O31)/(AE31+Config!$B$4)))</f>
        <v>0.635</v>
      </c>
      <c r="AI31" s="10" t="n">
        <f aca="false">IF(AG31="","",(AE31*AG31+Config!$B$4*$P31)/(AE31+Config!$B$4))</f>
        <v>0.51375</v>
      </c>
      <c r="AJ31" s="17" t="n">
        <f aca="false">IF(OR(AH31="",$L31=""),"",AH31*$L31*($L31/Config!$B$10)^Config!$B$9)</f>
        <v>13.6525</v>
      </c>
      <c r="AK31" s="17" t="n">
        <f aca="false">IF(OR(AJ31="",AI31=""),"",AJ31*AI31)</f>
        <v>7.013971875</v>
      </c>
      <c r="AL31" s="17" t="n">
        <f aca="false">N(V31)+N(AC31)</f>
        <v>25.9893</v>
      </c>
      <c r="AM31" s="17" t="n">
        <f aca="false">AL31+N($M31)*N(AJ31)</f>
        <v>32.1684215</v>
      </c>
      <c r="AN31" s="17" t="n">
        <f aca="false">IF(W31="","",N(W31)+N(AD31))</f>
        <v>13.7506626</v>
      </c>
      <c r="AO31" s="17" t="n">
        <f aca="false">IF(AN31="","",AN31+N($M31)*N(AK31))</f>
        <v>16.925186270625</v>
      </c>
      <c r="AP31" s="10" t="n">
        <f aca="false">IFERROR(AN31/AL31,"")</f>
        <v>0.529089379090626</v>
      </c>
      <c r="AQ31" s="0" t="str">
        <f aca="false">TRIM(IF($N31&lt;Config!$B$12,"thin sample ("&amp;$N31&amp;" maps) · ","")&amp;IF(AND($G31&lt;&gt;"",Q31=0),"M1 unplayed→overall KPR · ","")&amp;IF(AND($H31&lt;&gt;"",X31=0),"M2 unplayed→overall KPR · ","")&amp;IF($O31="","no PickFinder stats",""))</f>
        <v/>
      </c>
      <c r="AR31" s="0" t="str">
        <f aca="false">IF($C31=Board!$B$2,COUNTIFS($C$2:$C$105,Board!$B$2,$AL$2:$AL$105,"&gt;"&amp;$AL31)+COUNTIFS($C$1:$C30,Board!$B$2,$AL$1:$AL30,$AL31)+1,"")</f>
        <v/>
      </c>
      <c r="AS31" s="0" t="str">
        <f aca="false">IFERROR(IF($D31=INDEX(Matches!$AD$5:$AD$17,MATCH($C31,Matches!$A$5:$A$17,0)),"A",IF($D31=INDEX(Matches!$AE$5:$AE$17,MATCH($C31,Matches!$A$5:$A$17,0)),"B","")),"")</f>
        <v>B</v>
      </c>
      <c r="AT31" s="10" t="n">
        <f aca="false">IF($AS31="","",IFERROR(IF($AS31="A",INDEX(Matches!$AI$5:$AI$17,MATCH($C31,Matches!$A$5:$A$17,0)),INDEX(Matches!$AJ$5:$AJ$17,MATCH($C31,Matches!$A$5:$A$17,0))),""))</f>
        <v>0.536454539434475</v>
      </c>
      <c r="AU31" s="10" t="n">
        <f aca="false">IF($AS31="","",IFERROR(IF(INDEX(Matches!$AP$5:$AP$17,MATCH($C31,Matches!$A$5:$A$17,0))="","",IF($AS31="A",INDEX(Matches!$AP$5:$AP$17,MATCH($C31,Matches!$A$5:$A$17,0)),1-INDEX(Matches!$AP$5:$AP$17,MATCH($C31,Matches!$A$5:$A$17,0)))),""))</f>
        <v>0.483326553348449</v>
      </c>
      <c r="AV31" s="13" t="n">
        <f aca="false">IF(OR($AU31="",$AT31=""),1,((Config!$B$14*$AU31+Config!$B$15*(1-$AU31))/(Config!$B$14*$AT31+Config!$B$15*(1-$AT31)))^Config!$B$13)</f>
        <v>0.954021733584802</v>
      </c>
      <c r="AW31" s="10" t="n">
        <f aca="false">IF($AS31="","",IFERROR(IF(INDEX(Matches!$AV$5:$AV$17,MATCH($C31,Matches!$A$5:$A$17,0))="","",IF($AS31="A",INDEX(Matches!$AV$5:$AV$17,MATCH($C31,Matches!$A$5:$A$17,0)),1-INDEX(Matches!$AV$5:$AV$17,MATCH($C31,Matches!$A$5:$A$17,0)))),""))</f>
        <v>0.529621704506902</v>
      </c>
      <c r="AX31" s="13" t="n">
        <f aca="false">IF(OR($AW31="",$AT31=""),1,((Config!$B$14*$AW31+Config!$B$15*(1-$AW31))/(Config!$B$14*$AT31+Config!$B$15*(1-$AT31)))^Config!$B$13)</f>
        <v>0.994086696526341</v>
      </c>
      <c r="AY31" s="10" t="n">
        <f aca="false">IF($AS31="","",IFERROR(IF(INDEX(Matches!$BB$5:$BB$17,MATCH($C31,Matches!$A$5:$A$17,0))="","",IF($AS31="A",INDEX(Matches!$BB$5:$BB$17,MATCH($C31,Matches!$A$5:$A$17,0)),1-INDEX(Matches!$BB$5:$BB$17,MATCH($C31,Matches!$A$5:$A$17,0)))),""))</f>
        <v>0.504342170199466</v>
      </c>
      <c r="AZ31" s="13" t="n">
        <f aca="false">IF(OR($AY31="",$AT31=""),1,((Config!$B$14*$AY31+Config!$B$15*(1-$AY31))/(Config!$B$14*$AT31+Config!$B$15*(1-$AT31)))^Config!$B$13)</f>
        <v>0.972209165513639</v>
      </c>
      <c r="BA31" s="17" t="n">
        <f aca="false">IF(V31="","",V31*$AV31)</f>
        <v>11.7982913770699</v>
      </c>
      <c r="BB31" s="17" t="n">
        <f aca="false">IF(AC31="","",AC31*$AX31)</f>
        <v>13.5418466147604</v>
      </c>
      <c r="BC31" s="17" t="n">
        <f aca="false">IF(AJ31="","",AJ31*$AZ31)</f>
        <v>13.273085632175</v>
      </c>
      <c r="BD31" s="17" t="n">
        <f aca="false">N(BA31)+N(BB31)</f>
        <v>25.3401379918303</v>
      </c>
      <c r="BE31" s="17" t="n">
        <f aca="false">BD31+N($M31)*N(BC31)</f>
        <v>31.3475365489527</v>
      </c>
      <c r="BF31" s="17" t="n">
        <f aca="false">IF(W31="","",W31*$AV31)</f>
        <v>6.3474807608636</v>
      </c>
      <c r="BG31" s="17" t="n">
        <f aca="false">IF(AD31="","",AD31*$AX31)</f>
        <v>7.05530208629018</v>
      </c>
      <c r="BH31" s="17" t="n">
        <f aca="false">IF(AK31="","",AK31*$AZ31)</f>
        <v>6.81904774352989</v>
      </c>
      <c r="BI31" s="17" t="n">
        <f aca="false">IF(BF31="","",N(BF31)+N(BG31))</f>
        <v>13.4027828471538</v>
      </c>
      <c r="BJ31" s="17" t="n">
        <f aca="false">IF(BI31="","",BI31+N($M31)*N(BH31))</f>
        <v>16.4890838558754</v>
      </c>
      <c r="BK31" s="13" t="n">
        <f aca="false">IFERROR(BD31/AL31,1)</f>
        <v>0.975021951027165</v>
      </c>
    </row>
    <row r="32" customFormat="false" ht="15" hidden="false" customHeight="false" outlineLevel="0" collapsed="false">
      <c r="A32" s="0" t="s">
        <v>961</v>
      </c>
      <c r="B32" s="0" t="s">
        <v>775</v>
      </c>
      <c r="C32" s="0" t="s">
        <v>800</v>
      </c>
      <c r="D32" s="0" t="s">
        <v>806</v>
      </c>
      <c r="E32" s="0" t="s">
        <v>960</v>
      </c>
      <c r="F32" s="0" t="s">
        <v>1197</v>
      </c>
      <c r="G32" s="0" t="str">
        <f aca="false">IFERROR(IF(INDEX(Matches!$W$5:$W$17,MATCH($C32,Matches!$A$5:$A$17,0))="","",INDEX(Matches!$W$5:$W$17,MATCH($C32,Matches!$A$5:$A$17,0))),"")</f>
        <v>Cache</v>
      </c>
      <c r="H32" s="0" t="str">
        <f aca="false">IFERROR(IF(INDEX(Matches!$X$5:$X$17,MATCH($C32,Matches!$A$5:$A$17,0))="","",INDEX(Matches!$X$5:$X$17,MATCH($C32,Matches!$A$5:$A$17,0))),"")</f>
        <v>Nuke</v>
      </c>
      <c r="I32" s="0" t="str">
        <f aca="false">IFERROR(IF(INDEX(Matches!$Y$5:$Y$17,MATCH($C32,Matches!$A$5:$A$17,0))="","",INDEX(Matches!$Y$5:$Y$17,MATCH($C32,Matches!$A$5:$A$17,0))),"")</f>
        <v>Ancient</v>
      </c>
      <c r="J32" s="11" t="n">
        <f aca="false">IFERROR(IF(INDEX(Matches!$Z$5:$Z$17,MATCH($C32,Matches!$A$5:$A$17,0))="","",INDEX(Matches!$Z$5:$Z$17,MATCH($C32,Matches!$A$5:$A$17,0))),"")</f>
        <v>21.14</v>
      </c>
      <c r="K32" s="11" t="n">
        <f aca="false">IFERROR(IF(INDEX(Matches!$AA$5:$AA$17,MATCH($C32,Matches!$A$5:$A$17,0))="","",INDEX(Matches!$AA$5:$AA$17,MATCH($C32,Matches!$A$5:$A$17,0))),"")</f>
        <v>21.12</v>
      </c>
      <c r="L32" s="11" t="n">
        <f aca="false">IFERROR(IF(INDEX(Matches!$AB$5:$AB$17,MATCH($C32,Matches!$A$5:$A$17,0))="","",INDEX(Matches!$AB$5:$AB$17,MATCH($C32,Matches!$A$5:$A$17,0))),"")</f>
        <v>21.5</v>
      </c>
      <c r="M32" s="10" t="n">
        <f aca="false">IFERROR(IF(INDEX(Matches!$AC$5:$AC$17,MATCH($C32,Matches!$A$5:$A$17,0))="","",INDEX(Matches!$AC$5:$AC$17,MATCH($C32,Matches!$A$5:$A$17,0))),"")</f>
        <v>0.4526</v>
      </c>
      <c r="N32" s="9" t="n">
        <f aca="false">IFERROR(INDEX(Players!$F$2:$F$105,MATCH($F32,Players!$A$2:$A$105,0)),0)</f>
        <v>27</v>
      </c>
      <c r="O32" s="13" t="n">
        <f aca="false">IFERROR(1/(1/INDEX(Players!$H$2:$H$105,MATCH($F32,Players!$A$2:$A$105,0))),"")</f>
        <v>0.62</v>
      </c>
      <c r="P32" s="10" t="n">
        <f aca="false">IFERROR(1/(1/INDEX(Players!$I$2:$I$105,MATCH($F32,Players!$A$2:$A$105,0))),"")</f>
        <v>0.557</v>
      </c>
      <c r="Q32" s="9" t="n">
        <f aca="false">IF($G32="",0,SUMIFS(Map_Stats!$F$2:$F$642,Map_Stats!$A$2:$A$642,$F32&amp;"|"&amp;$G32))</f>
        <v>6</v>
      </c>
      <c r="R32" s="13" t="n">
        <f aca="false">IF($G32="","",IFERROR(1/(1/INDEX(Map_Stats!$K$2:$K$642,MATCH($F32&amp;"|"&amp;$G32,Map_Stats!$A$2:$A$642,0))),$O32))</f>
        <v>0.55</v>
      </c>
      <c r="S32" s="10" t="n">
        <f aca="false">IF(OR($G32="",$P32=""),"",IFERROR(1/(1/INDEX(Map_Stats!$I$2:$I$642,MATCH($F32&amp;"|"&amp;$G32,Map_Stats!$A$2:$A$642,0))),$P32))</f>
        <v>0.648</v>
      </c>
      <c r="T32" s="13" t="n">
        <f aca="false">IF(OR($G32="",R32=""),"",IF($O32="",R32,(Q32*R32+Config!$B$4*$O32)/(Q32+Config!$B$4)))</f>
        <v>0.581818181818182</v>
      </c>
      <c r="U32" s="10" t="n">
        <f aca="false">IF(S32="","",(Q32*S32+Config!$B$4*$P32)/(Q32+Config!$B$4))</f>
        <v>0.606636363636364</v>
      </c>
      <c r="V32" s="17" t="n">
        <f aca="false">IF(OR(T32="",$J32=""),"",T32*$J32*($J32/Config!$B$10)^Config!$B$9)</f>
        <v>12.2996363636364</v>
      </c>
      <c r="W32" s="17" t="n">
        <f aca="false">IF(OR(V32="",U32=""),"",V32*U32)</f>
        <v>7.46140667768595</v>
      </c>
      <c r="X32" s="9" t="n">
        <f aca="false">IF($H32="",0,SUMIFS(Map_Stats!$F$2:$F$642,Map_Stats!$A$2:$A$642,$F32&amp;"|"&amp;$H32))</f>
        <v>6</v>
      </c>
      <c r="Y32" s="13" t="n">
        <f aca="false">IF($H32="","",IFERROR(1/(1/INDEX(Map_Stats!$K$2:$K$642,MATCH($F32&amp;"|"&amp;$H32,Map_Stats!$A$2:$A$642,0))),$O32))</f>
        <v>0.64</v>
      </c>
      <c r="Z32" s="10" t="n">
        <f aca="false">IF(OR($H32="",$P32=""),"",IFERROR(1/(1/INDEX(Map_Stats!$I$2:$I$642,MATCH($F32&amp;"|"&amp;$H32,Map_Stats!$A$2:$A$642,0))),$P32))</f>
        <v>0.543</v>
      </c>
      <c r="AA32" s="13" t="n">
        <f aca="false">IF(OR($H32="",Y32=""),"",IF($O32="",Y32,(X32*Y32+Config!$B$4*$O32)/(X32+Config!$B$4)))</f>
        <v>0.630909090909091</v>
      </c>
      <c r="AB32" s="10" t="n">
        <f aca="false">IF(Z32="","",(X32*Z32+Config!$B$4*$P32)/(X32+Config!$B$4))</f>
        <v>0.549363636363636</v>
      </c>
      <c r="AC32" s="17" t="n">
        <f aca="false">IF(OR(AA32="",$K32=""),"",AA32*$K32*($K32/Config!$B$10)^Config!$B$9)</f>
        <v>13.3248</v>
      </c>
      <c r="AD32" s="17" t="n">
        <f aca="false">IF(OR(AC32="",AB32=""),"",AC32*AB32)</f>
        <v>7.32016058181818</v>
      </c>
      <c r="AE32" s="9" t="n">
        <f aca="false">IF($I32="",0,SUMIFS(Map_Stats!$F$2:$F$642,Map_Stats!$A$2:$A$642,$F32&amp;"|"&amp;$I32))</f>
        <v>3</v>
      </c>
      <c r="AF32" s="13" t="n">
        <f aca="false">IF($I32="","",IFERROR(1/(1/INDEX(Map_Stats!$K$2:$K$642,MATCH($F32&amp;"|"&amp;$I32,Map_Stats!$A$2:$A$642,0))),$O32))</f>
        <v>0.64</v>
      </c>
      <c r="AG32" s="10" t="n">
        <f aca="false">IF(OR($I32="",$P32=""),"",IFERROR(1/(1/INDEX(Map_Stats!$I$2:$I$642,MATCH($F32&amp;"|"&amp;$I32,Map_Stats!$A$2:$A$642,0))),$P32))</f>
        <v>0.564</v>
      </c>
      <c r="AH32" s="13" t="n">
        <f aca="false">IF(OR($I32="",AF32=""),"",IF($O32="",AF32,(AE32*AF32+Config!$B$4*$O32)/(AE32+Config!$B$4)))</f>
        <v>0.6275</v>
      </c>
      <c r="AI32" s="10" t="n">
        <f aca="false">IF(AG32="","",(AE32*AG32+Config!$B$4*$P32)/(AE32+Config!$B$4))</f>
        <v>0.559625</v>
      </c>
      <c r="AJ32" s="17" t="n">
        <f aca="false">IF(OR(AH32="",$L32=""),"",AH32*$L32*($L32/Config!$B$10)^Config!$B$9)</f>
        <v>13.49125</v>
      </c>
      <c r="AK32" s="17" t="n">
        <f aca="false">IF(OR(AJ32="",AI32=""),"",AJ32*AI32)</f>
        <v>7.55004078125</v>
      </c>
      <c r="AL32" s="17" t="n">
        <f aca="false">N(V32)+N(AC32)</f>
        <v>25.6244363636364</v>
      </c>
      <c r="AM32" s="17" t="n">
        <f aca="false">AL32+N($M32)*N(AJ32)</f>
        <v>31.7305761136364</v>
      </c>
      <c r="AN32" s="17" t="n">
        <f aca="false">IF(W32="","",N(W32)+N(AD32))</f>
        <v>14.7815672595041</v>
      </c>
      <c r="AO32" s="17" t="n">
        <f aca="false">IF(AN32="","",AN32+N($M32)*N(AK32))</f>
        <v>18.1987157170979</v>
      </c>
      <c r="AP32" s="10" t="n">
        <f aca="false">IFERROR(AN32/AL32,"")</f>
        <v>0.576854337388691</v>
      </c>
      <c r="AQ32" s="0" t="str">
        <f aca="false">TRIM(IF($N32&lt;Config!$B$12,"thin sample ("&amp;$N32&amp;" maps) · ","")&amp;IF(AND($G32&lt;&gt;"",Q32=0),"M1 unplayed→overall KPR · ","")&amp;IF(AND($H32&lt;&gt;"",X32=0),"M2 unplayed→overall KPR · ","")&amp;IF($O32="","no PickFinder stats",""))</f>
        <v/>
      </c>
      <c r="AR32" s="0" t="str">
        <f aca="false">IF($C32=Board!$B$2,COUNTIFS($C$2:$C$105,Board!$B$2,$AL$2:$AL$105,"&gt;"&amp;$AL32)+COUNTIFS($C$1:$C31,Board!$B$2,$AL$1:$AL31,$AL32)+1,"")</f>
        <v/>
      </c>
      <c r="AS32" s="0" t="str">
        <f aca="false">IFERROR(IF($D32=INDEX(Matches!$AD$5:$AD$17,MATCH($C32,Matches!$A$5:$A$17,0)),"A",IF($D32=INDEX(Matches!$AE$5:$AE$17,MATCH($C32,Matches!$A$5:$A$17,0)),"B","")),"")</f>
        <v>B</v>
      </c>
      <c r="AT32" s="10" t="n">
        <f aca="false">IF($AS32="","",IFERROR(IF($AS32="A",INDEX(Matches!$AI$5:$AI$17,MATCH($C32,Matches!$A$5:$A$17,0)),INDEX(Matches!$AJ$5:$AJ$17,MATCH($C32,Matches!$A$5:$A$17,0))),""))</f>
        <v>0.536454539434475</v>
      </c>
      <c r="AU32" s="10" t="n">
        <f aca="false">IF($AS32="","",IFERROR(IF(INDEX(Matches!$AP$5:$AP$17,MATCH($C32,Matches!$A$5:$A$17,0))="","",IF($AS32="A",INDEX(Matches!$AP$5:$AP$17,MATCH($C32,Matches!$A$5:$A$17,0)),1-INDEX(Matches!$AP$5:$AP$17,MATCH($C32,Matches!$A$5:$A$17,0)))),""))</f>
        <v>0.483326553348449</v>
      </c>
      <c r="AV32" s="13" t="n">
        <f aca="false">IF(OR($AU32="",$AT32=""),1,((Config!$B$14*$AU32+Config!$B$15*(1-$AU32))/(Config!$B$14*$AT32+Config!$B$15*(1-$AT32)))^Config!$B$13)</f>
        <v>0.954021733584802</v>
      </c>
      <c r="AW32" s="10" t="n">
        <f aca="false">IF($AS32="","",IFERROR(IF(INDEX(Matches!$AV$5:$AV$17,MATCH($C32,Matches!$A$5:$A$17,0))="","",IF($AS32="A",INDEX(Matches!$AV$5:$AV$17,MATCH($C32,Matches!$A$5:$A$17,0)),1-INDEX(Matches!$AV$5:$AV$17,MATCH($C32,Matches!$A$5:$A$17,0)))),""))</f>
        <v>0.529621704506902</v>
      </c>
      <c r="AX32" s="13" t="n">
        <f aca="false">IF(OR($AW32="",$AT32=""),1,((Config!$B$14*$AW32+Config!$B$15*(1-$AW32))/(Config!$B$14*$AT32+Config!$B$15*(1-$AT32)))^Config!$B$13)</f>
        <v>0.994086696526341</v>
      </c>
      <c r="AY32" s="10" t="n">
        <f aca="false">IF($AS32="","",IFERROR(IF(INDEX(Matches!$BB$5:$BB$17,MATCH($C32,Matches!$A$5:$A$17,0))="","",IF($AS32="A",INDEX(Matches!$BB$5:$BB$17,MATCH($C32,Matches!$A$5:$A$17,0)),1-INDEX(Matches!$BB$5:$BB$17,MATCH($C32,Matches!$A$5:$A$17,0)))),""))</f>
        <v>0.504342170199466</v>
      </c>
      <c r="AZ32" s="13" t="n">
        <f aca="false">IF(OR($AY32="",$AT32=""),1,((Config!$B$14*$AY32+Config!$B$15*(1-$AY32))/(Config!$B$14*$AT32+Config!$B$15*(1-$AT32)))^Config!$B$13)</f>
        <v>0.972209165513639</v>
      </c>
      <c r="BA32" s="17" t="n">
        <f aca="false">IF(V32="","",V32*$AV32)</f>
        <v>11.734120406099</v>
      </c>
      <c r="BB32" s="17" t="n">
        <f aca="false">IF(AC32="","",AC32*$AX32)</f>
        <v>13.2460064138742</v>
      </c>
      <c r="BC32" s="17" t="n">
        <f aca="false">IF(AJ32="","",AJ32*$AZ32)</f>
        <v>13.1163169042359</v>
      </c>
      <c r="BD32" s="17" t="n">
        <f aca="false">N(BA32)+N(BB32)</f>
        <v>24.9801268199732</v>
      </c>
      <c r="BE32" s="17" t="n">
        <f aca="false">BD32+N($M32)*N(BC32)</f>
        <v>30.9165718508304</v>
      </c>
      <c r="BF32" s="17" t="n">
        <f aca="false">IF(W32="","",W32*$AV32)</f>
        <v>7.11834413362717</v>
      </c>
      <c r="BG32" s="17" t="n">
        <f aca="false">IF(AD32="","",AD32*$AX32)</f>
        <v>7.27687425082197</v>
      </c>
      <c r="BH32" s="17" t="n">
        <f aca="false">IF(AK32="","",AK32*$AZ32)</f>
        <v>7.34021884753301</v>
      </c>
      <c r="BI32" s="17" t="n">
        <f aca="false">IF(BF32="","",N(BF32)+N(BG32))</f>
        <v>14.3952183844491</v>
      </c>
      <c r="BJ32" s="17" t="n">
        <f aca="false">IF(BI32="","",BI32+N($M32)*N(BH32))</f>
        <v>17.7174014348426</v>
      </c>
      <c r="BK32" s="13" t="n">
        <f aca="false">IFERROR(BD32/AL32,1)</f>
        <v>0.974855659866241</v>
      </c>
    </row>
    <row r="33" customFormat="false" ht="15" hidden="false" customHeight="false" outlineLevel="0" collapsed="false">
      <c r="A33" s="0" t="s">
        <v>963</v>
      </c>
      <c r="B33" s="0" t="s">
        <v>775</v>
      </c>
      <c r="C33" s="0" t="s">
        <v>800</v>
      </c>
      <c r="D33" s="0" t="s">
        <v>806</v>
      </c>
      <c r="E33" s="0" t="s">
        <v>962</v>
      </c>
      <c r="F33" s="0" t="s">
        <v>1198</v>
      </c>
      <c r="G33" s="0" t="str">
        <f aca="false">IFERROR(IF(INDEX(Matches!$W$5:$W$17,MATCH($C33,Matches!$A$5:$A$17,0))="","",INDEX(Matches!$W$5:$W$17,MATCH($C33,Matches!$A$5:$A$17,0))),"")</f>
        <v>Cache</v>
      </c>
      <c r="H33" s="0" t="str">
        <f aca="false">IFERROR(IF(INDEX(Matches!$X$5:$X$17,MATCH($C33,Matches!$A$5:$A$17,0))="","",INDEX(Matches!$X$5:$X$17,MATCH($C33,Matches!$A$5:$A$17,0))),"")</f>
        <v>Nuke</v>
      </c>
      <c r="I33" s="0" t="str">
        <f aca="false">IFERROR(IF(INDEX(Matches!$Y$5:$Y$17,MATCH($C33,Matches!$A$5:$A$17,0))="","",INDEX(Matches!$Y$5:$Y$17,MATCH($C33,Matches!$A$5:$A$17,0))),"")</f>
        <v>Ancient</v>
      </c>
      <c r="J33" s="11" t="n">
        <f aca="false">IFERROR(IF(INDEX(Matches!$Z$5:$Z$17,MATCH($C33,Matches!$A$5:$A$17,0))="","",INDEX(Matches!$Z$5:$Z$17,MATCH($C33,Matches!$A$5:$A$17,0))),"")</f>
        <v>21.14</v>
      </c>
      <c r="K33" s="11" t="n">
        <f aca="false">IFERROR(IF(INDEX(Matches!$AA$5:$AA$17,MATCH($C33,Matches!$A$5:$A$17,0))="","",INDEX(Matches!$AA$5:$AA$17,MATCH($C33,Matches!$A$5:$A$17,0))),"")</f>
        <v>21.12</v>
      </c>
      <c r="L33" s="11" t="n">
        <f aca="false">IFERROR(IF(INDEX(Matches!$AB$5:$AB$17,MATCH($C33,Matches!$A$5:$A$17,0))="","",INDEX(Matches!$AB$5:$AB$17,MATCH($C33,Matches!$A$5:$A$17,0))),"")</f>
        <v>21.5</v>
      </c>
      <c r="M33" s="10" t="n">
        <f aca="false">IFERROR(IF(INDEX(Matches!$AC$5:$AC$17,MATCH($C33,Matches!$A$5:$A$17,0))="","",INDEX(Matches!$AC$5:$AC$17,MATCH($C33,Matches!$A$5:$A$17,0))),"")</f>
        <v>0.4526</v>
      </c>
      <c r="N33" s="9" t="n">
        <f aca="false">IFERROR(INDEX(Players!$F$2:$F$105,MATCH($F33,Players!$A$2:$A$105,0)),0)</f>
        <v>27</v>
      </c>
      <c r="O33" s="13" t="n">
        <f aca="false">IFERROR(1/(1/INDEX(Players!$H$2:$H$105,MATCH($F33,Players!$A$2:$A$105,0))),"")</f>
        <v>0.68</v>
      </c>
      <c r="P33" s="10" t="n">
        <f aca="false">IFERROR(1/(1/INDEX(Players!$I$2:$I$105,MATCH($F33,Players!$A$2:$A$105,0))),"")</f>
        <v>0.71</v>
      </c>
      <c r="Q33" s="9" t="n">
        <f aca="false">IF($G33="",0,SUMIFS(Map_Stats!$F$2:$F$642,Map_Stats!$A$2:$A$642,$F33&amp;"|"&amp;$G33))</f>
        <v>6</v>
      </c>
      <c r="R33" s="13" t="n">
        <f aca="false">IF($G33="","",IFERROR(1/(1/INDEX(Map_Stats!$K$2:$K$642,MATCH($F33&amp;"|"&amp;$G33,Map_Stats!$A$2:$A$642,0))),$O33))</f>
        <v>0.63</v>
      </c>
      <c r="S33" s="10" t="n">
        <f aca="false">IF(OR($G33="",$P33=""),"",IFERROR(1/(1/INDEX(Map_Stats!$I$2:$I$642,MATCH($F33&amp;"|"&amp;$G33,Map_Stats!$A$2:$A$642,0))),$P33))</f>
        <v>0.716</v>
      </c>
      <c r="T33" s="13" t="n">
        <f aca="false">IF(OR($G33="",R33=""),"",IF($O33="",R33,(Q33*R33+Config!$B$4*$O33)/(Q33+Config!$B$4)))</f>
        <v>0.652727272727273</v>
      </c>
      <c r="U33" s="10" t="n">
        <f aca="false">IF(S33="","",(Q33*S33+Config!$B$4*$P33)/(Q33+Config!$B$4))</f>
        <v>0.713272727272727</v>
      </c>
      <c r="V33" s="17" t="n">
        <f aca="false">IF(OR(T33="",$J33=""),"",T33*$J33*($J33/Config!$B$10)^Config!$B$9)</f>
        <v>13.7986545454545</v>
      </c>
      <c r="W33" s="17" t="n">
        <f aca="false">IF(OR(V33="",U33=""),"",V33*U33)</f>
        <v>9.84220396033058</v>
      </c>
      <c r="X33" s="9" t="n">
        <f aca="false">IF($H33="",0,SUMIFS(Map_Stats!$F$2:$F$642,Map_Stats!$A$2:$A$642,$F33&amp;"|"&amp;$H33))</f>
        <v>6</v>
      </c>
      <c r="Y33" s="13" t="n">
        <f aca="false">IF($H33="","",IFERROR(1/(1/INDEX(Map_Stats!$K$2:$K$642,MATCH($F33&amp;"|"&amp;$H33,Map_Stats!$A$2:$A$642,0))),$O33))</f>
        <v>0.58</v>
      </c>
      <c r="Z33" s="10" t="n">
        <f aca="false">IF(OR($H33="",$P33=""),"",IFERROR(1/(1/INDEX(Map_Stats!$I$2:$I$642,MATCH($F33&amp;"|"&amp;$H33,Map_Stats!$A$2:$A$642,0))),$P33))</f>
        <v>0.737</v>
      </c>
      <c r="AA33" s="13" t="n">
        <f aca="false">IF(OR($H33="",Y33=""),"",IF($O33="",Y33,(X33*Y33+Config!$B$4*$O33)/(X33+Config!$B$4)))</f>
        <v>0.625454545454546</v>
      </c>
      <c r="AB33" s="10" t="n">
        <f aca="false">IF(Z33="","",(X33*Z33+Config!$B$4*$P33)/(X33+Config!$B$4))</f>
        <v>0.724727272727273</v>
      </c>
      <c r="AC33" s="17" t="n">
        <f aca="false">IF(OR(AA33="",$K33=""),"",AA33*$K33*($K33/Config!$B$10)^Config!$B$9)</f>
        <v>13.2096</v>
      </c>
      <c r="AD33" s="17" t="n">
        <f aca="false">IF(OR(AC33="",AB33=""),"",AC33*AB33)</f>
        <v>9.57335738181818</v>
      </c>
      <c r="AE33" s="9" t="n">
        <f aca="false">IF($I33="",0,SUMIFS(Map_Stats!$F$2:$F$642,Map_Stats!$A$2:$A$642,$F33&amp;"|"&amp;$I33))</f>
        <v>3</v>
      </c>
      <c r="AF33" s="13" t="n">
        <f aca="false">IF($I33="","",IFERROR(1/(1/INDEX(Map_Stats!$K$2:$K$642,MATCH($F33&amp;"|"&amp;$I33,Map_Stats!$A$2:$A$642,0))),$O33))</f>
        <v>0.62</v>
      </c>
      <c r="AG33" s="10" t="n">
        <f aca="false">IF(OR($I33="",$P33=""),"",IFERROR(1/(1/INDEX(Map_Stats!$I$2:$I$642,MATCH($F33&amp;"|"&amp;$I33,Map_Stats!$A$2:$A$642,0))),$P33))</f>
        <v>0.737</v>
      </c>
      <c r="AH33" s="13" t="n">
        <f aca="false">IF(OR($I33="",AF33=""),"",IF($O33="",AF33,(AE33*AF33+Config!$B$4*$O33)/(AE33+Config!$B$4)))</f>
        <v>0.6575</v>
      </c>
      <c r="AI33" s="10" t="n">
        <f aca="false">IF(AG33="","",(AE33*AG33+Config!$B$4*$P33)/(AE33+Config!$B$4))</f>
        <v>0.720125</v>
      </c>
      <c r="AJ33" s="17" t="n">
        <f aca="false">IF(OR(AH33="",$L33=""),"",AH33*$L33*($L33/Config!$B$10)^Config!$B$9)</f>
        <v>14.13625</v>
      </c>
      <c r="AK33" s="17" t="n">
        <f aca="false">IF(OR(AJ33="",AI33=""),"",AJ33*AI33)</f>
        <v>10.17986703125</v>
      </c>
      <c r="AL33" s="17" t="n">
        <f aca="false">N(V33)+N(AC33)</f>
        <v>27.0082545454545</v>
      </c>
      <c r="AM33" s="17" t="n">
        <f aca="false">AL33+N($M33)*N(AJ33)</f>
        <v>33.4063212954545</v>
      </c>
      <c r="AN33" s="17" t="n">
        <f aca="false">IF(W33="","",N(W33)+N(AD33))</f>
        <v>19.4155613421488</v>
      </c>
      <c r="AO33" s="17" t="n">
        <f aca="false">IF(AN33="","",AN33+N($M33)*N(AK33))</f>
        <v>24.0229691604925</v>
      </c>
      <c r="AP33" s="10" t="n">
        <f aca="false">IFERROR(AN33/AL33,"")</f>
        <v>0.718875087224634</v>
      </c>
      <c r="AQ33" s="0" t="str">
        <f aca="false">TRIM(IF($N33&lt;Config!$B$12,"thin sample ("&amp;$N33&amp;" maps) · ","")&amp;IF(AND($G33&lt;&gt;"",Q33=0),"M1 unplayed→overall KPR · ","")&amp;IF(AND($H33&lt;&gt;"",X33=0),"M2 unplayed→overall KPR · ","")&amp;IF($O33="","no PickFinder stats",""))</f>
        <v/>
      </c>
      <c r="AR33" s="0" t="str">
        <f aca="false">IF($C33=Board!$B$2,COUNTIFS($C$2:$C$105,Board!$B$2,$AL$2:$AL$105,"&gt;"&amp;$AL33)+COUNTIFS($C$1:$C32,Board!$B$2,$AL$1:$AL32,$AL33)+1,"")</f>
        <v/>
      </c>
      <c r="AS33" s="0" t="str">
        <f aca="false">IFERROR(IF($D33=INDEX(Matches!$AD$5:$AD$17,MATCH($C33,Matches!$A$5:$A$17,0)),"A",IF($D33=INDEX(Matches!$AE$5:$AE$17,MATCH($C33,Matches!$A$5:$A$17,0)),"B","")),"")</f>
        <v>B</v>
      </c>
      <c r="AT33" s="10" t="n">
        <f aca="false">IF($AS33="","",IFERROR(IF($AS33="A",INDEX(Matches!$AI$5:$AI$17,MATCH($C33,Matches!$A$5:$A$17,0)),INDEX(Matches!$AJ$5:$AJ$17,MATCH($C33,Matches!$A$5:$A$17,0))),""))</f>
        <v>0.536454539434475</v>
      </c>
      <c r="AU33" s="10" t="n">
        <f aca="false">IF($AS33="","",IFERROR(IF(INDEX(Matches!$AP$5:$AP$17,MATCH($C33,Matches!$A$5:$A$17,0))="","",IF($AS33="A",INDEX(Matches!$AP$5:$AP$17,MATCH($C33,Matches!$A$5:$A$17,0)),1-INDEX(Matches!$AP$5:$AP$17,MATCH($C33,Matches!$A$5:$A$17,0)))),""))</f>
        <v>0.483326553348449</v>
      </c>
      <c r="AV33" s="13" t="n">
        <f aca="false">IF(OR($AU33="",$AT33=""),1,((Config!$B$14*$AU33+Config!$B$15*(1-$AU33))/(Config!$B$14*$AT33+Config!$B$15*(1-$AT33)))^Config!$B$13)</f>
        <v>0.954021733584802</v>
      </c>
      <c r="AW33" s="10" t="n">
        <f aca="false">IF($AS33="","",IFERROR(IF(INDEX(Matches!$AV$5:$AV$17,MATCH($C33,Matches!$A$5:$A$17,0))="","",IF($AS33="A",INDEX(Matches!$AV$5:$AV$17,MATCH($C33,Matches!$A$5:$A$17,0)),1-INDEX(Matches!$AV$5:$AV$17,MATCH($C33,Matches!$A$5:$A$17,0)))),""))</f>
        <v>0.529621704506902</v>
      </c>
      <c r="AX33" s="13" t="n">
        <f aca="false">IF(OR($AW33="",$AT33=""),1,((Config!$B$14*$AW33+Config!$B$15*(1-$AW33))/(Config!$B$14*$AT33+Config!$B$15*(1-$AT33)))^Config!$B$13)</f>
        <v>0.994086696526341</v>
      </c>
      <c r="AY33" s="10" t="n">
        <f aca="false">IF($AS33="","",IFERROR(IF(INDEX(Matches!$BB$5:$BB$17,MATCH($C33,Matches!$A$5:$A$17,0))="","",IF($AS33="A",INDEX(Matches!$BB$5:$BB$17,MATCH($C33,Matches!$A$5:$A$17,0)),1-INDEX(Matches!$BB$5:$BB$17,MATCH($C33,Matches!$A$5:$A$17,0)))),""))</f>
        <v>0.504342170199466</v>
      </c>
      <c r="AZ33" s="13" t="n">
        <f aca="false">IF(OR($AY33="",$AT33=""),1,((Config!$B$14*$AY33+Config!$B$15*(1-$AY33))/(Config!$B$14*$AT33+Config!$B$15*(1-$AT33)))^Config!$B$13)</f>
        <v>0.972209165513639</v>
      </c>
      <c r="BA33" s="17" t="n">
        <f aca="false">IF(V33="","",V33*$AV33)</f>
        <v>13.1642163305924</v>
      </c>
      <c r="BB33" s="17" t="n">
        <f aca="false">IF(AC33="","",AC33*$AX33)</f>
        <v>13.1314876264344</v>
      </c>
      <c r="BC33" s="17" t="n">
        <f aca="false">IF(AJ33="","",AJ33*$AZ33)</f>
        <v>13.7433918159922</v>
      </c>
      <c r="BD33" s="17" t="n">
        <f aca="false">N(BA33)+N(BB33)</f>
        <v>26.2957039570267</v>
      </c>
      <c r="BE33" s="17" t="n">
        <f aca="false">BD33+N($M33)*N(BC33)</f>
        <v>32.5159630929448</v>
      </c>
      <c r="BF33" s="17" t="n">
        <f aca="false">IF(W33="","",W33*$AV33)</f>
        <v>9.38967648452978</v>
      </c>
      <c r="BG33" s="17" t="n">
        <f aca="false">IF(AD33="","",AD33*$AX33)</f>
        <v>9.5167472143577</v>
      </c>
      <c r="BH33" s="17" t="n">
        <f aca="false">IF(AK33="","",AK33*$AZ33)</f>
        <v>9.89696003149137</v>
      </c>
      <c r="BI33" s="17" t="n">
        <f aca="false">IF(BF33="","",N(BF33)+N(BG33))</f>
        <v>18.9064236988875</v>
      </c>
      <c r="BJ33" s="17" t="n">
        <f aca="false">IF(BI33="","",BI33+N($M33)*N(BH33))</f>
        <v>23.3857878091405</v>
      </c>
      <c r="BK33" s="13" t="n">
        <f aca="false">IFERROR(BD33/AL33,1)</f>
        <v>0.973617303286718</v>
      </c>
    </row>
    <row r="34" customFormat="false" ht="15" hidden="false" customHeight="false" outlineLevel="0" collapsed="false">
      <c r="A34" s="0" t="s">
        <v>965</v>
      </c>
      <c r="B34" s="0" t="s">
        <v>775</v>
      </c>
      <c r="C34" s="0" t="s">
        <v>800</v>
      </c>
      <c r="D34" s="0" t="s">
        <v>806</v>
      </c>
      <c r="E34" s="0" t="s">
        <v>964</v>
      </c>
      <c r="F34" s="0" t="s">
        <v>1199</v>
      </c>
      <c r="G34" s="0" t="str">
        <f aca="false">IFERROR(IF(INDEX(Matches!$W$5:$W$17,MATCH($C34,Matches!$A$5:$A$17,0))="","",INDEX(Matches!$W$5:$W$17,MATCH($C34,Matches!$A$5:$A$17,0))),"")</f>
        <v>Cache</v>
      </c>
      <c r="H34" s="0" t="str">
        <f aca="false">IFERROR(IF(INDEX(Matches!$X$5:$X$17,MATCH($C34,Matches!$A$5:$A$17,0))="","",INDEX(Matches!$X$5:$X$17,MATCH($C34,Matches!$A$5:$A$17,0))),"")</f>
        <v>Nuke</v>
      </c>
      <c r="I34" s="0" t="str">
        <f aca="false">IFERROR(IF(INDEX(Matches!$Y$5:$Y$17,MATCH($C34,Matches!$A$5:$A$17,0))="","",INDEX(Matches!$Y$5:$Y$17,MATCH($C34,Matches!$A$5:$A$17,0))),"")</f>
        <v>Ancient</v>
      </c>
      <c r="J34" s="11" t="n">
        <f aca="false">IFERROR(IF(INDEX(Matches!$Z$5:$Z$17,MATCH($C34,Matches!$A$5:$A$17,0))="","",INDEX(Matches!$Z$5:$Z$17,MATCH($C34,Matches!$A$5:$A$17,0))),"")</f>
        <v>21.14</v>
      </c>
      <c r="K34" s="11" t="n">
        <f aca="false">IFERROR(IF(INDEX(Matches!$AA$5:$AA$17,MATCH($C34,Matches!$A$5:$A$17,0))="","",INDEX(Matches!$AA$5:$AA$17,MATCH($C34,Matches!$A$5:$A$17,0))),"")</f>
        <v>21.12</v>
      </c>
      <c r="L34" s="11" t="n">
        <f aca="false">IFERROR(IF(INDEX(Matches!$AB$5:$AB$17,MATCH($C34,Matches!$A$5:$A$17,0))="","",INDEX(Matches!$AB$5:$AB$17,MATCH($C34,Matches!$A$5:$A$17,0))),"")</f>
        <v>21.5</v>
      </c>
      <c r="M34" s="10" t="n">
        <f aca="false">IFERROR(IF(INDEX(Matches!$AC$5:$AC$17,MATCH($C34,Matches!$A$5:$A$17,0))="","",INDEX(Matches!$AC$5:$AC$17,MATCH($C34,Matches!$A$5:$A$17,0))),"")</f>
        <v>0.4526</v>
      </c>
      <c r="N34" s="9" t="n">
        <f aca="false">IFERROR(INDEX(Players!$F$2:$F$105,MATCH($F34,Players!$A$2:$A$105,0)),0)</f>
        <v>27</v>
      </c>
      <c r="O34" s="13" t="n">
        <f aca="false">IFERROR(1/(1/INDEX(Players!$H$2:$H$105,MATCH($F34,Players!$A$2:$A$105,0))),"")</f>
        <v>0.76</v>
      </c>
      <c r="P34" s="10" t="n">
        <f aca="false">IFERROR(1/(1/INDEX(Players!$I$2:$I$105,MATCH($F34,Players!$A$2:$A$105,0))),"")</f>
        <v>0.415</v>
      </c>
      <c r="Q34" s="9" t="n">
        <f aca="false">IF($G34="",0,SUMIFS(Map_Stats!$F$2:$F$642,Map_Stats!$A$2:$A$642,$F34&amp;"|"&amp;$G34))</f>
        <v>6</v>
      </c>
      <c r="R34" s="13" t="n">
        <f aca="false">IF($G34="","",IFERROR(1/(1/INDEX(Map_Stats!$K$2:$K$642,MATCH($F34&amp;"|"&amp;$G34,Map_Stats!$A$2:$A$642,0))),$O34))</f>
        <v>0.76</v>
      </c>
      <c r="S34" s="10" t="n">
        <f aca="false">IF(OR($G34="",$P34=""),"",IFERROR(1/(1/INDEX(Map_Stats!$I$2:$I$642,MATCH($F34&amp;"|"&amp;$G34,Map_Stats!$A$2:$A$642,0))),$P34))</f>
        <v>0.299</v>
      </c>
      <c r="T34" s="13" t="n">
        <f aca="false">IF(OR($G34="",R34=""),"",IF($O34="",R34,(Q34*R34+Config!$B$4*$O34)/(Q34+Config!$B$4)))</f>
        <v>0.76</v>
      </c>
      <c r="U34" s="10" t="n">
        <f aca="false">IF(S34="","",(Q34*S34+Config!$B$4*$P34)/(Q34+Config!$B$4))</f>
        <v>0.351727272727273</v>
      </c>
      <c r="V34" s="17" t="n">
        <f aca="false">IF(OR(T34="",$J34=""),"",T34*$J34*($J34/Config!$B$10)^Config!$B$9)</f>
        <v>16.0664</v>
      </c>
      <c r="W34" s="17" t="n">
        <f aca="false">IF(OR(V34="",U34=""),"",V34*U34)</f>
        <v>5.65099105454545</v>
      </c>
      <c r="X34" s="9" t="n">
        <f aca="false">IF($H34="",0,SUMIFS(Map_Stats!$F$2:$F$642,Map_Stats!$A$2:$A$642,$F34&amp;"|"&amp;$H34))</f>
        <v>6</v>
      </c>
      <c r="Y34" s="13" t="n">
        <f aca="false">IF($H34="","",IFERROR(1/(1/INDEX(Map_Stats!$K$2:$K$642,MATCH($F34&amp;"|"&amp;$H34,Map_Stats!$A$2:$A$642,0))),$O34))</f>
        <v>0.87</v>
      </c>
      <c r="Z34" s="10" t="n">
        <f aca="false">IF(OR($H34="",$P34=""),"",IFERROR(1/(1/INDEX(Map_Stats!$I$2:$I$642,MATCH($F34&amp;"|"&amp;$H34,Map_Stats!$A$2:$A$642,0))),$P34))</f>
        <v>0.486</v>
      </c>
      <c r="AA34" s="13" t="n">
        <f aca="false">IF(OR($H34="",Y34=""),"",IF($O34="",Y34,(X34*Y34+Config!$B$4*$O34)/(X34+Config!$B$4)))</f>
        <v>0.82</v>
      </c>
      <c r="AB34" s="10" t="n">
        <f aca="false">IF(Z34="","",(X34*Z34+Config!$B$4*$P34)/(X34+Config!$B$4))</f>
        <v>0.453727272727273</v>
      </c>
      <c r="AC34" s="17" t="n">
        <f aca="false">IF(OR(AA34="",$K34=""),"",AA34*$K34*($K34/Config!$B$10)^Config!$B$9)</f>
        <v>17.3184</v>
      </c>
      <c r="AD34" s="17" t="n">
        <f aca="false">IF(OR(AC34="",AB34=""),"",AC34*AB34)</f>
        <v>7.8578304</v>
      </c>
      <c r="AE34" s="9" t="n">
        <f aca="false">IF($I34="",0,SUMIFS(Map_Stats!$F$2:$F$642,Map_Stats!$A$2:$A$642,$F34&amp;"|"&amp;$I34))</f>
        <v>3</v>
      </c>
      <c r="AF34" s="13" t="n">
        <f aca="false">IF($I34="","",IFERROR(1/(1/INDEX(Map_Stats!$K$2:$K$642,MATCH($F34&amp;"|"&amp;$I34,Map_Stats!$A$2:$A$642,0))),$O34))</f>
        <v>0.75</v>
      </c>
      <c r="AG34" s="10" t="n">
        <f aca="false">IF(OR($I34="",$P34=""),"",IFERROR(1/(1/INDEX(Map_Stats!$I$2:$I$642,MATCH($F34&amp;"|"&amp;$I34,Map_Stats!$A$2:$A$642,0))),$P34))</f>
        <v>0.457</v>
      </c>
      <c r="AH34" s="13" t="n">
        <f aca="false">IF(OR($I34="",AF34=""),"",IF($O34="",AF34,(AE34*AF34+Config!$B$4*$O34)/(AE34+Config!$B$4)))</f>
        <v>0.75625</v>
      </c>
      <c r="AI34" s="10" t="n">
        <f aca="false">IF(AG34="","",(AE34*AG34+Config!$B$4*$P34)/(AE34+Config!$B$4))</f>
        <v>0.43075</v>
      </c>
      <c r="AJ34" s="17" t="n">
        <f aca="false">IF(OR(AH34="",$L34=""),"",AH34*$L34*($L34/Config!$B$10)^Config!$B$9)</f>
        <v>16.259375</v>
      </c>
      <c r="AK34" s="17" t="n">
        <f aca="false">IF(OR(AJ34="",AI34=""),"",AJ34*AI34)</f>
        <v>7.00372578125</v>
      </c>
      <c r="AL34" s="17" t="n">
        <f aca="false">N(V34)+N(AC34)</f>
        <v>33.3848</v>
      </c>
      <c r="AM34" s="17" t="n">
        <f aca="false">AL34+N($M34)*N(AJ34)</f>
        <v>40.743793125</v>
      </c>
      <c r="AN34" s="17" t="n">
        <f aca="false">IF(W34="","",N(W34)+N(AD34))</f>
        <v>13.5088214545455</v>
      </c>
      <c r="AO34" s="17" t="n">
        <f aca="false">IF(AN34="","",AN34+N($M34)*N(AK34))</f>
        <v>16.6787077431392</v>
      </c>
      <c r="AP34" s="10" t="n">
        <f aca="false">IFERROR(AN34/AL34,"")</f>
        <v>0.404639879662165</v>
      </c>
      <c r="AQ34" s="0" t="str">
        <f aca="false">TRIM(IF($N34&lt;Config!$B$12,"thin sample ("&amp;$N34&amp;" maps) · ","")&amp;IF(AND($G34&lt;&gt;"",Q34=0),"M1 unplayed→overall KPR · ","")&amp;IF(AND($H34&lt;&gt;"",X34=0),"M2 unplayed→overall KPR · ","")&amp;IF($O34="","no PickFinder stats",""))</f>
        <v/>
      </c>
      <c r="AR34" s="0" t="str">
        <f aca="false">IF($C34=Board!$B$2,COUNTIFS($C$2:$C$105,Board!$B$2,$AL$2:$AL$105,"&gt;"&amp;$AL34)+COUNTIFS($C$1:$C33,Board!$B$2,$AL$1:$AL33,$AL34)+1,"")</f>
        <v/>
      </c>
      <c r="AS34" s="0" t="str">
        <f aca="false">IFERROR(IF($D34=INDEX(Matches!$AD$5:$AD$17,MATCH($C34,Matches!$A$5:$A$17,0)),"A",IF($D34=INDEX(Matches!$AE$5:$AE$17,MATCH($C34,Matches!$A$5:$A$17,0)),"B","")),"")</f>
        <v>B</v>
      </c>
      <c r="AT34" s="10" t="n">
        <f aca="false">IF($AS34="","",IFERROR(IF($AS34="A",INDEX(Matches!$AI$5:$AI$17,MATCH($C34,Matches!$A$5:$A$17,0)),INDEX(Matches!$AJ$5:$AJ$17,MATCH($C34,Matches!$A$5:$A$17,0))),""))</f>
        <v>0.536454539434475</v>
      </c>
      <c r="AU34" s="10" t="n">
        <f aca="false">IF($AS34="","",IFERROR(IF(INDEX(Matches!$AP$5:$AP$17,MATCH($C34,Matches!$A$5:$A$17,0))="","",IF($AS34="A",INDEX(Matches!$AP$5:$AP$17,MATCH($C34,Matches!$A$5:$A$17,0)),1-INDEX(Matches!$AP$5:$AP$17,MATCH($C34,Matches!$A$5:$A$17,0)))),""))</f>
        <v>0.483326553348449</v>
      </c>
      <c r="AV34" s="13" t="n">
        <f aca="false">IF(OR($AU34="",$AT34=""),1,((Config!$B$14*$AU34+Config!$B$15*(1-$AU34))/(Config!$B$14*$AT34+Config!$B$15*(1-$AT34)))^Config!$B$13)</f>
        <v>0.954021733584802</v>
      </c>
      <c r="AW34" s="10" t="n">
        <f aca="false">IF($AS34="","",IFERROR(IF(INDEX(Matches!$AV$5:$AV$17,MATCH($C34,Matches!$A$5:$A$17,0))="","",IF($AS34="A",INDEX(Matches!$AV$5:$AV$17,MATCH($C34,Matches!$A$5:$A$17,0)),1-INDEX(Matches!$AV$5:$AV$17,MATCH($C34,Matches!$A$5:$A$17,0)))),""))</f>
        <v>0.529621704506902</v>
      </c>
      <c r="AX34" s="13" t="n">
        <f aca="false">IF(OR($AW34="",$AT34=""),1,((Config!$B$14*$AW34+Config!$B$15*(1-$AW34))/(Config!$B$14*$AT34+Config!$B$15*(1-$AT34)))^Config!$B$13)</f>
        <v>0.994086696526341</v>
      </c>
      <c r="AY34" s="10" t="n">
        <f aca="false">IF($AS34="","",IFERROR(IF(INDEX(Matches!$BB$5:$BB$17,MATCH($C34,Matches!$A$5:$A$17,0))="","",IF($AS34="A",INDEX(Matches!$BB$5:$BB$17,MATCH($C34,Matches!$A$5:$A$17,0)),1-INDEX(Matches!$BB$5:$BB$17,MATCH($C34,Matches!$A$5:$A$17,0)))),""))</f>
        <v>0.504342170199466</v>
      </c>
      <c r="AZ34" s="13" t="n">
        <f aca="false">IF(OR($AY34="",$AT34=""),1,((Config!$B$14*$AY34+Config!$B$15*(1-$AY34))/(Config!$B$14*$AT34+Config!$B$15*(1-$AT34)))^Config!$B$13)</f>
        <v>0.972209165513639</v>
      </c>
      <c r="BA34" s="17" t="n">
        <f aca="false">IF(V34="","",V34*$AV34)</f>
        <v>15.3276947804669</v>
      </c>
      <c r="BB34" s="17" t="n">
        <f aca="false">IF(AC34="","",AC34*$AX34)</f>
        <v>17.2159910451218</v>
      </c>
      <c r="BC34" s="17" t="n">
        <f aca="false">IF(AJ34="","",AJ34*$AZ34)</f>
        <v>15.8075134005233</v>
      </c>
      <c r="BD34" s="17" t="n">
        <f aca="false">N(BA34)+N(BB34)</f>
        <v>32.5436858255886</v>
      </c>
      <c r="BE34" s="17" t="n">
        <f aca="false">BD34+N($M34)*N(BC34)</f>
        <v>39.6981663906655</v>
      </c>
      <c r="BF34" s="17" t="n">
        <f aca="false">IF(W34="","",W34*$AV34)</f>
        <v>5.39116828232966</v>
      </c>
      <c r="BG34" s="17" t="n">
        <f aca="false">IF(AD34="","",AD34*$AX34)</f>
        <v>7.81136466420025</v>
      </c>
      <c r="BH34" s="17" t="n">
        <f aca="false">IF(AK34="","",AK34*$AZ34)</f>
        <v>6.80908639727542</v>
      </c>
      <c r="BI34" s="17" t="n">
        <f aca="false">IF(BF34="","",N(BF34)+N(BG34))</f>
        <v>13.2025329465299</v>
      </c>
      <c r="BJ34" s="17" t="n">
        <f aca="false">IF(BI34="","",BI34+N($M34)*N(BH34))</f>
        <v>16.2843254499368</v>
      </c>
      <c r="BK34" s="13" t="n">
        <f aca="false">IFERROR(BD34/AL34,1)</f>
        <v>0.974805475114083</v>
      </c>
    </row>
    <row r="35" customFormat="false" ht="15" hidden="false" customHeight="false" outlineLevel="0" collapsed="false">
      <c r="A35" s="0" t="s">
        <v>967</v>
      </c>
      <c r="B35" s="0" t="s">
        <v>775</v>
      </c>
      <c r="C35" s="0" t="s">
        <v>800</v>
      </c>
      <c r="D35" s="0" t="s">
        <v>806</v>
      </c>
      <c r="E35" s="0" t="s">
        <v>966</v>
      </c>
      <c r="F35" s="0" t="s">
        <v>1200</v>
      </c>
      <c r="G35" s="0" t="str">
        <f aca="false">IFERROR(IF(INDEX(Matches!$W$5:$W$17,MATCH($C35,Matches!$A$5:$A$17,0))="","",INDEX(Matches!$W$5:$W$17,MATCH($C35,Matches!$A$5:$A$17,0))),"")</f>
        <v>Cache</v>
      </c>
      <c r="H35" s="0" t="str">
        <f aca="false">IFERROR(IF(INDEX(Matches!$X$5:$X$17,MATCH($C35,Matches!$A$5:$A$17,0))="","",INDEX(Matches!$X$5:$X$17,MATCH($C35,Matches!$A$5:$A$17,0))),"")</f>
        <v>Nuke</v>
      </c>
      <c r="I35" s="0" t="str">
        <f aca="false">IFERROR(IF(INDEX(Matches!$Y$5:$Y$17,MATCH($C35,Matches!$A$5:$A$17,0))="","",INDEX(Matches!$Y$5:$Y$17,MATCH($C35,Matches!$A$5:$A$17,0))),"")</f>
        <v>Ancient</v>
      </c>
      <c r="J35" s="11" t="n">
        <f aca="false">IFERROR(IF(INDEX(Matches!$Z$5:$Z$17,MATCH($C35,Matches!$A$5:$A$17,0))="","",INDEX(Matches!$Z$5:$Z$17,MATCH($C35,Matches!$A$5:$A$17,0))),"")</f>
        <v>21.14</v>
      </c>
      <c r="K35" s="11" t="n">
        <f aca="false">IFERROR(IF(INDEX(Matches!$AA$5:$AA$17,MATCH($C35,Matches!$A$5:$A$17,0))="","",INDEX(Matches!$AA$5:$AA$17,MATCH($C35,Matches!$A$5:$A$17,0))),"")</f>
        <v>21.12</v>
      </c>
      <c r="L35" s="11" t="n">
        <f aca="false">IFERROR(IF(INDEX(Matches!$AB$5:$AB$17,MATCH($C35,Matches!$A$5:$A$17,0))="","",INDEX(Matches!$AB$5:$AB$17,MATCH($C35,Matches!$A$5:$A$17,0))),"")</f>
        <v>21.5</v>
      </c>
      <c r="M35" s="10" t="n">
        <f aca="false">IFERROR(IF(INDEX(Matches!$AC$5:$AC$17,MATCH($C35,Matches!$A$5:$A$17,0))="","",INDEX(Matches!$AC$5:$AC$17,MATCH($C35,Matches!$A$5:$A$17,0))),"")</f>
        <v>0.4526</v>
      </c>
      <c r="N35" s="9" t="n">
        <f aca="false">IFERROR(INDEX(Players!$F$2:$F$105,MATCH($F35,Players!$A$2:$A$105,0)),0)</f>
        <v>27</v>
      </c>
      <c r="O35" s="13" t="n">
        <f aca="false">IFERROR(1/(1/INDEX(Players!$H$2:$H$105,MATCH($F35,Players!$A$2:$A$105,0))),"")</f>
        <v>0.74</v>
      </c>
      <c r="P35" s="10" t="n">
        <f aca="false">IFERROR(1/(1/INDEX(Players!$I$2:$I$105,MATCH($F35,Players!$A$2:$A$105,0))),"")</f>
        <v>0.6</v>
      </c>
      <c r="Q35" s="9" t="n">
        <f aca="false">IF($G35="",0,SUMIFS(Map_Stats!$F$2:$F$642,Map_Stats!$A$2:$A$642,$F35&amp;"|"&amp;$G35))</f>
        <v>6</v>
      </c>
      <c r="R35" s="13" t="n">
        <f aca="false">IF($G35="","",IFERROR(1/(1/INDEX(Map_Stats!$K$2:$K$642,MATCH($F35&amp;"|"&amp;$G35,Map_Stats!$A$2:$A$642,0))),$O35))</f>
        <v>0.9</v>
      </c>
      <c r="S35" s="10" t="n">
        <f aca="false">IF(OR($G35="",$P35=""),"",IFERROR(1/(1/INDEX(Map_Stats!$I$2:$I$642,MATCH($F35&amp;"|"&amp;$G35,Map_Stats!$A$2:$A$642,0))),$P35))</f>
        <v>0.626</v>
      </c>
      <c r="T35" s="13" t="n">
        <f aca="false">IF(OR($G35="",R35=""),"",IF($O35="",R35,(Q35*R35+Config!$B$4*$O35)/(Q35+Config!$B$4)))</f>
        <v>0.827272727272727</v>
      </c>
      <c r="U35" s="10" t="n">
        <f aca="false">IF(S35="","",(Q35*S35+Config!$B$4*$P35)/(Q35+Config!$B$4))</f>
        <v>0.614181818181818</v>
      </c>
      <c r="V35" s="17" t="n">
        <f aca="false">IF(OR(T35="",$J35=""),"",T35*$J35*($J35/Config!$B$10)^Config!$B$9)</f>
        <v>17.4885454545455</v>
      </c>
      <c r="W35" s="17" t="n">
        <f aca="false">IF(OR(V35="",U35=""),"",V35*U35)</f>
        <v>10.7411466446281</v>
      </c>
      <c r="X35" s="9" t="n">
        <f aca="false">IF($H35="",0,SUMIFS(Map_Stats!$F$2:$F$642,Map_Stats!$A$2:$A$642,$F35&amp;"|"&amp;$H35))</f>
        <v>6</v>
      </c>
      <c r="Y35" s="13" t="n">
        <f aca="false">IF($H35="","",IFERROR(1/(1/INDEX(Map_Stats!$K$2:$K$642,MATCH($F35&amp;"|"&amp;$H35,Map_Stats!$A$2:$A$642,0))),$O35))</f>
        <v>0.71</v>
      </c>
      <c r="Z35" s="10" t="n">
        <f aca="false">IF(OR($H35="",$P35=""),"",IFERROR(1/(1/INDEX(Map_Stats!$I$2:$I$642,MATCH($F35&amp;"|"&amp;$H35,Map_Stats!$A$2:$A$642,0))),$P35))</f>
        <v>0.69</v>
      </c>
      <c r="AA35" s="13" t="n">
        <f aca="false">IF(OR($H35="",Y35=""),"",IF($O35="",Y35,(X35*Y35+Config!$B$4*$O35)/(X35+Config!$B$4)))</f>
        <v>0.723636363636364</v>
      </c>
      <c r="AB35" s="10" t="n">
        <f aca="false">IF(Z35="","",(X35*Z35+Config!$B$4*$P35)/(X35+Config!$B$4))</f>
        <v>0.649090909090909</v>
      </c>
      <c r="AC35" s="17" t="n">
        <f aca="false">IF(OR(AA35="",$K35=""),"",AA35*$K35*($K35/Config!$B$10)^Config!$B$9)</f>
        <v>15.2832</v>
      </c>
      <c r="AD35" s="17" t="n">
        <f aca="false">IF(OR(AC35="",AB35=""),"",AC35*AB35)</f>
        <v>9.92018618181818</v>
      </c>
      <c r="AE35" s="9" t="n">
        <f aca="false">IF($I35="",0,SUMIFS(Map_Stats!$F$2:$F$642,Map_Stats!$A$2:$A$642,$F35&amp;"|"&amp;$I35))</f>
        <v>3</v>
      </c>
      <c r="AF35" s="13" t="n">
        <f aca="false">IF($I35="","",IFERROR(1/(1/INDEX(Map_Stats!$K$2:$K$642,MATCH($F35&amp;"|"&amp;$I35,Map_Stats!$A$2:$A$642,0))),$O35))</f>
        <v>0.48</v>
      </c>
      <c r="AG35" s="10" t="n">
        <f aca="false">IF(OR($I35="",$P35=""),"",IFERROR(1/(1/INDEX(Map_Stats!$I$2:$I$642,MATCH($F35&amp;"|"&amp;$I35,Map_Stats!$A$2:$A$642,0))),$P35))</f>
        <v>0.586</v>
      </c>
      <c r="AH35" s="13" t="n">
        <f aca="false">IF(OR($I35="",AF35=""),"",IF($O35="",AF35,(AE35*AF35+Config!$B$4*$O35)/(AE35+Config!$B$4)))</f>
        <v>0.6425</v>
      </c>
      <c r="AI35" s="10" t="n">
        <f aca="false">IF(AG35="","",(AE35*AG35+Config!$B$4*$P35)/(AE35+Config!$B$4))</f>
        <v>0.59475</v>
      </c>
      <c r="AJ35" s="17" t="n">
        <f aca="false">IF(OR(AH35="",$L35=""),"",AH35*$L35*($L35/Config!$B$10)^Config!$B$9)</f>
        <v>13.81375</v>
      </c>
      <c r="AK35" s="17" t="n">
        <f aca="false">IF(OR(AJ35="",AI35=""),"",AJ35*AI35)</f>
        <v>8.2157278125</v>
      </c>
      <c r="AL35" s="17" t="n">
        <f aca="false">N(V35)+N(AC35)</f>
        <v>32.7717454545455</v>
      </c>
      <c r="AM35" s="17" t="n">
        <f aca="false">AL35+N($M35)*N(AJ35)</f>
        <v>39.0238487045455</v>
      </c>
      <c r="AN35" s="17" t="n">
        <f aca="false">IF(W35="","",N(W35)+N(AD35))</f>
        <v>20.6613328264463</v>
      </c>
      <c r="AO35" s="17" t="n">
        <f aca="false">IF(AN35="","",AN35+N($M35)*N(AK35))</f>
        <v>24.3797712343838</v>
      </c>
      <c r="AP35" s="10" t="n">
        <f aca="false">IFERROR(AN35/AL35,"")</f>
        <v>0.630461775528668</v>
      </c>
      <c r="AQ35" s="0" t="str">
        <f aca="false">TRIM(IF($N35&lt;Config!$B$12,"thin sample ("&amp;$N35&amp;" maps) · ","")&amp;IF(AND($G35&lt;&gt;"",Q35=0),"M1 unplayed→overall KPR · ","")&amp;IF(AND($H35&lt;&gt;"",X35=0),"M2 unplayed→overall KPR · ","")&amp;IF($O35="","no PickFinder stats",""))</f>
        <v/>
      </c>
      <c r="AR35" s="0" t="str">
        <f aca="false">IF($C35=Board!$B$2,COUNTIFS($C$2:$C$105,Board!$B$2,$AL$2:$AL$105,"&gt;"&amp;$AL35)+COUNTIFS($C$1:$C34,Board!$B$2,$AL$1:$AL34,$AL35)+1,"")</f>
        <v/>
      </c>
      <c r="AS35" s="0" t="str">
        <f aca="false">IFERROR(IF($D35=INDEX(Matches!$AD$5:$AD$17,MATCH($C35,Matches!$A$5:$A$17,0)),"A",IF($D35=INDEX(Matches!$AE$5:$AE$17,MATCH($C35,Matches!$A$5:$A$17,0)),"B","")),"")</f>
        <v>B</v>
      </c>
      <c r="AT35" s="10" t="n">
        <f aca="false">IF($AS35="","",IFERROR(IF($AS35="A",INDEX(Matches!$AI$5:$AI$17,MATCH($C35,Matches!$A$5:$A$17,0)),INDEX(Matches!$AJ$5:$AJ$17,MATCH($C35,Matches!$A$5:$A$17,0))),""))</f>
        <v>0.536454539434475</v>
      </c>
      <c r="AU35" s="10" t="n">
        <f aca="false">IF($AS35="","",IFERROR(IF(INDEX(Matches!$AP$5:$AP$17,MATCH($C35,Matches!$A$5:$A$17,0))="","",IF($AS35="A",INDEX(Matches!$AP$5:$AP$17,MATCH($C35,Matches!$A$5:$A$17,0)),1-INDEX(Matches!$AP$5:$AP$17,MATCH($C35,Matches!$A$5:$A$17,0)))),""))</f>
        <v>0.483326553348449</v>
      </c>
      <c r="AV35" s="13" t="n">
        <f aca="false">IF(OR($AU35="",$AT35=""),1,((Config!$B$14*$AU35+Config!$B$15*(1-$AU35))/(Config!$B$14*$AT35+Config!$B$15*(1-$AT35)))^Config!$B$13)</f>
        <v>0.954021733584802</v>
      </c>
      <c r="AW35" s="10" t="n">
        <f aca="false">IF($AS35="","",IFERROR(IF(INDEX(Matches!$AV$5:$AV$17,MATCH($C35,Matches!$A$5:$A$17,0))="","",IF($AS35="A",INDEX(Matches!$AV$5:$AV$17,MATCH($C35,Matches!$A$5:$A$17,0)),1-INDEX(Matches!$AV$5:$AV$17,MATCH($C35,Matches!$A$5:$A$17,0)))),""))</f>
        <v>0.529621704506902</v>
      </c>
      <c r="AX35" s="13" t="n">
        <f aca="false">IF(OR($AW35="",$AT35=""),1,((Config!$B$14*$AW35+Config!$B$15*(1-$AW35))/(Config!$B$14*$AT35+Config!$B$15*(1-$AT35)))^Config!$B$13)</f>
        <v>0.994086696526341</v>
      </c>
      <c r="AY35" s="10" t="n">
        <f aca="false">IF($AS35="","",IFERROR(IF(INDEX(Matches!$BB$5:$BB$17,MATCH($C35,Matches!$A$5:$A$17,0))="","",IF($AS35="A",INDEX(Matches!$BB$5:$BB$17,MATCH($C35,Matches!$A$5:$A$17,0)),1-INDEX(Matches!$BB$5:$BB$17,MATCH($C35,Matches!$A$5:$A$17,0)))),""))</f>
        <v>0.504342170199466</v>
      </c>
      <c r="AZ35" s="13" t="n">
        <f aca="false">IF(OR($AY35="",$AT35=""),1,((Config!$B$14*$AY35+Config!$B$15*(1-$AY35))/(Config!$B$14*$AT35+Config!$B$15*(1-$AT35)))^Config!$B$13)</f>
        <v>0.972209165513639</v>
      </c>
      <c r="BA35" s="17" t="n">
        <f aca="false">IF(V35="","",V35*$AV35)</f>
        <v>16.6844524524221</v>
      </c>
      <c r="BB35" s="17" t="n">
        <f aca="false">IF(AC35="","",AC35*$AX35)</f>
        <v>15.1928258003514</v>
      </c>
      <c r="BC35" s="17" t="n">
        <f aca="false">IF(AJ35="","",AJ35*$AZ35)</f>
        <v>13.429854360114</v>
      </c>
      <c r="BD35" s="17" t="n">
        <f aca="false">N(BA35)+N(BB35)</f>
        <v>31.8772782527734</v>
      </c>
      <c r="BE35" s="17" t="n">
        <f aca="false">BD35+N($M35)*N(BC35)</f>
        <v>37.9556303361611</v>
      </c>
      <c r="BF35" s="17" t="n">
        <f aca="false">IF(W35="","",W35*$AV35)</f>
        <v>10.2472873425967</v>
      </c>
      <c r="BG35" s="17" t="n">
        <f aca="false">IF(AD35="","",AD35*$AX35)</f>
        <v>9.86152511040989</v>
      </c>
      <c r="BH35" s="17" t="n">
        <f aca="false">IF(AK35="","",AK35*$AZ35)</f>
        <v>7.98740588067782</v>
      </c>
      <c r="BI35" s="17" t="n">
        <f aca="false">IF(BF35="","",N(BF35)+N(BG35))</f>
        <v>20.1088124530066</v>
      </c>
      <c r="BJ35" s="17" t="n">
        <f aca="false">IF(BI35="","",BI35+N($M35)*N(BH35))</f>
        <v>23.7239123546013</v>
      </c>
      <c r="BK35" s="13" t="n">
        <f aca="false">IFERROR(BD35/AL35,1)</f>
        <v>0.972706147037159</v>
      </c>
    </row>
    <row r="36" customFormat="false" ht="15" hidden="false" customHeight="false" outlineLevel="0" collapsed="false">
      <c r="A36" s="0" t="s">
        <v>969</v>
      </c>
      <c r="B36" s="0" t="s">
        <v>775</v>
      </c>
      <c r="C36" s="0" t="s">
        <v>843</v>
      </c>
      <c r="D36" s="0" t="s">
        <v>848</v>
      </c>
      <c r="E36" s="0" t="s">
        <v>968</v>
      </c>
      <c r="F36" s="0" t="s">
        <v>1201</v>
      </c>
      <c r="G36" s="0" t="str">
        <f aca="false">IFERROR(IF(INDEX(Matches!$W$5:$W$17,MATCH($C36,Matches!$A$5:$A$17,0))="","",INDEX(Matches!$W$5:$W$17,MATCH($C36,Matches!$A$5:$A$17,0))),"")</f>
        <v>Inferno</v>
      </c>
      <c r="H36" s="0" t="str">
        <f aca="false">IFERROR(IF(INDEX(Matches!$X$5:$X$17,MATCH($C36,Matches!$A$5:$A$17,0))="","",INDEX(Matches!$X$5:$X$17,MATCH($C36,Matches!$A$5:$A$17,0))),"")</f>
        <v>Dust2</v>
      </c>
      <c r="I36" s="0" t="str">
        <f aca="false">IFERROR(IF(INDEX(Matches!$Y$5:$Y$17,MATCH($C36,Matches!$A$5:$A$17,0))="","",INDEX(Matches!$Y$5:$Y$17,MATCH($C36,Matches!$A$5:$A$17,0))),"")</f>
        <v>Nuke</v>
      </c>
      <c r="J36" s="11" t="n">
        <f aca="false">IFERROR(IF(INDEX(Matches!$Z$5:$Z$17,MATCH($C36,Matches!$A$5:$A$17,0))="","",INDEX(Matches!$Z$5:$Z$17,MATCH($C36,Matches!$A$5:$A$17,0))),"")</f>
        <v>21.5</v>
      </c>
      <c r="K36" s="11" t="n">
        <f aca="false">IFERROR(IF(INDEX(Matches!$AA$5:$AA$17,MATCH($C36,Matches!$A$5:$A$17,0))="","",INDEX(Matches!$AA$5:$AA$17,MATCH($C36,Matches!$A$5:$A$17,0))),"")</f>
        <v>21.5</v>
      </c>
      <c r="L36" s="11" t="n">
        <f aca="false">IFERROR(IF(INDEX(Matches!$AB$5:$AB$17,MATCH($C36,Matches!$A$5:$A$17,0))="","",INDEX(Matches!$AB$5:$AB$17,MATCH($C36,Matches!$A$5:$A$17,0))),"")</f>
        <v>21.5</v>
      </c>
      <c r="M36" s="10" t="n">
        <f aca="false">IFERROR(IF(INDEX(Matches!$AC$5:$AC$17,MATCH($C36,Matches!$A$5:$A$17,0))="","",INDEX(Matches!$AC$5:$AC$17,MATCH($C36,Matches!$A$5:$A$17,0))),"")</f>
        <v>0.5096</v>
      </c>
      <c r="N36" s="9" t="n">
        <f aca="false">IFERROR(INDEX(Players!$F$2:$F$105,MATCH($F36,Players!$A$2:$A$105,0)),0)</f>
        <v>37</v>
      </c>
      <c r="O36" s="13" t="n">
        <f aca="false">IFERROR(1/(1/INDEX(Players!$H$2:$H$105,MATCH($F36,Players!$A$2:$A$105,0))),"")</f>
        <v>0.75</v>
      </c>
      <c r="P36" s="10" t="n">
        <f aca="false">IFERROR(1/(1/INDEX(Players!$I$2:$I$105,MATCH($F36,Players!$A$2:$A$105,0))),"")</f>
        <v>0.478</v>
      </c>
      <c r="Q36" s="9" t="n">
        <f aca="false">IF($G36="",0,SUMIFS(Map_Stats!$F$2:$F$642,Map_Stats!$A$2:$A$642,$F36&amp;"|"&amp;$G36))</f>
        <v>7</v>
      </c>
      <c r="R36" s="13" t="n">
        <f aca="false">IF($G36="","",IFERROR(1/(1/INDEX(Map_Stats!$K$2:$K$642,MATCH($F36&amp;"|"&amp;$G36,Map_Stats!$A$2:$A$642,0))),$O36))</f>
        <v>0.67</v>
      </c>
      <c r="S36" s="10" t="n">
        <f aca="false">IF(OR($G36="",$P36=""),"",IFERROR(1/(1/INDEX(Map_Stats!$I$2:$I$642,MATCH($F36&amp;"|"&amp;$G36,Map_Stats!$A$2:$A$642,0))),$P36))</f>
        <v>0.521</v>
      </c>
      <c r="T36" s="13" t="n">
        <f aca="false">IF(OR($G36="",R36=""),"",IF($O36="",R36,(Q36*R36+Config!$B$4*$O36)/(Q36+Config!$B$4)))</f>
        <v>0.703333333333334</v>
      </c>
      <c r="U36" s="10" t="n">
        <f aca="false">IF(S36="","",(Q36*S36+Config!$B$4*$P36)/(Q36+Config!$B$4))</f>
        <v>0.503083333333333</v>
      </c>
      <c r="V36" s="17" t="n">
        <f aca="false">IF(OR(T36="",$J36=""),"",T36*$J36*($J36/Config!$B$10)^Config!$B$9)</f>
        <v>15.1216666666667</v>
      </c>
      <c r="W36" s="17" t="n">
        <f aca="false">IF(OR(V36="",U36=""),"",V36*U36)</f>
        <v>7.60745847222223</v>
      </c>
      <c r="X36" s="9" t="n">
        <f aca="false">IF($H36="",0,SUMIFS(Map_Stats!$F$2:$F$642,Map_Stats!$A$2:$A$642,$F36&amp;"|"&amp;$H36))</f>
        <v>3</v>
      </c>
      <c r="Y36" s="13" t="n">
        <f aca="false">IF($H36="","",IFERROR(1/(1/INDEX(Map_Stats!$K$2:$K$642,MATCH($F36&amp;"|"&amp;$H36,Map_Stats!$A$2:$A$642,0))),$O36))</f>
        <v>0.83</v>
      </c>
      <c r="Z36" s="10" t="n">
        <f aca="false">IF(OR($H36="",$P36=""),"",IFERROR(1/(1/INDEX(Map_Stats!$I$2:$I$642,MATCH($F36&amp;"|"&amp;$H36,Map_Stats!$A$2:$A$642,0))),$P36))</f>
        <v>0.709</v>
      </c>
      <c r="AA36" s="13" t="n">
        <f aca="false">IF(OR($H36="",Y36=""),"",IF($O36="",Y36,(X36*Y36+Config!$B$4*$O36)/(X36+Config!$B$4)))</f>
        <v>0.78</v>
      </c>
      <c r="AB36" s="10" t="n">
        <f aca="false">IF(Z36="","",(X36*Z36+Config!$B$4*$P36)/(X36+Config!$B$4))</f>
        <v>0.564625</v>
      </c>
      <c r="AC36" s="17" t="n">
        <f aca="false">IF(OR(AA36="",$K36=""),"",AA36*$K36*($K36/Config!$B$10)^Config!$B$9)</f>
        <v>16.77</v>
      </c>
      <c r="AD36" s="17" t="n">
        <f aca="false">IF(OR(AC36="",AB36=""),"",AC36*AB36)</f>
        <v>9.46876125</v>
      </c>
      <c r="AE36" s="9" t="n">
        <f aca="false">IF($I36="",0,SUMIFS(Map_Stats!$F$2:$F$642,Map_Stats!$A$2:$A$642,$F36&amp;"|"&amp;$I36))</f>
        <v>2</v>
      </c>
      <c r="AF36" s="13" t="n">
        <f aca="false">IF($I36="","",IFERROR(1/(1/INDEX(Map_Stats!$K$2:$K$642,MATCH($F36&amp;"|"&amp;$I36,Map_Stats!$A$2:$A$642,0))),$O36))</f>
        <v>0.65</v>
      </c>
      <c r="AG36" s="10" t="n">
        <f aca="false">IF(OR($I36="",$P36=""),"",IFERROR(1/(1/INDEX(Map_Stats!$I$2:$I$642,MATCH($F36&amp;"|"&amp;$I36,Map_Stats!$A$2:$A$642,0))),$P36))</f>
        <v>0.467</v>
      </c>
      <c r="AH36" s="13" t="n">
        <f aca="false">IF(OR($I36="",AF36=""),"",IF($O36="",AF36,(AE36*AF36+Config!$B$4*$O36)/(AE36+Config!$B$4)))</f>
        <v>0.721428571428571</v>
      </c>
      <c r="AI36" s="10" t="n">
        <f aca="false">IF(AG36="","",(AE36*AG36+Config!$B$4*$P36)/(AE36+Config!$B$4))</f>
        <v>0.474857142857143</v>
      </c>
      <c r="AJ36" s="17" t="n">
        <f aca="false">IF(OR(AH36="",$L36=""),"",AH36*$L36*($L36/Config!$B$10)^Config!$B$9)</f>
        <v>15.5107142857143</v>
      </c>
      <c r="AK36" s="17" t="n">
        <f aca="false">IF(OR(AJ36="",AI36=""),"",AJ36*AI36)</f>
        <v>7.36537346938776</v>
      </c>
      <c r="AL36" s="17" t="n">
        <f aca="false">N(V36)+N(AC36)</f>
        <v>31.8916666666667</v>
      </c>
      <c r="AM36" s="17" t="n">
        <f aca="false">AL36+N($M36)*N(AJ36)</f>
        <v>39.7959266666667</v>
      </c>
      <c r="AN36" s="17" t="n">
        <f aca="false">IF(W36="","",N(W36)+N(AD36))</f>
        <v>17.0762197222222</v>
      </c>
      <c r="AO36" s="17" t="n">
        <f aca="false">IF(AN36="","",AN36+N($M36)*N(AK36))</f>
        <v>20.8296140422222</v>
      </c>
      <c r="AP36" s="10" t="n">
        <f aca="false">IFERROR(AN36/AL36,"")</f>
        <v>0.53544456928839</v>
      </c>
      <c r="AQ36" s="0" t="str">
        <f aca="false">TRIM(IF($N36&lt;Config!$B$12,"thin sample ("&amp;$N36&amp;" maps) · ","")&amp;IF(AND($G36&lt;&gt;"",Q36=0),"M1 unplayed→overall KPR · ","")&amp;IF(AND($H36&lt;&gt;"",X36=0),"M2 unplayed→overall KPR · ","")&amp;IF($O36="","no PickFinder stats",""))</f>
        <v/>
      </c>
      <c r="AR36" s="0" t="str">
        <f aca="false">IF($C36=Board!$B$2,COUNTIFS($C$2:$C$105,Board!$B$2,$AL$2:$AL$105,"&gt;"&amp;$AL36)+COUNTIFS($C$1:$C35,Board!$B$2,$AL$1:$AL35,$AL36)+1,"")</f>
        <v/>
      </c>
      <c r="AS36" s="0" t="str">
        <f aca="false">IFERROR(IF($D36=INDEX(Matches!$AD$5:$AD$17,MATCH($C36,Matches!$A$5:$A$17,0)),"A",IF($D36=INDEX(Matches!$AE$5:$AE$17,MATCH($C36,Matches!$A$5:$A$17,0)),"B","")),"")</f>
        <v>A</v>
      </c>
      <c r="AT36" s="10" t="n">
        <f aca="false">IF($AS36="","",IFERROR(IF($AS36="A",INDEX(Matches!$AI$5:$AI$17,MATCH($C36,Matches!$A$5:$A$17,0)),INDEX(Matches!$AJ$5:$AJ$17,MATCH($C36,Matches!$A$5:$A$17,0))),""))</f>
        <v>0.516100583959004</v>
      </c>
      <c r="AU36" s="10" t="n">
        <f aca="false">IF($AS36="","",IFERROR(IF(INDEX(Matches!$AP$5:$AP$17,MATCH($C36,Matches!$A$5:$A$17,0))="","",IF($AS36="A",INDEX(Matches!$AP$5:$AP$17,MATCH($C36,Matches!$A$5:$A$17,0)),1-INDEX(Matches!$AP$5:$AP$17,MATCH($C36,Matches!$A$5:$A$17,0)))),""))</f>
        <v>0.459690974261356</v>
      </c>
      <c r="AV36" s="13" t="n">
        <f aca="false">IF(OR($AU36="",$AT36=""),1,((Config!$B$14*$AU36+Config!$B$15*(1-$AU36))/(Config!$B$14*$AT36+Config!$B$15*(1-$AT36)))^Config!$B$13)</f>
        <v>0.950306392109649</v>
      </c>
      <c r="AW36" s="10" t="n">
        <f aca="false">IF($AS36="","",IFERROR(IF(INDEX(Matches!$AV$5:$AV$17,MATCH($C36,Matches!$A$5:$A$17,0))="","",IF($AS36="A",INDEX(Matches!$AV$5:$AV$17,MATCH($C36,Matches!$A$5:$A$17,0)),1-INDEX(Matches!$AV$5:$AV$17,MATCH($C36,Matches!$A$5:$A$17,0)))),""))</f>
        <v>0.52306705233824</v>
      </c>
      <c r="AX36" s="13" t="n">
        <f aca="false">IF(OR($AW36="",$AT36=""),1,((Config!$B$14*$AW36+Config!$B$15*(1-$AW36))/(Config!$B$14*$AT36+Config!$B$15*(1-$AT36)))^Config!$B$13)</f>
        <v>1.00613705625467</v>
      </c>
      <c r="AY36" s="10" t="n">
        <f aca="false">IF($AS36="","",IFERROR(IF(INDEX(Matches!$BB$5:$BB$17,MATCH($C36,Matches!$A$5:$A$17,0))="","",IF($AS36="A",INDEX(Matches!$BB$5:$BB$17,MATCH($C36,Matches!$A$5:$A$17,0)),1-INDEX(Matches!$BB$5:$BB$17,MATCH($C36,Matches!$A$5:$A$17,0)))),""))</f>
        <v>0.517359305143457</v>
      </c>
      <c r="AZ36" s="13" t="n">
        <f aca="false">IF(OR($AY36="",$AT36=""),1,((Config!$B$14*$AY36+Config!$B$15*(1-$AY36))/(Config!$B$14*$AT36+Config!$B$15*(1-$AT36)))^Config!$B$13)</f>
        <v>1.001108860659</v>
      </c>
      <c r="BA36" s="17" t="n">
        <f aca="false">IF(V36="","",V36*$AV36)</f>
        <v>14.3702164926847</v>
      </c>
      <c r="BB36" s="17" t="n">
        <f aca="false">IF(AC36="","",AC36*$AX36)</f>
        <v>16.8729184333908</v>
      </c>
      <c r="BC36" s="17" t="n">
        <f aca="false">IF(AJ36="","",AJ36*$AZ36)</f>
        <v>15.5279135065788</v>
      </c>
      <c r="BD36" s="17" t="n">
        <f aca="false">N(BA36)+N(BB36)</f>
        <v>31.2431349260755</v>
      </c>
      <c r="BE36" s="17" t="n">
        <f aca="false">BD36+N($M36)*N(BC36)</f>
        <v>39.1561596490281</v>
      </c>
      <c r="BF36" s="17" t="n">
        <f aca="false">IF(W36="","",W36*$AV36)</f>
        <v>7.22941641386148</v>
      </c>
      <c r="BG36" s="17" t="n">
        <f aca="false">IF(AD36="","",AD36*$AX36)</f>
        <v>9.52687157045326</v>
      </c>
      <c r="BH36" s="17" t="n">
        <f aca="false">IF(AK36="","",AK36*$AZ36)</f>
        <v>7.37354064226684</v>
      </c>
      <c r="BI36" s="17" t="n">
        <f aca="false">IF(BF36="","",N(BF36)+N(BG36))</f>
        <v>16.7562879843147</v>
      </c>
      <c r="BJ36" s="17" t="n">
        <f aca="false">IF(BI36="","",BI36+N($M36)*N(BH36))</f>
        <v>20.5138442956139</v>
      </c>
      <c r="BK36" s="13" t="n">
        <f aca="false">IFERROR(BD36/AL36,1)</f>
        <v>0.979664539098265</v>
      </c>
    </row>
    <row r="37" customFormat="false" ht="15" hidden="false" customHeight="false" outlineLevel="0" collapsed="false">
      <c r="A37" s="0" t="s">
        <v>972</v>
      </c>
      <c r="B37" s="0" t="s">
        <v>775</v>
      </c>
      <c r="C37" s="0" t="s">
        <v>843</v>
      </c>
      <c r="D37" s="0" t="s">
        <v>848</v>
      </c>
      <c r="E37" s="0" t="s">
        <v>970</v>
      </c>
      <c r="F37" s="0" t="s">
        <v>1202</v>
      </c>
      <c r="G37" s="0" t="str">
        <f aca="false">IFERROR(IF(INDEX(Matches!$W$5:$W$17,MATCH($C37,Matches!$A$5:$A$17,0))="","",INDEX(Matches!$W$5:$W$17,MATCH($C37,Matches!$A$5:$A$17,0))),"")</f>
        <v>Inferno</v>
      </c>
      <c r="H37" s="0" t="str">
        <f aca="false">IFERROR(IF(INDEX(Matches!$X$5:$X$17,MATCH($C37,Matches!$A$5:$A$17,0))="","",INDEX(Matches!$X$5:$X$17,MATCH($C37,Matches!$A$5:$A$17,0))),"")</f>
        <v>Dust2</v>
      </c>
      <c r="I37" s="0" t="str">
        <f aca="false">IFERROR(IF(INDEX(Matches!$Y$5:$Y$17,MATCH($C37,Matches!$A$5:$A$17,0))="","",INDEX(Matches!$Y$5:$Y$17,MATCH($C37,Matches!$A$5:$A$17,0))),"")</f>
        <v>Nuke</v>
      </c>
      <c r="J37" s="11" t="n">
        <f aca="false">IFERROR(IF(INDEX(Matches!$Z$5:$Z$17,MATCH($C37,Matches!$A$5:$A$17,0))="","",INDEX(Matches!$Z$5:$Z$17,MATCH($C37,Matches!$A$5:$A$17,0))),"")</f>
        <v>21.5</v>
      </c>
      <c r="K37" s="11" t="n">
        <f aca="false">IFERROR(IF(INDEX(Matches!$AA$5:$AA$17,MATCH($C37,Matches!$A$5:$A$17,0))="","",INDEX(Matches!$AA$5:$AA$17,MATCH($C37,Matches!$A$5:$A$17,0))),"")</f>
        <v>21.5</v>
      </c>
      <c r="L37" s="11" t="n">
        <f aca="false">IFERROR(IF(INDEX(Matches!$AB$5:$AB$17,MATCH($C37,Matches!$A$5:$A$17,0))="","",INDEX(Matches!$AB$5:$AB$17,MATCH($C37,Matches!$A$5:$A$17,0))),"")</f>
        <v>21.5</v>
      </c>
      <c r="M37" s="10" t="n">
        <f aca="false">IFERROR(IF(INDEX(Matches!$AC$5:$AC$17,MATCH($C37,Matches!$A$5:$A$17,0))="","",INDEX(Matches!$AC$5:$AC$17,MATCH($C37,Matches!$A$5:$A$17,0))),"")</f>
        <v>0.5096</v>
      </c>
      <c r="N37" s="9" t="n">
        <f aca="false">IFERROR(INDEX(Players!$F$2:$F$105,MATCH($F37,Players!$A$2:$A$105,0)),0)</f>
        <v>37</v>
      </c>
      <c r="O37" s="13" t="n">
        <f aca="false">IFERROR(1/(1/INDEX(Players!$H$2:$H$105,MATCH($F37,Players!$A$2:$A$105,0))),"")</f>
        <v>0.63</v>
      </c>
      <c r="P37" s="10" t="n">
        <f aca="false">IFERROR(1/(1/INDEX(Players!$I$2:$I$105,MATCH($F37,Players!$A$2:$A$105,0))),"")</f>
        <v>0.617</v>
      </c>
      <c r="Q37" s="9" t="n">
        <f aca="false">IF($G37="",0,SUMIFS(Map_Stats!$F$2:$F$642,Map_Stats!$A$2:$A$642,$F37&amp;"|"&amp;$G37))</f>
        <v>7</v>
      </c>
      <c r="R37" s="13" t="n">
        <f aca="false">IF($G37="","",IFERROR(1/(1/INDEX(Map_Stats!$K$2:$K$642,MATCH($F37&amp;"|"&amp;$G37,Map_Stats!$A$2:$A$642,0))),$O37))</f>
        <v>0.68</v>
      </c>
      <c r="S37" s="10" t="n">
        <f aca="false">IF(OR($G37="",$P37=""),"",IFERROR(1/(1/INDEX(Map_Stats!$I$2:$I$642,MATCH($F37&amp;"|"&amp;$G37,Map_Stats!$A$2:$A$642,0))),$P37))</f>
        <v>0.561</v>
      </c>
      <c r="T37" s="13" t="n">
        <f aca="false">IF(OR($G37="",R37=""),"",IF($O37="",R37,(Q37*R37+Config!$B$4*$O37)/(Q37+Config!$B$4)))</f>
        <v>0.659166666666667</v>
      </c>
      <c r="U37" s="10" t="n">
        <f aca="false">IF(S37="","",(Q37*S37+Config!$B$4*$P37)/(Q37+Config!$B$4))</f>
        <v>0.584333333333333</v>
      </c>
      <c r="V37" s="17" t="n">
        <f aca="false">IF(OR(T37="",$J37=""),"",T37*$J37*($J37/Config!$B$10)^Config!$B$9)</f>
        <v>14.1720833333333</v>
      </c>
      <c r="W37" s="17" t="n">
        <f aca="false">IF(OR(V37="",U37=""),"",V37*U37)</f>
        <v>8.28122069444444</v>
      </c>
      <c r="X37" s="9" t="n">
        <f aca="false">IF($H37="",0,SUMIFS(Map_Stats!$F$2:$F$642,Map_Stats!$A$2:$A$642,$F37&amp;"|"&amp;$H37))</f>
        <v>3</v>
      </c>
      <c r="Y37" s="13" t="n">
        <f aca="false">IF($H37="","",IFERROR(1/(1/INDEX(Map_Stats!$K$2:$K$642,MATCH($F37&amp;"|"&amp;$H37,Map_Stats!$A$2:$A$642,0))),$O37))</f>
        <v>0.59</v>
      </c>
      <c r="Z37" s="10" t="n">
        <f aca="false">IF(OR($H37="",$P37=""),"",IFERROR(1/(1/INDEX(Map_Stats!$I$2:$I$642,MATCH($F37&amp;"|"&amp;$H37,Map_Stats!$A$2:$A$642,0))),$P37))</f>
        <v>0.564</v>
      </c>
      <c r="AA37" s="13" t="n">
        <f aca="false">IF(OR($H37="",Y37=""),"",IF($O37="",Y37,(X37*Y37+Config!$B$4*$O37)/(X37+Config!$B$4)))</f>
        <v>0.615</v>
      </c>
      <c r="AB37" s="10" t="n">
        <f aca="false">IF(Z37="","",(X37*Z37+Config!$B$4*$P37)/(X37+Config!$B$4))</f>
        <v>0.597125</v>
      </c>
      <c r="AC37" s="17" t="n">
        <f aca="false">IF(OR(AA37="",$K37=""),"",AA37*$K37*($K37/Config!$B$10)^Config!$B$9)</f>
        <v>13.2225</v>
      </c>
      <c r="AD37" s="17" t="n">
        <f aca="false">IF(OR(AC37="",AB37=""),"",AC37*AB37)</f>
        <v>7.8954853125</v>
      </c>
      <c r="AE37" s="9" t="n">
        <f aca="false">IF($I37="",0,SUMIFS(Map_Stats!$F$2:$F$642,Map_Stats!$A$2:$A$642,$F37&amp;"|"&amp;$I37))</f>
        <v>2</v>
      </c>
      <c r="AF37" s="13" t="n">
        <f aca="false">IF($I37="","",IFERROR(1/(1/INDEX(Map_Stats!$K$2:$K$642,MATCH($F37&amp;"|"&amp;$I37,Map_Stats!$A$2:$A$642,0))),$O37))</f>
        <v>0.57</v>
      </c>
      <c r="AG37" s="10" t="n">
        <f aca="false">IF(OR($I37="",$P37=""),"",IFERROR(1/(1/INDEX(Map_Stats!$I$2:$I$642,MATCH($F37&amp;"|"&amp;$I37,Map_Stats!$A$2:$A$642,0))),$P37))</f>
        <v>0.692</v>
      </c>
      <c r="AH37" s="13" t="n">
        <f aca="false">IF(OR($I37="",AF37=""),"",IF($O37="",AF37,(AE37*AF37+Config!$B$4*$O37)/(AE37+Config!$B$4)))</f>
        <v>0.612857142857143</v>
      </c>
      <c r="AI37" s="10" t="n">
        <f aca="false">IF(AG37="","",(AE37*AG37+Config!$B$4*$P37)/(AE37+Config!$B$4))</f>
        <v>0.638428571428572</v>
      </c>
      <c r="AJ37" s="17" t="n">
        <f aca="false">IF(OR(AH37="",$L37=""),"",AH37*$L37*($L37/Config!$B$10)^Config!$B$9)</f>
        <v>13.1764285714286</v>
      </c>
      <c r="AK37" s="17" t="n">
        <f aca="false">IF(OR(AJ37="",AI37=""),"",AJ37*AI37)</f>
        <v>8.41220846938776</v>
      </c>
      <c r="AL37" s="17" t="n">
        <f aca="false">N(V37)+N(AC37)</f>
        <v>27.3945833333333</v>
      </c>
      <c r="AM37" s="17" t="n">
        <f aca="false">AL37+N($M37)*N(AJ37)</f>
        <v>34.1092913333333</v>
      </c>
      <c r="AN37" s="17" t="n">
        <f aca="false">IF(W37="","",N(W37)+N(AD37))</f>
        <v>16.1767060069444</v>
      </c>
      <c r="AO37" s="17" t="n">
        <f aca="false">IF(AN37="","",AN37+N($M37)*N(AK37))</f>
        <v>20.4635674429444</v>
      </c>
      <c r="AP37" s="10" t="n">
        <f aca="false">IFERROR(AN37/AL37,"")</f>
        <v>0.59050746675387</v>
      </c>
      <c r="AQ37" s="0" t="str">
        <f aca="false">TRIM(IF($N37&lt;Config!$B$12,"thin sample ("&amp;$N37&amp;" maps) · ","")&amp;IF(AND($G37&lt;&gt;"",Q37=0),"M1 unplayed→overall KPR · ","")&amp;IF(AND($H37&lt;&gt;"",X37=0),"M2 unplayed→overall KPR · ","")&amp;IF($O37="","no PickFinder stats",""))</f>
        <v/>
      </c>
      <c r="AR37" s="0" t="str">
        <f aca="false">IF($C37=Board!$B$2,COUNTIFS($C$2:$C$105,Board!$B$2,$AL$2:$AL$105,"&gt;"&amp;$AL37)+COUNTIFS($C$1:$C36,Board!$B$2,$AL$1:$AL36,$AL37)+1,"")</f>
        <v/>
      </c>
      <c r="AS37" s="0" t="str">
        <f aca="false">IFERROR(IF($D37=INDEX(Matches!$AD$5:$AD$17,MATCH($C37,Matches!$A$5:$A$17,0)),"A",IF($D37=INDEX(Matches!$AE$5:$AE$17,MATCH($C37,Matches!$A$5:$A$17,0)),"B","")),"")</f>
        <v>A</v>
      </c>
      <c r="AT37" s="10" t="n">
        <f aca="false">IF($AS37="","",IFERROR(IF($AS37="A",INDEX(Matches!$AI$5:$AI$17,MATCH($C37,Matches!$A$5:$A$17,0)),INDEX(Matches!$AJ$5:$AJ$17,MATCH($C37,Matches!$A$5:$A$17,0))),""))</f>
        <v>0.516100583959004</v>
      </c>
      <c r="AU37" s="10" t="n">
        <f aca="false">IF($AS37="","",IFERROR(IF(INDEX(Matches!$AP$5:$AP$17,MATCH($C37,Matches!$A$5:$A$17,0))="","",IF($AS37="A",INDEX(Matches!$AP$5:$AP$17,MATCH($C37,Matches!$A$5:$A$17,0)),1-INDEX(Matches!$AP$5:$AP$17,MATCH($C37,Matches!$A$5:$A$17,0)))),""))</f>
        <v>0.459690974261356</v>
      </c>
      <c r="AV37" s="13" t="n">
        <f aca="false">IF(OR($AU37="",$AT37=""),1,((Config!$B$14*$AU37+Config!$B$15*(1-$AU37))/(Config!$B$14*$AT37+Config!$B$15*(1-$AT37)))^Config!$B$13)</f>
        <v>0.950306392109649</v>
      </c>
      <c r="AW37" s="10" t="n">
        <f aca="false">IF($AS37="","",IFERROR(IF(INDEX(Matches!$AV$5:$AV$17,MATCH($C37,Matches!$A$5:$A$17,0))="","",IF($AS37="A",INDEX(Matches!$AV$5:$AV$17,MATCH($C37,Matches!$A$5:$A$17,0)),1-INDEX(Matches!$AV$5:$AV$17,MATCH($C37,Matches!$A$5:$A$17,0)))),""))</f>
        <v>0.52306705233824</v>
      </c>
      <c r="AX37" s="13" t="n">
        <f aca="false">IF(OR($AW37="",$AT37=""),1,((Config!$B$14*$AW37+Config!$B$15*(1-$AW37))/(Config!$B$14*$AT37+Config!$B$15*(1-$AT37)))^Config!$B$13)</f>
        <v>1.00613705625467</v>
      </c>
      <c r="AY37" s="10" t="n">
        <f aca="false">IF($AS37="","",IFERROR(IF(INDEX(Matches!$BB$5:$BB$17,MATCH($C37,Matches!$A$5:$A$17,0))="","",IF($AS37="A",INDEX(Matches!$BB$5:$BB$17,MATCH($C37,Matches!$A$5:$A$17,0)),1-INDEX(Matches!$BB$5:$BB$17,MATCH($C37,Matches!$A$5:$A$17,0)))),""))</f>
        <v>0.517359305143457</v>
      </c>
      <c r="AZ37" s="13" t="n">
        <f aca="false">IF(OR($AY37="",$AT37=""),1,((Config!$B$14*$AY37+Config!$B$15*(1-$AY37))/(Config!$B$14*$AT37+Config!$B$15*(1-$AT37)))^Config!$B$13)</f>
        <v>1.001108860659</v>
      </c>
      <c r="BA37" s="17" t="n">
        <f aca="false">IF(V37="","",V37*$AV37)</f>
        <v>13.4678213811773</v>
      </c>
      <c r="BB37" s="17" t="n">
        <f aca="false">IF(AC37="","",AC37*$AX37)</f>
        <v>13.3036472263273</v>
      </c>
      <c r="BC37" s="17" t="n">
        <f aca="false">IF(AJ37="","",AJ37*$AZ37)</f>
        <v>13.1910393946976</v>
      </c>
      <c r="BD37" s="17" t="n">
        <f aca="false">N(BA37)+N(BB37)</f>
        <v>26.7714686075046</v>
      </c>
      <c r="BE37" s="17" t="n">
        <f aca="false">BD37+N($M37)*N(BC37)</f>
        <v>33.4936222830425</v>
      </c>
      <c r="BF37" s="17" t="n">
        <f aca="false">IF(W37="","",W37*$AV37)</f>
        <v>7.86969696040126</v>
      </c>
      <c r="BG37" s="17" t="n">
        <f aca="false">IF(AD37="","",AD37*$AX37)</f>
        <v>7.94394035002071</v>
      </c>
      <c r="BH37" s="17" t="n">
        <f aca="false">IF(AK37="","",AK37*$AZ37)</f>
        <v>8.4215364364148</v>
      </c>
      <c r="BI37" s="17" t="n">
        <f aca="false">IF(BF37="","",N(BF37)+N(BG37))</f>
        <v>15.813637310422</v>
      </c>
      <c r="BJ37" s="17" t="n">
        <f aca="false">IF(BI37="","",BI37+N($M37)*N(BH37))</f>
        <v>20.105252278419</v>
      </c>
      <c r="BK37" s="13" t="n">
        <f aca="false">IFERROR(BD37/AL37,1)</f>
        <v>0.9772540900423</v>
      </c>
    </row>
    <row r="38" customFormat="false" ht="15" hidden="false" customHeight="false" outlineLevel="0" collapsed="false">
      <c r="A38" s="0" t="s">
        <v>974</v>
      </c>
      <c r="B38" s="0" t="s">
        <v>775</v>
      </c>
      <c r="C38" s="0" t="s">
        <v>843</v>
      </c>
      <c r="D38" s="0" t="s">
        <v>848</v>
      </c>
      <c r="E38" s="0" t="s">
        <v>973</v>
      </c>
      <c r="F38" s="0" t="s">
        <v>1203</v>
      </c>
      <c r="G38" s="0" t="str">
        <f aca="false">IFERROR(IF(INDEX(Matches!$W$5:$W$17,MATCH($C38,Matches!$A$5:$A$17,0))="","",INDEX(Matches!$W$5:$W$17,MATCH($C38,Matches!$A$5:$A$17,0))),"")</f>
        <v>Inferno</v>
      </c>
      <c r="H38" s="0" t="str">
        <f aca="false">IFERROR(IF(INDEX(Matches!$X$5:$X$17,MATCH($C38,Matches!$A$5:$A$17,0))="","",INDEX(Matches!$X$5:$X$17,MATCH($C38,Matches!$A$5:$A$17,0))),"")</f>
        <v>Dust2</v>
      </c>
      <c r="I38" s="0" t="str">
        <f aca="false">IFERROR(IF(INDEX(Matches!$Y$5:$Y$17,MATCH($C38,Matches!$A$5:$A$17,0))="","",INDEX(Matches!$Y$5:$Y$17,MATCH($C38,Matches!$A$5:$A$17,0))),"")</f>
        <v>Nuke</v>
      </c>
      <c r="J38" s="11" t="n">
        <f aca="false">IFERROR(IF(INDEX(Matches!$Z$5:$Z$17,MATCH($C38,Matches!$A$5:$A$17,0))="","",INDEX(Matches!$Z$5:$Z$17,MATCH($C38,Matches!$A$5:$A$17,0))),"")</f>
        <v>21.5</v>
      </c>
      <c r="K38" s="11" t="n">
        <f aca="false">IFERROR(IF(INDEX(Matches!$AA$5:$AA$17,MATCH($C38,Matches!$A$5:$A$17,0))="","",INDEX(Matches!$AA$5:$AA$17,MATCH($C38,Matches!$A$5:$A$17,0))),"")</f>
        <v>21.5</v>
      </c>
      <c r="L38" s="11" t="n">
        <f aca="false">IFERROR(IF(INDEX(Matches!$AB$5:$AB$17,MATCH($C38,Matches!$A$5:$A$17,0))="","",INDEX(Matches!$AB$5:$AB$17,MATCH($C38,Matches!$A$5:$A$17,0))),"")</f>
        <v>21.5</v>
      </c>
      <c r="M38" s="10" t="n">
        <f aca="false">IFERROR(IF(INDEX(Matches!$AC$5:$AC$17,MATCH($C38,Matches!$A$5:$A$17,0))="","",INDEX(Matches!$AC$5:$AC$17,MATCH($C38,Matches!$A$5:$A$17,0))),"")</f>
        <v>0.5096</v>
      </c>
      <c r="N38" s="9" t="n">
        <f aca="false">IFERROR(INDEX(Players!$F$2:$F$105,MATCH($F38,Players!$A$2:$A$105,0)),0)</f>
        <v>37</v>
      </c>
      <c r="O38" s="13" t="n">
        <f aca="false">IFERROR(1/(1/INDEX(Players!$H$2:$H$105,MATCH($F38,Players!$A$2:$A$105,0))),"")</f>
        <v>0.71</v>
      </c>
      <c r="P38" s="10" t="n">
        <f aca="false">IFERROR(1/(1/INDEX(Players!$I$2:$I$105,MATCH($F38,Players!$A$2:$A$105,0))),"")</f>
        <v>0.283</v>
      </c>
      <c r="Q38" s="9" t="n">
        <f aca="false">IF($G38="",0,SUMIFS(Map_Stats!$F$2:$F$642,Map_Stats!$A$2:$A$642,$F38&amp;"|"&amp;$G38))</f>
        <v>7</v>
      </c>
      <c r="R38" s="13" t="n">
        <f aca="false">IF($G38="","",IFERROR(1/(1/INDEX(Map_Stats!$K$2:$K$642,MATCH($F38&amp;"|"&amp;$G38,Map_Stats!$A$2:$A$642,0))),$O38))</f>
        <v>0.68</v>
      </c>
      <c r="S38" s="10" t="n">
        <f aca="false">IF(OR($G38="",$P38=""),"",IFERROR(1/(1/INDEX(Map_Stats!$I$2:$I$642,MATCH($F38&amp;"|"&amp;$G38,Map_Stats!$A$2:$A$642,0))),$P38))</f>
        <v>0.327</v>
      </c>
      <c r="T38" s="13" t="n">
        <f aca="false">IF(OR($G38="",R38=""),"",IF($O38="",R38,(Q38*R38+Config!$B$4*$O38)/(Q38+Config!$B$4)))</f>
        <v>0.6925</v>
      </c>
      <c r="U38" s="10" t="n">
        <f aca="false">IF(S38="","",(Q38*S38+Config!$B$4*$P38)/(Q38+Config!$B$4))</f>
        <v>0.308666666666667</v>
      </c>
      <c r="V38" s="17" t="n">
        <f aca="false">IF(OR(T38="",$J38=""),"",T38*$J38*($J38/Config!$B$10)^Config!$B$9)</f>
        <v>14.88875</v>
      </c>
      <c r="W38" s="17" t="n">
        <f aca="false">IF(OR(V38="",U38=""),"",V38*U38)</f>
        <v>4.59566083333333</v>
      </c>
      <c r="X38" s="9" t="n">
        <f aca="false">IF($H38="",0,SUMIFS(Map_Stats!$F$2:$F$642,Map_Stats!$A$2:$A$642,$F38&amp;"|"&amp;$H38))</f>
        <v>3</v>
      </c>
      <c r="Y38" s="13" t="n">
        <f aca="false">IF($H38="","",IFERROR(1/(1/INDEX(Map_Stats!$K$2:$K$642,MATCH($F38&amp;"|"&amp;$H38,Map_Stats!$A$2:$A$642,0))),$O38))</f>
        <v>0.94</v>
      </c>
      <c r="Z38" s="10" t="n">
        <f aca="false">IF(OR($H38="",$P38=""),"",IFERROR(1/(1/INDEX(Map_Stats!$I$2:$I$642,MATCH($F38&amp;"|"&amp;$H38,Map_Stats!$A$2:$A$642,0))),$P38))</f>
        <v>0.306</v>
      </c>
      <c r="AA38" s="13" t="n">
        <f aca="false">IF(OR($H38="",Y38=""),"",IF($O38="",Y38,(X38*Y38+Config!$B$4*$O38)/(X38+Config!$B$4)))</f>
        <v>0.79625</v>
      </c>
      <c r="AB38" s="10" t="n">
        <f aca="false">IF(Z38="","",(X38*Z38+Config!$B$4*$P38)/(X38+Config!$B$4))</f>
        <v>0.291625</v>
      </c>
      <c r="AC38" s="17" t="n">
        <f aca="false">IF(OR(AA38="",$K38=""),"",AA38*$K38*($K38/Config!$B$10)^Config!$B$9)</f>
        <v>17.119375</v>
      </c>
      <c r="AD38" s="17" t="n">
        <f aca="false">IF(OR(AC38="",AB38=""),"",AC38*AB38)</f>
        <v>4.992437734375</v>
      </c>
      <c r="AE38" s="9" t="n">
        <f aca="false">IF($I38="",0,SUMIFS(Map_Stats!$F$2:$F$642,Map_Stats!$A$2:$A$642,$F38&amp;"|"&amp;$I38))</f>
        <v>2</v>
      </c>
      <c r="AF38" s="13" t="n">
        <f aca="false">IF($I38="","",IFERROR(1/(1/INDEX(Map_Stats!$K$2:$K$642,MATCH($F38&amp;"|"&amp;$I38,Map_Stats!$A$2:$A$642,0))),$O38))</f>
        <v>0.85</v>
      </c>
      <c r="AG38" s="10" t="n">
        <f aca="false">IF(OR($I38="",$P38=""),"",IFERROR(1/(1/INDEX(Map_Stats!$I$2:$I$642,MATCH($F38&amp;"|"&amp;$I38,Map_Stats!$A$2:$A$642,0))),$P38))</f>
        <v>0.308</v>
      </c>
      <c r="AH38" s="13" t="n">
        <f aca="false">IF(OR($I38="",AF38=""),"",IF($O38="",AF38,(AE38*AF38+Config!$B$4*$O38)/(AE38+Config!$B$4)))</f>
        <v>0.75</v>
      </c>
      <c r="AI38" s="10" t="n">
        <f aca="false">IF(AG38="","",(AE38*AG38+Config!$B$4*$P38)/(AE38+Config!$B$4))</f>
        <v>0.290142857142857</v>
      </c>
      <c r="AJ38" s="17" t="n">
        <f aca="false">IF(OR(AH38="",$L38=""),"",AH38*$L38*($L38/Config!$B$10)^Config!$B$9)</f>
        <v>16.125</v>
      </c>
      <c r="AK38" s="17" t="n">
        <f aca="false">IF(OR(AJ38="",AI38=""),"",AJ38*AI38)</f>
        <v>4.67855357142857</v>
      </c>
      <c r="AL38" s="17" t="n">
        <f aca="false">N(V38)+N(AC38)</f>
        <v>32.008125</v>
      </c>
      <c r="AM38" s="17" t="n">
        <f aca="false">AL38+N($M38)*N(AJ38)</f>
        <v>40.225425</v>
      </c>
      <c r="AN38" s="17" t="n">
        <f aca="false">IF(W38="","",N(W38)+N(AD38))</f>
        <v>9.58809856770833</v>
      </c>
      <c r="AO38" s="17" t="n">
        <f aca="false">IF(AN38="","",AN38+N($M38)*N(AK38))</f>
        <v>11.9722894677083</v>
      </c>
      <c r="AP38" s="10" t="n">
        <f aca="false">IFERROR(AN38/AL38,"")</f>
        <v>0.299552022110271</v>
      </c>
      <c r="AQ38" s="0" t="str">
        <f aca="false">TRIM(IF($N38&lt;Config!$B$12,"thin sample ("&amp;$N38&amp;" maps) · ","")&amp;IF(AND($G38&lt;&gt;"",Q38=0),"M1 unplayed→overall KPR · ","")&amp;IF(AND($H38&lt;&gt;"",X38=0),"M2 unplayed→overall KPR · ","")&amp;IF($O38="","no PickFinder stats",""))</f>
        <v/>
      </c>
      <c r="AR38" s="0" t="str">
        <f aca="false">IF($C38=Board!$B$2,COUNTIFS($C$2:$C$105,Board!$B$2,$AL$2:$AL$105,"&gt;"&amp;$AL38)+COUNTIFS($C$1:$C37,Board!$B$2,$AL$1:$AL37,$AL38)+1,"")</f>
        <v/>
      </c>
      <c r="AS38" s="0" t="str">
        <f aca="false">IFERROR(IF($D38=INDEX(Matches!$AD$5:$AD$17,MATCH($C38,Matches!$A$5:$A$17,0)),"A",IF($D38=INDEX(Matches!$AE$5:$AE$17,MATCH($C38,Matches!$A$5:$A$17,0)),"B","")),"")</f>
        <v>A</v>
      </c>
      <c r="AT38" s="10" t="n">
        <f aca="false">IF($AS38="","",IFERROR(IF($AS38="A",INDEX(Matches!$AI$5:$AI$17,MATCH($C38,Matches!$A$5:$A$17,0)),INDEX(Matches!$AJ$5:$AJ$17,MATCH($C38,Matches!$A$5:$A$17,0))),""))</f>
        <v>0.516100583959004</v>
      </c>
      <c r="AU38" s="10" t="n">
        <f aca="false">IF($AS38="","",IFERROR(IF(INDEX(Matches!$AP$5:$AP$17,MATCH($C38,Matches!$A$5:$A$17,0))="","",IF($AS38="A",INDEX(Matches!$AP$5:$AP$17,MATCH($C38,Matches!$A$5:$A$17,0)),1-INDEX(Matches!$AP$5:$AP$17,MATCH($C38,Matches!$A$5:$A$17,0)))),""))</f>
        <v>0.459690974261356</v>
      </c>
      <c r="AV38" s="13" t="n">
        <f aca="false">IF(OR($AU38="",$AT38=""),1,((Config!$B$14*$AU38+Config!$B$15*(1-$AU38))/(Config!$B$14*$AT38+Config!$B$15*(1-$AT38)))^Config!$B$13)</f>
        <v>0.950306392109649</v>
      </c>
      <c r="AW38" s="10" t="n">
        <f aca="false">IF($AS38="","",IFERROR(IF(INDEX(Matches!$AV$5:$AV$17,MATCH($C38,Matches!$A$5:$A$17,0))="","",IF($AS38="A",INDEX(Matches!$AV$5:$AV$17,MATCH($C38,Matches!$A$5:$A$17,0)),1-INDEX(Matches!$AV$5:$AV$17,MATCH($C38,Matches!$A$5:$A$17,0)))),""))</f>
        <v>0.52306705233824</v>
      </c>
      <c r="AX38" s="13" t="n">
        <f aca="false">IF(OR($AW38="",$AT38=""),1,((Config!$B$14*$AW38+Config!$B$15*(1-$AW38))/(Config!$B$14*$AT38+Config!$B$15*(1-$AT38)))^Config!$B$13)</f>
        <v>1.00613705625467</v>
      </c>
      <c r="AY38" s="10" t="n">
        <f aca="false">IF($AS38="","",IFERROR(IF(INDEX(Matches!$BB$5:$BB$17,MATCH($C38,Matches!$A$5:$A$17,0))="","",IF($AS38="A",INDEX(Matches!$BB$5:$BB$17,MATCH($C38,Matches!$A$5:$A$17,0)),1-INDEX(Matches!$BB$5:$BB$17,MATCH($C38,Matches!$A$5:$A$17,0)))),""))</f>
        <v>0.517359305143457</v>
      </c>
      <c r="AZ38" s="13" t="n">
        <f aca="false">IF(OR($AY38="",$AT38=""),1,((Config!$B$14*$AY38+Config!$B$15*(1-$AY38))/(Config!$B$14*$AT38+Config!$B$15*(1-$AT38)))^Config!$B$13)</f>
        <v>1.001108860659</v>
      </c>
      <c r="BA38" s="17" t="n">
        <f aca="false">IF(V38="","",V38*$AV38)</f>
        <v>14.1488742955225</v>
      </c>
      <c r="BB38" s="17" t="n">
        <f aca="false">IF(AC38="","",AC38*$AX38)</f>
        <v>17.2244375674197</v>
      </c>
      <c r="BC38" s="17" t="n">
        <f aca="false">IF(AJ38="","",AJ38*$AZ38)</f>
        <v>16.1428803781264</v>
      </c>
      <c r="BD38" s="17" t="n">
        <f aca="false">N(BA38)+N(BB38)</f>
        <v>31.3733118629423</v>
      </c>
      <c r="BE38" s="17" t="n">
        <f aca="false">BD38+N($M38)*N(BC38)</f>
        <v>39.5997237036355</v>
      </c>
      <c r="BF38" s="17" t="n">
        <f aca="false">IF(W38="","",W38*$AV38)</f>
        <v>4.36728586588462</v>
      </c>
      <c r="BG38" s="17" t="n">
        <f aca="false">IF(AD38="","",AD38*$AX38)</f>
        <v>5.02307660559878</v>
      </c>
      <c r="BH38" s="17" t="n">
        <f aca="false">IF(AK38="","",AK38*$AZ38)</f>
        <v>4.68374143542497</v>
      </c>
      <c r="BI38" s="17" t="n">
        <f aca="false">IF(BF38="","",N(BF38)+N(BG38))</f>
        <v>9.3903624714834</v>
      </c>
      <c r="BJ38" s="17" t="n">
        <f aca="false">IF(BI38="","",BI38+N($M38)*N(BH38))</f>
        <v>11.777197106976</v>
      </c>
      <c r="BK38" s="13" t="n">
        <f aca="false">IFERROR(BD38/AL38,1)</f>
        <v>0.980167125157824</v>
      </c>
    </row>
    <row r="39" customFormat="false" ht="15" hidden="false" customHeight="false" outlineLevel="0" collapsed="false">
      <c r="A39" s="0" t="s">
        <v>976</v>
      </c>
      <c r="B39" s="0" t="s">
        <v>775</v>
      </c>
      <c r="C39" s="0" t="s">
        <v>843</v>
      </c>
      <c r="D39" s="0" t="s">
        <v>848</v>
      </c>
      <c r="E39" s="0" t="s">
        <v>975</v>
      </c>
      <c r="F39" s="0" t="s">
        <v>1204</v>
      </c>
      <c r="G39" s="0" t="str">
        <f aca="false">IFERROR(IF(INDEX(Matches!$W$5:$W$17,MATCH($C39,Matches!$A$5:$A$17,0))="","",INDEX(Matches!$W$5:$W$17,MATCH($C39,Matches!$A$5:$A$17,0))),"")</f>
        <v>Inferno</v>
      </c>
      <c r="H39" s="0" t="str">
        <f aca="false">IFERROR(IF(INDEX(Matches!$X$5:$X$17,MATCH($C39,Matches!$A$5:$A$17,0))="","",INDEX(Matches!$X$5:$X$17,MATCH($C39,Matches!$A$5:$A$17,0))),"")</f>
        <v>Dust2</v>
      </c>
      <c r="I39" s="0" t="str">
        <f aca="false">IFERROR(IF(INDEX(Matches!$Y$5:$Y$17,MATCH($C39,Matches!$A$5:$A$17,0))="","",INDEX(Matches!$Y$5:$Y$17,MATCH($C39,Matches!$A$5:$A$17,0))),"")</f>
        <v>Nuke</v>
      </c>
      <c r="J39" s="11" t="n">
        <f aca="false">IFERROR(IF(INDEX(Matches!$Z$5:$Z$17,MATCH($C39,Matches!$A$5:$A$17,0))="","",INDEX(Matches!$Z$5:$Z$17,MATCH($C39,Matches!$A$5:$A$17,0))),"")</f>
        <v>21.5</v>
      </c>
      <c r="K39" s="11" t="n">
        <f aca="false">IFERROR(IF(INDEX(Matches!$AA$5:$AA$17,MATCH($C39,Matches!$A$5:$A$17,0))="","",INDEX(Matches!$AA$5:$AA$17,MATCH($C39,Matches!$A$5:$A$17,0))),"")</f>
        <v>21.5</v>
      </c>
      <c r="L39" s="11" t="n">
        <f aca="false">IFERROR(IF(INDEX(Matches!$AB$5:$AB$17,MATCH($C39,Matches!$A$5:$A$17,0))="","",INDEX(Matches!$AB$5:$AB$17,MATCH($C39,Matches!$A$5:$A$17,0))),"")</f>
        <v>21.5</v>
      </c>
      <c r="M39" s="10" t="n">
        <f aca="false">IFERROR(IF(INDEX(Matches!$AC$5:$AC$17,MATCH($C39,Matches!$A$5:$A$17,0))="","",INDEX(Matches!$AC$5:$AC$17,MATCH($C39,Matches!$A$5:$A$17,0))),"")</f>
        <v>0.5096</v>
      </c>
      <c r="N39" s="9" t="n">
        <f aca="false">IFERROR(INDEX(Players!$F$2:$F$105,MATCH($F39,Players!$A$2:$A$105,0)),0)</f>
        <v>37</v>
      </c>
      <c r="O39" s="13" t="n">
        <f aca="false">IFERROR(1/(1/INDEX(Players!$H$2:$H$105,MATCH($F39,Players!$A$2:$A$105,0))),"")</f>
        <v>0.63</v>
      </c>
      <c r="P39" s="10" t="n">
        <f aca="false">IFERROR(1/(1/INDEX(Players!$I$2:$I$105,MATCH($F39,Players!$A$2:$A$105,0))),"")</f>
        <v>0.562</v>
      </c>
      <c r="Q39" s="9" t="n">
        <f aca="false">IF($G39="",0,SUMIFS(Map_Stats!$F$2:$F$642,Map_Stats!$A$2:$A$642,$F39&amp;"|"&amp;$G39))</f>
        <v>7</v>
      </c>
      <c r="R39" s="13" t="n">
        <f aca="false">IF($G39="","",IFERROR(1/(1/INDEX(Map_Stats!$K$2:$K$642,MATCH($F39&amp;"|"&amp;$G39,Map_Stats!$A$2:$A$642,0))),$O39))</f>
        <v>0.63</v>
      </c>
      <c r="S39" s="10" t="n">
        <f aca="false">IF(OR($G39="",$P39=""),"",IFERROR(1/(1/INDEX(Map_Stats!$I$2:$I$642,MATCH($F39&amp;"|"&amp;$G39,Map_Stats!$A$2:$A$642,0))),$P39))</f>
        <v>0.582</v>
      </c>
      <c r="T39" s="13" t="n">
        <f aca="false">IF(OR($G39="",R39=""),"",IF($O39="",R39,(Q39*R39+Config!$B$4*$O39)/(Q39+Config!$B$4)))</f>
        <v>0.63</v>
      </c>
      <c r="U39" s="10" t="n">
        <f aca="false">IF(S39="","",(Q39*S39+Config!$B$4*$P39)/(Q39+Config!$B$4))</f>
        <v>0.573666666666667</v>
      </c>
      <c r="V39" s="17" t="n">
        <f aca="false">IF(OR(T39="",$J39=""),"",T39*$J39*($J39/Config!$B$10)^Config!$B$9)</f>
        <v>13.545</v>
      </c>
      <c r="W39" s="17" t="n">
        <f aca="false">IF(OR(V39="",U39=""),"",V39*U39)</f>
        <v>7.770315</v>
      </c>
      <c r="X39" s="9" t="n">
        <f aca="false">IF($H39="",0,SUMIFS(Map_Stats!$F$2:$F$642,Map_Stats!$A$2:$A$642,$F39&amp;"|"&amp;$H39))</f>
        <v>3</v>
      </c>
      <c r="Y39" s="13" t="n">
        <f aca="false">IF($H39="","",IFERROR(1/(1/INDEX(Map_Stats!$K$2:$K$642,MATCH($F39&amp;"|"&amp;$H39,Map_Stats!$A$2:$A$642,0))),$O39))</f>
        <v>0.56</v>
      </c>
      <c r="Z39" s="10" t="n">
        <f aca="false">IF(OR($H39="",$P39=""),"",IFERROR(1/(1/INDEX(Map_Stats!$I$2:$I$642,MATCH($F39&amp;"|"&amp;$H39,Map_Stats!$A$2:$A$642,0))),$P39))</f>
        <v>0.595</v>
      </c>
      <c r="AA39" s="13" t="n">
        <f aca="false">IF(OR($H39="",Y39=""),"",IF($O39="",Y39,(X39*Y39+Config!$B$4*$O39)/(X39+Config!$B$4)))</f>
        <v>0.60375</v>
      </c>
      <c r="AB39" s="10" t="n">
        <f aca="false">IF(Z39="","",(X39*Z39+Config!$B$4*$P39)/(X39+Config!$B$4))</f>
        <v>0.574375</v>
      </c>
      <c r="AC39" s="17" t="n">
        <f aca="false">IF(OR(AA39="",$K39=""),"",AA39*$K39*($K39/Config!$B$10)^Config!$B$9)</f>
        <v>12.980625</v>
      </c>
      <c r="AD39" s="17" t="n">
        <f aca="false">IF(OR(AC39="",AB39=""),"",AC39*AB39)</f>
        <v>7.455746484375</v>
      </c>
      <c r="AE39" s="9" t="n">
        <f aca="false">IF($I39="",0,SUMIFS(Map_Stats!$F$2:$F$642,Map_Stats!$A$2:$A$642,$F39&amp;"|"&amp;$I39))</f>
        <v>2</v>
      </c>
      <c r="AF39" s="13" t="n">
        <f aca="false">IF($I39="","",IFERROR(1/(1/INDEX(Map_Stats!$K$2:$K$642,MATCH($F39&amp;"|"&amp;$I39,Map_Stats!$A$2:$A$642,0))),$O39))</f>
        <v>0.48</v>
      </c>
      <c r="AG39" s="10" t="n">
        <f aca="false">IF(OR($I39="",$P39=""),"",IFERROR(1/(1/INDEX(Map_Stats!$I$2:$I$642,MATCH($F39&amp;"|"&amp;$I39,Map_Stats!$A$2:$A$642,0))),$P39))</f>
        <v>0.545</v>
      </c>
      <c r="AH39" s="13" t="n">
        <f aca="false">IF(OR($I39="",AF39=""),"",IF($O39="",AF39,(AE39*AF39+Config!$B$4*$O39)/(AE39+Config!$B$4)))</f>
        <v>0.587142857142857</v>
      </c>
      <c r="AI39" s="10" t="n">
        <f aca="false">IF(AG39="","",(AE39*AG39+Config!$B$4*$P39)/(AE39+Config!$B$4))</f>
        <v>0.557142857142857</v>
      </c>
      <c r="AJ39" s="17" t="n">
        <f aca="false">IF(OR(AH39="",$L39=""),"",AH39*$L39*($L39/Config!$B$10)^Config!$B$9)</f>
        <v>12.6235714285714</v>
      </c>
      <c r="AK39" s="17" t="n">
        <f aca="false">IF(OR(AJ39="",AI39=""),"",AJ39*AI39)</f>
        <v>7.03313265306122</v>
      </c>
      <c r="AL39" s="17" t="n">
        <f aca="false">N(V39)+N(AC39)</f>
        <v>26.525625</v>
      </c>
      <c r="AM39" s="17" t="n">
        <f aca="false">AL39+N($M39)*N(AJ39)</f>
        <v>32.958597</v>
      </c>
      <c r="AN39" s="17" t="n">
        <f aca="false">IF(W39="","",N(W39)+N(AD39))</f>
        <v>15.226061484375</v>
      </c>
      <c r="AO39" s="17" t="n">
        <f aca="false">IF(AN39="","",AN39+N($M39)*N(AK39))</f>
        <v>18.810145884375</v>
      </c>
      <c r="AP39" s="10" t="n">
        <f aca="false">IFERROR(AN39/AL39,"")</f>
        <v>0.574013297872341</v>
      </c>
      <c r="AQ39" s="0" t="str">
        <f aca="false">TRIM(IF($N39&lt;Config!$B$12,"thin sample ("&amp;$N39&amp;" maps) · ","")&amp;IF(AND($G39&lt;&gt;"",Q39=0),"M1 unplayed→overall KPR · ","")&amp;IF(AND($H39&lt;&gt;"",X39=0),"M2 unplayed→overall KPR · ","")&amp;IF($O39="","no PickFinder stats",""))</f>
        <v/>
      </c>
      <c r="AR39" s="0" t="str">
        <f aca="false">IF($C39=Board!$B$2,COUNTIFS($C$2:$C$105,Board!$B$2,$AL$2:$AL$105,"&gt;"&amp;$AL39)+COUNTIFS($C$1:$C38,Board!$B$2,$AL$1:$AL38,$AL39)+1,"")</f>
        <v/>
      </c>
      <c r="AS39" s="0" t="str">
        <f aca="false">IFERROR(IF($D39=INDEX(Matches!$AD$5:$AD$17,MATCH($C39,Matches!$A$5:$A$17,0)),"A",IF($D39=INDEX(Matches!$AE$5:$AE$17,MATCH($C39,Matches!$A$5:$A$17,0)),"B","")),"")</f>
        <v>A</v>
      </c>
      <c r="AT39" s="10" t="n">
        <f aca="false">IF($AS39="","",IFERROR(IF($AS39="A",INDEX(Matches!$AI$5:$AI$17,MATCH($C39,Matches!$A$5:$A$17,0)),INDEX(Matches!$AJ$5:$AJ$17,MATCH($C39,Matches!$A$5:$A$17,0))),""))</f>
        <v>0.516100583959004</v>
      </c>
      <c r="AU39" s="10" t="n">
        <f aca="false">IF($AS39="","",IFERROR(IF(INDEX(Matches!$AP$5:$AP$17,MATCH($C39,Matches!$A$5:$A$17,0))="","",IF($AS39="A",INDEX(Matches!$AP$5:$AP$17,MATCH($C39,Matches!$A$5:$A$17,0)),1-INDEX(Matches!$AP$5:$AP$17,MATCH($C39,Matches!$A$5:$A$17,0)))),""))</f>
        <v>0.459690974261356</v>
      </c>
      <c r="AV39" s="13" t="n">
        <f aca="false">IF(OR($AU39="",$AT39=""),1,((Config!$B$14*$AU39+Config!$B$15*(1-$AU39))/(Config!$B$14*$AT39+Config!$B$15*(1-$AT39)))^Config!$B$13)</f>
        <v>0.950306392109649</v>
      </c>
      <c r="AW39" s="10" t="n">
        <f aca="false">IF($AS39="","",IFERROR(IF(INDEX(Matches!$AV$5:$AV$17,MATCH($C39,Matches!$A$5:$A$17,0))="","",IF($AS39="A",INDEX(Matches!$AV$5:$AV$17,MATCH($C39,Matches!$A$5:$A$17,0)),1-INDEX(Matches!$AV$5:$AV$17,MATCH($C39,Matches!$A$5:$A$17,0)))),""))</f>
        <v>0.52306705233824</v>
      </c>
      <c r="AX39" s="13" t="n">
        <f aca="false">IF(OR($AW39="",$AT39=""),1,((Config!$B$14*$AW39+Config!$B$15*(1-$AW39))/(Config!$B$14*$AT39+Config!$B$15*(1-$AT39)))^Config!$B$13)</f>
        <v>1.00613705625467</v>
      </c>
      <c r="AY39" s="10" t="n">
        <f aca="false">IF($AS39="","",IFERROR(IF(INDEX(Matches!$BB$5:$BB$17,MATCH($C39,Matches!$A$5:$A$17,0))="","",IF($AS39="A",INDEX(Matches!$BB$5:$BB$17,MATCH($C39,Matches!$A$5:$A$17,0)),1-INDEX(Matches!$BB$5:$BB$17,MATCH($C39,Matches!$A$5:$A$17,0)))),""))</f>
        <v>0.517359305143457</v>
      </c>
      <c r="AZ39" s="13" t="n">
        <f aca="false">IF(OR($AY39="",$AT39=""),1,((Config!$B$14*$AY39+Config!$B$15*(1-$AY39))/(Config!$B$14*$AT39+Config!$B$15*(1-$AT39)))^Config!$B$13)</f>
        <v>1.001108860659</v>
      </c>
      <c r="BA39" s="17" t="n">
        <f aca="false">IF(V39="","",V39*$AV39)</f>
        <v>12.8719000811252</v>
      </c>
      <c r="BB39" s="17" t="n">
        <f aca="false">IF(AC39="","",AC39*$AX39)</f>
        <v>13.0602878258457</v>
      </c>
      <c r="BC39" s="17" t="n">
        <f aca="false">IF(AJ39="","",AJ39*$AZ39)</f>
        <v>12.6375692103047</v>
      </c>
      <c r="BD39" s="17" t="n">
        <f aca="false">N(BA39)+N(BB39)</f>
        <v>25.9321879069709</v>
      </c>
      <c r="BE39" s="17" t="n">
        <f aca="false">BD39+N($M39)*N(BC39)</f>
        <v>32.3722931765422</v>
      </c>
      <c r="BF39" s="17" t="n">
        <f aca="false">IF(W39="","",W39*$AV39)</f>
        <v>7.38418001320549</v>
      </c>
      <c r="BG39" s="17" t="n">
        <f aca="false">IF(AD39="","",AD39*$AX39)</f>
        <v>7.50150281997015</v>
      </c>
      <c r="BH39" s="17" t="n">
        <f aca="false">IF(AK39="","",AK39*$AZ39)</f>
        <v>7.04093141716976</v>
      </c>
      <c r="BI39" s="17" t="n">
        <f aca="false">IF(BF39="","",N(BF39)+N(BG39))</f>
        <v>14.8856828331756</v>
      </c>
      <c r="BJ39" s="17" t="n">
        <f aca="false">IF(BI39="","",BI39+N($M39)*N(BH39))</f>
        <v>18.4737414833653</v>
      </c>
      <c r="BK39" s="13" t="n">
        <f aca="false">IFERROR(BD39/AL39,1)</f>
        <v>0.977627780946573</v>
      </c>
    </row>
    <row r="40" customFormat="false" ht="15" hidden="false" customHeight="false" outlineLevel="0" collapsed="false">
      <c r="A40" s="0" t="s">
        <v>978</v>
      </c>
      <c r="B40" s="0" t="s">
        <v>775</v>
      </c>
      <c r="C40" s="0" t="s">
        <v>843</v>
      </c>
      <c r="D40" s="0" t="s">
        <v>849</v>
      </c>
      <c r="E40" s="0" t="s">
        <v>977</v>
      </c>
      <c r="F40" s="0" t="s">
        <v>1205</v>
      </c>
      <c r="G40" s="0" t="str">
        <f aca="false">IFERROR(IF(INDEX(Matches!$W$5:$W$17,MATCH($C40,Matches!$A$5:$A$17,0))="","",INDEX(Matches!$W$5:$W$17,MATCH($C40,Matches!$A$5:$A$17,0))),"")</f>
        <v>Inferno</v>
      </c>
      <c r="H40" s="0" t="str">
        <f aca="false">IFERROR(IF(INDEX(Matches!$X$5:$X$17,MATCH($C40,Matches!$A$5:$A$17,0))="","",INDEX(Matches!$X$5:$X$17,MATCH($C40,Matches!$A$5:$A$17,0))),"")</f>
        <v>Dust2</v>
      </c>
      <c r="I40" s="0" t="str">
        <f aca="false">IFERROR(IF(INDEX(Matches!$Y$5:$Y$17,MATCH($C40,Matches!$A$5:$A$17,0))="","",INDEX(Matches!$Y$5:$Y$17,MATCH($C40,Matches!$A$5:$A$17,0))),"")</f>
        <v>Nuke</v>
      </c>
      <c r="J40" s="11" t="n">
        <f aca="false">IFERROR(IF(INDEX(Matches!$Z$5:$Z$17,MATCH($C40,Matches!$A$5:$A$17,0))="","",INDEX(Matches!$Z$5:$Z$17,MATCH($C40,Matches!$A$5:$A$17,0))),"")</f>
        <v>21.5</v>
      </c>
      <c r="K40" s="11" t="n">
        <f aca="false">IFERROR(IF(INDEX(Matches!$AA$5:$AA$17,MATCH($C40,Matches!$A$5:$A$17,0))="","",INDEX(Matches!$AA$5:$AA$17,MATCH($C40,Matches!$A$5:$A$17,0))),"")</f>
        <v>21.5</v>
      </c>
      <c r="L40" s="11" t="n">
        <f aca="false">IFERROR(IF(INDEX(Matches!$AB$5:$AB$17,MATCH($C40,Matches!$A$5:$A$17,0))="","",INDEX(Matches!$AB$5:$AB$17,MATCH($C40,Matches!$A$5:$A$17,0))),"")</f>
        <v>21.5</v>
      </c>
      <c r="M40" s="10" t="n">
        <f aca="false">IFERROR(IF(INDEX(Matches!$AC$5:$AC$17,MATCH($C40,Matches!$A$5:$A$17,0))="","",INDEX(Matches!$AC$5:$AC$17,MATCH($C40,Matches!$A$5:$A$17,0))),"")</f>
        <v>0.5096</v>
      </c>
      <c r="N40" s="9" t="n">
        <f aca="false">IFERROR(INDEX(Players!$F$2:$F$105,MATCH($F40,Players!$A$2:$A$105,0)),0)</f>
        <v>36</v>
      </c>
      <c r="O40" s="13" t="n">
        <f aca="false">IFERROR(1/(1/INDEX(Players!$H$2:$H$105,MATCH($F40,Players!$A$2:$A$105,0))),"")</f>
        <v>0.77</v>
      </c>
      <c r="P40" s="10" t="n">
        <f aca="false">IFERROR(1/(1/INDEX(Players!$I$2:$I$105,MATCH($F40,Players!$A$2:$A$105,0))),"")</f>
        <v>0.353</v>
      </c>
      <c r="Q40" s="9" t="n">
        <f aca="false">IF($G40="",0,SUMIFS(Map_Stats!$F$2:$F$642,Map_Stats!$A$2:$A$642,$F40&amp;"|"&amp;$G40))</f>
        <v>9</v>
      </c>
      <c r="R40" s="13" t="n">
        <f aca="false">IF($G40="","",IFERROR(1/(1/INDEX(Map_Stats!$K$2:$K$642,MATCH($F40&amp;"|"&amp;$G40,Map_Stats!$A$2:$A$642,0))),$O40))</f>
        <v>0.78</v>
      </c>
      <c r="S40" s="10" t="n">
        <f aca="false">IF(OR($G40="",$P40=""),"",IFERROR(1/(1/INDEX(Map_Stats!$I$2:$I$642,MATCH($F40&amp;"|"&amp;$G40,Map_Stats!$A$2:$A$642,0))),$P40))</f>
        <v>0.262</v>
      </c>
      <c r="T40" s="13" t="n">
        <f aca="false">IF(OR($G40="",R40=""),"",IF($O40="",R40,(Q40*R40+Config!$B$4*$O40)/(Q40+Config!$B$4)))</f>
        <v>0.776428571428572</v>
      </c>
      <c r="U40" s="10" t="n">
        <f aca="false">IF(S40="","",(Q40*S40+Config!$B$4*$P40)/(Q40+Config!$B$4))</f>
        <v>0.2945</v>
      </c>
      <c r="V40" s="17" t="n">
        <f aca="false">IF(OR(T40="",$J40=""),"",T40*$J40*($J40/Config!$B$10)^Config!$B$9)</f>
        <v>16.6932142857143</v>
      </c>
      <c r="W40" s="17" t="n">
        <f aca="false">IF(OR(V40="",U40=""),"",V40*U40)</f>
        <v>4.91615160714286</v>
      </c>
      <c r="X40" s="9" t="n">
        <f aca="false">IF($H40="",0,SUMIFS(Map_Stats!$F$2:$F$642,Map_Stats!$A$2:$A$642,$F40&amp;"|"&amp;$H40))</f>
        <v>6</v>
      </c>
      <c r="Y40" s="13" t="n">
        <f aca="false">IF($H40="","",IFERROR(1/(1/INDEX(Map_Stats!$K$2:$K$642,MATCH($F40&amp;"|"&amp;$H40,Map_Stats!$A$2:$A$642,0))),$O40))</f>
        <v>0.81</v>
      </c>
      <c r="Z40" s="10" t="n">
        <f aca="false">IF(OR($H40="",$P40=""),"",IFERROR(1/(1/INDEX(Map_Stats!$I$2:$I$642,MATCH($F40&amp;"|"&amp;$H40,Map_Stats!$A$2:$A$642,0))),$P40))</f>
        <v>0.364</v>
      </c>
      <c r="AA40" s="13" t="n">
        <f aca="false">IF(OR($H40="",Y40=""),"",IF($O40="",Y40,(X40*Y40+Config!$B$4*$O40)/(X40+Config!$B$4)))</f>
        <v>0.791818181818182</v>
      </c>
      <c r="AB40" s="10" t="n">
        <f aca="false">IF(Z40="","",(X40*Z40+Config!$B$4*$P40)/(X40+Config!$B$4))</f>
        <v>0.359</v>
      </c>
      <c r="AC40" s="17" t="n">
        <f aca="false">IF(OR(AA40="",$K40=""),"",AA40*$K40*($K40/Config!$B$10)^Config!$B$9)</f>
        <v>17.0240909090909</v>
      </c>
      <c r="AD40" s="17" t="n">
        <f aca="false">IF(OR(AC40="",AB40=""),"",AC40*AB40)</f>
        <v>6.11164863636364</v>
      </c>
      <c r="AE40" s="9" t="n">
        <f aca="false">IF($I40="",0,SUMIFS(Map_Stats!$F$2:$F$642,Map_Stats!$A$2:$A$642,$F40&amp;"|"&amp;$I40))</f>
        <v>6</v>
      </c>
      <c r="AF40" s="13" t="n">
        <f aca="false">IF($I40="","",IFERROR(1/(1/INDEX(Map_Stats!$K$2:$K$642,MATCH($F40&amp;"|"&amp;$I40,Map_Stats!$A$2:$A$642,0))),$O40))</f>
        <v>0.66</v>
      </c>
      <c r="AG40" s="10" t="n">
        <f aca="false">IF(OR($I40="",$P40=""),"",IFERROR(1/(1/INDEX(Map_Stats!$I$2:$I$642,MATCH($F40&amp;"|"&amp;$I40,Map_Stats!$A$2:$A$642,0))),$P40))</f>
        <v>0.378</v>
      </c>
      <c r="AH40" s="13" t="n">
        <f aca="false">IF(OR($I40="",AF40=""),"",IF($O40="",AF40,(AE40*AF40+Config!$B$4*$O40)/(AE40+Config!$B$4)))</f>
        <v>0.71</v>
      </c>
      <c r="AI40" s="10" t="n">
        <f aca="false">IF(AG40="","",(AE40*AG40+Config!$B$4*$P40)/(AE40+Config!$B$4))</f>
        <v>0.366636363636364</v>
      </c>
      <c r="AJ40" s="17" t="n">
        <f aca="false">IF(OR(AH40="",$L40=""),"",AH40*$L40*($L40/Config!$B$10)^Config!$B$9)</f>
        <v>15.265</v>
      </c>
      <c r="AK40" s="17" t="n">
        <f aca="false">IF(OR(AJ40="",AI40=""),"",AJ40*AI40)</f>
        <v>5.59670409090909</v>
      </c>
      <c r="AL40" s="17" t="n">
        <f aca="false">N(V40)+N(AC40)</f>
        <v>33.7173051948052</v>
      </c>
      <c r="AM40" s="17" t="n">
        <f aca="false">AL40+N($M40)*N(AJ40)</f>
        <v>41.4963491948052</v>
      </c>
      <c r="AN40" s="17" t="n">
        <f aca="false">IF(W40="","",N(W40)+N(AD40))</f>
        <v>11.0278002435065</v>
      </c>
      <c r="AO40" s="17" t="n">
        <f aca="false">IF(AN40="","",AN40+N($M40)*N(AK40))</f>
        <v>13.8798806482338</v>
      </c>
      <c r="AP40" s="10" t="n">
        <f aca="false">IFERROR(AN40/AL40,"")</f>
        <v>0.327066477578568</v>
      </c>
      <c r="AQ40" s="0" t="str">
        <f aca="false">TRIM(IF($N40&lt;Config!$B$12,"thin sample ("&amp;$N40&amp;" maps) · ","")&amp;IF(AND($G40&lt;&gt;"",Q40=0),"M1 unplayed→overall KPR · ","")&amp;IF(AND($H40&lt;&gt;"",X40=0),"M2 unplayed→overall KPR · ","")&amp;IF($O40="","no PickFinder stats",""))</f>
        <v/>
      </c>
      <c r="AR40" s="0" t="str">
        <f aca="false">IF($C40=Board!$B$2,COUNTIFS($C$2:$C$105,Board!$B$2,$AL$2:$AL$105,"&gt;"&amp;$AL40)+COUNTIFS($C$1:$C39,Board!$B$2,$AL$1:$AL39,$AL40)+1,"")</f>
        <v/>
      </c>
      <c r="AS40" s="0" t="str">
        <f aca="false">IFERROR(IF($D40=INDEX(Matches!$AD$5:$AD$17,MATCH($C40,Matches!$A$5:$A$17,0)),"A",IF($D40=INDEX(Matches!$AE$5:$AE$17,MATCH($C40,Matches!$A$5:$A$17,0)),"B","")),"")</f>
        <v>B</v>
      </c>
      <c r="AT40" s="10" t="n">
        <f aca="false">IF($AS40="","",IFERROR(IF($AS40="A",INDEX(Matches!$AI$5:$AI$17,MATCH($C40,Matches!$A$5:$A$17,0)),INDEX(Matches!$AJ$5:$AJ$17,MATCH($C40,Matches!$A$5:$A$17,0))),""))</f>
        <v>0.497786063854579</v>
      </c>
      <c r="AU40" s="10" t="n">
        <f aca="false">IF($AS40="","",IFERROR(IF(INDEX(Matches!$AP$5:$AP$17,MATCH($C40,Matches!$A$5:$A$17,0))="","",IF($AS40="A",INDEX(Matches!$AP$5:$AP$17,MATCH($C40,Matches!$A$5:$A$17,0)),1-INDEX(Matches!$AP$5:$AP$17,MATCH($C40,Matches!$A$5:$A$17,0)))),""))</f>
        <v>0.540309025738644</v>
      </c>
      <c r="AV40" s="13" t="n">
        <f aca="false">IF(OR($AU40="",$AT40=""),1,((Config!$B$14*$AU40+Config!$B$15*(1-$AU40))/(Config!$B$14*$AT40+Config!$B$15*(1-$AT40)))^Config!$B$13)</f>
        <v>1.03807456968308</v>
      </c>
      <c r="AW40" s="10" t="n">
        <f aca="false">IF($AS40="","",IFERROR(IF(INDEX(Matches!$AV$5:$AV$17,MATCH($C40,Matches!$A$5:$A$17,0))="","",IF($AS40="A",INDEX(Matches!$AV$5:$AV$17,MATCH($C40,Matches!$A$5:$A$17,0)),1-INDEX(Matches!$AV$5:$AV$17,MATCH($C40,Matches!$A$5:$A$17,0)))),""))</f>
        <v>0.47693294766176</v>
      </c>
      <c r="AX40" s="13" t="n">
        <f aca="false">IF(OR($AW40="",$AT40=""),1,((Config!$B$14*$AW40+Config!$B$15*(1-$AW40))/(Config!$B$14*$AT40+Config!$B$15*(1-$AT40)))^Config!$B$13)</f>
        <v>0.98132836024552</v>
      </c>
      <c r="AY40" s="10" t="n">
        <f aca="false">IF($AS40="","",IFERROR(IF(INDEX(Matches!$BB$5:$BB$17,MATCH($C40,Matches!$A$5:$A$17,0))="","",IF($AS40="A",INDEX(Matches!$BB$5:$BB$17,MATCH($C40,Matches!$A$5:$A$17,0)),1-INDEX(Matches!$BB$5:$BB$17,MATCH($C40,Matches!$A$5:$A$17,0)))),""))</f>
        <v>0.482640694856543</v>
      </c>
      <c r="AZ40" s="13" t="n">
        <f aca="false">IF(OR($AY40="",$AT40=""),1,((Config!$B$14*$AY40+Config!$B$15*(1-$AY40))/(Config!$B$14*$AT40+Config!$B$15*(1-$AT40)))^Config!$B$13)</f>
        <v>0.986439011260226</v>
      </c>
      <c r="BA40" s="17" t="n">
        <f aca="false">IF(V40="","",V40*$AV40)</f>
        <v>17.3288012362702</v>
      </c>
      <c r="BB40" s="17" t="n">
        <f aca="false">IF(AC40="","",AC40*$AX40)</f>
        <v>16.7062232164888</v>
      </c>
      <c r="BC40" s="17" t="n">
        <f aca="false">IF(AJ40="","",AJ40*$AZ40)</f>
        <v>15.0579915068874</v>
      </c>
      <c r="BD40" s="17" t="n">
        <f aca="false">N(BA40)+N(BB40)</f>
        <v>34.0350244527591</v>
      </c>
      <c r="BE40" s="17" t="n">
        <f aca="false">BD40+N($M40)*N(BC40)</f>
        <v>41.7085769246689</v>
      </c>
      <c r="BF40" s="17" t="n">
        <f aca="false">IF(W40="","",W40*$AV40)</f>
        <v>5.10333196408158</v>
      </c>
      <c r="BG40" s="17" t="n">
        <f aca="false">IF(AD40="","",AD40*$AX40)</f>
        <v>5.9975341347195</v>
      </c>
      <c r="BH40" s="17" t="n">
        <f aca="false">IF(AK40="","",AK40*$AZ40)</f>
        <v>5.52080724975243</v>
      </c>
      <c r="BI40" s="17" t="n">
        <f aca="false">IF(BF40="","",N(BF40)+N(BG40))</f>
        <v>11.1008660988011</v>
      </c>
      <c r="BJ40" s="17" t="n">
        <f aca="false">IF(BI40="","",BI40+N($M40)*N(BH40))</f>
        <v>13.9142694732749</v>
      </c>
      <c r="BK40" s="13" t="n">
        <f aca="false">IFERROR(BD40/AL40,1)</f>
        <v>1.00942303236033</v>
      </c>
    </row>
    <row r="41" customFormat="false" ht="15" hidden="false" customHeight="false" outlineLevel="0" collapsed="false">
      <c r="A41" s="0" t="s">
        <v>980</v>
      </c>
      <c r="B41" s="0" t="s">
        <v>775</v>
      </c>
      <c r="C41" s="0" t="s">
        <v>843</v>
      </c>
      <c r="D41" s="0" t="s">
        <v>849</v>
      </c>
      <c r="E41" s="0" t="s">
        <v>979</v>
      </c>
      <c r="F41" s="0" t="s">
        <v>1206</v>
      </c>
      <c r="G41" s="0" t="str">
        <f aca="false">IFERROR(IF(INDEX(Matches!$W$5:$W$17,MATCH($C41,Matches!$A$5:$A$17,0))="","",INDEX(Matches!$W$5:$W$17,MATCH($C41,Matches!$A$5:$A$17,0))),"")</f>
        <v>Inferno</v>
      </c>
      <c r="H41" s="0" t="str">
        <f aca="false">IFERROR(IF(INDEX(Matches!$X$5:$X$17,MATCH($C41,Matches!$A$5:$A$17,0))="","",INDEX(Matches!$X$5:$X$17,MATCH($C41,Matches!$A$5:$A$17,0))),"")</f>
        <v>Dust2</v>
      </c>
      <c r="I41" s="0" t="str">
        <f aca="false">IFERROR(IF(INDEX(Matches!$Y$5:$Y$17,MATCH($C41,Matches!$A$5:$A$17,0))="","",INDEX(Matches!$Y$5:$Y$17,MATCH($C41,Matches!$A$5:$A$17,0))),"")</f>
        <v>Nuke</v>
      </c>
      <c r="J41" s="11" t="n">
        <f aca="false">IFERROR(IF(INDEX(Matches!$Z$5:$Z$17,MATCH($C41,Matches!$A$5:$A$17,0))="","",INDEX(Matches!$Z$5:$Z$17,MATCH($C41,Matches!$A$5:$A$17,0))),"")</f>
        <v>21.5</v>
      </c>
      <c r="K41" s="11" t="n">
        <f aca="false">IFERROR(IF(INDEX(Matches!$AA$5:$AA$17,MATCH($C41,Matches!$A$5:$A$17,0))="","",INDEX(Matches!$AA$5:$AA$17,MATCH($C41,Matches!$A$5:$A$17,0))),"")</f>
        <v>21.5</v>
      </c>
      <c r="L41" s="11" t="n">
        <f aca="false">IFERROR(IF(INDEX(Matches!$AB$5:$AB$17,MATCH($C41,Matches!$A$5:$A$17,0))="","",INDEX(Matches!$AB$5:$AB$17,MATCH($C41,Matches!$A$5:$A$17,0))),"")</f>
        <v>21.5</v>
      </c>
      <c r="M41" s="10" t="n">
        <f aca="false">IFERROR(IF(INDEX(Matches!$AC$5:$AC$17,MATCH($C41,Matches!$A$5:$A$17,0))="","",INDEX(Matches!$AC$5:$AC$17,MATCH($C41,Matches!$A$5:$A$17,0))),"")</f>
        <v>0.5096</v>
      </c>
      <c r="N41" s="9" t="n">
        <f aca="false">IFERROR(INDEX(Players!$F$2:$F$105,MATCH($F41,Players!$A$2:$A$105,0)),0)</f>
        <v>36</v>
      </c>
      <c r="O41" s="13" t="n">
        <f aca="false">IFERROR(1/(1/INDEX(Players!$H$2:$H$105,MATCH($F41,Players!$A$2:$A$105,0))),"")</f>
        <v>0.68</v>
      </c>
      <c r="P41" s="10" t="n">
        <f aca="false">IFERROR(1/(1/INDEX(Players!$I$2:$I$105,MATCH($F41,Players!$A$2:$A$105,0))),"")</f>
        <v>0.499</v>
      </c>
      <c r="Q41" s="9" t="n">
        <f aca="false">IF($G41="",0,SUMIFS(Map_Stats!$F$2:$F$642,Map_Stats!$A$2:$A$642,$F41&amp;"|"&amp;$G41))</f>
        <v>9</v>
      </c>
      <c r="R41" s="13" t="n">
        <f aca="false">IF($G41="","",IFERROR(1/(1/INDEX(Map_Stats!$K$2:$K$642,MATCH($F41&amp;"|"&amp;$G41,Map_Stats!$A$2:$A$642,0))),$O41))</f>
        <v>0.64</v>
      </c>
      <c r="S41" s="10" t="n">
        <f aca="false">IF(OR($G41="",$P41=""),"",IFERROR(1/(1/INDEX(Map_Stats!$I$2:$I$642,MATCH($F41&amp;"|"&amp;$G41,Map_Stats!$A$2:$A$642,0))),$P41))</f>
        <v>0.449</v>
      </c>
      <c r="T41" s="13" t="n">
        <f aca="false">IF(OR($G41="",R41=""),"",IF($O41="",R41,(Q41*R41+Config!$B$4*$O41)/(Q41+Config!$B$4)))</f>
        <v>0.654285714285714</v>
      </c>
      <c r="U41" s="10" t="n">
        <f aca="false">IF(S41="","",(Q41*S41+Config!$B$4*$P41)/(Q41+Config!$B$4))</f>
        <v>0.466857142857143</v>
      </c>
      <c r="V41" s="17" t="n">
        <f aca="false">IF(OR(T41="",$J41=""),"",T41*$J41*($J41/Config!$B$10)^Config!$B$9)</f>
        <v>14.0671428571429</v>
      </c>
      <c r="W41" s="17" t="n">
        <f aca="false">IF(OR(V41="",U41=""),"",V41*U41)</f>
        <v>6.56734612244898</v>
      </c>
      <c r="X41" s="9" t="n">
        <f aca="false">IF($H41="",0,SUMIFS(Map_Stats!$F$2:$F$642,Map_Stats!$A$2:$A$642,$F41&amp;"|"&amp;$H41))</f>
        <v>6</v>
      </c>
      <c r="Y41" s="13" t="n">
        <f aca="false">IF($H41="","",IFERROR(1/(1/INDEX(Map_Stats!$K$2:$K$642,MATCH($F41&amp;"|"&amp;$H41,Map_Stats!$A$2:$A$642,0))),$O41))</f>
        <v>0.68</v>
      </c>
      <c r="Z41" s="10" t="n">
        <f aca="false">IF(OR($H41="",$P41=""),"",IFERROR(1/(1/INDEX(Map_Stats!$I$2:$I$642,MATCH($F41&amp;"|"&amp;$H41,Map_Stats!$A$2:$A$642,0))),$P41))</f>
        <v>0.5</v>
      </c>
      <c r="AA41" s="13" t="n">
        <f aca="false">IF(OR($H41="",Y41=""),"",IF($O41="",Y41,(X41*Y41+Config!$B$4*$O41)/(X41+Config!$B$4)))</f>
        <v>0.68</v>
      </c>
      <c r="AB41" s="10" t="n">
        <f aca="false">IF(Z41="","",(X41*Z41+Config!$B$4*$P41)/(X41+Config!$B$4))</f>
        <v>0.499545454545455</v>
      </c>
      <c r="AC41" s="17" t="n">
        <f aca="false">IF(OR(AA41="",$K41=""),"",AA41*$K41*($K41/Config!$B$10)^Config!$B$9)</f>
        <v>14.62</v>
      </c>
      <c r="AD41" s="17" t="n">
        <f aca="false">IF(OR(AC41="",AB41=""),"",AC41*AB41)</f>
        <v>7.30335454545455</v>
      </c>
      <c r="AE41" s="9" t="n">
        <f aca="false">IF($I41="",0,SUMIFS(Map_Stats!$F$2:$F$642,Map_Stats!$A$2:$A$642,$F41&amp;"|"&amp;$I41))</f>
        <v>6</v>
      </c>
      <c r="AF41" s="13" t="n">
        <f aca="false">IF($I41="","",IFERROR(1/(1/INDEX(Map_Stats!$K$2:$K$642,MATCH($F41&amp;"|"&amp;$I41,Map_Stats!$A$2:$A$642,0))),$O41))</f>
        <v>0.71</v>
      </c>
      <c r="AG41" s="10" t="n">
        <f aca="false">IF(OR($I41="",$P41=""),"",IFERROR(1/(1/INDEX(Map_Stats!$I$2:$I$642,MATCH($F41&amp;"|"&amp;$I41,Map_Stats!$A$2:$A$642,0))),$P41))</f>
        <v>0.531</v>
      </c>
      <c r="AH41" s="13" t="n">
        <f aca="false">IF(OR($I41="",AF41=""),"",IF($O41="",AF41,(AE41*AF41+Config!$B$4*$O41)/(AE41+Config!$B$4)))</f>
        <v>0.696363636363636</v>
      </c>
      <c r="AI41" s="10" t="n">
        <f aca="false">IF(AG41="","",(AE41*AG41+Config!$B$4*$P41)/(AE41+Config!$B$4))</f>
        <v>0.516454545454546</v>
      </c>
      <c r="AJ41" s="17" t="n">
        <f aca="false">IF(OR(AH41="",$L41=""),"",AH41*$L41*($L41/Config!$B$10)^Config!$B$9)</f>
        <v>14.9718181818182</v>
      </c>
      <c r="AK41" s="17" t="n">
        <f aca="false">IF(OR(AJ41="",AI41=""),"",AJ41*AI41)</f>
        <v>7.73226355371901</v>
      </c>
      <c r="AL41" s="17" t="n">
        <f aca="false">N(V41)+N(AC41)</f>
        <v>28.6871428571429</v>
      </c>
      <c r="AM41" s="17" t="n">
        <f aca="false">AL41+N($M41)*N(AJ41)</f>
        <v>36.3167814025974</v>
      </c>
      <c r="AN41" s="17" t="n">
        <f aca="false">IF(W41="","",N(W41)+N(AD41))</f>
        <v>13.8707006679035</v>
      </c>
      <c r="AO41" s="17" t="n">
        <f aca="false">IF(AN41="","",AN41+N($M41)*N(AK41))</f>
        <v>17.8110621748787</v>
      </c>
      <c r="AP41" s="10" t="n">
        <f aca="false">IFERROR(AN41/AL41,"")</f>
        <v>0.483516282432771</v>
      </c>
      <c r="AQ41" s="0" t="str">
        <f aca="false">TRIM(IF($N41&lt;Config!$B$12,"thin sample ("&amp;$N41&amp;" maps) · ","")&amp;IF(AND($G41&lt;&gt;"",Q41=0),"M1 unplayed→overall KPR · ","")&amp;IF(AND($H41&lt;&gt;"",X41=0),"M2 unplayed→overall KPR · ","")&amp;IF($O41="","no PickFinder stats",""))</f>
        <v/>
      </c>
      <c r="AR41" s="0" t="str">
        <f aca="false">IF($C41=Board!$B$2,COUNTIFS($C$2:$C$105,Board!$B$2,$AL$2:$AL$105,"&gt;"&amp;$AL41)+COUNTIFS($C$1:$C40,Board!$B$2,$AL$1:$AL40,$AL41)+1,"")</f>
        <v/>
      </c>
      <c r="AS41" s="0" t="str">
        <f aca="false">IFERROR(IF($D41=INDEX(Matches!$AD$5:$AD$17,MATCH($C41,Matches!$A$5:$A$17,0)),"A",IF($D41=INDEX(Matches!$AE$5:$AE$17,MATCH($C41,Matches!$A$5:$A$17,0)),"B","")),"")</f>
        <v>B</v>
      </c>
      <c r="AT41" s="10" t="n">
        <f aca="false">IF($AS41="","",IFERROR(IF($AS41="A",INDEX(Matches!$AI$5:$AI$17,MATCH($C41,Matches!$A$5:$A$17,0)),INDEX(Matches!$AJ$5:$AJ$17,MATCH($C41,Matches!$A$5:$A$17,0))),""))</f>
        <v>0.497786063854579</v>
      </c>
      <c r="AU41" s="10" t="n">
        <f aca="false">IF($AS41="","",IFERROR(IF(INDEX(Matches!$AP$5:$AP$17,MATCH($C41,Matches!$A$5:$A$17,0))="","",IF($AS41="A",INDEX(Matches!$AP$5:$AP$17,MATCH($C41,Matches!$A$5:$A$17,0)),1-INDEX(Matches!$AP$5:$AP$17,MATCH($C41,Matches!$A$5:$A$17,0)))),""))</f>
        <v>0.540309025738644</v>
      </c>
      <c r="AV41" s="13" t="n">
        <f aca="false">IF(OR($AU41="",$AT41=""),1,((Config!$B$14*$AU41+Config!$B$15*(1-$AU41))/(Config!$B$14*$AT41+Config!$B$15*(1-$AT41)))^Config!$B$13)</f>
        <v>1.03807456968308</v>
      </c>
      <c r="AW41" s="10" t="n">
        <f aca="false">IF($AS41="","",IFERROR(IF(INDEX(Matches!$AV$5:$AV$17,MATCH($C41,Matches!$A$5:$A$17,0))="","",IF($AS41="A",INDEX(Matches!$AV$5:$AV$17,MATCH($C41,Matches!$A$5:$A$17,0)),1-INDEX(Matches!$AV$5:$AV$17,MATCH($C41,Matches!$A$5:$A$17,0)))),""))</f>
        <v>0.47693294766176</v>
      </c>
      <c r="AX41" s="13" t="n">
        <f aca="false">IF(OR($AW41="",$AT41=""),1,((Config!$B$14*$AW41+Config!$B$15*(1-$AW41))/(Config!$B$14*$AT41+Config!$B$15*(1-$AT41)))^Config!$B$13)</f>
        <v>0.98132836024552</v>
      </c>
      <c r="AY41" s="10" t="n">
        <f aca="false">IF($AS41="","",IFERROR(IF(INDEX(Matches!$BB$5:$BB$17,MATCH($C41,Matches!$A$5:$A$17,0))="","",IF($AS41="A",INDEX(Matches!$BB$5:$BB$17,MATCH($C41,Matches!$A$5:$A$17,0)),1-INDEX(Matches!$BB$5:$BB$17,MATCH($C41,Matches!$A$5:$A$17,0)))),""))</f>
        <v>0.482640694856543</v>
      </c>
      <c r="AZ41" s="13" t="n">
        <f aca="false">IF(OR($AY41="",$AT41=""),1,((Config!$B$14*$AY41+Config!$B$15*(1-$AY41))/(Config!$B$14*$AT41+Config!$B$15*(1-$AT41)))^Config!$B$13)</f>
        <v>0.986439011260226</v>
      </c>
      <c r="BA41" s="17" t="n">
        <f aca="false">IF(V41="","",V41*$AV41)</f>
        <v>14.6027432680989</v>
      </c>
      <c r="BB41" s="17" t="n">
        <f aca="false">IF(AC41="","",AC41*$AX41)</f>
        <v>14.3470206267895</v>
      </c>
      <c r="BC41" s="17" t="n">
        <f aca="false">IF(AJ41="","",AJ41*$AZ41)</f>
        <v>14.7687855240406</v>
      </c>
      <c r="BD41" s="17" t="n">
        <f aca="false">N(BA41)+N(BB41)</f>
        <v>28.9497638948884</v>
      </c>
      <c r="BE41" s="17" t="n">
        <f aca="false">BD41+N($M41)*N(BC41)</f>
        <v>36.4759369979395</v>
      </c>
      <c r="BF41" s="17" t="n">
        <f aca="false">IF(W41="","",W41*$AV41)</f>
        <v>6.81739500002104</v>
      </c>
      <c r="BG41" s="17" t="n">
        <f aca="false">IF(AD41="","",AD41*$AX41)</f>
        <v>7.16698894038258</v>
      </c>
      <c r="BH41" s="17" t="n">
        <f aca="false">IF(AK41="","",AK41*$AZ41)</f>
        <v>7.62740641473406</v>
      </c>
      <c r="BI41" s="17" t="n">
        <f aca="false">IF(BF41="","",N(BF41)+N(BG41))</f>
        <v>13.9843839404036</v>
      </c>
      <c r="BJ41" s="17" t="n">
        <f aca="false">IF(BI41="","",BI41+N($M41)*N(BH41))</f>
        <v>17.8713102493521</v>
      </c>
      <c r="BK41" s="13" t="n">
        <f aca="false">IFERROR(BD41/AL41,1)</f>
        <v>1.0091546599483</v>
      </c>
    </row>
    <row r="42" customFormat="false" ht="15" hidden="false" customHeight="false" outlineLevel="0" collapsed="false">
      <c r="A42" s="0" t="s">
        <v>982</v>
      </c>
      <c r="B42" s="0" t="s">
        <v>775</v>
      </c>
      <c r="C42" s="0" t="s">
        <v>843</v>
      </c>
      <c r="D42" s="0" t="s">
        <v>849</v>
      </c>
      <c r="E42" s="0" t="s">
        <v>981</v>
      </c>
      <c r="F42" s="0" t="s">
        <v>1207</v>
      </c>
      <c r="G42" s="0" t="str">
        <f aca="false">IFERROR(IF(INDEX(Matches!$W$5:$W$17,MATCH($C42,Matches!$A$5:$A$17,0))="","",INDEX(Matches!$W$5:$W$17,MATCH($C42,Matches!$A$5:$A$17,0))),"")</f>
        <v>Inferno</v>
      </c>
      <c r="H42" s="0" t="str">
        <f aca="false">IFERROR(IF(INDEX(Matches!$X$5:$X$17,MATCH($C42,Matches!$A$5:$A$17,0))="","",INDEX(Matches!$X$5:$X$17,MATCH($C42,Matches!$A$5:$A$17,0))),"")</f>
        <v>Dust2</v>
      </c>
      <c r="I42" s="0" t="str">
        <f aca="false">IFERROR(IF(INDEX(Matches!$Y$5:$Y$17,MATCH($C42,Matches!$A$5:$A$17,0))="","",INDEX(Matches!$Y$5:$Y$17,MATCH($C42,Matches!$A$5:$A$17,0))),"")</f>
        <v>Nuke</v>
      </c>
      <c r="J42" s="11" t="n">
        <f aca="false">IFERROR(IF(INDEX(Matches!$Z$5:$Z$17,MATCH($C42,Matches!$A$5:$A$17,0))="","",INDEX(Matches!$Z$5:$Z$17,MATCH($C42,Matches!$A$5:$A$17,0))),"")</f>
        <v>21.5</v>
      </c>
      <c r="K42" s="11" t="n">
        <f aca="false">IFERROR(IF(INDEX(Matches!$AA$5:$AA$17,MATCH($C42,Matches!$A$5:$A$17,0))="","",INDEX(Matches!$AA$5:$AA$17,MATCH($C42,Matches!$A$5:$A$17,0))),"")</f>
        <v>21.5</v>
      </c>
      <c r="L42" s="11" t="n">
        <f aca="false">IFERROR(IF(INDEX(Matches!$AB$5:$AB$17,MATCH($C42,Matches!$A$5:$A$17,0))="","",INDEX(Matches!$AB$5:$AB$17,MATCH($C42,Matches!$A$5:$A$17,0))),"")</f>
        <v>21.5</v>
      </c>
      <c r="M42" s="10" t="n">
        <f aca="false">IFERROR(IF(INDEX(Matches!$AC$5:$AC$17,MATCH($C42,Matches!$A$5:$A$17,0))="","",INDEX(Matches!$AC$5:$AC$17,MATCH($C42,Matches!$A$5:$A$17,0))),"")</f>
        <v>0.5096</v>
      </c>
      <c r="N42" s="9" t="n">
        <f aca="false">IFERROR(INDEX(Players!$F$2:$F$105,MATCH($F42,Players!$A$2:$A$105,0)),0)</f>
        <v>37</v>
      </c>
      <c r="O42" s="13" t="n">
        <f aca="false">IFERROR(1/(1/INDEX(Players!$H$2:$H$105,MATCH($F42,Players!$A$2:$A$105,0))),"")</f>
        <v>0.69</v>
      </c>
      <c r="P42" s="10" t="n">
        <f aca="false">IFERROR(1/(1/INDEX(Players!$I$2:$I$105,MATCH($F42,Players!$A$2:$A$105,0))),"")</f>
        <v>0.581</v>
      </c>
      <c r="Q42" s="9" t="n">
        <f aca="false">IF($G42="",0,SUMIFS(Map_Stats!$F$2:$F$642,Map_Stats!$A$2:$A$642,$F42&amp;"|"&amp;$G42))</f>
        <v>8</v>
      </c>
      <c r="R42" s="13" t="n">
        <f aca="false">IF($G42="","",IFERROR(1/(1/INDEX(Map_Stats!$K$2:$K$642,MATCH($F42&amp;"|"&amp;$G42,Map_Stats!$A$2:$A$642,0))),$O42))</f>
        <v>0.74</v>
      </c>
      <c r="S42" s="10" t="n">
        <f aca="false">IF(OR($G42="",$P42=""),"",IFERROR(1/(1/INDEX(Map_Stats!$I$2:$I$642,MATCH($F42&amp;"|"&amp;$G42,Map_Stats!$A$2:$A$642,0))),$P42))</f>
        <v>0.519</v>
      </c>
      <c r="T42" s="13" t="n">
        <f aca="false">IF(OR($G42="",R42=""),"",IF($O42="",R42,(Q42*R42+Config!$B$4*$O42)/(Q42+Config!$B$4)))</f>
        <v>0.720769230769231</v>
      </c>
      <c r="U42" s="10" t="n">
        <f aca="false">IF(S42="","",(Q42*S42+Config!$B$4*$P42)/(Q42+Config!$B$4))</f>
        <v>0.542846153846154</v>
      </c>
      <c r="V42" s="17" t="n">
        <f aca="false">IF(OR(T42="",$J42=""),"",T42*$J42*($J42/Config!$B$10)^Config!$B$9)</f>
        <v>15.4965384615385</v>
      </c>
      <c r="W42" s="17" t="n">
        <f aca="false">IF(OR(V42="",U42=""),"",V42*U42)</f>
        <v>8.41223630177515</v>
      </c>
      <c r="X42" s="9" t="n">
        <f aca="false">IF($H42="",0,SUMIFS(Map_Stats!$F$2:$F$642,Map_Stats!$A$2:$A$642,$F42&amp;"|"&amp;$H42))</f>
        <v>5</v>
      </c>
      <c r="Y42" s="13" t="n">
        <f aca="false">IF($H42="","",IFERROR(1/(1/INDEX(Map_Stats!$K$2:$K$642,MATCH($F42&amp;"|"&amp;$H42,Map_Stats!$A$2:$A$642,0))),$O42))</f>
        <v>0.67</v>
      </c>
      <c r="Z42" s="10" t="n">
        <f aca="false">IF(OR($H42="",$P42=""),"",IFERROR(1/(1/INDEX(Map_Stats!$I$2:$I$642,MATCH($F42&amp;"|"&amp;$H42,Map_Stats!$A$2:$A$642,0))),$P42))</f>
        <v>0.568</v>
      </c>
      <c r="AA42" s="13" t="n">
        <f aca="false">IF(OR($H42="",Y42=""),"",IF($O42="",Y42,(X42*Y42+Config!$B$4*$O42)/(X42+Config!$B$4)))</f>
        <v>0.68</v>
      </c>
      <c r="AB42" s="10" t="n">
        <f aca="false">IF(Z42="","",(X42*Z42+Config!$B$4*$P42)/(X42+Config!$B$4))</f>
        <v>0.5745</v>
      </c>
      <c r="AC42" s="17" t="n">
        <f aca="false">IF(OR(AA42="",$K42=""),"",AA42*$K42*($K42/Config!$B$10)^Config!$B$9)</f>
        <v>14.62</v>
      </c>
      <c r="AD42" s="17" t="n">
        <f aca="false">IF(OR(AC42="",AB42=""),"",AC42*AB42)</f>
        <v>8.39919</v>
      </c>
      <c r="AE42" s="9" t="n">
        <f aca="false">IF($I42="",0,SUMIFS(Map_Stats!$F$2:$F$642,Map_Stats!$A$2:$A$642,$F42&amp;"|"&amp;$I42))</f>
        <v>6</v>
      </c>
      <c r="AF42" s="13" t="n">
        <f aca="false">IF($I42="","",IFERROR(1/(1/INDEX(Map_Stats!$K$2:$K$642,MATCH($F42&amp;"|"&amp;$I42,Map_Stats!$A$2:$A$642,0))),$O42))</f>
        <v>0.73</v>
      </c>
      <c r="AG42" s="10" t="n">
        <f aca="false">IF(OR($I42="",$P42=""),"",IFERROR(1/(1/INDEX(Map_Stats!$I$2:$I$642,MATCH($F42&amp;"|"&amp;$I42,Map_Stats!$A$2:$A$642,0))),$P42))</f>
        <v>0.616</v>
      </c>
      <c r="AH42" s="13" t="n">
        <f aca="false">IF(OR($I42="",AF42=""),"",IF($O42="",AF42,(AE42*AF42+Config!$B$4*$O42)/(AE42+Config!$B$4)))</f>
        <v>0.711818181818182</v>
      </c>
      <c r="AI42" s="10" t="n">
        <f aca="false">IF(AG42="","",(AE42*AG42+Config!$B$4*$P42)/(AE42+Config!$B$4))</f>
        <v>0.600090909090909</v>
      </c>
      <c r="AJ42" s="17" t="n">
        <f aca="false">IF(OR(AH42="",$L42=""),"",AH42*$L42*($L42/Config!$B$10)^Config!$B$9)</f>
        <v>15.3040909090909</v>
      </c>
      <c r="AK42" s="17" t="n">
        <f aca="false">IF(OR(AJ42="",AI42=""),"",AJ42*AI42)</f>
        <v>9.18384582644628</v>
      </c>
      <c r="AL42" s="17" t="n">
        <f aca="false">N(V42)+N(AC42)</f>
        <v>30.1165384615385</v>
      </c>
      <c r="AM42" s="17" t="n">
        <f aca="false">AL42+N($M42)*N(AJ42)</f>
        <v>37.9155031888112</v>
      </c>
      <c r="AN42" s="17" t="n">
        <f aca="false">IF(W42="","",N(W42)+N(AD42))</f>
        <v>16.8114263017751</v>
      </c>
      <c r="AO42" s="17" t="n">
        <f aca="false">IF(AN42="","",AN42+N($M42)*N(AK42))</f>
        <v>21.4915141349322</v>
      </c>
      <c r="AP42" s="10" t="n">
        <f aca="false">IFERROR(AN42/AL42,"")</f>
        <v>0.558212436108647</v>
      </c>
      <c r="AQ42" s="0" t="str">
        <f aca="false">TRIM(IF($N42&lt;Config!$B$12,"thin sample ("&amp;$N42&amp;" maps) · ","")&amp;IF(AND($G42&lt;&gt;"",Q42=0),"M1 unplayed→overall KPR · ","")&amp;IF(AND($H42&lt;&gt;"",X42=0),"M2 unplayed→overall KPR · ","")&amp;IF($O42="","no PickFinder stats",""))</f>
        <v/>
      </c>
      <c r="AR42" s="0" t="str">
        <f aca="false">IF($C42=Board!$B$2,COUNTIFS($C$2:$C$105,Board!$B$2,$AL$2:$AL$105,"&gt;"&amp;$AL42)+COUNTIFS($C$1:$C41,Board!$B$2,$AL$1:$AL41,$AL42)+1,"")</f>
        <v/>
      </c>
      <c r="AS42" s="0" t="str">
        <f aca="false">IFERROR(IF($D42=INDEX(Matches!$AD$5:$AD$17,MATCH($C42,Matches!$A$5:$A$17,0)),"A",IF($D42=INDEX(Matches!$AE$5:$AE$17,MATCH($C42,Matches!$A$5:$A$17,0)),"B","")),"")</f>
        <v>B</v>
      </c>
      <c r="AT42" s="10" t="n">
        <f aca="false">IF($AS42="","",IFERROR(IF($AS42="A",INDEX(Matches!$AI$5:$AI$17,MATCH($C42,Matches!$A$5:$A$17,0)),INDEX(Matches!$AJ$5:$AJ$17,MATCH($C42,Matches!$A$5:$A$17,0))),""))</f>
        <v>0.497786063854579</v>
      </c>
      <c r="AU42" s="10" t="n">
        <f aca="false">IF($AS42="","",IFERROR(IF(INDEX(Matches!$AP$5:$AP$17,MATCH($C42,Matches!$A$5:$A$17,0))="","",IF($AS42="A",INDEX(Matches!$AP$5:$AP$17,MATCH($C42,Matches!$A$5:$A$17,0)),1-INDEX(Matches!$AP$5:$AP$17,MATCH($C42,Matches!$A$5:$A$17,0)))),""))</f>
        <v>0.540309025738644</v>
      </c>
      <c r="AV42" s="13" t="n">
        <f aca="false">IF(OR($AU42="",$AT42=""),1,((Config!$B$14*$AU42+Config!$B$15*(1-$AU42))/(Config!$B$14*$AT42+Config!$B$15*(1-$AT42)))^Config!$B$13)</f>
        <v>1.03807456968308</v>
      </c>
      <c r="AW42" s="10" t="n">
        <f aca="false">IF($AS42="","",IFERROR(IF(INDEX(Matches!$AV$5:$AV$17,MATCH($C42,Matches!$A$5:$A$17,0))="","",IF($AS42="A",INDEX(Matches!$AV$5:$AV$17,MATCH($C42,Matches!$A$5:$A$17,0)),1-INDEX(Matches!$AV$5:$AV$17,MATCH($C42,Matches!$A$5:$A$17,0)))),""))</f>
        <v>0.47693294766176</v>
      </c>
      <c r="AX42" s="13" t="n">
        <f aca="false">IF(OR($AW42="",$AT42=""),1,((Config!$B$14*$AW42+Config!$B$15*(1-$AW42))/(Config!$B$14*$AT42+Config!$B$15*(1-$AT42)))^Config!$B$13)</f>
        <v>0.98132836024552</v>
      </c>
      <c r="AY42" s="10" t="n">
        <f aca="false">IF($AS42="","",IFERROR(IF(INDEX(Matches!$BB$5:$BB$17,MATCH($C42,Matches!$A$5:$A$17,0))="","",IF($AS42="A",INDEX(Matches!$BB$5:$BB$17,MATCH($C42,Matches!$A$5:$A$17,0)),1-INDEX(Matches!$BB$5:$BB$17,MATCH($C42,Matches!$A$5:$A$17,0)))),""))</f>
        <v>0.482640694856543</v>
      </c>
      <c r="AZ42" s="13" t="n">
        <f aca="false">IF(OR($AY42="",$AT42=""),1,((Config!$B$14*$AY42+Config!$B$15*(1-$AY42))/(Config!$B$14*$AT42+Config!$B$15*(1-$AT42)))^Config!$B$13)</f>
        <v>0.986439011260226</v>
      </c>
      <c r="BA42" s="17" t="n">
        <f aca="false">IF(V42="","",V42*$AV42)</f>
        <v>16.0865624950388</v>
      </c>
      <c r="BB42" s="17" t="n">
        <f aca="false">IF(AC42="","",AC42*$AX42)</f>
        <v>14.3470206267895</v>
      </c>
      <c r="BC42" s="17" t="n">
        <f aca="false">IF(AJ42="","",AJ42*$AZ42)</f>
        <v>15.0965523046003</v>
      </c>
      <c r="BD42" s="17" t="n">
        <f aca="false">N(BA42)+N(BB42)</f>
        <v>30.4335831218283</v>
      </c>
      <c r="BE42" s="17" t="n">
        <f aca="false">BD42+N($M42)*N(BC42)</f>
        <v>38.1267861762526</v>
      </c>
      <c r="BF42" s="17" t="n">
        <f aca="false">IF(W42="","",W42*$AV42)</f>
        <v>8.73252857903758</v>
      </c>
      <c r="BG42" s="17" t="n">
        <f aca="false">IF(AD42="","",AD42*$AX42)</f>
        <v>8.24236335009057</v>
      </c>
      <c r="BH42" s="17" t="n">
        <f aca="false">IF(AK42="","",AK42*$AZ42)</f>
        <v>9.05930379660602</v>
      </c>
      <c r="BI42" s="17" t="n">
        <f aca="false">IF(BF42="","",N(BF42)+N(BG42))</f>
        <v>16.9748919291281</v>
      </c>
      <c r="BJ42" s="17" t="n">
        <f aca="false">IF(BI42="","",BI42+N($M42)*N(BH42))</f>
        <v>21.5915131438786</v>
      </c>
      <c r="BK42" s="13" t="n">
        <f aca="false">IFERROR(BD42/AL42,1)</f>
        <v>1.01052726098302</v>
      </c>
    </row>
    <row r="43" customFormat="false" ht="15" hidden="false" customHeight="false" outlineLevel="0" collapsed="false">
      <c r="A43" s="0" t="s">
        <v>984</v>
      </c>
      <c r="B43" s="0" t="s">
        <v>775</v>
      </c>
      <c r="C43" s="0" t="s">
        <v>843</v>
      </c>
      <c r="D43" s="0" t="s">
        <v>849</v>
      </c>
      <c r="E43" s="0" t="s">
        <v>983</v>
      </c>
      <c r="F43" s="0" t="s">
        <v>1208</v>
      </c>
      <c r="G43" s="0" t="str">
        <f aca="false">IFERROR(IF(INDEX(Matches!$W$5:$W$17,MATCH($C43,Matches!$A$5:$A$17,0))="","",INDEX(Matches!$W$5:$W$17,MATCH($C43,Matches!$A$5:$A$17,0))),"")</f>
        <v>Inferno</v>
      </c>
      <c r="H43" s="0" t="str">
        <f aca="false">IFERROR(IF(INDEX(Matches!$X$5:$X$17,MATCH($C43,Matches!$A$5:$A$17,0))="","",INDEX(Matches!$X$5:$X$17,MATCH($C43,Matches!$A$5:$A$17,0))),"")</f>
        <v>Dust2</v>
      </c>
      <c r="I43" s="0" t="str">
        <f aca="false">IFERROR(IF(INDEX(Matches!$Y$5:$Y$17,MATCH($C43,Matches!$A$5:$A$17,0))="","",INDEX(Matches!$Y$5:$Y$17,MATCH($C43,Matches!$A$5:$A$17,0))),"")</f>
        <v>Nuke</v>
      </c>
      <c r="J43" s="11" t="n">
        <f aca="false">IFERROR(IF(INDEX(Matches!$Z$5:$Z$17,MATCH($C43,Matches!$A$5:$A$17,0))="","",INDEX(Matches!$Z$5:$Z$17,MATCH($C43,Matches!$A$5:$A$17,0))),"")</f>
        <v>21.5</v>
      </c>
      <c r="K43" s="11" t="n">
        <f aca="false">IFERROR(IF(INDEX(Matches!$AA$5:$AA$17,MATCH($C43,Matches!$A$5:$A$17,0))="","",INDEX(Matches!$AA$5:$AA$17,MATCH($C43,Matches!$A$5:$A$17,0))),"")</f>
        <v>21.5</v>
      </c>
      <c r="L43" s="11" t="n">
        <f aca="false">IFERROR(IF(INDEX(Matches!$AB$5:$AB$17,MATCH($C43,Matches!$A$5:$A$17,0))="","",INDEX(Matches!$AB$5:$AB$17,MATCH($C43,Matches!$A$5:$A$17,0))),"")</f>
        <v>21.5</v>
      </c>
      <c r="M43" s="10" t="n">
        <f aca="false">IFERROR(IF(INDEX(Matches!$AC$5:$AC$17,MATCH($C43,Matches!$A$5:$A$17,0))="","",INDEX(Matches!$AC$5:$AC$17,MATCH($C43,Matches!$A$5:$A$17,0))),"")</f>
        <v>0.5096</v>
      </c>
      <c r="N43" s="9" t="n">
        <f aca="false">IFERROR(INDEX(Players!$F$2:$F$105,MATCH($F43,Players!$A$2:$A$105,0)),0)</f>
        <v>37</v>
      </c>
      <c r="O43" s="13" t="n">
        <f aca="false">IFERROR(1/(1/INDEX(Players!$H$2:$H$105,MATCH($F43,Players!$A$2:$A$105,0))),"")</f>
        <v>0.66</v>
      </c>
      <c r="P43" s="10" t="n">
        <f aca="false">IFERROR(1/(1/INDEX(Players!$I$2:$I$105,MATCH($F43,Players!$A$2:$A$105,0))),"")</f>
        <v>0.588</v>
      </c>
      <c r="Q43" s="9" t="n">
        <f aca="false">IF($G43="",0,SUMIFS(Map_Stats!$F$2:$F$642,Map_Stats!$A$2:$A$642,$F43&amp;"|"&amp;$G43))</f>
        <v>9</v>
      </c>
      <c r="R43" s="13" t="n">
        <f aca="false">IF($G43="","",IFERROR(1/(1/INDEX(Map_Stats!$K$2:$K$642,MATCH($F43&amp;"|"&amp;$G43,Map_Stats!$A$2:$A$642,0))),$O43))</f>
        <v>0.58</v>
      </c>
      <c r="S43" s="10" t="n">
        <f aca="false">IF(OR($G43="",$P43=""),"",IFERROR(1/(1/INDEX(Map_Stats!$I$2:$I$642,MATCH($F43&amp;"|"&amp;$G43,Map_Stats!$A$2:$A$642,0))),$P43))</f>
        <v>0.607</v>
      </c>
      <c r="T43" s="13" t="n">
        <f aca="false">IF(OR($G43="",R43=""),"",IF($O43="",R43,(Q43*R43+Config!$B$4*$O43)/(Q43+Config!$B$4)))</f>
        <v>0.608571428571429</v>
      </c>
      <c r="U43" s="10" t="n">
        <f aca="false">IF(S43="","",(Q43*S43+Config!$B$4*$P43)/(Q43+Config!$B$4))</f>
        <v>0.600214285714286</v>
      </c>
      <c r="V43" s="17" t="n">
        <f aca="false">IF(OR(T43="",$J43=""),"",T43*$J43*($J43/Config!$B$10)^Config!$B$9)</f>
        <v>13.0842857142857</v>
      </c>
      <c r="W43" s="17" t="n">
        <f aca="false">IF(OR(V43="",U43=""),"",V43*U43)</f>
        <v>7.85337520408163</v>
      </c>
      <c r="X43" s="9" t="n">
        <f aca="false">IF($H43="",0,SUMIFS(Map_Stats!$F$2:$F$642,Map_Stats!$A$2:$A$642,$F43&amp;"|"&amp;$H43))</f>
        <v>10</v>
      </c>
      <c r="Y43" s="13" t="n">
        <f aca="false">IF($H43="","",IFERROR(1/(1/INDEX(Map_Stats!$K$2:$K$642,MATCH($F43&amp;"|"&amp;$H43,Map_Stats!$A$2:$A$642,0))),$O43))</f>
        <v>0.74</v>
      </c>
      <c r="Z43" s="10" t="n">
        <f aca="false">IF(OR($H43="",$P43=""),"",IFERROR(1/(1/INDEX(Map_Stats!$I$2:$I$642,MATCH($F43&amp;"|"&amp;$H43,Map_Stats!$A$2:$A$642,0))),$P43))</f>
        <v>0.624</v>
      </c>
      <c r="AA43" s="13" t="n">
        <f aca="false">IF(OR($H43="",Y43=""),"",IF($O43="",Y43,(X43*Y43+Config!$B$4*$O43)/(X43+Config!$B$4)))</f>
        <v>0.713333333333333</v>
      </c>
      <c r="AB43" s="10" t="n">
        <f aca="false">IF(Z43="","",(X43*Z43+Config!$B$4*$P43)/(X43+Config!$B$4))</f>
        <v>0.612</v>
      </c>
      <c r="AC43" s="17" t="n">
        <f aca="false">IF(OR(AA43="",$K43=""),"",AA43*$K43*($K43/Config!$B$10)^Config!$B$9)</f>
        <v>15.3366666666667</v>
      </c>
      <c r="AD43" s="17" t="n">
        <f aca="false">IF(OR(AC43="",AB43=""),"",AC43*AB43)</f>
        <v>9.38604</v>
      </c>
      <c r="AE43" s="9" t="n">
        <f aca="false">IF($I43="",0,SUMIFS(Map_Stats!$F$2:$F$642,Map_Stats!$A$2:$A$642,$F43&amp;"|"&amp;$I43))</f>
        <v>5</v>
      </c>
      <c r="AF43" s="13" t="n">
        <f aca="false">IF($I43="","",IFERROR(1/(1/INDEX(Map_Stats!$K$2:$K$642,MATCH($F43&amp;"|"&amp;$I43,Map_Stats!$A$2:$A$642,0))),$O43))</f>
        <v>0.71</v>
      </c>
      <c r="AG43" s="10" t="n">
        <f aca="false">IF(OR($I43="",$P43=""),"",IFERROR(1/(1/INDEX(Map_Stats!$I$2:$I$642,MATCH($F43&amp;"|"&amp;$I43,Map_Stats!$A$2:$A$642,0))),$P43))</f>
        <v>0.538</v>
      </c>
      <c r="AH43" s="13" t="n">
        <f aca="false">IF(OR($I43="",AF43=""),"",IF($O43="",AF43,(AE43*AF43+Config!$B$4*$O43)/(AE43+Config!$B$4)))</f>
        <v>0.685</v>
      </c>
      <c r="AI43" s="10" t="n">
        <f aca="false">IF(AG43="","",(AE43*AG43+Config!$B$4*$P43)/(AE43+Config!$B$4))</f>
        <v>0.563</v>
      </c>
      <c r="AJ43" s="17" t="n">
        <f aca="false">IF(OR(AH43="",$L43=""),"",AH43*$L43*($L43/Config!$B$10)^Config!$B$9)</f>
        <v>14.7275</v>
      </c>
      <c r="AK43" s="17" t="n">
        <f aca="false">IF(OR(AJ43="",AI43=""),"",AJ43*AI43)</f>
        <v>8.2915825</v>
      </c>
      <c r="AL43" s="17" t="n">
        <f aca="false">N(V43)+N(AC43)</f>
        <v>28.4209523809524</v>
      </c>
      <c r="AM43" s="17" t="n">
        <f aca="false">AL43+N($M43)*N(AJ43)</f>
        <v>35.9260863809524</v>
      </c>
      <c r="AN43" s="17" t="n">
        <f aca="false">IF(W43="","",N(W43)+N(AD43))</f>
        <v>17.2394152040816</v>
      </c>
      <c r="AO43" s="17" t="n">
        <f aca="false">IF(AN43="","",AN43+N($M43)*N(AK43))</f>
        <v>21.4648056460816</v>
      </c>
      <c r="AP43" s="10" t="n">
        <f aca="false">IFERROR(AN43/AL43,"")</f>
        <v>0.606574156031289</v>
      </c>
      <c r="AQ43" s="0" t="str">
        <f aca="false">TRIM(IF($N43&lt;Config!$B$12,"thin sample ("&amp;$N43&amp;" maps) · ","")&amp;IF(AND($G43&lt;&gt;"",Q43=0),"M1 unplayed→overall KPR · ","")&amp;IF(AND($H43&lt;&gt;"",X43=0),"M2 unplayed→overall KPR · ","")&amp;IF($O43="","no PickFinder stats",""))</f>
        <v/>
      </c>
      <c r="AR43" s="0" t="str">
        <f aca="false">IF($C43=Board!$B$2,COUNTIFS($C$2:$C$105,Board!$B$2,$AL$2:$AL$105,"&gt;"&amp;$AL43)+COUNTIFS($C$1:$C42,Board!$B$2,$AL$1:$AL42,$AL43)+1,"")</f>
        <v/>
      </c>
      <c r="AS43" s="0" t="str">
        <f aca="false">IFERROR(IF($D43=INDEX(Matches!$AD$5:$AD$17,MATCH($C43,Matches!$A$5:$A$17,0)),"A",IF($D43=INDEX(Matches!$AE$5:$AE$17,MATCH($C43,Matches!$A$5:$A$17,0)),"B","")),"")</f>
        <v>B</v>
      </c>
      <c r="AT43" s="10" t="n">
        <f aca="false">IF($AS43="","",IFERROR(IF($AS43="A",INDEX(Matches!$AI$5:$AI$17,MATCH($C43,Matches!$A$5:$A$17,0)),INDEX(Matches!$AJ$5:$AJ$17,MATCH($C43,Matches!$A$5:$A$17,0))),""))</f>
        <v>0.497786063854579</v>
      </c>
      <c r="AU43" s="10" t="n">
        <f aca="false">IF($AS43="","",IFERROR(IF(INDEX(Matches!$AP$5:$AP$17,MATCH($C43,Matches!$A$5:$A$17,0))="","",IF($AS43="A",INDEX(Matches!$AP$5:$AP$17,MATCH($C43,Matches!$A$5:$A$17,0)),1-INDEX(Matches!$AP$5:$AP$17,MATCH($C43,Matches!$A$5:$A$17,0)))),""))</f>
        <v>0.540309025738644</v>
      </c>
      <c r="AV43" s="13" t="n">
        <f aca="false">IF(OR($AU43="",$AT43=""),1,((Config!$B$14*$AU43+Config!$B$15*(1-$AU43))/(Config!$B$14*$AT43+Config!$B$15*(1-$AT43)))^Config!$B$13)</f>
        <v>1.03807456968308</v>
      </c>
      <c r="AW43" s="10" t="n">
        <f aca="false">IF($AS43="","",IFERROR(IF(INDEX(Matches!$AV$5:$AV$17,MATCH($C43,Matches!$A$5:$A$17,0))="","",IF($AS43="A",INDEX(Matches!$AV$5:$AV$17,MATCH($C43,Matches!$A$5:$A$17,0)),1-INDEX(Matches!$AV$5:$AV$17,MATCH($C43,Matches!$A$5:$A$17,0)))),""))</f>
        <v>0.47693294766176</v>
      </c>
      <c r="AX43" s="13" t="n">
        <f aca="false">IF(OR($AW43="",$AT43=""),1,((Config!$B$14*$AW43+Config!$B$15*(1-$AW43))/(Config!$B$14*$AT43+Config!$B$15*(1-$AT43)))^Config!$B$13)</f>
        <v>0.98132836024552</v>
      </c>
      <c r="AY43" s="10" t="n">
        <f aca="false">IF($AS43="","",IFERROR(IF(INDEX(Matches!$BB$5:$BB$17,MATCH($C43,Matches!$A$5:$A$17,0))="","",IF($AS43="A",INDEX(Matches!$BB$5:$BB$17,MATCH($C43,Matches!$A$5:$A$17,0)),1-INDEX(Matches!$BB$5:$BB$17,MATCH($C43,Matches!$A$5:$A$17,0)))),""))</f>
        <v>0.482640694856543</v>
      </c>
      <c r="AZ43" s="13" t="n">
        <f aca="false">IF(OR($AY43="",$AT43=""),1,((Config!$B$14*$AY43+Config!$B$15*(1-$AY43))/(Config!$B$14*$AT43+Config!$B$15*(1-$AT43)))^Config!$B$13)</f>
        <v>0.986439011260226</v>
      </c>
      <c r="BA43" s="17" t="n">
        <f aca="false">IF(V43="","",V43*$AV43)</f>
        <v>13.5824642624675</v>
      </c>
      <c r="BB43" s="17" t="n">
        <f aca="false">IF(AC43="","",AC43*$AX43)</f>
        <v>15.0503059516321</v>
      </c>
      <c r="BC43" s="17" t="n">
        <f aca="false">IF(AJ43="","",AJ43*$AZ43)</f>
        <v>14.527780538335</v>
      </c>
      <c r="BD43" s="17" t="n">
        <f aca="false">N(BA43)+N(BB43)</f>
        <v>28.6327702140997</v>
      </c>
      <c r="BE43" s="17" t="n">
        <f aca="false">BD43+N($M43)*N(BC43)</f>
        <v>36.0361271764352</v>
      </c>
      <c r="BF43" s="17" t="n">
        <f aca="false">IF(W43="","",W43*$AV43)</f>
        <v>8.15238908553677</v>
      </c>
      <c r="BG43" s="17" t="n">
        <f aca="false">IF(AD43="","",AD43*$AX43)</f>
        <v>9.21078724239886</v>
      </c>
      <c r="BH43" s="17" t="n">
        <f aca="false">IF(AK43="","",AK43*$AZ43)</f>
        <v>8.1791404430826</v>
      </c>
      <c r="BI43" s="17" t="n">
        <f aca="false">IF(BF43="","",N(BF43)+N(BG43))</f>
        <v>17.3631763279356</v>
      </c>
      <c r="BJ43" s="17" t="n">
        <f aca="false">IF(BI43="","",BI43+N($M43)*N(BH43))</f>
        <v>21.5312662977305</v>
      </c>
      <c r="BK43" s="13" t="n">
        <f aca="false">IFERROR(BD43/AL43,1)</f>
        <v>1.00745287597362</v>
      </c>
    </row>
    <row r="44" customFormat="false" ht="15" hidden="false" customHeight="false" outlineLevel="0" collapsed="false">
      <c r="A44" s="0" t="s">
        <v>986</v>
      </c>
      <c r="B44" s="0" t="s">
        <v>775</v>
      </c>
      <c r="C44" s="0" t="s">
        <v>843</v>
      </c>
      <c r="D44" s="0" t="s">
        <v>849</v>
      </c>
      <c r="E44" s="0" t="s">
        <v>985</v>
      </c>
      <c r="F44" s="0" t="s">
        <v>1209</v>
      </c>
      <c r="G44" s="0" t="str">
        <f aca="false">IFERROR(IF(INDEX(Matches!$W$5:$W$17,MATCH($C44,Matches!$A$5:$A$17,0))="","",INDEX(Matches!$W$5:$W$17,MATCH($C44,Matches!$A$5:$A$17,0))),"")</f>
        <v>Inferno</v>
      </c>
      <c r="H44" s="0" t="str">
        <f aca="false">IFERROR(IF(INDEX(Matches!$X$5:$X$17,MATCH($C44,Matches!$A$5:$A$17,0))="","",INDEX(Matches!$X$5:$X$17,MATCH($C44,Matches!$A$5:$A$17,0))),"")</f>
        <v>Dust2</v>
      </c>
      <c r="I44" s="0" t="str">
        <f aca="false">IFERROR(IF(INDEX(Matches!$Y$5:$Y$17,MATCH($C44,Matches!$A$5:$A$17,0))="","",INDEX(Matches!$Y$5:$Y$17,MATCH($C44,Matches!$A$5:$A$17,0))),"")</f>
        <v>Nuke</v>
      </c>
      <c r="J44" s="11" t="n">
        <f aca="false">IFERROR(IF(INDEX(Matches!$Z$5:$Z$17,MATCH($C44,Matches!$A$5:$A$17,0))="","",INDEX(Matches!$Z$5:$Z$17,MATCH($C44,Matches!$A$5:$A$17,0))),"")</f>
        <v>21.5</v>
      </c>
      <c r="K44" s="11" t="n">
        <f aca="false">IFERROR(IF(INDEX(Matches!$AA$5:$AA$17,MATCH($C44,Matches!$A$5:$A$17,0))="","",INDEX(Matches!$AA$5:$AA$17,MATCH($C44,Matches!$A$5:$A$17,0))),"")</f>
        <v>21.5</v>
      </c>
      <c r="L44" s="11" t="n">
        <f aca="false">IFERROR(IF(INDEX(Matches!$AB$5:$AB$17,MATCH($C44,Matches!$A$5:$A$17,0))="","",INDEX(Matches!$AB$5:$AB$17,MATCH($C44,Matches!$A$5:$A$17,0))),"")</f>
        <v>21.5</v>
      </c>
      <c r="M44" s="10" t="n">
        <f aca="false">IFERROR(IF(INDEX(Matches!$AC$5:$AC$17,MATCH($C44,Matches!$A$5:$A$17,0))="","",INDEX(Matches!$AC$5:$AC$17,MATCH($C44,Matches!$A$5:$A$17,0))),"")</f>
        <v>0.5096</v>
      </c>
      <c r="N44" s="9" t="n">
        <f aca="false">IFERROR(INDEX(Players!$F$2:$F$105,MATCH($F44,Players!$A$2:$A$105,0)),0)</f>
        <v>36</v>
      </c>
      <c r="O44" s="13" t="n">
        <f aca="false">IFERROR(1/(1/INDEX(Players!$H$2:$H$105,MATCH($F44,Players!$A$2:$A$105,0))),"")</f>
        <v>0.55</v>
      </c>
      <c r="P44" s="10" t="n">
        <f aca="false">IFERROR(1/(1/INDEX(Players!$I$2:$I$105,MATCH($F44,Players!$A$2:$A$105,0))),"")</f>
        <v>0.59</v>
      </c>
      <c r="Q44" s="9" t="n">
        <f aca="false">IF($G44="",0,SUMIFS(Map_Stats!$F$2:$F$642,Map_Stats!$A$2:$A$642,$F44&amp;"|"&amp;$G44))</f>
        <v>8</v>
      </c>
      <c r="R44" s="13" t="n">
        <f aca="false">IF($G44="","",IFERROR(1/(1/INDEX(Map_Stats!$K$2:$K$642,MATCH($F44&amp;"|"&amp;$G44,Map_Stats!$A$2:$A$642,0))),$O44))</f>
        <v>0.53</v>
      </c>
      <c r="S44" s="10" t="n">
        <f aca="false">IF(OR($G44="",$P44=""),"",IFERROR(1/(1/INDEX(Map_Stats!$I$2:$I$642,MATCH($F44&amp;"|"&amp;$G44,Map_Stats!$A$2:$A$642,0))),$P44))</f>
        <v>0.624</v>
      </c>
      <c r="T44" s="13" t="n">
        <f aca="false">IF(OR($G44="",R44=""),"",IF($O44="",R44,(Q44*R44+Config!$B$4*$O44)/(Q44+Config!$B$4)))</f>
        <v>0.537692307692308</v>
      </c>
      <c r="U44" s="10" t="n">
        <f aca="false">IF(S44="","",(Q44*S44+Config!$B$4*$P44)/(Q44+Config!$B$4))</f>
        <v>0.610923076923077</v>
      </c>
      <c r="V44" s="17" t="n">
        <f aca="false">IF(OR(T44="",$J44=""),"",T44*$J44*($J44/Config!$B$10)^Config!$B$9)</f>
        <v>11.5603846153846</v>
      </c>
      <c r="W44" s="17" t="n">
        <f aca="false">IF(OR(V44="",U44=""),"",V44*U44)</f>
        <v>7.06250573964497</v>
      </c>
      <c r="X44" s="9" t="n">
        <f aca="false">IF($H44="",0,SUMIFS(Map_Stats!$F$2:$F$642,Map_Stats!$A$2:$A$642,$F44&amp;"|"&amp;$H44))</f>
        <v>7</v>
      </c>
      <c r="Y44" s="13" t="n">
        <f aca="false">IF($H44="","",IFERROR(1/(1/INDEX(Map_Stats!$K$2:$K$642,MATCH($F44&amp;"|"&amp;$H44,Map_Stats!$A$2:$A$642,0))),$O44))</f>
        <v>0.6</v>
      </c>
      <c r="Z44" s="10" t="n">
        <f aca="false">IF(OR($H44="",$P44=""),"",IFERROR(1/(1/INDEX(Map_Stats!$I$2:$I$642,MATCH($F44&amp;"|"&amp;$H44,Map_Stats!$A$2:$A$642,0))),$P44))</f>
        <v>0.62</v>
      </c>
      <c r="AA44" s="13" t="n">
        <f aca="false">IF(OR($H44="",Y44=""),"",IF($O44="",Y44,(X44*Y44+Config!$B$4*$O44)/(X44+Config!$B$4)))</f>
        <v>0.579166666666667</v>
      </c>
      <c r="AB44" s="10" t="n">
        <f aca="false">IF(Z44="","",(X44*Z44+Config!$B$4*$P44)/(X44+Config!$B$4))</f>
        <v>0.6075</v>
      </c>
      <c r="AC44" s="17" t="n">
        <f aca="false">IF(OR(AA44="",$K44=""),"",AA44*$K44*($K44/Config!$B$10)^Config!$B$9)</f>
        <v>12.4520833333333</v>
      </c>
      <c r="AD44" s="17" t="n">
        <f aca="false">IF(OR(AC44="",AB44=""),"",AC44*AB44)</f>
        <v>7.564640625</v>
      </c>
      <c r="AE44" s="9" t="n">
        <f aca="false">IF($I44="",0,SUMIFS(Map_Stats!$F$2:$F$642,Map_Stats!$A$2:$A$642,$F44&amp;"|"&amp;$I44))</f>
        <v>6</v>
      </c>
      <c r="AF44" s="13" t="n">
        <f aca="false">IF($I44="","",IFERROR(1/(1/INDEX(Map_Stats!$K$2:$K$642,MATCH($F44&amp;"|"&amp;$I44,Map_Stats!$A$2:$A$642,0))),$O44))</f>
        <v>0.47</v>
      </c>
      <c r="AG44" s="10" t="n">
        <f aca="false">IF(OR($I44="",$P44=""),"",IFERROR(1/(1/INDEX(Map_Stats!$I$2:$I$642,MATCH($F44&amp;"|"&amp;$I44,Map_Stats!$A$2:$A$642,0))),$P44))</f>
        <v>0.625</v>
      </c>
      <c r="AH44" s="13" t="n">
        <f aca="false">IF(OR($I44="",AF44=""),"",IF($O44="",AF44,(AE44*AF44+Config!$B$4*$O44)/(AE44+Config!$B$4)))</f>
        <v>0.506363636363636</v>
      </c>
      <c r="AI44" s="10" t="n">
        <f aca="false">IF(AG44="","",(AE44*AG44+Config!$B$4*$P44)/(AE44+Config!$B$4))</f>
        <v>0.609090909090909</v>
      </c>
      <c r="AJ44" s="17" t="n">
        <f aca="false">IF(OR(AH44="",$L44=""),"",AH44*$L44*($L44/Config!$B$10)^Config!$B$9)</f>
        <v>10.8868181818182</v>
      </c>
      <c r="AK44" s="17" t="n">
        <f aca="false">IF(OR(AJ44="",AI44=""),"",AJ44*AI44)</f>
        <v>6.63106198347107</v>
      </c>
      <c r="AL44" s="17" t="n">
        <f aca="false">N(V44)+N(AC44)</f>
        <v>24.0124679487179</v>
      </c>
      <c r="AM44" s="17" t="n">
        <f aca="false">AL44+N($M44)*N(AJ44)</f>
        <v>29.5603904941725</v>
      </c>
      <c r="AN44" s="17" t="n">
        <f aca="false">IF(W44="","",N(W44)+N(AD44))</f>
        <v>14.627146364645</v>
      </c>
      <c r="AO44" s="17" t="n">
        <f aca="false">IF(AN44="","",AN44+N($M44)*N(AK44))</f>
        <v>18.0063355514218</v>
      </c>
      <c r="AP44" s="10" t="n">
        <f aca="false">IFERROR(AN44/AL44,"")</f>
        <v>0.609147980785787</v>
      </c>
      <c r="AQ44" s="0" t="str">
        <f aca="false">TRIM(IF($N44&lt;Config!$B$12,"thin sample ("&amp;$N44&amp;" maps) · ","")&amp;IF(AND($G44&lt;&gt;"",Q44=0),"M1 unplayed→overall KPR · ","")&amp;IF(AND($H44&lt;&gt;"",X44=0),"M2 unplayed→overall KPR · ","")&amp;IF($O44="","no PickFinder stats",""))</f>
        <v/>
      </c>
      <c r="AR44" s="0" t="str">
        <f aca="false">IF($C44=Board!$B$2,COUNTIFS($C$2:$C$105,Board!$B$2,$AL$2:$AL$105,"&gt;"&amp;$AL44)+COUNTIFS($C$1:$C43,Board!$B$2,$AL$1:$AL43,$AL44)+1,"")</f>
        <v/>
      </c>
      <c r="AS44" s="0" t="str">
        <f aca="false">IFERROR(IF($D44=INDEX(Matches!$AD$5:$AD$17,MATCH($C44,Matches!$A$5:$A$17,0)),"A",IF($D44=INDEX(Matches!$AE$5:$AE$17,MATCH($C44,Matches!$A$5:$A$17,0)),"B","")),"")</f>
        <v>B</v>
      </c>
      <c r="AT44" s="10" t="n">
        <f aca="false">IF($AS44="","",IFERROR(IF($AS44="A",INDEX(Matches!$AI$5:$AI$17,MATCH($C44,Matches!$A$5:$A$17,0)),INDEX(Matches!$AJ$5:$AJ$17,MATCH($C44,Matches!$A$5:$A$17,0))),""))</f>
        <v>0.497786063854579</v>
      </c>
      <c r="AU44" s="10" t="n">
        <f aca="false">IF($AS44="","",IFERROR(IF(INDEX(Matches!$AP$5:$AP$17,MATCH($C44,Matches!$A$5:$A$17,0))="","",IF($AS44="A",INDEX(Matches!$AP$5:$AP$17,MATCH($C44,Matches!$A$5:$A$17,0)),1-INDEX(Matches!$AP$5:$AP$17,MATCH($C44,Matches!$A$5:$A$17,0)))),""))</f>
        <v>0.540309025738644</v>
      </c>
      <c r="AV44" s="13" t="n">
        <f aca="false">IF(OR($AU44="",$AT44=""),1,((Config!$B$14*$AU44+Config!$B$15*(1-$AU44))/(Config!$B$14*$AT44+Config!$B$15*(1-$AT44)))^Config!$B$13)</f>
        <v>1.03807456968308</v>
      </c>
      <c r="AW44" s="10" t="n">
        <f aca="false">IF($AS44="","",IFERROR(IF(INDEX(Matches!$AV$5:$AV$17,MATCH($C44,Matches!$A$5:$A$17,0))="","",IF($AS44="A",INDEX(Matches!$AV$5:$AV$17,MATCH($C44,Matches!$A$5:$A$17,0)),1-INDEX(Matches!$AV$5:$AV$17,MATCH($C44,Matches!$A$5:$A$17,0)))),""))</f>
        <v>0.47693294766176</v>
      </c>
      <c r="AX44" s="13" t="n">
        <f aca="false">IF(OR($AW44="",$AT44=""),1,((Config!$B$14*$AW44+Config!$B$15*(1-$AW44))/(Config!$B$14*$AT44+Config!$B$15*(1-$AT44)))^Config!$B$13)</f>
        <v>0.98132836024552</v>
      </c>
      <c r="AY44" s="10" t="n">
        <f aca="false">IF($AS44="","",IFERROR(IF(INDEX(Matches!$BB$5:$BB$17,MATCH($C44,Matches!$A$5:$A$17,0))="","",IF($AS44="A",INDEX(Matches!$BB$5:$BB$17,MATCH($C44,Matches!$A$5:$A$17,0)),1-INDEX(Matches!$BB$5:$BB$17,MATCH($C44,Matches!$A$5:$A$17,0)))),""))</f>
        <v>0.482640694856543</v>
      </c>
      <c r="AZ44" s="13" t="n">
        <f aca="false">IF(OR($AY44="",$AT44=""),1,((Config!$B$14*$AY44+Config!$B$15*(1-$AY44))/(Config!$B$14*$AT44+Config!$B$15*(1-$AT44)))^Config!$B$13)</f>
        <v>0.986439011260226</v>
      </c>
      <c r="BA44" s="17" t="n">
        <f aca="false">IF(V44="","",V44*$AV44)</f>
        <v>12.0005412849862</v>
      </c>
      <c r="BB44" s="17" t="n">
        <f aca="false">IF(AC44="","",AC44*$AX44)</f>
        <v>12.2195825191406</v>
      </c>
      <c r="BC44" s="17" t="n">
        <f aca="false">IF(AJ44="","",AJ44*$AZ44)</f>
        <v>10.7391821630426</v>
      </c>
      <c r="BD44" s="17" t="n">
        <f aca="false">N(BA44)+N(BB44)</f>
        <v>24.2201238041268</v>
      </c>
      <c r="BE44" s="17" t="n">
        <f aca="false">BD44+N($M44)*N(BC44)</f>
        <v>29.6928110344133</v>
      </c>
      <c r="BF44" s="17" t="n">
        <f aca="false">IF(W44="","",W44*$AV44)</f>
        <v>7.3314076065662</v>
      </c>
      <c r="BG44" s="17" t="n">
        <f aca="false">IF(AD44="","",AD44*$AX44)</f>
        <v>7.4233963803779</v>
      </c>
      <c r="BH44" s="17" t="n">
        <f aca="false">IF(AK44="","",AK44*$AZ44)</f>
        <v>6.54113822658048</v>
      </c>
      <c r="BI44" s="17" t="n">
        <f aca="false">IF(BF44="","",N(BF44)+N(BG44))</f>
        <v>14.7548039869441</v>
      </c>
      <c r="BJ44" s="17" t="n">
        <f aca="false">IF(BI44="","",BI44+N($M44)*N(BH44))</f>
        <v>18.0881680272095</v>
      </c>
      <c r="BK44" s="13" t="n">
        <f aca="false">IFERROR(BD44/AL44,1)</f>
        <v>1.00864783477701</v>
      </c>
    </row>
    <row r="45" customFormat="false" ht="15" hidden="false" customHeight="false" outlineLevel="0" collapsed="false">
      <c r="A45" s="0" t="s">
        <v>989</v>
      </c>
      <c r="B45" s="0" t="s">
        <v>775</v>
      </c>
      <c r="C45" s="0" t="s">
        <v>857</v>
      </c>
      <c r="D45" s="0" t="s">
        <v>862</v>
      </c>
      <c r="E45" s="0" t="s">
        <v>987</v>
      </c>
      <c r="F45" s="0" t="s">
        <v>1210</v>
      </c>
      <c r="G45" s="0" t="str">
        <f aca="false">IFERROR(IF(INDEX(Matches!$W$5:$W$17,MATCH($C45,Matches!$A$5:$A$17,0))="","",INDEX(Matches!$W$5:$W$17,MATCH($C45,Matches!$A$5:$A$17,0))),"")</f>
        <v>Ancient</v>
      </c>
      <c r="H45" s="0" t="str">
        <f aca="false">IFERROR(IF(INDEX(Matches!$X$5:$X$17,MATCH($C45,Matches!$A$5:$A$17,0))="","",INDEX(Matches!$X$5:$X$17,MATCH($C45,Matches!$A$5:$A$17,0))),"")</f>
        <v>Inferno</v>
      </c>
      <c r="I45" s="0" t="str">
        <f aca="false">IFERROR(IF(INDEX(Matches!$Y$5:$Y$17,MATCH($C45,Matches!$A$5:$A$17,0))="","",INDEX(Matches!$Y$5:$Y$17,MATCH($C45,Matches!$A$5:$A$17,0))),"")</f>
        <v>Dust2</v>
      </c>
      <c r="J45" s="11" t="n">
        <f aca="false">IFERROR(IF(INDEX(Matches!$Z$5:$Z$17,MATCH($C45,Matches!$A$5:$A$17,0))="","",INDEX(Matches!$Z$5:$Z$17,MATCH($C45,Matches!$A$5:$A$17,0))),"")</f>
        <v>21.5</v>
      </c>
      <c r="K45" s="11" t="n">
        <f aca="false">IFERROR(IF(INDEX(Matches!$AA$5:$AA$17,MATCH($C45,Matches!$A$5:$A$17,0))="","",INDEX(Matches!$AA$5:$AA$17,MATCH($C45,Matches!$A$5:$A$17,0))),"")</f>
        <v>21.31</v>
      </c>
      <c r="L45" s="11" t="n">
        <f aca="false">IFERROR(IF(INDEX(Matches!$AB$5:$AB$17,MATCH($C45,Matches!$A$5:$A$17,0))="","",INDEX(Matches!$AB$5:$AB$17,MATCH($C45,Matches!$A$5:$A$17,0))),"")</f>
        <v>21.42</v>
      </c>
      <c r="M45" s="10" t="n">
        <f aca="false">IFERROR(IF(INDEX(Matches!$AC$5:$AC$17,MATCH($C45,Matches!$A$5:$A$17,0))="","",INDEX(Matches!$AC$5:$AC$17,MATCH($C45,Matches!$A$5:$A$17,0))),"")</f>
        <v>0.4782</v>
      </c>
      <c r="N45" s="9" t="n">
        <f aca="false">IFERROR(INDEX(Players!$F$2:$F$105,MATCH($F45,Players!$A$2:$A$105,0)),0)</f>
        <v>36</v>
      </c>
      <c r="O45" s="13" t="n">
        <f aca="false">IFERROR(1/(1/INDEX(Players!$H$2:$H$105,MATCH($F45,Players!$A$2:$A$105,0))),"")</f>
        <v>0.73</v>
      </c>
      <c r="P45" s="10" t="n">
        <f aca="false">IFERROR(1/(1/INDEX(Players!$I$2:$I$105,MATCH($F45,Players!$A$2:$A$105,0))),"")</f>
        <v>0.506</v>
      </c>
      <c r="Q45" s="9" t="n">
        <f aca="false">IF($G45="",0,SUMIFS(Map_Stats!$F$2:$F$642,Map_Stats!$A$2:$A$642,$F45&amp;"|"&amp;$G45))</f>
        <v>7</v>
      </c>
      <c r="R45" s="13" t="n">
        <f aca="false">IF($G45="","",IFERROR(1/(1/INDEX(Map_Stats!$K$2:$K$642,MATCH($F45&amp;"|"&amp;$G45,Map_Stats!$A$2:$A$642,0))),$O45))</f>
        <v>0.86</v>
      </c>
      <c r="S45" s="10" t="n">
        <f aca="false">IF(OR($G45="",$P45=""),"",IFERROR(1/(1/INDEX(Map_Stats!$I$2:$I$642,MATCH($F45&amp;"|"&amp;$G45,Map_Stats!$A$2:$A$642,0))),$P45))</f>
        <v>0.475</v>
      </c>
      <c r="T45" s="13" t="n">
        <f aca="false">IF(OR($G45="",R45=""),"",IF($O45="",R45,(Q45*R45+Config!$B$4*$O45)/(Q45+Config!$B$4)))</f>
        <v>0.805833333333333</v>
      </c>
      <c r="U45" s="10" t="n">
        <f aca="false">IF(S45="","",(Q45*S45+Config!$B$4*$P45)/(Q45+Config!$B$4))</f>
        <v>0.487916666666667</v>
      </c>
      <c r="V45" s="17" t="n">
        <f aca="false">IF(OR(T45="",$J45=""),"",T45*$J45*($J45/Config!$B$10)^Config!$B$9)</f>
        <v>17.3254166666667</v>
      </c>
      <c r="W45" s="17" t="n">
        <f aca="false">IF(OR(V45="",U45=""),"",V45*U45)</f>
        <v>8.45335954861111</v>
      </c>
      <c r="X45" s="9" t="n">
        <f aca="false">IF($H45="",0,SUMIFS(Map_Stats!$F$2:$F$642,Map_Stats!$A$2:$A$642,$F45&amp;"|"&amp;$H45))</f>
        <v>8</v>
      </c>
      <c r="Y45" s="13" t="n">
        <f aca="false">IF($H45="","",IFERROR(1/(1/INDEX(Map_Stats!$K$2:$K$642,MATCH($F45&amp;"|"&amp;$H45,Map_Stats!$A$2:$A$642,0))),$O45))</f>
        <v>0.75</v>
      </c>
      <c r="Z45" s="10" t="n">
        <f aca="false">IF(OR($H45="",$P45=""),"",IFERROR(1/(1/INDEX(Map_Stats!$I$2:$I$642,MATCH($F45&amp;"|"&amp;$H45,Map_Stats!$A$2:$A$642,0))),$P45))</f>
        <v>0.52</v>
      </c>
      <c r="AA45" s="13" t="n">
        <f aca="false">IF(OR($H45="",Y45=""),"",IF($O45="",Y45,(X45*Y45+Config!$B$4*$O45)/(X45+Config!$B$4)))</f>
        <v>0.742307692307692</v>
      </c>
      <c r="AB45" s="10" t="n">
        <f aca="false">IF(Z45="","",(X45*Z45+Config!$B$4*$P45)/(X45+Config!$B$4))</f>
        <v>0.514615384615385</v>
      </c>
      <c r="AC45" s="17" t="n">
        <f aca="false">IF(OR(AA45="",$K45=""),"",AA45*$K45*($K45/Config!$B$10)^Config!$B$9)</f>
        <v>15.8185769230769</v>
      </c>
      <c r="AD45" s="17" t="n">
        <f aca="false">IF(OR(AC45="",AB45=""),"",AC45*AB45)</f>
        <v>8.14048304733728</v>
      </c>
      <c r="AE45" s="9" t="n">
        <f aca="false">IF($I45="",0,SUMIFS(Map_Stats!$F$2:$F$642,Map_Stats!$A$2:$A$642,$F45&amp;"|"&amp;$I45))</f>
        <v>6</v>
      </c>
      <c r="AF45" s="13" t="n">
        <f aca="false">IF($I45="","",IFERROR(1/(1/INDEX(Map_Stats!$K$2:$K$642,MATCH($F45&amp;"|"&amp;$I45,Map_Stats!$A$2:$A$642,0))),$O45))</f>
        <v>0.66</v>
      </c>
      <c r="AG45" s="10" t="n">
        <f aca="false">IF(OR($I45="",$P45=""),"",IFERROR(1/(1/INDEX(Map_Stats!$I$2:$I$642,MATCH($F45&amp;"|"&amp;$I45,Map_Stats!$A$2:$A$642,0))),$P45))</f>
        <v>0.506</v>
      </c>
      <c r="AH45" s="13" t="n">
        <f aca="false">IF(OR($I45="",AF45=""),"",IF($O45="",AF45,(AE45*AF45+Config!$B$4*$O45)/(AE45+Config!$B$4)))</f>
        <v>0.691818181818182</v>
      </c>
      <c r="AI45" s="10" t="n">
        <f aca="false">IF(AG45="","",(AE45*AG45+Config!$B$4*$P45)/(AE45+Config!$B$4))</f>
        <v>0.506</v>
      </c>
      <c r="AJ45" s="17" t="n">
        <f aca="false">IF(OR(AH45="",$L45=""),"",AH45*$L45*($L45/Config!$B$10)^Config!$B$9)</f>
        <v>14.8187454545455</v>
      </c>
      <c r="AK45" s="17" t="n">
        <f aca="false">IF(OR(AJ45="",AI45=""),"",AJ45*AI45)</f>
        <v>7.4982852</v>
      </c>
      <c r="AL45" s="17" t="n">
        <f aca="false">N(V45)+N(AC45)</f>
        <v>33.1439935897436</v>
      </c>
      <c r="AM45" s="17" t="n">
        <f aca="false">AL45+N($M45)*N(AJ45)</f>
        <v>40.2303176661072</v>
      </c>
      <c r="AN45" s="17" t="n">
        <f aca="false">IF(W45="","",N(W45)+N(AD45))</f>
        <v>16.5938425959484</v>
      </c>
      <c r="AO45" s="17" t="n">
        <f aca="false">IF(AN45="","",AN45+N($M45)*N(AK45))</f>
        <v>20.1795225785884</v>
      </c>
      <c r="AP45" s="10" t="n">
        <f aca="false">IFERROR(AN45/AL45,"")</f>
        <v>0.500659117949002</v>
      </c>
      <c r="AQ45" s="0" t="str">
        <f aca="false">TRIM(IF($N45&lt;Config!$B$12,"thin sample ("&amp;$N45&amp;" maps) · ","")&amp;IF(AND($G45&lt;&gt;"",Q45=0),"M1 unplayed→overall KPR · ","")&amp;IF(AND($H45&lt;&gt;"",X45=0),"M2 unplayed→overall KPR · ","")&amp;IF($O45="","no PickFinder stats",""))</f>
        <v/>
      </c>
      <c r="AR45" s="0" t="str">
        <f aca="false">IF($C45=Board!$B$2,COUNTIFS($C$2:$C$105,Board!$B$2,$AL$2:$AL$105,"&gt;"&amp;$AL45)+COUNTIFS($C$1:$C44,Board!$B$2,$AL$1:$AL44,$AL45)+1,"")</f>
        <v/>
      </c>
      <c r="AS45" s="0" t="str">
        <f aca="false">IFERROR(IF($D45=INDEX(Matches!$AD$5:$AD$17,MATCH($C45,Matches!$A$5:$A$17,0)),"A",IF($D45=INDEX(Matches!$AE$5:$AE$17,MATCH($C45,Matches!$A$5:$A$17,0)),"B","")),"")</f>
        <v>A</v>
      </c>
      <c r="AT45" s="10" t="n">
        <f aca="false">IF($AS45="","",IFERROR(IF($AS45="A",INDEX(Matches!$AI$5:$AI$17,MATCH($C45,Matches!$A$5:$A$17,0)),INDEX(Matches!$AJ$5:$AJ$17,MATCH($C45,Matches!$A$5:$A$17,0))),""))</f>
        <v>0.548261236129168</v>
      </c>
      <c r="AU45" s="10" t="n">
        <f aca="false">IF($AS45="","",IFERROR(IF(INDEX(Matches!$AP$5:$AP$17,MATCH($C45,Matches!$A$5:$A$17,0))="","",IF($AS45="A",INDEX(Matches!$AP$5:$AP$17,MATCH($C45,Matches!$A$5:$A$17,0)),1-INDEX(Matches!$AP$5:$AP$17,MATCH($C45,Matches!$A$5:$A$17,0)))),""))</f>
        <v>0.483410235109247</v>
      </c>
      <c r="AV45" s="13" t="n">
        <f aca="false">IF(OR($AU45="",$AT45=""),1,((Config!$B$14*$AU45+Config!$B$15*(1-$AU45))/(Config!$B$14*$AT45+Config!$B$15*(1-$AT45)))^Config!$B$13)</f>
        <v>0.944444008342506</v>
      </c>
      <c r="AW45" s="10" t="n">
        <f aca="false">IF($AS45="","",IFERROR(IF(INDEX(Matches!$AV$5:$AV$17,MATCH($C45,Matches!$A$5:$A$17,0))="","",IF($AS45="A",INDEX(Matches!$AV$5:$AV$17,MATCH($C45,Matches!$A$5:$A$17,0)),1-INDEX(Matches!$AV$5:$AV$17,MATCH($C45,Matches!$A$5:$A$17,0)))),""))</f>
        <v>0.472776146336446</v>
      </c>
      <c r="AX45" s="13" t="n">
        <f aca="false">IF(OR($AW45="",$AT45=""),1,((Config!$B$14*$AW45+Config!$B$15*(1-$AW45))/(Config!$B$14*$AT45+Config!$B$15*(1-$AT45)))^Config!$B$13)</f>
        <v>0.935334089638779</v>
      </c>
      <c r="AY45" s="10" t="n">
        <f aca="false">IF($AS45="","",IFERROR(IF(INDEX(Matches!$BB$5:$BB$17,MATCH($C45,Matches!$A$5:$A$17,0))="","",IF($AS45="A",INDEX(Matches!$BB$5:$BB$17,MATCH($C45,Matches!$A$5:$A$17,0)),1-INDEX(Matches!$BB$5:$BB$17,MATCH($C45,Matches!$A$5:$A$17,0)))),""))</f>
        <v>0.457130622026609</v>
      </c>
      <c r="AZ45" s="13" t="n">
        <f aca="false">IF(OR($AY45="",$AT45=""),1,((Config!$B$14*$AY45+Config!$B$15*(1-$AY45))/(Config!$B$14*$AT45+Config!$B$15*(1-$AT45)))^Config!$B$13)</f>
        <v>0.921931017914914</v>
      </c>
      <c r="BA45" s="17" t="n">
        <f aca="false">IF(V45="","",V45*$AV45)</f>
        <v>16.3628859628707</v>
      </c>
      <c r="BB45" s="17" t="n">
        <f aca="false">IF(AC45="","",AC45*$AX45)</f>
        <v>14.7956542457271</v>
      </c>
      <c r="BC45" s="17" t="n">
        <f aca="false">IF(AJ45="","",AJ45*$AZ45)</f>
        <v>13.6618610811311</v>
      </c>
      <c r="BD45" s="17" t="n">
        <f aca="false">N(BA45)+N(BB45)</f>
        <v>31.1585402085979</v>
      </c>
      <c r="BE45" s="17" t="n">
        <f aca="false">BD45+N($M45)*N(BC45)</f>
        <v>37.6916421775948</v>
      </c>
      <c r="BF45" s="17" t="n">
        <f aca="false">IF(W45="","",W45*$AV45)</f>
        <v>7.98372477605067</v>
      </c>
      <c r="BG45" s="17" t="n">
        <f aca="false">IF(AD45="","",AD45*$AX45)</f>
        <v>7.61407130030113</v>
      </c>
      <c r="BH45" s="17" t="n">
        <f aca="false">IF(AK45="","",AK45*$AZ45)</f>
        <v>6.91290170705234</v>
      </c>
      <c r="BI45" s="17" t="n">
        <f aca="false">IF(BF45="","",N(BF45)+N(BG45))</f>
        <v>15.5977960763518</v>
      </c>
      <c r="BJ45" s="17" t="n">
        <f aca="false">IF(BI45="","",BI45+N($M45)*N(BH45))</f>
        <v>18.9035456726642</v>
      </c>
      <c r="BK45" s="13" t="n">
        <f aca="false">IFERROR(BD45/AL45,1)</f>
        <v>0.940096133081557</v>
      </c>
    </row>
    <row r="46" customFormat="false" ht="15" hidden="false" customHeight="false" outlineLevel="0" collapsed="false">
      <c r="A46" s="0" t="s">
        <v>991</v>
      </c>
      <c r="B46" s="0" t="s">
        <v>775</v>
      </c>
      <c r="C46" s="0" t="s">
        <v>857</v>
      </c>
      <c r="D46" s="0" t="s">
        <v>862</v>
      </c>
      <c r="E46" s="0" t="s">
        <v>990</v>
      </c>
      <c r="F46" s="0" t="s">
        <v>1211</v>
      </c>
      <c r="G46" s="0" t="str">
        <f aca="false">IFERROR(IF(INDEX(Matches!$W$5:$W$17,MATCH($C46,Matches!$A$5:$A$17,0))="","",INDEX(Matches!$W$5:$W$17,MATCH($C46,Matches!$A$5:$A$17,0))),"")</f>
        <v>Ancient</v>
      </c>
      <c r="H46" s="0" t="str">
        <f aca="false">IFERROR(IF(INDEX(Matches!$X$5:$X$17,MATCH($C46,Matches!$A$5:$A$17,0))="","",INDEX(Matches!$X$5:$X$17,MATCH($C46,Matches!$A$5:$A$17,0))),"")</f>
        <v>Inferno</v>
      </c>
      <c r="I46" s="0" t="str">
        <f aca="false">IFERROR(IF(INDEX(Matches!$Y$5:$Y$17,MATCH($C46,Matches!$A$5:$A$17,0))="","",INDEX(Matches!$Y$5:$Y$17,MATCH($C46,Matches!$A$5:$A$17,0))),"")</f>
        <v>Dust2</v>
      </c>
      <c r="J46" s="11" t="n">
        <f aca="false">IFERROR(IF(INDEX(Matches!$Z$5:$Z$17,MATCH($C46,Matches!$A$5:$A$17,0))="","",INDEX(Matches!$Z$5:$Z$17,MATCH($C46,Matches!$A$5:$A$17,0))),"")</f>
        <v>21.5</v>
      </c>
      <c r="K46" s="11" t="n">
        <f aca="false">IFERROR(IF(INDEX(Matches!$AA$5:$AA$17,MATCH($C46,Matches!$A$5:$A$17,0))="","",INDEX(Matches!$AA$5:$AA$17,MATCH($C46,Matches!$A$5:$A$17,0))),"")</f>
        <v>21.31</v>
      </c>
      <c r="L46" s="11" t="n">
        <f aca="false">IFERROR(IF(INDEX(Matches!$AB$5:$AB$17,MATCH($C46,Matches!$A$5:$A$17,0))="","",INDEX(Matches!$AB$5:$AB$17,MATCH($C46,Matches!$A$5:$A$17,0))),"")</f>
        <v>21.42</v>
      </c>
      <c r="M46" s="10" t="n">
        <f aca="false">IFERROR(IF(INDEX(Matches!$AC$5:$AC$17,MATCH($C46,Matches!$A$5:$A$17,0))="","",INDEX(Matches!$AC$5:$AC$17,MATCH($C46,Matches!$A$5:$A$17,0))),"")</f>
        <v>0.4782</v>
      </c>
      <c r="N46" s="9" t="n">
        <f aca="false">IFERROR(INDEX(Players!$F$2:$F$105,MATCH($F46,Players!$A$2:$A$105,0)),0)</f>
        <v>36</v>
      </c>
      <c r="O46" s="13" t="n">
        <f aca="false">IFERROR(1/(1/INDEX(Players!$H$2:$H$105,MATCH($F46,Players!$A$2:$A$105,0))),"")</f>
        <v>0.54</v>
      </c>
      <c r="P46" s="10" t="n">
        <f aca="false">IFERROR(1/(1/INDEX(Players!$I$2:$I$105,MATCH($F46,Players!$A$2:$A$105,0))),"")</f>
        <v>0.433</v>
      </c>
      <c r="Q46" s="9" t="n">
        <f aca="false">IF($G46="",0,SUMIFS(Map_Stats!$F$2:$F$642,Map_Stats!$A$2:$A$642,$F46&amp;"|"&amp;$G46))</f>
        <v>7</v>
      </c>
      <c r="R46" s="13" t="n">
        <f aca="false">IF($G46="","",IFERROR(1/(1/INDEX(Map_Stats!$K$2:$K$642,MATCH($F46&amp;"|"&amp;$G46,Map_Stats!$A$2:$A$642,0))),$O46))</f>
        <v>0.55</v>
      </c>
      <c r="S46" s="10" t="n">
        <f aca="false">IF(OR($G46="",$P46=""),"",IFERROR(1/(1/INDEX(Map_Stats!$I$2:$I$642,MATCH($F46&amp;"|"&amp;$G46,Map_Stats!$A$2:$A$642,0))),$P46))</f>
        <v>0.403</v>
      </c>
      <c r="T46" s="13" t="n">
        <f aca="false">IF(OR($G46="",R46=""),"",IF($O46="",R46,(Q46*R46+Config!$B$4*$O46)/(Q46+Config!$B$4)))</f>
        <v>0.545833333333333</v>
      </c>
      <c r="U46" s="10" t="n">
        <f aca="false">IF(S46="","",(Q46*S46+Config!$B$4*$P46)/(Q46+Config!$B$4))</f>
        <v>0.4155</v>
      </c>
      <c r="V46" s="17" t="n">
        <f aca="false">IF(OR(T46="",$J46=""),"",T46*$J46*($J46/Config!$B$10)^Config!$B$9)</f>
        <v>11.7354166666667</v>
      </c>
      <c r="W46" s="17" t="n">
        <f aca="false">IF(OR(V46="",U46=""),"",V46*U46)</f>
        <v>4.876065625</v>
      </c>
      <c r="X46" s="9" t="n">
        <f aca="false">IF($H46="",0,SUMIFS(Map_Stats!$F$2:$F$642,Map_Stats!$A$2:$A$642,$F46&amp;"|"&amp;$H46))</f>
        <v>8</v>
      </c>
      <c r="Y46" s="13" t="n">
        <f aca="false">IF($H46="","",IFERROR(1/(1/INDEX(Map_Stats!$K$2:$K$642,MATCH($F46&amp;"|"&amp;$H46,Map_Stats!$A$2:$A$642,0))),$O46))</f>
        <v>0.5</v>
      </c>
      <c r="Z46" s="10" t="n">
        <f aca="false">IF(OR($H46="",$P46=""),"",IFERROR(1/(1/INDEX(Map_Stats!$I$2:$I$642,MATCH($F46&amp;"|"&amp;$H46,Map_Stats!$A$2:$A$642,0))),$P46))</f>
        <v>0.488</v>
      </c>
      <c r="AA46" s="13" t="n">
        <f aca="false">IF(OR($H46="",Y46=""),"",IF($O46="",Y46,(X46*Y46+Config!$B$4*$O46)/(X46+Config!$B$4)))</f>
        <v>0.515384615384615</v>
      </c>
      <c r="AB46" s="10" t="n">
        <f aca="false">IF(Z46="","",(X46*Z46+Config!$B$4*$P46)/(X46+Config!$B$4))</f>
        <v>0.466846153846154</v>
      </c>
      <c r="AC46" s="17" t="n">
        <f aca="false">IF(OR(AA46="",$K46=""),"",AA46*$K46*($K46/Config!$B$10)^Config!$B$9)</f>
        <v>10.9828461538462</v>
      </c>
      <c r="AD46" s="17" t="n">
        <f aca="false">IF(OR(AC46="",AB46=""),"",AC46*AB46)</f>
        <v>5.1272994852071</v>
      </c>
      <c r="AE46" s="9" t="n">
        <f aca="false">IF($I46="",0,SUMIFS(Map_Stats!$F$2:$F$642,Map_Stats!$A$2:$A$642,$F46&amp;"|"&amp;$I46))</f>
        <v>6</v>
      </c>
      <c r="AF46" s="13" t="n">
        <f aca="false">IF($I46="","",IFERROR(1/(1/INDEX(Map_Stats!$K$2:$K$642,MATCH($F46&amp;"|"&amp;$I46,Map_Stats!$A$2:$A$642,0))),$O46))</f>
        <v>0.61</v>
      </c>
      <c r="AG46" s="10" t="n">
        <f aca="false">IF(OR($I46="",$P46=""),"",IFERROR(1/(1/INDEX(Map_Stats!$I$2:$I$642,MATCH($F46&amp;"|"&amp;$I46,Map_Stats!$A$2:$A$642,0))),$P46))</f>
        <v>0.507</v>
      </c>
      <c r="AH46" s="13" t="n">
        <f aca="false">IF(OR($I46="",AF46=""),"",IF($O46="",AF46,(AE46*AF46+Config!$B$4*$O46)/(AE46+Config!$B$4)))</f>
        <v>0.578181818181818</v>
      </c>
      <c r="AI46" s="10" t="n">
        <f aca="false">IF(AG46="","",(AE46*AG46+Config!$B$4*$P46)/(AE46+Config!$B$4))</f>
        <v>0.473363636363636</v>
      </c>
      <c r="AJ46" s="17" t="n">
        <f aca="false">IF(OR(AH46="",$L46=""),"",AH46*$L46*($L46/Config!$B$10)^Config!$B$9)</f>
        <v>12.3846545454545</v>
      </c>
      <c r="AK46" s="17" t="n">
        <f aca="false">IF(OR(AJ46="",AI46=""),"",AJ46*AI46)</f>
        <v>5.8624451107438</v>
      </c>
      <c r="AL46" s="17" t="n">
        <f aca="false">N(V46)+N(AC46)</f>
        <v>22.7182628205128</v>
      </c>
      <c r="AM46" s="17" t="n">
        <f aca="false">AL46+N($M46)*N(AJ46)</f>
        <v>28.6406046241492</v>
      </c>
      <c r="AN46" s="17" t="n">
        <f aca="false">IF(W46="","",N(W46)+N(AD46))</f>
        <v>10.0033651102071</v>
      </c>
      <c r="AO46" s="17" t="n">
        <f aca="false">IF(AN46="","",AN46+N($M46)*N(AK46))</f>
        <v>12.8067863621648</v>
      </c>
      <c r="AP46" s="10" t="n">
        <f aca="false">IFERROR(AN46/AL46,"")</f>
        <v>0.440322624543935</v>
      </c>
      <c r="AQ46" s="0" t="str">
        <f aca="false">TRIM(IF($N46&lt;Config!$B$12,"thin sample ("&amp;$N46&amp;" maps) · ","")&amp;IF(AND($G46&lt;&gt;"",Q46=0),"M1 unplayed→overall KPR · ","")&amp;IF(AND($H46&lt;&gt;"",X46=0),"M2 unplayed→overall KPR · ","")&amp;IF($O46="","no PickFinder stats",""))</f>
        <v/>
      </c>
      <c r="AR46" s="0" t="str">
        <f aca="false">IF($C46=Board!$B$2,COUNTIFS($C$2:$C$105,Board!$B$2,$AL$2:$AL$105,"&gt;"&amp;$AL46)+COUNTIFS($C$1:$C45,Board!$B$2,$AL$1:$AL45,$AL46)+1,"")</f>
        <v/>
      </c>
      <c r="AS46" s="0" t="str">
        <f aca="false">IFERROR(IF($D46=INDEX(Matches!$AD$5:$AD$17,MATCH($C46,Matches!$A$5:$A$17,0)),"A",IF($D46=INDEX(Matches!$AE$5:$AE$17,MATCH($C46,Matches!$A$5:$A$17,0)),"B","")),"")</f>
        <v>A</v>
      </c>
      <c r="AT46" s="10" t="n">
        <f aca="false">IF($AS46="","",IFERROR(IF($AS46="A",INDEX(Matches!$AI$5:$AI$17,MATCH($C46,Matches!$A$5:$A$17,0)),INDEX(Matches!$AJ$5:$AJ$17,MATCH($C46,Matches!$A$5:$A$17,0))),""))</f>
        <v>0.548261236129168</v>
      </c>
      <c r="AU46" s="10" t="n">
        <f aca="false">IF($AS46="","",IFERROR(IF(INDEX(Matches!$AP$5:$AP$17,MATCH($C46,Matches!$A$5:$A$17,0))="","",IF($AS46="A",INDEX(Matches!$AP$5:$AP$17,MATCH($C46,Matches!$A$5:$A$17,0)),1-INDEX(Matches!$AP$5:$AP$17,MATCH($C46,Matches!$A$5:$A$17,0)))),""))</f>
        <v>0.483410235109247</v>
      </c>
      <c r="AV46" s="13" t="n">
        <f aca="false">IF(OR($AU46="",$AT46=""),1,((Config!$B$14*$AU46+Config!$B$15*(1-$AU46))/(Config!$B$14*$AT46+Config!$B$15*(1-$AT46)))^Config!$B$13)</f>
        <v>0.944444008342506</v>
      </c>
      <c r="AW46" s="10" t="n">
        <f aca="false">IF($AS46="","",IFERROR(IF(INDEX(Matches!$AV$5:$AV$17,MATCH($C46,Matches!$A$5:$A$17,0))="","",IF($AS46="A",INDEX(Matches!$AV$5:$AV$17,MATCH($C46,Matches!$A$5:$A$17,0)),1-INDEX(Matches!$AV$5:$AV$17,MATCH($C46,Matches!$A$5:$A$17,0)))),""))</f>
        <v>0.472776146336446</v>
      </c>
      <c r="AX46" s="13" t="n">
        <f aca="false">IF(OR($AW46="",$AT46=""),1,((Config!$B$14*$AW46+Config!$B$15*(1-$AW46))/(Config!$B$14*$AT46+Config!$B$15*(1-$AT46)))^Config!$B$13)</f>
        <v>0.935334089638779</v>
      </c>
      <c r="AY46" s="10" t="n">
        <f aca="false">IF($AS46="","",IFERROR(IF(INDEX(Matches!$BB$5:$BB$17,MATCH($C46,Matches!$A$5:$A$17,0))="","",IF($AS46="A",INDEX(Matches!$BB$5:$BB$17,MATCH($C46,Matches!$A$5:$A$17,0)),1-INDEX(Matches!$BB$5:$BB$17,MATCH($C46,Matches!$A$5:$A$17,0)))),""))</f>
        <v>0.457130622026609</v>
      </c>
      <c r="AZ46" s="13" t="n">
        <f aca="false">IF(OR($AY46="",$AT46=""),1,((Config!$B$14*$AY46+Config!$B$15*(1-$AY46))/(Config!$B$14*$AT46+Config!$B$15*(1-$AT46)))^Config!$B$13)</f>
        <v>0.921931017914914</v>
      </c>
      <c r="BA46" s="17" t="n">
        <f aca="false">IF(V46="","",V46*$AV46)</f>
        <v>11.0834439562361</v>
      </c>
      <c r="BB46" s="17" t="n">
        <f aca="false">IF(AC46="","",AC46*$AX46)</f>
        <v>10.2726304089505</v>
      </c>
      <c r="BC46" s="17" t="n">
        <f aca="false">IF(AJ46="","",AJ46*$AZ46)</f>
        <v>11.4177971716155</v>
      </c>
      <c r="BD46" s="17" t="n">
        <f aca="false">N(BA46)+N(BB46)</f>
        <v>21.3560743651866</v>
      </c>
      <c r="BE46" s="17" t="n">
        <f aca="false">BD46+N($M46)*N(BC46)</f>
        <v>26.8160649726531</v>
      </c>
      <c r="BF46" s="17" t="n">
        <f aca="false">IF(W46="","",W46*$AV46)</f>
        <v>4.60517096381611</v>
      </c>
      <c r="BG46" s="17" t="n">
        <f aca="false">IF(AD46="","",AD46*$AX46)</f>
        <v>4.79573799630156</v>
      </c>
      <c r="BH46" s="17" t="n">
        <f aca="false">IF(AK46="","",AK46*$AZ46)</f>
        <v>5.40476998841835</v>
      </c>
      <c r="BI46" s="17" t="n">
        <f aca="false">IF(BF46="","",N(BF46)+N(BG46))</f>
        <v>9.40090896011767</v>
      </c>
      <c r="BJ46" s="17" t="n">
        <f aca="false">IF(BI46="","",BI46+N($M46)*N(BH46))</f>
        <v>11.9854699685793</v>
      </c>
      <c r="BK46" s="13" t="n">
        <f aca="false">IFERROR(BD46/AL46,1)</f>
        <v>0.940039937644515</v>
      </c>
    </row>
    <row r="47" customFormat="false" ht="15" hidden="false" customHeight="false" outlineLevel="0" collapsed="false">
      <c r="A47" s="0" t="s">
        <v>993</v>
      </c>
      <c r="B47" s="0" t="s">
        <v>775</v>
      </c>
      <c r="C47" s="0" t="s">
        <v>857</v>
      </c>
      <c r="D47" s="0" t="s">
        <v>862</v>
      </c>
      <c r="E47" s="0" t="s">
        <v>992</v>
      </c>
      <c r="F47" s="0" t="s">
        <v>1212</v>
      </c>
      <c r="G47" s="0" t="str">
        <f aca="false">IFERROR(IF(INDEX(Matches!$W$5:$W$17,MATCH($C47,Matches!$A$5:$A$17,0))="","",INDEX(Matches!$W$5:$W$17,MATCH($C47,Matches!$A$5:$A$17,0))),"")</f>
        <v>Ancient</v>
      </c>
      <c r="H47" s="0" t="str">
        <f aca="false">IFERROR(IF(INDEX(Matches!$X$5:$X$17,MATCH($C47,Matches!$A$5:$A$17,0))="","",INDEX(Matches!$X$5:$X$17,MATCH($C47,Matches!$A$5:$A$17,0))),"")</f>
        <v>Inferno</v>
      </c>
      <c r="I47" s="0" t="str">
        <f aca="false">IFERROR(IF(INDEX(Matches!$Y$5:$Y$17,MATCH($C47,Matches!$A$5:$A$17,0))="","",INDEX(Matches!$Y$5:$Y$17,MATCH($C47,Matches!$A$5:$A$17,0))),"")</f>
        <v>Dust2</v>
      </c>
      <c r="J47" s="11" t="n">
        <f aca="false">IFERROR(IF(INDEX(Matches!$Z$5:$Z$17,MATCH($C47,Matches!$A$5:$A$17,0))="","",INDEX(Matches!$Z$5:$Z$17,MATCH($C47,Matches!$A$5:$A$17,0))),"")</f>
        <v>21.5</v>
      </c>
      <c r="K47" s="11" t="n">
        <f aca="false">IFERROR(IF(INDEX(Matches!$AA$5:$AA$17,MATCH($C47,Matches!$A$5:$A$17,0))="","",INDEX(Matches!$AA$5:$AA$17,MATCH($C47,Matches!$A$5:$A$17,0))),"")</f>
        <v>21.31</v>
      </c>
      <c r="L47" s="11" t="n">
        <f aca="false">IFERROR(IF(INDEX(Matches!$AB$5:$AB$17,MATCH($C47,Matches!$A$5:$A$17,0))="","",INDEX(Matches!$AB$5:$AB$17,MATCH($C47,Matches!$A$5:$A$17,0))),"")</f>
        <v>21.42</v>
      </c>
      <c r="M47" s="10" t="n">
        <f aca="false">IFERROR(IF(INDEX(Matches!$AC$5:$AC$17,MATCH($C47,Matches!$A$5:$A$17,0))="","",INDEX(Matches!$AC$5:$AC$17,MATCH($C47,Matches!$A$5:$A$17,0))),"")</f>
        <v>0.4782</v>
      </c>
      <c r="N47" s="9" t="n">
        <f aca="false">IFERROR(INDEX(Players!$F$2:$F$105,MATCH($F47,Players!$A$2:$A$105,0)),0)</f>
        <v>36</v>
      </c>
      <c r="O47" s="13" t="n">
        <f aca="false">IFERROR(1/(1/INDEX(Players!$H$2:$H$105,MATCH($F47,Players!$A$2:$A$105,0))),"")</f>
        <v>0.69</v>
      </c>
      <c r="P47" s="10" t="n">
        <f aca="false">IFERROR(1/(1/INDEX(Players!$I$2:$I$105,MATCH($F47,Players!$A$2:$A$105,0))),"")</f>
        <v>0.58</v>
      </c>
      <c r="Q47" s="9" t="n">
        <f aca="false">IF($G47="",0,SUMIFS(Map_Stats!$F$2:$F$642,Map_Stats!$A$2:$A$642,$F47&amp;"|"&amp;$G47))</f>
        <v>7</v>
      </c>
      <c r="R47" s="13" t="n">
        <f aca="false">IF($G47="","",IFERROR(1/(1/INDEX(Map_Stats!$K$2:$K$642,MATCH($F47&amp;"|"&amp;$G47,Map_Stats!$A$2:$A$642,0))),$O47))</f>
        <v>0.71</v>
      </c>
      <c r="S47" s="10" t="n">
        <f aca="false">IF(OR($G47="",$P47=""),"",IFERROR(1/(1/INDEX(Map_Stats!$I$2:$I$642,MATCH($F47&amp;"|"&amp;$G47,Map_Stats!$A$2:$A$642,0))),$P47))</f>
        <v>0.58</v>
      </c>
      <c r="T47" s="13" t="n">
        <f aca="false">IF(OR($G47="",R47=""),"",IF($O47="",R47,(Q47*R47+Config!$B$4*$O47)/(Q47+Config!$B$4)))</f>
        <v>0.701666666666667</v>
      </c>
      <c r="U47" s="10" t="n">
        <f aca="false">IF(S47="","",(Q47*S47+Config!$B$4*$P47)/(Q47+Config!$B$4))</f>
        <v>0.58</v>
      </c>
      <c r="V47" s="17" t="n">
        <f aca="false">IF(OR(T47="",$J47=""),"",T47*$J47*($J47/Config!$B$10)^Config!$B$9)</f>
        <v>15.0858333333333</v>
      </c>
      <c r="W47" s="17" t="n">
        <f aca="false">IF(OR(V47="",U47=""),"",V47*U47)</f>
        <v>8.74978333333333</v>
      </c>
      <c r="X47" s="9" t="n">
        <f aca="false">IF($H47="",0,SUMIFS(Map_Stats!$F$2:$F$642,Map_Stats!$A$2:$A$642,$F47&amp;"|"&amp;$H47))</f>
        <v>8</v>
      </c>
      <c r="Y47" s="13" t="n">
        <f aca="false">IF($H47="","",IFERROR(1/(1/INDEX(Map_Stats!$K$2:$K$642,MATCH($F47&amp;"|"&amp;$H47,Map_Stats!$A$2:$A$642,0))),$O47))</f>
        <v>0.69</v>
      </c>
      <c r="Z47" s="10" t="n">
        <f aca="false">IF(OR($H47="",$P47=""),"",IFERROR(1/(1/INDEX(Map_Stats!$I$2:$I$642,MATCH($F47&amp;"|"&amp;$H47,Map_Stats!$A$2:$A$642,0))),$P47))</f>
        <v>0.543</v>
      </c>
      <c r="AA47" s="13" t="n">
        <f aca="false">IF(OR($H47="",Y47=""),"",IF($O47="",Y47,(X47*Y47+Config!$B$4*$O47)/(X47+Config!$B$4)))</f>
        <v>0.69</v>
      </c>
      <c r="AB47" s="10" t="n">
        <f aca="false">IF(Z47="","",(X47*Z47+Config!$B$4*$P47)/(X47+Config!$B$4))</f>
        <v>0.557230769230769</v>
      </c>
      <c r="AC47" s="17" t="n">
        <f aca="false">IF(OR(AA47="",$K47=""),"",AA47*$K47*($K47/Config!$B$10)^Config!$B$9)</f>
        <v>14.7039</v>
      </c>
      <c r="AD47" s="17" t="n">
        <f aca="false">IF(OR(AC47="",AB47=""),"",AC47*AB47)</f>
        <v>8.19346550769231</v>
      </c>
      <c r="AE47" s="9" t="n">
        <f aca="false">IF($I47="",0,SUMIFS(Map_Stats!$F$2:$F$642,Map_Stats!$A$2:$A$642,$F47&amp;"|"&amp;$I47))</f>
        <v>6</v>
      </c>
      <c r="AF47" s="13" t="n">
        <f aca="false">IF($I47="","",IFERROR(1/(1/INDEX(Map_Stats!$K$2:$K$642,MATCH($F47&amp;"|"&amp;$I47,Map_Stats!$A$2:$A$642,0))),$O47))</f>
        <v>0.69</v>
      </c>
      <c r="AG47" s="10" t="n">
        <f aca="false">IF(OR($I47="",$P47=""),"",IFERROR(1/(1/INDEX(Map_Stats!$I$2:$I$642,MATCH($F47&amp;"|"&amp;$I47,Map_Stats!$A$2:$A$642,0))),$P47))</f>
        <v>0.518</v>
      </c>
      <c r="AH47" s="13" t="n">
        <f aca="false">IF(OR($I47="",AF47=""),"",IF($O47="",AF47,(AE47*AF47+Config!$B$4*$O47)/(AE47+Config!$B$4)))</f>
        <v>0.69</v>
      </c>
      <c r="AI47" s="10" t="n">
        <f aca="false">IF(AG47="","",(AE47*AG47+Config!$B$4*$P47)/(AE47+Config!$B$4))</f>
        <v>0.546181818181818</v>
      </c>
      <c r="AJ47" s="17" t="n">
        <f aca="false">IF(OR(AH47="",$L47=""),"",AH47*$L47*($L47/Config!$B$10)^Config!$B$9)</f>
        <v>14.7798</v>
      </c>
      <c r="AK47" s="17" t="n">
        <f aca="false">IF(OR(AJ47="",AI47=""),"",AJ47*AI47)</f>
        <v>8.07245803636364</v>
      </c>
      <c r="AL47" s="17" t="n">
        <f aca="false">N(V47)+N(AC47)</f>
        <v>29.7897333333333</v>
      </c>
      <c r="AM47" s="17" t="n">
        <f aca="false">AL47+N($M47)*N(AJ47)</f>
        <v>36.8574336933333</v>
      </c>
      <c r="AN47" s="17" t="n">
        <f aca="false">IF(W47="","",N(W47)+N(AD47))</f>
        <v>16.9432488410256</v>
      </c>
      <c r="AO47" s="17" t="n">
        <f aca="false">IF(AN47="","",AN47+N($M47)*N(AK47))</f>
        <v>20.8034982740147</v>
      </c>
      <c r="AP47" s="10" t="n">
        <f aca="false">IFERROR(AN47/AL47,"")</f>
        <v>0.568761346449078</v>
      </c>
      <c r="AQ47" s="0" t="str">
        <f aca="false">TRIM(IF($N47&lt;Config!$B$12,"thin sample ("&amp;$N47&amp;" maps) · ","")&amp;IF(AND($G47&lt;&gt;"",Q47=0),"M1 unplayed→overall KPR · ","")&amp;IF(AND($H47&lt;&gt;"",X47=0),"M2 unplayed→overall KPR · ","")&amp;IF($O47="","no PickFinder stats",""))</f>
        <v/>
      </c>
      <c r="AR47" s="0" t="str">
        <f aca="false">IF($C47=Board!$B$2,COUNTIFS($C$2:$C$105,Board!$B$2,$AL$2:$AL$105,"&gt;"&amp;$AL47)+COUNTIFS($C$1:$C46,Board!$B$2,$AL$1:$AL46,$AL47)+1,"")</f>
        <v/>
      </c>
      <c r="AS47" s="0" t="str">
        <f aca="false">IFERROR(IF($D47=INDEX(Matches!$AD$5:$AD$17,MATCH($C47,Matches!$A$5:$A$17,0)),"A",IF($D47=INDEX(Matches!$AE$5:$AE$17,MATCH($C47,Matches!$A$5:$A$17,0)),"B","")),"")</f>
        <v>A</v>
      </c>
      <c r="AT47" s="10" t="n">
        <f aca="false">IF($AS47="","",IFERROR(IF($AS47="A",INDEX(Matches!$AI$5:$AI$17,MATCH($C47,Matches!$A$5:$A$17,0)),INDEX(Matches!$AJ$5:$AJ$17,MATCH($C47,Matches!$A$5:$A$17,0))),""))</f>
        <v>0.548261236129168</v>
      </c>
      <c r="AU47" s="10" t="n">
        <f aca="false">IF($AS47="","",IFERROR(IF(INDEX(Matches!$AP$5:$AP$17,MATCH($C47,Matches!$A$5:$A$17,0))="","",IF($AS47="A",INDEX(Matches!$AP$5:$AP$17,MATCH($C47,Matches!$A$5:$A$17,0)),1-INDEX(Matches!$AP$5:$AP$17,MATCH($C47,Matches!$A$5:$A$17,0)))),""))</f>
        <v>0.483410235109247</v>
      </c>
      <c r="AV47" s="13" t="n">
        <f aca="false">IF(OR($AU47="",$AT47=""),1,((Config!$B$14*$AU47+Config!$B$15*(1-$AU47))/(Config!$B$14*$AT47+Config!$B$15*(1-$AT47)))^Config!$B$13)</f>
        <v>0.944444008342506</v>
      </c>
      <c r="AW47" s="10" t="n">
        <f aca="false">IF($AS47="","",IFERROR(IF(INDEX(Matches!$AV$5:$AV$17,MATCH($C47,Matches!$A$5:$A$17,0))="","",IF($AS47="A",INDEX(Matches!$AV$5:$AV$17,MATCH($C47,Matches!$A$5:$A$17,0)),1-INDEX(Matches!$AV$5:$AV$17,MATCH($C47,Matches!$A$5:$A$17,0)))),""))</f>
        <v>0.472776146336446</v>
      </c>
      <c r="AX47" s="13" t="n">
        <f aca="false">IF(OR($AW47="",$AT47=""),1,((Config!$B$14*$AW47+Config!$B$15*(1-$AW47))/(Config!$B$14*$AT47+Config!$B$15*(1-$AT47)))^Config!$B$13)</f>
        <v>0.935334089638779</v>
      </c>
      <c r="AY47" s="10" t="n">
        <f aca="false">IF($AS47="","",IFERROR(IF(INDEX(Matches!$BB$5:$BB$17,MATCH($C47,Matches!$A$5:$A$17,0))="","",IF($AS47="A",INDEX(Matches!$BB$5:$BB$17,MATCH($C47,Matches!$A$5:$A$17,0)),1-INDEX(Matches!$BB$5:$BB$17,MATCH($C47,Matches!$A$5:$A$17,0)))),""))</f>
        <v>0.457130622026609</v>
      </c>
      <c r="AZ47" s="13" t="n">
        <f aca="false">IF(OR($AY47="",$AT47=""),1,((Config!$B$14*$AY47+Config!$B$15*(1-$AY47))/(Config!$B$14*$AT47+Config!$B$15*(1-$AT47)))^Config!$B$13)</f>
        <v>0.921931017914914</v>
      </c>
      <c r="BA47" s="17" t="n">
        <f aca="false">IF(V47="","",V47*$AV47)</f>
        <v>14.2477249025203</v>
      </c>
      <c r="BB47" s="17" t="n">
        <f aca="false">IF(AC47="","",AC47*$AX47)</f>
        <v>13.7530589206396</v>
      </c>
      <c r="BC47" s="17" t="n">
        <f aca="false">IF(AJ47="","",AJ47*$AZ47)</f>
        <v>13.6259560585788</v>
      </c>
      <c r="BD47" s="17" t="n">
        <f aca="false">N(BA47)+N(BB47)</f>
        <v>28.00078382316</v>
      </c>
      <c r="BE47" s="17" t="n">
        <f aca="false">BD47+N($M47)*N(BC47)</f>
        <v>34.5167160103724</v>
      </c>
      <c r="BF47" s="17" t="n">
        <f aca="false">IF(W47="","",W47*$AV47)</f>
        <v>8.26368044346178</v>
      </c>
      <c r="BG47" s="17" t="n">
        <f aca="false">IF(AD47="","",AD47*$AX47)</f>
        <v>7.66362760162412</v>
      </c>
      <c r="BH47" s="17" t="n">
        <f aca="false">IF(AK47="","",AK47*$AZ47)</f>
        <v>7.44224945454016</v>
      </c>
      <c r="BI47" s="17" t="n">
        <f aca="false">IF(BF47="","",N(BF47)+N(BG47))</f>
        <v>15.9273080450859</v>
      </c>
      <c r="BJ47" s="17" t="n">
        <f aca="false">IF(BI47="","",BI47+N($M47)*N(BH47))</f>
        <v>19.486191734247</v>
      </c>
      <c r="BK47" s="13" t="n">
        <f aca="false">IFERROR(BD47/AL47,1)</f>
        <v>0.9399474479964</v>
      </c>
    </row>
    <row r="48" customFormat="false" ht="15" hidden="false" customHeight="false" outlineLevel="0" collapsed="false">
      <c r="A48" s="0" t="s">
        <v>995</v>
      </c>
      <c r="B48" s="0" t="s">
        <v>775</v>
      </c>
      <c r="C48" s="0" t="s">
        <v>857</v>
      </c>
      <c r="D48" s="0" t="s">
        <v>862</v>
      </c>
      <c r="E48" s="0" t="s">
        <v>994</v>
      </c>
      <c r="F48" s="0" t="s">
        <v>1213</v>
      </c>
      <c r="G48" s="0" t="str">
        <f aca="false">IFERROR(IF(INDEX(Matches!$W$5:$W$17,MATCH($C48,Matches!$A$5:$A$17,0))="","",INDEX(Matches!$W$5:$W$17,MATCH($C48,Matches!$A$5:$A$17,0))),"")</f>
        <v>Ancient</v>
      </c>
      <c r="H48" s="0" t="str">
        <f aca="false">IFERROR(IF(INDEX(Matches!$X$5:$X$17,MATCH($C48,Matches!$A$5:$A$17,0))="","",INDEX(Matches!$X$5:$X$17,MATCH($C48,Matches!$A$5:$A$17,0))),"")</f>
        <v>Inferno</v>
      </c>
      <c r="I48" s="0" t="str">
        <f aca="false">IFERROR(IF(INDEX(Matches!$Y$5:$Y$17,MATCH($C48,Matches!$A$5:$A$17,0))="","",INDEX(Matches!$Y$5:$Y$17,MATCH($C48,Matches!$A$5:$A$17,0))),"")</f>
        <v>Dust2</v>
      </c>
      <c r="J48" s="11" t="n">
        <f aca="false">IFERROR(IF(INDEX(Matches!$Z$5:$Z$17,MATCH($C48,Matches!$A$5:$A$17,0))="","",INDEX(Matches!$Z$5:$Z$17,MATCH($C48,Matches!$A$5:$A$17,0))),"")</f>
        <v>21.5</v>
      </c>
      <c r="K48" s="11" t="n">
        <f aca="false">IFERROR(IF(INDEX(Matches!$AA$5:$AA$17,MATCH($C48,Matches!$A$5:$A$17,0))="","",INDEX(Matches!$AA$5:$AA$17,MATCH($C48,Matches!$A$5:$A$17,0))),"")</f>
        <v>21.31</v>
      </c>
      <c r="L48" s="11" t="n">
        <f aca="false">IFERROR(IF(INDEX(Matches!$AB$5:$AB$17,MATCH($C48,Matches!$A$5:$A$17,0))="","",INDEX(Matches!$AB$5:$AB$17,MATCH($C48,Matches!$A$5:$A$17,0))),"")</f>
        <v>21.42</v>
      </c>
      <c r="M48" s="10" t="n">
        <f aca="false">IFERROR(IF(INDEX(Matches!$AC$5:$AC$17,MATCH($C48,Matches!$A$5:$A$17,0))="","",INDEX(Matches!$AC$5:$AC$17,MATCH($C48,Matches!$A$5:$A$17,0))),"")</f>
        <v>0.4782</v>
      </c>
      <c r="N48" s="9" t="n">
        <f aca="false">IFERROR(INDEX(Players!$F$2:$F$105,MATCH($F48,Players!$A$2:$A$105,0)),0)</f>
        <v>36</v>
      </c>
      <c r="O48" s="13" t="n">
        <f aca="false">IFERROR(1/(1/INDEX(Players!$H$2:$H$105,MATCH($F48,Players!$A$2:$A$105,0))),"")</f>
        <v>0.74</v>
      </c>
      <c r="P48" s="10" t="n">
        <f aca="false">IFERROR(1/(1/INDEX(Players!$I$2:$I$105,MATCH($F48,Players!$A$2:$A$105,0))),"")</f>
        <v>0.356</v>
      </c>
      <c r="Q48" s="9" t="n">
        <f aca="false">IF($G48="",0,SUMIFS(Map_Stats!$F$2:$F$642,Map_Stats!$A$2:$A$642,$F48&amp;"|"&amp;$G48))</f>
        <v>7</v>
      </c>
      <c r="R48" s="13" t="n">
        <f aca="false">IF($G48="","",IFERROR(1/(1/INDEX(Map_Stats!$K$2:$K$642,MATCH($F48&amp;"|"&amp;$G48,Map_Stats!$A$2:$A$642,0))),$O48))</f>
        <v>0.74</v>
      </c>
      <c r="S48" s="10" t="n">
        <f aca="false">IF(OR($G48="",$P48=""),"",IFERROR(1/(1/INDEX(Map_Stats!$I$2:$I$642,MATCH($F48&amp;"|"&amp;$G48,Map_Stats!$A$2:$A$642,0))),$P48))</f>
        <v>0.317</v>
      </c>
      <c r="T48" s="13" t="n">
        <f aca="false">IF(OR($G48="",R48=""),"",IF($O48="",R48,(Q48*R48+Config!$B$4*$O48)/(Q48+Config!$B$4)))</f>
        <v>0.74</v>
      </c>
      <c r="U48" s="10" t="n">
        <f aca="false">IF(S48="","",(Q48*S48+Config!$B$4*$P48)/(Q48+Config!$B$4))</f>
        <v>0.33325</v>
      </c>
      <c r="V48" s="17" t="n">
        <f aca="false">IF(OR(T48="",$J48=""),"",T48*$J48*($J48/Config!$B$10)^Config!$B$9)</f>
        <v>15.91</v>
      </c>
      <c r="W48" s="17" t="n">
        <f aca="false">IF(OR(V48="",U48=""),"",V48*U48)</f>
        <v>5.3020075</v>
      </c>
      <c r="X48" s="9" t="n">
        <f aca="false">IF($H48="",0,SUMIFS(Map_Stats!$F$2:$F$642,Map_Stats!$A$2:$A$642,$F48&amp;"|"&amp;$H48))</f>
        <v>8</v>
      </c>
      <c r="Y48" s="13" t="n">
        <f aca="false">IF($H48="","",IFERROR(1/(1/INDEX(Map_Stats!$K$2:$K$642,MATCH($F48&amp;"|"&amp;$H48,Map_Stats!$A$2:$A$642,0))),$O48))</f>
        <v>0.79</v>
      </c>
      <c r="Z48" s="10" t="n">
        <f aca="false">IF(OR($H48="",$P48=""),"",IFERROR(1/(1/INDEX(Map_Stats!$I$2:$I$642,MATCH($F48&amp;"|"&amp;$H48,Map_Stats!$A$2:$A$642,0))),$P48))</f>
        <v>0.361</v>
      </c>
      <c r="AA48" s="13" t="n">
        <f aca="false">IF(OR($H48="",Y48=""),"",IF($O48="",Y48,(X48*Y48+Config!$B$4*$O48)/(X48+Config!$B$4)))</f>
        <v>0.770769230769231</v>
      </c>
      <c r="AB48" s="10" t="n">
        <f aca="false">IF(Z48="","",(X48*Z48+Config!$B$4*$P48)/(X48+Config!$B$4))</f>
        <v>0.359076923076923</v>
      </c>
      <c r="AC48" s="17" t="n">
        <f aca="false">IF(OR(AA48="",$K48=""),"",AA48*$K48*($K48/Config!$B$10)^Config!$B$9)</f>
        <v>16.4250923076923</v>
      </c>
      <c r="AD48" s="17" t="n">
        <f aca="false">IF(OR(AC48="",AB48=""),"",AC48*AB48)</f>
        <v>5.89787160710059</v>
      </c>
      <c r="AE48" s="9" t="n">
        <f aca="false">IF($I48="",0,SUMIFS(Map_Stats!$F$2:$F$642,Map_Stats!$A$2:$A$642,$F48&amp;"|"&amp;$I48))</f>
        <v>6</v>
      </c>
      <c r="AF48" s="13" t="n">
        <f aca="false">IF($I48="","",IFERROR(1/(1/INDEX(Map_Stats!$K$2:$K$642,MATCH($F48&amp;"|"&amp;$I48,Map_Stats!$A$2:$A$642,0))),$O48))</f>
        <v>0.73</v>
      </c>
      <c r="AG48" s="10" t="n">
        <f aca="false">IF(OR($I48="",$P48=""),"",IFERROR(1/(1/INDEX(Map_Stats!$I$2:$I$642,MATCH($F48&amp;"|"&amp;$I48,Map_Stats!$A$2:$A$642,0))),$P48))</f>
        <v>0.433</v>
      </c>
      <c r="AH48" s="13" t="n">
        <f aca="false">IF(OR($I48="",AF48=""),"",IF($O48="",AF48,(AE48*AF48+Config!$B$4*$O48)/(AE48+Config!$B$4)))</f>
        <v>0.734545454545455</v>
      </c>
      <c r="AI48" s="10" t="n">
        <f aca="false">IF(AG48="","",(AE48*AG48+Config!$B$4*$P48)/(AE48+Config!$B$4))</f>
        <v>0.398</v>
      </c>
      <c r="AJ48" s="17" t="n">
        <f aca="false">IF(OR(AH48="",$L48=""),"",AH48*$L48*($L48/Config!$B$10)^Config!$B$9)</f>
        <v>15.7339636363636</v>
      </c>
      <c r="AK48" s="17" t="n">
        <f aca="false">IF(OR(AJ48="",AI48=""),"",AJ48*AI48)</f>
        <v>6.26211752727273</v>
      </c>
      <c r="AL48" s="17" t="n">
        <f aca="false">N(V48)+N(AC48)</f>
        <v>32.3350923076923</v>
      </c>
      <c r="AM48" s="17" t="n">
        <f aca="false">AL48+N($M48)*N(AJ48)</f>
        <v>39.8590737186014</v>
      </c>
      <c r="AN48" s="17" t="n">
        <f aca="false">IF(W48="","",N(W48)+N(AD48))</f>
        <v>11.1998791071006</v>
      </c>
      <c r="AO48" s="17" t="n">
        <f aca="false">IF(AN48="","",AN48+N($M48)*N(AK48))</f>
        <v>14.1944237086424</v>
      </c>
      <c r="AP48" s="10" t="n">
        <f aca="false">IFERROR(AN48/AL48,"")</f>
        <v>0.346369170699297</v>
      </c>
      <c r="AQ48" s="0" t="str">
        <f aca="false">TRIM(IF($N48&lt;Config!$B$12,"thin sample ("&amp;$N48&amp;" maps) · ","")&amp;IF(AND($G48&lt;&gt;"",Q48=0),"M1 unplayed→overall KPR · ","")&amp;IF(AND($H48&lt;&gt;"",X48=0),"M2 unplayed→overall KPR · ","")&amp;IF($O48="","no PickFinder stats",""))</f>
        <v/>
      </c>
      <c r="AR48" s="0" t="str">
        <f aca="false">IF($C48=Board!$B$2,COUNTIFS($C$2:$C$105,Board!$B$2,$AL$2:$AL$105,"&gt;"&amp;$AL48)+COUNTIFS($C$1:$C47,Board!$B$2,$AL$1:$AL47,$AL48)+1,"")</f>
        <v/>
      </c>
      <c r="AS48" s="0" t="str">
        <f aca="false">IFERROR(IF($D48=INDEX(Matches!$AD$5:$AD$17,MATCH($C48,Matches!$A$5:$A$17,0)),"A",IF($D48=INDEX(Matches!$AE$5:$AE$17,MATCH($C48,Matches!$A$5:$A$17,0)),"B","")),"")</f>
        <v>A</v>
      </c>
      <c r="AT48" s="10" t="n">
        <f aca="false">IF($AS48="","",IFERROR(IF($AS48="A",INDEX(Matches!$AI$5:$AI$17,MATCH($C48,Matches!$A$5:$A$17,0)),INDEX(Matches!$AJ$5:$AJ$17,MATCH($C48,Matches!$A$5:$A$17,0))),""))</f>
        <v>0.548261236129168</v>
      </c>
      <c r="AU48" s="10" t="n">
        <f aca="false">IF($AS48="","",IFERROR(IF(INDEX(Matches!$AP$5:$AP$17,MATCH($C48,Matches!$A$5:$A$17,0))="","",IF($AS48="A",INDEX(Matches!$AP$5:$AP$17,MATCH($C48,Matches!$A$5:$A$17,0)),1-INDEX(Matches!$AP$5:$AP$17,MATCH($C48,Matches!$A$5:$A$17,0)))),""))</f>
        <v>0.483410235109247</v>
      </c>
      <c r="AV48" s="13" t="n">
        <f aca="false">IF(OR($AU48="",$AT48=""),1,((Config!$B$14*$AU48+Config!$B$15*(1-$AU48))/(Config!$B$14*$AT48+Config!$B$15*(1-$AT48)))^Config!$B$13)</f>
        <v>0.944444008342506</v>
      </c>
      <c r="AW48" s="10" t="n">
        <f aca="false">IF($AS48="","",IFERROR(IF(INDEX(Matches!$AV$5:$AV$17,MATCH($C48,Matches!$A$5:$A$17,0))="","",IF($AS48="A",INDEX(Matches!$AV$5:$AV$17,MATCH($C48,Matches!$A$5:$A$17,0)),1-INDEX(Matches!$AV$5:$AV$17,MATCH($C48,Matches!$A$5:$A$17,0)))),""))</f>
        <v>0.472776146336446</v>
      </c>
      <c r="AX48" s="13" t="n">
        <f aca="false">IF(OR($AW48="",$AT48=""),1,((Config!$B$14*$AW48+Config!$B$15*(1-$AW48))/(Config!$B$14*$AT48+Config!$B$15*(1-$AT48)))^Config!$B$13)</f>
        <v>0.935334089638779</v>
      </c>
      <c r="AY48" s="10" t="n">
        <f aca="false">IF($AS48="","",IFERROR(IF(INDEX(Matches!$BB$5:$BB$17,MATCH($C48,Matches!$A$5:$A$17,0))="","",IF($AS48="A",INDEX(Matches!$BB$5:$BB$17,MATCH($C48,Matches!$A$5:$A$17,0)),1-INDEX(Matches!$BB$5:$BB$17,MATCH($C48,Matches!$A$5:$A$17,0)))),""))</f>
        <v>0.457130622026609</v>
      </c>
      <c r="AZ48" s="13" t="n">
        <f aca="false">IF(OR($AY48="",$AT48=""),1,((Config!$B$14*$AY48+Config!$B$15*(1-$AY48))/(Config!$B$14*$AT48+Config!$B$15*(1-$AT48)))^Config!$B$13)</f>
        <v>0.921931017914914</v>
      </c>
      <c r="BA48" s="17" t="n">
        <f aca="false">IF(V48="","",V48*$AV48)</f>
        <v>15.0261041727293</v>
      </c>
      <c r="BB48" s="17" t="n">
        <f aca="false">IF(AC48="","",AC48*$AX48)</f>
        <v>15.3629487608483</v>
      </c>
      <c r="BC48" s="17" t="n">
        <f aca="false">IF(AJ48="","",AJ48*$AZ48)</f>
        <v>14.505629111109</v>
      </c>
      <c r="BD48" s="17" t="n">
        <f aca="false">N(BA48)+N(BB48)</f>
        <v>30.3890529335776</v>
      </c>
      <c r="BE48" s="17" t="n">
        <f aca="false">BD48+N($M48)*N(BC48)</f>
        <v>37.3256447745099</v>
      </c>
      <c r="BF48" s="17" t="n">
        <f aca="false">IF(W48="","",W48*$AV48)</f>
        <v>5.00744921556203</v>
      </c>
      <c r="BG48" s="17" t="n">
        <f aca="false">IF(AD48="","",AD48*$AX48)</f>
        <v>5.51648037043383</v>
      </c>
      <c r="BH48" s="17" t="n">
        <f aca="false">IF(AK48="","",AK48*$AZ48)</f>
        <v>5.77324038622137</v>
      </c>
      <c r="BI48" s="17" t="n">
        <f aca="false">IF(BF48="","",N(BF48)+N(BG48))</f>
        <v>10.5239295859959</v>
      </c>
      <c r="BJ48" s="17" t="n">
        <f aca="false">IF(BI48="","",BI48+N($M48)*N(BH48))</f>
        <v>13.2846931386869</v>
      </c>
      <c r="BK48" s="13" t="n">
        <f aca="false">IFERROR(BD48/AL48,1)</f>
        <v>0.93981648929291</v>
      </c>
    </row>
    <row r="49" customFormat="false" ht="15" hidden="false" customHeight="false" outlineLevel="0" collapsed="false">
      <c r="A49" s="0" t="s">
        <v>997</v>
      </c>
      <c r="B49" s="0" t="s">
        <v>775</v>
      </c>
      <c r="C49" s="0" t="s">
        <v>857</v>
      </c>
      <c r="D49" s="0" t="s">
        <v>862</v>
      </c>
      <c r="E49" s="0" t="s">
        <v>996</v>
      </c>
      <c r="F49" s="0" t="s">
        <v>1214</v>
      </c>
      <c r="G49" s="0" t="str">
        <f aca="false">IFERROR(IF(INDEX(Matches!$W$5:$W$17,MATCH($C49,Matches!$A$5:$A$17,0))="","",INDEX(Matches!$W$5:$W$17,MATCH($C49,Matches!$A$5:$A$17,0))),"")</f>
        <v>Ancient</v>
      </c>
      <c r="H49" s="0" t="str">
        <f aca="false">IFERROR(IF(INDEX(Matches!$X$5:$X$17,MATCH($C49,Matches!$A$5:$A$17,0))="","",INDEX(Matches!$X$5:$X$17,MATCH($C49,Matches!$A$5:$A$17,0))),"")</f>
        <v>Inferno</v>
      </c>
      <c r="I49" s="0" t="str">
        <f aca="false">IFERROR(IF(INDEX(Matches!$Y$5:$Y$17,MATCH($C49,Matches!$A$5:$A$17,0))="","",INDEX(Matches!$Y$5:$Y$17,MATCH($C49,Matches!$A$5:$A$17,0))),"")</f>
        <v>Dust2</v>
      </c>
      <c r="J49" s="11" t="n">
        <f aca="false">IFERROR(IF(INDEX(Matches!$Z$5:$Z$17,MATCH($C49,Matches!$A$5:$A$17,0))="","",INDEX(Matches!$Z$5:$Z$17,MATCH($C49,Matches!$A$5:$A$17,0))),"")</f>
        <v>21.5</v>
      </c>
      <c r="K49" s="11" t="n">
        <f aca="false">IFERROR(IF(INDEX(Matches!$AA$5:$AA$17,MATCH($C49,Matches!$A$5:$A$17,0))="","",INDEX(Matches!$AA$5:$AA$17,MATCH($C49,Matches!$A$5:$A$17,0))),"")</f>
        <v>21.31</v>
      </c>
      <c r="L49" s="11" t="n">
        <f aca="false">IFERROR(IF(INDEX(Matches!$AB$5:$AB$17,MATCH($C49,Matches!$A$5:$A$17,0))="","",INDEX(Matches!$AB$5:$AB$17,MATCH($C49,Matches!$A$5:$A$17,0))),"")</f>
        <v>21.42</v>
      </c>
      <c r="M49" s="10" t="n">
        <f aca="false">IFERROR(IF(INDEX(Matches!$AC$5:$AC$17,MATCH($C49,Matches!$A$5:$A$17,0))="","",INDEX(Matches!$AC$5:$AC$17,MATCH($C49,Matches!$A$5:$A$17,0))),"")</f>
        <v>0.4782</v>
      </c>
      <c r="N49" s="9" t="n">
        <f aca="false">IFERROR(INDEX(Players!$F$2:$F$105,MATCH($F49,Players!$A$2:$A$105,0)),0)</f>
        <v>36</v>
      </c>
      <c r="O49" s="13" t="n">
        <f aca="false">IFERROR(1/(1/INDEX(Players!$H$2:$H$105,MATCH($F49,Players!$A$2:$A$105,0))),"")</f>
        <v>0.67</v>
      </c>
      <c r="P49" s="10" t="n">
        <f aca="false">IFERROR(1/(1/INDEX(Players!$I$2:$I$105,MATCH($F49,Players!$A$2:$A$105,0))),"")</f>
        <v>0.575</v>
      </c>
      <c r="Q49" s="9" t="n">
        <f aca="false">IF($G49="",0,SUMIFS(Map_Stats!$F$2:$F$642,Map_Stats!$A$2:$A$642,$F49&amp;"|"&amp;$G49))</f>
        <v>7</v>
      </c>
      <c r="R49" s="13" t="n">
        <f aca="false">IF($G49="","",IFERROR(1/(1/INDEX(Map_Stats!$K$2:$K$642,MATCH($F49&amp;"|"&amp;$G49,Map_Stats!$A$2:$A$642,0))),$O49))</f>
        <v>0.59</v>
      </c>
      <c r="S49" s="10" t="n">
        <f aca="false">IF(OR($G49="",$P49=""),"",IFERROR(1/(1/INDEX(Map_Stats!$I$2:$I$642,MATCH($F49&amp;"|"&amp;$G49,Map_Stats!$A$2:$A$642,0))),$P49))</f>
        <v>0.554</v>
      </c>
      <c r="T49" s="13" t="n">
        <f aca="false">IF(OR($G49="",R49=""),"",IF($O49="",R49,(Q49*R49+Config!$B$4*$O49)/(Q49+Config!$B$4)))</f>
        <v>0.623333333333333</v>
      </c>
      <c r="U49" s="10" t="n">
        <f aca="false">IF(S49="","",(Q49*S49+Config!$B$4*$P49)/(Q49+Config!$B$4))</f>
        <v>0.56275</v>
      </c>
      <c r="V49" s="17" t="n">
        <f aca="false">IF(OR(T49="",$J49=""),"",T49*$J49*($J49/Config!$B$10)^Config!$B$9)</f>
        <v>13.4016666666667</v>
      </c>
      <c r="W49" s="17" t="n">
        <f aca="false">IF(OR(V49="",U49=""),"",V49*U49)</f>
        <v>7.54178791666667</v>
      </c>
      <c r="X49" s="9" t="n">
        <f aca="false">IF($H49="",0,SUMIFS(Map_Stats!$F$2:$F$642,Map_Stats!$A$2:$A$642,$F49&amp;"|"&amp;$H49))</f>
        <v>8</v>
      </c>
      <c r="Y49" s="13" t="n">
        <f aca="false">IF($H49="","",IFERROR(1/(1/INDEX(Map_Stats!$K$2:$K$642,MATCH($F49&amp;"|"&amp;$H49,Map_Stats!$A$2:$A$642,0))),$O49))</f>
        <v>0.62</v>
      </c>
      <c r="Z49" s="10" t="n">
        <f aca="false">IF(OR($H49="",$P49=""),"",IFERROR(1/(1/INDEX(Map_Stats!$I$2:$I$642,MATCH($F49&amp;"|"&amp;$H49,Map_Stats!$A$2:$A$642,0))),$P49))</f>
        <v>0.625</v>
      </c>
      <c r="AA49" s="13" t="n">
        <f aca="false">IF(OR($H49="",Y49=""),"",IF($O49="",Y49,(X49*Y49+Config!$B$4*$O49)/(X49+Config!$B$4)))</f>
        <v>0.639230769230769</v>
      </c>
      <c r="AB49" s="10" t="n">
        <f aca="false">IF(Z49="","",(X49*Z49+Config!$B$4*$P49)/(X49+Config!$B$4))</f>
        <v>0.605769230769231</v>
      </c>
      <c r="AC49" s="17" t="n">
        <f aca="false">IF(OR(AA49="",$K49=""),"",AA49*$K49*($K49/Config!$B$10)^Config!$B$9)</f>
        <v>13.6220076923077</v>
      </c>
      <c r="AD49" s="17" t="n">
        <f aca="false">IF(OR(AC49="",AB49=""),"",AC49*AB49)</f>
        <v>8.25179312130178</v>
      </c>
      <c r="AE49" s="9" t="n">
        <f aca="false">IF($I49="",0,SUMIFS(Map_Stats!$F$2:$F$642,Map_Stats!$A$2:$A$642,$F49&amp;"|"&amp;$I49))</f>
        <v>6</v>
      </c>
      <c r="AF49" s="13" t="n">
        <f aca="false">IF($I49="","",IFERROR(1/(1/INDEX(Map_Stats!$K$2:$K$642,MATCH($F49&amp;"|"&amp;$I49,Map_Stats!$A$2:$A$642,0))),$O49))</f>
        <v>0.56</v>
      </c>
      <c r="AG49" s="10" t="n">
        <f aca="false">IF(OR($I49="",$P49=""),"",IFERROR(1/(1/INDEX(Map_Stats!$I$2:$I$642,MATCH($F49&amp;"|"&amp;$I49,Map_Stats!$A$2:$A$642,0))),$P49))</f>
        <v>0.638</v>
      </c>
      <c r="AH49" s="13" t="n">
        <f aca="false">IF(OR($I49="",AF49=""),"",IF($O49="",AF49,(AE49*AF49+Config!$B$4*$O49)/(AE49+Config!$B$4)))</f>
        <v>0.61</v>
      </c>
      <c r="AI49" s="10" t="n">
        <f aca="false">IF(AG49="","",(AE49*AG49+Config!$B$4*$P49)/(AE49+Config!$B$4))</f>
        <v>0.609363636363636</v>
      </c>
      <c r="AJ49" s="17" t="n">
        <f aca="false">IF(OR(AH49="",$L49=""),"",AH49*$L49*($L49/Config!$B$10)^Config!$B$9)</f>
        <v>13.0662</v>
      </c>
      <c r="AK49" s="17" t="n">
        <f aca="false">IF(OR(AJ49="",AI49=""),"",AJ49*AI49)</f>
        <v>7.96206714545455</v>
      </c>
      <c r="AL49" s="17" t="n">
        <f aca="false">N(V49)+N(AC49)</f>
        <v>27.0236743589744</v>
      </c>
      <c r="AM49" s="17" t="n">
        <f aca="false">AL49+N($M49)*N(AJ49)</f>
        <v>33.2719311989744</v>
      </c>
      <c r="AN49" s="17" t="n">
        <f aca="false">IF(W49="","",N(W49)+N(AD49))</f>
        <v>15.7935810379684</v>
      </c>
      <c r="AO49" s="17" t="n">
        <f aca="false">IF(AN49="","",AN49+N($M49)*N(AK49))</f>
        <v>19.6010415469248</v>
      </c>
      <c r="AP49" s="10" t="n">
        <f aca="false">IFERROR(AN49/AL49,"")</f>
        <v>0.584434996816912</v>
      </c>
      <c r="AQ49" s="0" t="str">
        <f aca="false">TRIM(IF($N49&lt;Config!$B$12,"thin sample ("&amp;$N49&amp;" maps) · ","")&amp;IF(AND($G49&lt;&gt;"",Q49=0),"M1 unplayed→overall KPR · ","")&amp;IF(AND($H49&lt;&gt;"",X49=0),"M2 unplayed→overall KPR · ","")&amp;IF($O49="","no PickFinder stats",""))</f>
        <v/>
      </c>
      <c r="AR49" s="0" t="str">
        <f aca="false">IF($C49=Board!$B$2,COUNTIFS($C$2:$C$105,Board!$B$2,$AL$2:$AL$105,"&gt;"&amp;$AL49)+COUNTIFS($C$1:$C48,Board!$B$2,$AL$1:$AL48,$AL49)+1,"")</f>
        <v/>
      </c>
      <c r="AS49" s="0" t="str">
        <f aca="false">IFERROR(IF($D49=INDEX(Matches!$AD$5:$AD$17,MATCH($C49,Matches!$A$5:$A$17,0)),"A",IF($D49=INDEX(Matches!$AE$5:$AE$17,MATCH($C49,Matches!$A$5:$A$17,0)),"B","")),"")</f>
        <v>A</v>
      </c>
      <c r="AT49" s="10" t="n">
        <f aca="false">IF($AS49="","",IFERROR(IF($AS49="A",INDEX(Matches!$AI$5:$AI$17,MATCH($C49,Matches!$A$5:$A$17,0)),INDEX(Matches!$AJ$5:$AJ$17,MATCH($C49,Matches!$A$5:$A$17,0))),""))</f>
        <v>0.548261236129168</v>
      </c>
      <c r="AU49" s="10" t="n">
        <f aca="false">IF($AS49="","",IFERROR(IF(INDEX(Matches!$AP$5:$AP$17,MATCH($C49,Matches!$A$5:$A$17,0))="","",IF($AS49="A",INDEX(Matches!$AP$5:$AP$17,MATCH($C49,Matches!$A$5:$A$17,0)),1-INDEX(Matches!$AP$5:$AP$17,MATCH($C49,Matches!$A$5:$A$17,0)))),""))</f>
        <v>0.483410235109247</v>
      </c>
      <c r="AV49" s="13" t="n">
        <f aca="false">IF(OR($AU49="",$AT49=""),1,((Config!$B$14*$AU49+Config!$B$15*(1-$AU49))/(Config!$B$14*$AT49+Config!$B$15*(1-$AT49)))^Config!$B$13)</f>
        <v>0.944444008342506</v>
      </c>
      <c r="AW49" s="10" t="n">
        <f aca="false">IF($AS49="","",IFERROR(IF(INDEX(Matches!$AV$5:$AV$17,MATCH($C49,Matches!$A$5:$A$17,0))="","",IF($AS49="A",INDEX(Matches!$AV$5:$AV$17,MATCH($C49,Matches!$A$5:$A$17,0)),1-INDEX(Matches!$AV$5:$AV$17,MATCH($C49,Matches!$A$5:$A$17,0)))),""))</f>
        <v>0.472776146336446</v>
      </c>
      <c r="AX49" s="13" t="n">
        <f aca="false">IF(OR($AW49="",$AT49=""),1,((Config!$B$14*$AW49+Config!$B$15*(1-$AW49))/(Config!$B$14*$AT49+Config!$B$15*(1-$AT49)))^Config!$B$13)</f>
        <v>0.935334089638779</v>
      </c>
      <c r="AY49" s="10" t="n">
        <f aca="false">IF($AS49="","",IFERROR(IF(INDEX(Matches!$BB$5:$BB$17,MATCH($C49,Matches!$A$5:$A$17,0))="","",IF($AS49="A",INDEX(Matches!$BB$5:$BB$17,MATCH($C49,Matches!$A$5:$A$17,0)),1-INDEX(Matches!$BB$5:$BB$17,MATCH($C49,Matches!$A$5:$A$17,0)))),""))</f>
        <v>0.457130622026609</v>
      </c>
      <c r="AZ49" s="13" t="n">
        <f aca="false">IF(OR($AY49="",$AT49=""),1,((Config!$B$14*$AY49+Config!$B$15*(1-$AY49))/(Config!$B$14*$AT49+Config!$B$15*(1-$AT49)))^Config!$B$13)</f>
        <v>0.921931017914914</v>
      </c>
      <c r="BA49" s="17" t="n">
        <f aca="false">IF(V49="","",V49*$AV49)</f>
        <v>12.6571237851368</v>
      </c>
      <c r="BB49" s="17" t="n">
        <f aca="false">IF(AC49="","",AC49*$AX49)</f>
        <v>12.7411281639371</v>
      </c>
      <c r="BC49" s="17" t="n">
        <f aca="false">IF(AJ49="","",AJ49*$AZ49)</f>
        <v>12.0461350662799</v>
      </c>
      <c r="BD49" s="17" t="n">
        <f aca="false">N(BA49)+N(BB49)</f>
        <v>25.3982519490739</v>
      </c>
      <c r="BE49" s="17" t="n">
        <f aca="false">BD49+N($M49)*N(BC49)</f>
        <v>31.1587137377689</v>
      </c>
      <c r="BF49" s="17" t="n">
        <f aca="false">IF(W49="","",W49*$AV49)</f>
        <v>7.12279641008574</v>
      </c>
      <c r="BG49" s="17" t="n">
        <f aca="false">IF(AD49="","",AD49*$AX49)</f>
        <v>7.71818340700033</v>
      </c>
      <c r="BH49" s="17" t="n">
        <f aca="false">IF(AK49="","",AK49*$AZ49)</f>
        <v>7.34047666811581</v>
      </c>
      <c r="BI49" s="17" t="n">
        <f aca="false">IF(BF49="","",N(BF49)+N(BG49))</f>
        <v>14.8409798170861</v>
      </c>
      <c r="BJ49" s="17" t="n">
        <f aca="false">IF(BI49="","",BI49+N($M49)*N(BH49))</f>
        <v>18.3511957597791</v>
      </c>
      <c r="BK49" s="13" t="n">
        <f aca="false">IFERROR(BD49/AL49,1)</f>
        <v>0.939851909540173</v>
      </c>
    </row>
    <row r="50" customFormat="false" ht="15" hidden="false" customHeight="false" outlineLevel="0" collapsed="false">
      <c r="A50" s="0" t="s">
        <v>1000</v>
      </c>
      <c r="B50" s="0" t="s">
        <v>775</v>
      </c>
      <c r="C50" s="0" t="s">
        <v>857</v>
      </c>
      <c r="D50" s="0" t="s">
        <v>863</v>
      </c>
      <c r="E50" s="0" t="s">
        <v>998</v>
      </c>
      <c r="F50" s="0" t="s">
        <v>1215</v>
      </c>
      <c r="G50" s="0" t="str">
        <f aca="false">IFERROR(IF(INDEX(Matches!$W$5:$W$17,MATCH($C50,Matches!$A$5:$A$17,0))="","",INDEX(Matches!$W$5:$W$17,MATCH($C50,Matches!$A$5:$A$17,0))),"")</f>
        <v>Ancient</v>
      </c>
      <c r="H50" s="0" t="str">
        <f aca="false">IFERROR(IF(INDEX(Matches!$X$5:$X$17,MATCH($C50,Matches!$A$5:$A$17,0))="","",INDEX(Matches!$X$5:$X$17,MATCH($C50,Matches!$A$5:$A$17,0))),"")</f>
        <v>Inferno</v>
      </c>
      <c r="I50" s="0" t="str">
        <f aca="false">IFERROR(IF(INDEX(Matches!$Y$5:$Y$17,MATCH($C50,Matches!$A$5:$A$17,0))="","",INDEX(Matches!$Y$5:$Y$17,MATCH($C50,Matches!$A$5:$A$17,0))),"")</f>
        <v>Dust2</v>
      </c>
      <c r="J50" s="11" t="n">
        <f aca="false">IFERROR(IF(INDEX(Matches!$Z$5:$Z$17,MATCH($C50,Matches!$A$5:$A$17,0))="","",INDEX(Matches!$Z$5:$Z$17,MATCH($C50,Matches!$A$5:$A$17,0))),"")</f>
        <v>21.5</v>
      </c>
      <c r="K50" s="11" t="n">
        <f aca="false">IFERROR(IF(INDEX(Matches!$AA$5:$AA$17,MATCH($C50,Matches!$A$5:$A$17,0))="","",INDEX(Matches!$AA$5:$AA$17,MATCH($C50,Matches!$A$5:$A$17,0))),"")</f>
        <v>21.31</v>
      </c>
      <c r="L50" s="11" t="n">
        <f aca="false">IFERROR(IF(INDEX(Matches!$AB$5:$AB$17,MATCH($C50,Matches!$A$5:$A$17,0))="","",INDEX(Matches!$AB$5:$AB$17,MATCH($C50,Matches!$A$5:$A$17,0))),"")</f>
        <v>21.42</v>
      </c>
      <c r="M50" s="10" t="n">
        <f aca="false">IFERROR(IF(INDEX(Matches!$AC$5:$AC$17,MATCH($C50,Matches!$A$5:$A$17,0))="","",INDEX(Matches!$AC$5:$AC$17,MATCH($C50,Matches!$A$5:$A$17,0))),"")</f>
        <v>0.4782</v>
      </c>
      <c r="N50" s="9" t="n">
        <f aca="false">IFERROR(INDEX(Players!$F$2:$F$105,MATCH($F50,Players!$A$2:$A$105,0)),0)</f>
        <v>35</v>
      </c>
      <c r="O50" s="13" t="n">
        <f aca="false">IFERROR(1/(1/INDEX(Players!$H$2:$H$105,MATCH($F50,Players!$A$2:$A$105,0))),"")</f>
        <v>0.62</v>
      </c>
      <c r="P50" s="10" t="n">
        <f aca="false">IFERROR(1/(1/INDEX(Players!$I$2:$I$105,MATCH($F50,Players!$A$2:$A$105,0))),"")</f>
        <v>0.561</v>
      </c>
      <c r="Q50" s="9" t="n">
        <f aca="false">IF($G50="",0,SUMIFS(Map_Stats!$F$2:$F$642,Map_Stats!$A$2:$A$642,$F50&amp;"|"&amp;$G50))</f>
        <v>9</v>
      </c>
      <c r="R50" s="13" t="n">
        <f aca="false">IF($G50="","",IFERROR(1/(1/INDEX(Map_Stats!$K$2:$K$642,MATCH($F50&amp;"|"&amp;$G50,Map_Stats!$A$2:$A$642,0))),$O50))</f>
        <v>0.7</v>
      </c>
      <c r="S50" s="10" t="n">
        <f aca="false">IF(OR($G50="",$P50=""),"",IFERROR(1/(1/INDEX(Map_Stats!$I$2:$I$642,MATCH($F50&amp;"|"&amp;$G50,Map_Stats!$A$2:$A$642,0))),$P50))</f>
        <v>0.631</v>
      </c>
      <c r="T50" s="13" t="n">
        <f aca="false">IF(OR($G50="",R50=""),"",IF($O50="",R50,(Q50*R50+Config!$B$4*$O50)/(Q50+Config!$B$4)))</f>
        <v>0.671428571428572</v>
      </c>
      <c r="U50" s="10" t="n">
        <f aca="false">IF(S50="","",(Q50*S50+Config!$B$4*$P50)/(Q50+Config!$B$4))</f>
        <v>0.606</v>
      </c>
      <c r="V50" s="17" t="n">
        <f aca="false">IF(OR(T50="",$J50=""),"",T50*$J50*($J50/Config!$B$10)^Config!$B$9)</f>
        <v>14.4357142857143</v>
      </c>
      <c r="W50" s="17" t="n">
        <f aca="false">IF(OR(V50="",U50=""),"",V50*U50)</f>
        <v>8.74804285714286</v>
      </c>
      <c r="X50" s="9" t="n">
        <f aca="false">IF($H50="",0,SUMIFS(Map_Stats!$F$2:$F$642,Map_Stats!$A$2:$A$642,$F50&amp;"|"&amp;$H50))</f>
        <v>9</v>
      </c>
      <c r="Y50" s="13" t="n">
        <f aca="false">IF($H50="","",IFERROR(1/(1/INDEX(Map_Stats!$K$2:$K$642,MATCH($F50&amp;"|"&amp;$H50,Map_Stats!$A$2:$A$642,0))),$O50))</f>
        <v>0.59</v>
      </c>
      <c r="Z50" s="10" t="n">
        <f aca="false">IF(OR($H50="",$P50=""),"",IFERROR(1/(1/INDEX(Map_Stats!$I$2:$I$642,MATCH($F50&amp;"|"&amp;$H50,Map_Stats!$A$2:$A$642,0))),$P50))</f>
        <v>0.559</v>
      </c>
      <c r="AA50" s="13" t="n">
        <f aca="false">IF(OR($H50="",Y50=""),"",IF($O50="",Y50,(X50*Y50+Config!$B$4*$O50)/(X50+Config!$B$4)))</f>
        <v>0.600714285714286</v>
      </c>
      <c r="AB50" s="10" t="n">
        <f aca="false">IF(Z50="","",(X50*Z50+Config!$B$4*$P50)/(X50+Config!$B$4))</f>
        <v>0.559714285714286</v>
      </c>
      <c r="AC50" s="17" t="n">
        <f aca="false">IF(OR(AA50="",$K50=""),"",AA50*$K50*($K50/Config!$B$10)^Config!$B$9)</f>
        <v>12.8012214285714</v>
      </c>
      <c r="AD50" s="17" t="n">
        <f aca="false">IF(OR(AC50="",AB50=""),"",AC50*AB50)</f>
        <v>7.16502650816327</v>
      </c>
      <c r="AE50" s="9" t="n">
        <f aca="false">IF($I50="",0,SUMIFS(Map_Stats!$F$2:$F$642,Map_Stats!$A$2:$A$642,$F50&amp;"|"&amp;$I50))</f>
        <v>6</v>
      </c>
      <c r="AF50" s="13" t="n">
        <f aca="false">IF($I50="","",IFERROR(1/(1/INDEX(Map_Stats!$K$2:$K$642,MATCH($F50&amp;"|"&amp;$I50,Map_Stats!$A$2:$A$642,0))),$O50))</f>
        <v>0.54</v>
      </c>
      <c r="AG50" s="10" t="n">
        <f aca="false">IF(OR($I50="",$P50=""),"",IFERROR(1/(1/INDEX(Map_Stats!$I$2:$I$642,MATCH($F50&amp;"|"&amp;$I50,Map_Stats!$A$2:$A$642,0))),$P50))</f>
        <v>0.516</v>
      </c>
      <c r="AH50" s="13" t="n">
        <f aca="false">IF(OR($I50="",AF50=""),"",IF($O50="",AF50,(AE50*AF50+Config!$B$4*$O50)/(AE50+Config!$B$4)))</f>
        <v>0.576363636363636</v>
      </c>
      <c r="AI50" s="10" t="n">
        <f aca="false">IF(AG50="","",(AE50*AG50+Config!$B$4*$P50)/(AE50+Config!$B$4))</f>
        <v>0.536454545454545</v>
      </c>
      <c r="AJ50" s="17" t="n">
        <f aca="false">IF(OR(AH50="",$L50=""),"",AH50*$L50*($L50/Config!$B$10)^Config!$B$9)</f>
        <v>12.3457090909091</v>
      </c>
      <c r="AK50" s="17" t="n">
        <f aca="false">IF(OR(AJ50="",AI50=""),"",AJ50*AI50)</f>
        <v>6.62291175867769</v>
      </c>
      <c r="AL50" s="17" t="n">
        <f aca="false">N(V50)+N(AC50)</f>
        <v>27.2369357142857</v>
      </c>
      <c r="AM50" s="17" t="n">
        <f aca="false">AL50+N($M50)*N(AJ50)</f>
        <v>33.1406538015584</v>
      </c>
      <c r="AN50" s="17" t="n">
        <f aca="false">IF(W50="","",N(W50)+N(AD50))</f>
        <v>15.9130693653061</v>
      </c>
      <c r="AO50" s="17" t="n">
        <f aca="false">IF(AN50="","",AN50+N($M50)*N(AK50))</f>
        <v>19.0801457683058</v>
      </c>
      <c r="AP50" s="10" t="n">
        <f aca="false">IFERROR(AN50/AL50,"")</f>
        <v>0.584245949406113</v>
      </c>
      <c r="AQ50" s="0" t="str">
        <f aca="false">TRIM(IF($N50&lt;Config!$B$12,"thin sample ("&amp;$N50&amp;" maps) · ","")&amp;IF(AND($G50&lt;&gt;"",Q50=0),"M1 unplayed→overall KPR · ","")&amp;IF(AND($H50&lt;&gt;"",X50=0),"M2 unplayed→overall KPR · ","")&amp;IF($O50="","no PickFinder stats",""))</f>
        <v/>
      </c>
      <c r="AR50" s="0" t="str">
        <f aca="false">IF($C50=Board!$B$2,COUNTIFS($C$2:$C$105,Board!$B$2,$AL$2:$AL$105,"&gt;"&amp;$AL50)+COUNTIFS($C$1:$C49,Board!$B$2,$AL$1:$AL49,$AL50)+1,"")</f>
        <v/>
      </c>
      <c r="AS50" s="0" t="str">
        <f aca="false">IFERROR(IF($D50=INDEX(Matches!$AD$5:$AD$17,MATCH($C50,Matches!$A$5:$A$17,0)),"A",IF($D50=INDEX(Matches!$AE$5:$AE$17,MATCH($C50,Matches!$A$5:$A$17,0)),"B","")),"")</f>
        <v>B</v>
      </c>
      <c r="AT50" s="10" t="n">
        <f aca="false">IF($AS50="","",IFERROR(IF($AS50="A",INDEX(Matches!$AI$5:$AI$17,MATCH($C50,Matches!$A$5:$A$17,0)),INDEX(Matches!$AJ$5:$AJ$17,MATCH($C50,Matches!$A$5:$A$17,0))),""))</f>
        <v>0.488544967535125</v>
      </c>
      <c r="AU50" s="10" t="n">
        <f aca="false">IF($AS50="","",IFERROR(IF(INDEX(Matches!$AP$5:$AP$17,MATCH($C50,Matches!$A$5:$A$17,0))="","",IF($AS50="A",INDEX(Matches!$AP$5:$AP$17,MATCH($C50,Matches!$A$5:$A$17,0)),1-INDEX(Matches!$AP$5:$AP$17,MATCH($C50,Matches!$A$5:$A$17,0)))),""))</f>
        <v>0.516589764890753</v>
      </c>
      <c r="AV50" s="13" t="n">
        <f aca="false">IF(OR($AU50="",$AT50=""),1,((Config!$B$14*$AU50+Config!$B$15*(1-$AU50))/(Config!$B$14*$AT50+Config!$B$15*(1-$AT50)))^Config!$B$13)</f>
        <v>1.02532049933826</v>
      </c>
      <c r="AW50" s="10" t="n">
        <f aca="false">IF($AS50="","",IFERROR(IF(INDEX(Matches!$AV$5:$AV$17,MATCH($C50,Matches!$A$5:$A$17,0))="","",IF($AS50="A",INDEX(Matches!$AV$5:$AV$17,MATCH($C50,Matches!$A$5:$A$17,0)),1-INDEX(Matches!$AV$5:$AV$17,MATCH($C50,Matches!$A$5:$A$17,0)))),""))</f>
        <v>0.527223853663554</v>
      </c>
      <c r="AX50" s="13" t="n">
        <f aca="false">IF(OR($AW50="",$AT50=""),1,((Config!$B$14*$AW50+Config!$B$15*(1-$AW50))/(Config!$B$14*$AT50+Config!$B$15*(1-$AT50)))^Config!$B$13)</f>
        <v>1.03492158271641</v>
      </c>
      <c r="AY50" s="10" t="n">
        <f aca="false">IF($AS50="","",IFERROR(IF(INDEX(Matches!$BB$5:$BB$17,MATCH($C50,Matches!$A$5:$A$17,0))="","",IF($AS50="A",INDEX(Matches!$BB$5:$BB$17,MATCH($C50,Matches!$A$5:$A$17,0)),1-INDEX(Matches!$BB$5:$BB$17,MATCH($C50,Matches!$A$5:$A$17,0)))),""))</f>
        <v>0.542869377973391</v>
      </c>
      <c r="AZ50" s="13" t="n">
        <f aca="false">IF(OR($AY50="",$AT50=""),1,((Config!$B$14*$AY50+Config!$B$15*(1-$AY50))/(Config!$B$14*$AT50+Config!$B$15*(1-$AT50)))^Config!$B$13)</f>
        <v>1.0490472860656</v>
      </c>
      <c r="BA50" s="17" t="n">
        <f aca="false">IF(V50="","",V50*$AV50)</f>
        <v>14.801233779733</v>
      </c>
      <c r="BB50" s="17" t="n">
        <f aca="false">IF(AC50="","",AC50*$AX50)</f>
        <v>13.2482603415603</v>
      </c>
      <c r="BC50" s="17" t="n">
        <f aca="false">IF(AJ50="","",AJ50*$AZ50)</f>
        <v>12.9512326163736</v>
      </c>
      <c r="BD50" s="17" t="n">
        <f aca="false">N(BA50)+N(BB50)</f>
        <v>28.0494941212933</v>
      </c>
      <c r="BE50" s="17" t="n">
        <f aca="false">BD50+N($M50)*N(BC50)</f>
        <v>34.2427735584432</v>
      </c>
      <c r="BF50" s="17" t="n">
        <f aca="false">IF(W50="","",W50*$AV50)</f>
        <v>8.96954767051819</v>
      </c>
      <c r="BG50" s="17" t="n">
        <f aca="false">IF(AD50="","",AD50*$AX50)</f>
        <v>7.41524057403334</v>
      </c>
      <c r="BH50" s="17" t="n">
        <f aca="false">IF(AK50="","",AK50*$AZ50)</f>
        <v>6.9477476062928</v>
      </c>
      <c r="BI50" s="17" t="n">
        <f aca="false">IF(BF50="","",N(BF50)+N(BG50))</f>
        <v>16.3847882445515</v>
      </c>
      <c r="BJ50" s="17" t="n">
        <f aca="false">IF(BI50="","",BI50+N($M50)*N(BH50))</f>
        <v>19.7072011498808</v>
      </c>
      <c r="BK50" s="13" t="n">
        <f aca="false">IFERROR(BD50/AL50,1)</f>
        <v>1.02983295975477</v>
      </c>
    </row>
    <row r="51" customFormat="false" ht="15" hidden="false" customHeight="false" outlineLevel="0" collapsed="false">
      <c r="A51" s="0" t="s">
        <v>1002</v>
      </c>
      <c r="B51" s="0" t="s">
        <v>775</v>
      </c>
      <c r="C51" s="0" t="s">
        <v>857</v>
      </c>
      <c r="D51" s="0" t="s">
        <v>863</v>
      </c>
      <c r="E51" s="0" t="s">
        <v>1001</v>
      </c>
      <c r="F51" s="0" t="s">
        <v>1216</v>
      </c>
      <c r="G51" s="0" t="str">
        <f aca="false">IFERROR(IF(INDEX(Matches!$W$5:$W$17,MATCH($C51,Matches!$A$5:$A$17,0))="","",INDEX(Matches!$W$5:$W$17,MATCH($C51,Matches!$A$5:$A$17,0))),"")</f>
        <v>Ancient</v>
      </c>
      <c r="H51" s="0" t="str">
        <f aca="false">IFERROR(IF(INDEX(Matches!$X$5:$X$17,MATCH($C51,Matches!$A$5:$A$17,0))="","",INDEX(Matches!$X$5:$X$17,MATCH($C51,Matches!$A$5:$A$17,0))),"")</f>
        <v>Inferno</v>
      </c>
      <c r="I51" s="0" t="str">
        <f aca="false">IFERROR(IF(INDEX(Matches!$Y$5:$Y$17,MATCH($C51,Matches!$A$5:$A$17,0))="","",INDEX(Matches!$Y$5:$Y$17,MATCH($C51,Matches!$A$5:$A$17,0))),"")</f>
        <v>Dust2</v>
      </c>
      <c r="J51" s="11" t="n">
        <f aca="false">IFERROR(IF(INDEX(Matches!$Z$5:$Z$17,MATCH($C51,Matches!$A$5:$A$17,0))="","",INDEX(Matches!$Z$5:$Z$17,MATCH($C51,Matches!$A$5:$A$17,0))),"")</f>
        <v>21.5</v>
      </c>
      <c r="K51" s="11" t="n">
        <f aca="false">IFERROR(IF(INDEX(Matches!$AA$5:$AA$17,MATCH($C51,Matches!$A$5:$A$17,0))="","",INDEX(Matches!$AA$5:$AA$17,MATCH($C51,Matches!$A$5:$A$17,0))),"")</f>
        <v>21.31</v>
      </c>
      <c r="L51" s="11" t="n">
        <f aca="false">IFERROR(IF(INDEX(Matches!$AB$5:$AB$17,MATCH($C51,Matches!$A$5:$A$17,0))="","",INDEX(Matches!$AB$5:$AB$17,MATCH($C51,Matches!$A$5:$A$17,0))),"")</f>
        <v>21.42</v>
      </c>
      <c r="M51" s="10" t="n">
        <f aca="false">IFERROR(IF(INDEX(Matches!$AC$5:$AC$17,MATCH($C51,Matches!$A$5:$A$17,0))="","",INDEX(Matches!$AC$5:$AC$17,MATCH($C51,Matches!$A$5:$A$17,0))),"")</f>
        <v>0.4782</v>
      </c>
      <c r="N51" s="9" t="n">
        <f aca="false">IFERROR(INDEX(Players!$F$2:$F$105,MATCH($F51,Players!$A$2:$A$105,0)),0)</f>
        <v>38</v>
      </c>
      <c r="O51" s="13" t="n">
        <f aca="false">IFERROR(1/(1/INDEX(Players!$H$2:$H$105,MATCH($F51,Players!$A$2:$A$105,0))),"")</f>
        <v>0.57</v>
      </c>
      <c r="P51" s="10" t="n">
        <f aca="false">IFERROR(1/(1/INDEX(Players!$I$2:$I$105,MATCH($F51,Players!$A$2:$A$105,0))),"")</f>
        <v>0.485</v>
      </c>
      <c r="Q51" s="9" t="n">
        <f aca="false">IF($G51="",0,SUMIFS(Map_Stats!$F$2:$F$642,Map_Stats!$A$2:$A$642,$F51&amp;"|"&amp;$G51))</f>
        <v>9</v>
      </c>
      <c r="R51" s="13" t="n">
        <f aca="false">IF($G51="","",IFERROR(1/(1/INDEX(Map_Stats!$K$2:$K$642,MATCH($F51&amp;"|"&amp;$G51,Map_Stats!$A$2:$A$642,0))),$O51))</f>
        <v>0.68</v>
      </c>
      <c r="S51" s="10" t="n">
        <f aca="false">IF(OR($G51="",$P51=""),"",IFERROR(1/(1/INDEX(Map_Stats!$I$2:$I$642,MATCH($F51&amp;"|"&amp;$G51,Map_Stats!$A$2:$A$642,0))),$P51))</f>
        <v>0.536</v>
      </c>
      <c r="T51" s="13" t="n">
        <f aca="false">IF(OR($G51="",R51=""),"",IF($O51="",R51,(Q51*R51+Config!$B$4*$O51)/(Q51+Config!$B$4)))</f>
        <v>0.640714285714286</v>
      </c>
      <c r="U51" s="10" t="n">
        <f aca="false">IF(S51="","",(Q51*S51+Config!$B$4*$P51)/(Q51+Config!$B$4))</f>
        <v>0.517785714285714</v>
      </c>
      <c r="V51" s="17" t="n">
        <f aca="false">IF(OR(T51="",$J51=""),"",T51*$J51*($J51/Config!$B$10)^Config!$B$9)</f>
        <v>13.7753571428571</v>
      </c>
      <c r="W51" s="17" t="n">
        <f aca="false">IF(OR(V51="",U51=""),"",V51*U51)</f>
        <v>7.1326831377551</v>
      </c>
      <c r="X51" s="9" t="n">
        <f aca="false">IF($H51="",0,SUMIFS(Map_Stats!$F$2:$F$642,Map_Stats!$A$2:$A$642,$F51&amp;"|"&amp;$H51))</f>
        <v>6</v>
      </c>
      <c r="Y51" s="13" t="n">
        <f aca="false">IF($H51="","",IFERROR(1/(1/INDEX(Map_Stats!$K$2:$K$642,MATCH($F51&amp;"|"&amp;$H51,Map_Stats!$A$2:$A$642,0))),$O51))</f>
        <v>0.59</v>
      </c>
      <c r="Z51" s="10" t="n">
        <f aca="false">IF(OR($H51="",$P51=""),"",IFERROR(1/(1/INDEX(Map_Stats!$I$2:$I$642,MATCH($F51&amp;"|"&amp;$H51,Map_Stats!$A$2:$A$642,0))),$P51))</f>
        <v>0.394</v>
      </c>
      <c r="AA51" s="13" t="n">
        <f aca="false">IF(OR($H51="",Y51=""),"",IF($O51="",Y51,(X51*Y51+Config!$B$4*$O51)/(X51+Config!$B$4)))</f>
        <v>0.580909090909091</v>
      </c>
      <c r="AB51" s="10" t="n">
        <f aca="false">IF(Z51="","",(X51*Z51+Config!$B$4*$P51)/(X51+Config!$B$4))</f>
        <v>0.435363636363636</v>
      </c>
      <c r="AC51" s="17" t="n">
        <f aca="false">IF(OR(AA51="",$K51=""),"",AA51*$K51*($K51/Config!$B$10)^Config!$B$9)</f>
        <v>12.3791727272727</v>
      </c>
      <c r="AD51" s="17" t="n">
        <f aca="false">IF(OR(AC51="",AB51=""),"",AC51*AB51)</f>
        <v>5.38944165371901</v>
      </c>
      <c r="AE51" s="9" t="n">
        <f aca="false">IF($I51="",0,SUMIFS(Map_Stats!$F$2:$F$642,Map_Stats!$A$2:$A$642,$F51&amp;"|"&amp;$I51))</f>
        <v>7</v>
      </c>
      <c r="AF51" s="13" t="n">
        <f aca="false">IF($I51="","",IFERROR(1/(1/INDEX(Map_Stats!$K$2:$K$642,MATCH($F51&amp;"|"&amp;$I51,Map_Stats!$A$2:$A$642,0))),$O51))</f>
        <v>0.56</v>
      </c>
      <c r="AG51" s="10" t="n">
        <f aca="false">IF(OR($I51="",$P51=""),"",IFERROR(1/(1/INDEX(Map_Stats!$I$2:$I$642,MATCH($F51&amp;"|"&amp;$I51,Map_Stats!$A$2:$A$642,0))),$P51))</f>
        <v>0.547</v>
      </c>
      <c r="AH51" s="13" t="n">
        <f aca="false">IF(OR($I51="",AF51=""),"",IF($O51="",AF51,(AE51*AF51+Config!$B$4*$O51)/(AE51+Config!$B$4)))</f>
        <v>0.564166666666667</v>
      </c>
      <c r="AI51" s="10" t="n">
        <f aca="false">IF(AG51="","",(AE51*AG51+Config!$B$4*$P51)/(AE51+Config!$B$4))</f>
        <v>0.521166666666667</v>
      </c>
      <c r="AJ51" s="17" t="n">
        <f aca="false">IF(OR(AH51="",$L51=""),"",AH51*$L51*($L51/Config!$B$10)^Config!$B$9)</f>
        <v>12.08445</v>
      </c>
      <c r="AK51" s="17" t="n">
        <f aca="false">IF(OR(AJ51="",AI51=""),"",AJ51*AI51)</f>
        <v>6.298012525</v>
      </c>
      <c r="AL51" s="17" t="n">
        <f aca="false">N(V51)+N(AC51)</f>
        <v>26.1545298701299</v>
      </c>
      <c r="AM51" s="17" t="n">
        <f aca="false">AL51+N($M51)*N(AJ51)</f>
        <v>31.9333138601299</v>
      </c>
      <c r="AN51" s="17" t="n">
        <f aca="false">IF(W51="","",N(W51)+N(AD51))</f>
        <v>12.5221247914741</v>
      </c>
      <c r="AO51" s="17" t="n">
        <f aca="false">IF(AN51="","",AN51+N($M51)*N(AK51))</f>
        <v>15.5338343809291</v>
      </c>
      <c r="AP51" s="10" t="n">
        <f aca="false">IFERROR(AN51/AL51,"")</f>
        <v>0.478774608209462</v>
      </c>
      <c r="AQ51" s="0" t="str">
        <f aca="false">TRIM(IF($N51&lt;Config!$B$12,"thin sample ("&amp;$N51&amp;" maps) · ","")&amp;IF(AND($G51&lt;&gt;"",Q51=0),"M1 unplayed→overall KPR · ","")&amp;IF(AND($H51&lt;&gt;"",X51=0),"M2 unplayed→overall KPR · ","")&amp;IF($O51="","no PickFinder stats",""))</f>
        <v/>
      </c>
      <c r="AR51" s="0" t="str">
        <f aca="false">IF($C51=Board!$B$2,COUNTIFS($C$2:$C$105,Board!$B$2,$AL$2:$AL$105,"&gt;"&amp;$AL51)+COUNTIFS($C$1:$C50,Board!$B$2,$AL$1:$AL50,$AL51)+1,"")</f>
        <v/>
      </c>
      <c r="AS51" s="0" t="str">
        <f aca="false">IFERROR(IF($D51=INDEX(Matches!$AD$5:$AD$17,MATCH($C51,Matches!$A$5:$A$17,0)),"A",IF($D51=INDEX(Matches!$AE$5:$AE$17,MATCH($C51,Matches!$A$5:$A$17,0)),"B","")),"")</f>
        <v>B</v>
      </c>
      <c r="AT51" s="10" t="n">
        <f aca="false">IF($AS51="","",IFERROR(IF($AS51="A",INDEX(Matches!$AI$5:$AI$17,MATCH($C51,Matches!$A$5:$A$17,0)),INDEX(Matches!$AJ$5:$AJ$17,MATCH($C51,Matches!$A$5:$A$17,0))),""))</f>
        <v>0.488544967535125</v>
      </c>
      <c r="AU51" s="10" t="n">
        <f aca="false">IF($AS51="","",IFERROR(IF(INDEX(Matches!$AP$5:$AP$17,MATCH($C51,Matches!$A$5:$A$17,0))="","",IF($AS51="A",INDEX(Matches!$AP$5:$AP$17,MATCH($C51,Matches!$A$5:$A$17,0)),1-INDEX(Matches!$AP$5:$AP$17,MATCH($C51,Matches!$A$5:$A$17,0)))),""))</f>
        <v>0.516589764890753</v>
      </c>
      <c r="AV51" s="13" t="n">
        <f aca="false">IF(OR($AU51="",$AT51=""),1,((Config!$B$14*$AU51+Config!$B$15*(1-$AU51))/(Config!$B$14*$AT51+Config!$B$15*(1-$AT51)))^Config!$B$13)</f>
        <v>1.02532049933826</v>
      </c>
      <c r="AW51" s="10" t="n">
        <f aca="false">IF($AS51="","",IFERROR(IF(INDEX(Matches!$AV$5:$AV$17,MATCH($C51,Matches!$A$5:$A$17,0))="","",IF($AS51="A",INDEX(Matches!$AV$5:$AV$17,MATCH($C51,Matches!$A$5:$A$17,0)),1-INDEX(Matches!$AV$5:$AV$17,MATCH($C51,Matches!$A$5:$A$17,0)))),""))</f>
        <v>0.527223853663554</v>
      </c>
      <c r="AX51" s="13" t="n">
        <f aca="false">IF(OR($AW51="",$AT51=""),1,((Config!$B$14*$AW51+Config!$B$15*(1-$AW51))/(Config!$B$14*$AT51+Config!$B$15*(1-$AT51)))^Config!$B$13)</f>
        <v>1.03492158271641</v>
      </c>
      <c r="AY51" s="10" t="n">
        <f aca="false">IF($AS51="","",IFERROR(IF(INDEX(Matches!$BB$5:$BB$17,MATCH($C51,Matches!$A$5:$A$17,0))="","",IF($AS51="A",INDEX(Matches!$BB$5:$BB$17,MATCH($C51,Matches!$A$5:$A$17,0)),1-INDEX(Matches!$BB$5:$BB$17,MATCH($C51,Matches!$A$5:$A$17,0)))),""))</f>
        <v>0.542869377973391</v>
      </c>
      <c r="AZ51" s="13" t="n">
        <f aca="false">IF(OR($AY51="",$AT51=""),1,((Config!$B$14*$AY51+Config!$B$15*(1-$AY51))/(Config!$B$14*$AT51+Config!$B$15*(1-$AT51)))^Config!$B$13)</f>
        <v>1.0490472860656</v>
      </c>
      <c r="BA51" s="17" t="n">
        <f aca="false">IF(V51="","",V51*$AV51)</f>
        <v>14.1241560642771</v>
      </c>
      <c r="BB51" s="17" t="n">
        <f aca="false">IF(AC51="","",AC51*$AX51)</f>
        <v>12.8114730316289</v>
      </c>
      <c r="BC51" s="17" t="n">
        <f aca="false">IF(AJ51="","",AJ51*$AZ51)</f>
        <v>12.6771594760955</v>
      </c>
      <c r="BD51" s="17" t="n">
        <f aca="false">N(BA51)+N(BB51)</f>
        <v>26.935629095906</v>
      </c>
      <c r="BE51" s="17" t="n">
        <f aca="false">BD51+N($M51)*N(BC51)</f>
        <v>32.9978467573749</v>
      </c>
      <c r="BF51" s="17" t="n">
        <f aca="false">IF(W51="","",W51*$AV51)</f>
        <v>7.31328623642463</v>
      </c>
      <c r="BG51" s="17" t="n">
        <f aca="false">IF(AD51="","",AD51*$AX51)</f>
        <v>5.57764948622461</v>
      </c>
      <c r="BH51" s="17" t="n">
        <f aca="false">IF(AK51="","",AK51*$AZ51)</f>
        <v>6.60691294695843</v>
      </c>
      <c r="BI51" s="17" t="n">
        <f aca="false">IF(BF51="","",N(BF51)+N(BG51))</f>
        <v>12.8909357226492</v>
      </c>
      <c r="BJ51" s="17" t="n">
        <f aca="false">IF(BI51="","",BI51+N($M51)*N(BH51))</f>
        <v>16.0503614938848</v>
      </c>
      <c r="BK51" s="13" t="n">
        <f aca="false">IFERROR(BD51/AL51,1)</f>
        <v>1.02986477790481</v>
      </c>
    </row>
    <row r="52" customFormat="false" ht="15" hidden="false" customHeight="false" outlineLevel="0" collapsed="false">
      <c r="A52" s="0" t="s">
        <v>1005</v>
      </c>
      <c r="B52" s="0" t="s">
        <v>775</v>
      </c>
      <c r="C52" s="0" t="s">
        <v>857</v>
      </c>
      <c r="D52" s="0" t="s">
        <v>863</v>
      </c>
      <c r="E52" s="0" t="s">
        <v>1003</v>
      </c>
      <c r="F52" s="0" t="s">
        <v>1217</v>
      </c>
      <c r="G52" s="0" t="str">
        <f aca="false">IFERROR(IF(INDEX(Matches!$W$5:$W$17,MATCH($C52,Matches!$A$5:$A$17,0))="","",INDEX(Matches!$W$5:$W$17,MATCH($C52,Matches!$A$5:$A$17,0))),"")</f>
        <v>Ancient</v>
      </c>
      <c r="H52" s="0" t="str">
        <f aca="false">IFERROR(IF(INDEX(Matches!$X$5:$X$17,MATCH($C52,Matches!$A$5:$A$17,0))="","",INDEX(Matches!$X$5:$X$17,MATCH($C52,Matches!$A$5:$A$17,0))),"")</f>
        <v>Inferno</v>
      </c>
      <c r="I52" s="0" t="str">
        <f aca="false">IFERROR(IF(INDEX(Matches!$Y$5:$Y$17,MATCH($C52,Matches!$A$5:$A$17,0))="","",INDEX(Matches!$Y$5:$Y$17,MATCH($C52,Matches!$A$5:$A$17,0))),"")</f>
        <v>Dust2</v>
      </c>
      <c r="J52" s="11" t="n">
        <f aca="false">IFERROR(IF(INDEX(Matches!$Z$5:$Z$17,MATCH($C52,Matches!$A$5:$A$17,0))="","",INDEX(Matches!$Z$5:$Z$17,MATCH($C52,Matches!$A$5:$A$17,0))),"")</f>
        <v>21.5</v>
      </c>
      <c r="K52" s="11" t="n">
        <f aca="false">IFERROR(IF(INDEX(Matches!$AA$5:$AA$17,MATCH($C52,Matches!$A$5:$A$17,0))="","",INDEX(Matches!$AA$5:$AA$17,MATCH($C52,Matches!$A$5:$A$17,0))),"")</f>
        <v>21.31</v>
      </c>
      <c r="L52" s="11" t="n">
        <f aca="false">IFERROR(IF(INDEX(Matches!$AB$5:$AB$17,MATCH($C52,Matches!$A$5:$A$17,0))="","",INDEX(Matches!$AB$5:$AB$17,MATCH($C52,Matches!$A$5:$A$17,0))),"")</f>
        <v>21.42</v>
      </c>
      <c r="M52" s="10" t="n">
        <f aca="false">IFERROR(IF(INDEX(Matches!$AC$5:$AC$17,MATCH($C52,Matches!$A$5:$A$17,0))="","",INDEX(Matches!$AC$5:$AC$17,MATCH($C52,Matches!$A$5:$A$17,0))),"")</f>
        <v>0.4782</v>
      </c>
      <c r="N52" s="9" t="n">
        <f aca="false">IFERROR(INDEX(Players!$F$2:$F$105,MATCH($F52,Players!$A$2:$A$105,0)),0)</f>
        <v>35</v>
      </c>
      <c r="O52" s="13" t="n">
        <f aca="false">IFERROR(1/(1/INDEX(Players!$H$2:$H$105,MATCH($F52,Players!$A$2:$A$105,0))),"")</f>
        <v>0.63</v>
      </c>
      <c r="P52" s="10" t="n">
        <f aca="false">IFERROR(1/(1/INDEX(Players!$I$2:$I$105,MATCH($F52,Players!$A$2:$A$105,0))),"")</f>
        <v>0.3</v>
      </c>
      <c r="Q52" s="9" t="n">
        <f aca="false">IF($G52="",0,SUMIFS(Map_Stats!$F$2:$F$642,Map_Stats!$A$2:$A$642,$F52&amp;"|"&amp;$G52))</f>
        <v>9</v>
      </c>
      <c r="R52" s="13" t="n">
        <f aca="false">IF($G52="","",IFERROR(1/(1/INDEX(Map_Stats!$K$2:$K$642,MATCH($F52&amp;"|"&amp;$G52,Map_Stats!$A$2:$A$642,0))),$O52))</f>
        <v>0.63</v>
      </c>
      <c r="S52" s="10" t="n">
        <f aca="false">IF(OR($G52="",$P52=""),"",IFERROR(1/(1/INDEX(Map_Stats!$I$2:$I$642,MATCH($F52&amp;"|"&amp;$G52,Map_Stats!$A$2:$A$642,0))),$P52))</f>
        <v>0.325</v>
      </c>
      <c r="T52" s="13" t="n">
        <f aca="false">IF(OR($G52="",R52=""),"",IF($O52="",R52,(Q52*R52+Config!$B$4*$O52)/(Q52+Config!$B$4)))</f>
        <v>0.63</v>
      </c>
      <c r="U52" s="10" t="n">
        <f aca="false">IF(S52="","",(Q52*S52+Config!$B$4*$P52)/(Q52+Config!$B$4))</f>
        <v>0.316071428571429</v>
      </c>
      <c r="V52" s="17" t="n">
        <f aca="false">IF(OR(T52="",$J52=""),"",T52*$J52*($J52/Config!$B$10)^Config!$B$9)</f>
        <v>13.545</v>
      </c>
      <c r="W52" s="17" t="n">
        <f aca="false">IF(OR(V52="",U52=""),"",V52*U52)</f>
        <v>4.2811875</v>
      </c>
      <c r="X52" s="9" t="n">
        <f aca="false">IF($H52="",0,SUMIFS(Map_Stats!$F$2:$F$642,Map_Stats!$A$2:$A$642,$F52&amp;"|"&amp;$H52))</f>
        <v>9</v>
      </c>
      <c r="Y52" s="13" t="n">
        <f aca="false">IF($H52="","",IFERROR(1/(1/INDEX(Map_Stats!$K$2:$K$642,MATCH($F52&amp;"|"&amp;$H52,Map_Stats!$A$2:$A$642,0))),$O52))</f>
        <v>0.67</v>
      </c>
      <c r="Z52" s="10" t="n">
        <f aca="false">IF(OR($H52="",$P52=""),"",IFERROR(1/(1/INDEX(Map_Stats!$I$2:$I$642,MATCH($F52&amp;"|"&amp;$H52,Map_Stats!$A$2:$A$642,0))),$P52))</f>
        <v>0.299</v>
      </c>
      <c r="AA52" s="13" t="n">
        <f aca="false">IF(OR($H52="",Y52=""),"",IF($O52="",Y52,(X52*Y52+Config!$B$4*$O52)/(X52+Config!$B$4)))</f>
        <v>0.655714285714286</v>
      </c>
      <c r="AB52" s="10" t="n">
        <f aca="false">IF(Z52="","",(X52*Z52+Config!$B$4*$P52)/(X52+Config!$B$4))</f>
        <v>0.299357142857143</v>
      </c>
      <c r="AC52" s="17" t="n">
        <f aca="false">IF(OR(AA52="",$K52=""),"",AA52*$K52*($K52/Config!$B$10)^Config!$B$9)</f>
        <v>13.9732714285714</v>
      </c>
      <c r="AD52" s="17" t="n">
        <f aca="false">IF(OR(AC52="",AB52=""),"",AC52*AB52)</f>
        <v>4.18299861122449</v>
      </c>
      <c r="AE52" s="9" t="n">
        <f aca="false">IF($I52="",0,SUMIFS(Map_Stats!$F$2:$F$642,Map_Stats!$A$2:$A$642,$F52&amp;"|"&amp;$I52))</f>
        <v>6</v>
      </c>
      <c r="AF52" s="13" t="n">
        <f aca="false">IF($I52="","",IFERROR(1/(1/INDEX(Map_Stats!$K$2:$K$642,MATCH($F52&amp;"|"&amp;$I52,Map_Stats!$A$2:$A$642,0))),$O52))</f>
        <v>0.58</v>
      </c>
      <c r="AG52" s="10" t="n">
        <f aca="false">IF(OR($I52="",$P52=""),"",IFERROR(1/(1/INDEX(Map_Stats!$I$2:$I$642,MATCH($F52&amp;"|"&amp;$I52,Map_Stats!$A$2:$A$642,0))),$P52))</f>
        <v>0.261</v>
      </c>
      <c r="AH52" s="13" t="n">
        <f aca="false">IF(OR($I52="",AF52=""),"",IF($O52="",AF52,(AE52*AF52+Config!$B$4*$O52)/(AE52+Config!$B$4)))</f>
        <v>0.602727272727273</v>
      </c>
      <c r="AI52" s="10" t="n">
        <f aca="false">IF(AG52="","",(AE52*AG52+Config!$B$4*$P52)/(AE52+Config!$B$4))</f>
        <v>0.278727272727273</v>
      </c>
      <c r="AJ52" s="17" t="n">
        <f aca="false">IF(OR(AH52="",$L52=""),"",AH52*$L52*($L52/Config!$B$10)^Config!$B$9)</f>
        <v>12.9104181818182</v>
      </c>
      <c r="AK52" s="17" t="n">
        <f aca="false">IF(OR(AJ52="",AI52=""),"",AJ52*AI52)</f>
        <v>3.59848564958678</v>
      </c>
      <c r="AL52" s="17" t="n">
        <f aca="false">N(V52)+N(AC52)</f>
        <v>27.5182714285714</v>
      </c>
      <c r="AM52" s="17" t="n">
        <f aca="false">AL52+N($M52)*N(AJ52)</f>
        <v>33.6920334031169</v>
      </c>
      <c r="AN52" s="17" t="n">
        <f aca="false">IF(W52="","",N(W52)+N(AD52))</f>
        <v>8.46418611122449</v>
      </c>
      <c r="AO52" s="17" t="n">
        <f aca="false">IF(AN52="","",AN52+N($M52)*N(AK52))</f>
        <v>10.1849819488569</v>
      </c>
      <c r="AP52" s="10" t="n">
        <f aca="false">IFERROR(AN52/AL52,"")</f>
        <v>0.307584222112017</v>
      </c>
      <c r="AQ52" s="0" t="str">
        <f aca="false">TRIM(IF($N52&lt;Config!$B$12,"thin sample ("&amp;$N52&amp;" maps) · ","")&amp;IF(AND($G52&lt;&gt;"",Q52=0),"M1 unplayed→overall KPR · ","")&amp;IF(AND($H52&lt;&gt;"",X52=0),"M2 unplayed→overall KPR · ","")&amp;IF($O52="","no PickFinder stats",""))</f>
        <v/>
      </c>
      <c r="AR52" s="0" t="str">
        <f aca="false">IF($C52=Board!$B$2,COUNTIFS($C$2:$C$105,Board!$B$2,$AL$2:$AL$105,"&gt;"&amp;$AL52)+COUNTIFS($C$1:$C51,Board!$B$2,$AL$1:$AL51,$AL52)+1,"")</f>
        <v/>
      </c>
      <c r="AS52" s="0" t="str">
        <f aca="false">IFERROR(IF($D52=INDEX(Matches!$AD$5:$AD$17,MATCH($C52,Matches!$A$5:$A$17,0)),"A",IF($D52=INDEX(Matches!$AE$5:$AE$17,MATCH($C52,Matches!$A$5:$A$17,0)),"B","")),"")</f>
        <v>B</v>
      </c>
      <c r="AT52" s="10" t="n">
        <f aca="false">IF($AS52="","",IFERROR(IF($AS52="A",INDEX(Matches!$AI$5:$AI$17,MATCH($C52,Matches!$A$5:$A$17,0)),INDEX(Matches!$AJ$5:$AJ$17,MATCH($C52,Matches!$A$5:$A$17,0))),""))</f>
        <v>0.488544967535125</v>
      </c>
      <c r="AU52" s="10" t="n">
        <f aca="false">IF($AS52="","",IFERROR(IF(INDEX(Matches!$AP$5:$AP$17,MATCH($C52,Matches!$A$5:$A$17,0))="","",IF($AS52="A",INDEX(Matches!$AP$5:$AP$17,MATCH($C52,Matches!$A$5:$A$17,0)),1-INDEX(Matches!$AP$5:$AP$17,MATCH($C52,Matches!$A$5:$A$17,0)))),""))</f>
        <v>0.516589764890753</v>
      </c>
      <c r="AV52" s="13" t="n">
        <f aca="false">IF(OR($AU52="",$AT52=""),1,((Config!$B$14*$AU52+Config!$B$15*(1-$AU52))/(Config!$B$14*$AT52+Config!$B$15*(1-$AT52)))^Config!$B$13)</f>
        <v>1.02532049933826</v>
      </c>
      <c r="AW52" s="10" t="n">
        <f aca="false">IF($AS52="","",IFERROR(IF(INDEX(Matches!$AV$5:$AV$17,MATCH($C52,Matches!$A$5:$A$17,0))="","",IF($AS52="A",INDEX(Matches!$AV$5:$AV$17,MATCH($C52,Matches!$A$5:$A$17,0)),1-INDEX(Matches!$AV$5:$AV$17,MATCH($C52,Matches!$A$5:$A$17,0)))),""))</f>
        <v>0.527223853663554</v>
      </c>
      <c r="AX52" s="13" t="n">
        <f aca="false">IF(OR($AW52="",$AT52=""),1,((Config!$B$14*$AW52+Config!$B$15*(1-$AW52))/(Config!$B$14*$AT52+Config!$B$15*(1-$AT52)))^Config!$B$13)</f>
        <v>1.03492158271641</v>
      </c>
      <c r="AY52" s="10" t="n">
        <f aca="false">IF($AS52="","",IFERROR(IF(INDEX(Matches!$BB$5:$BB$17,MATCH($C52,Matches!$A$5:$A$17,0))="","",IF($AS52="A",INDEX(Matches!$BB$5:$BB$17,MATCH($C52,Matches!$A$5:$A$17,0)),1-INDEX(Matches!$BB$5:$BB$17,MATCH($C52,Matches!$A$5:$A$17,0)))),""))</f>
        <v>0.542869377973391</v>
      </c>
      <c r="AZ52" s="13" t="n">
        <f aca="false">IF(OR($AY52="",$AT52=""),1,((Config!$B$14*$AY52+Config!$B$15*(1-$AY52))/(Config!$B$14*$AT52+Config!$B$15*(1-$AT52)))^Config!$B$13)</f>
        <v>1.0490472860656</v>
      </c>
      <c r="BA52" s="17" t="n">
        <f aca="false">IF(V52="","",V52*$AV52)</f>
        <v>13.8879661635367</v>
      </c>
      <c r="BB52" s="17" t="n">
        <f aca="false">IF(AC52="","",AC52*$AX52)</f>
        <v>14.4612401825831</v>
      </c>
      <c r="BC52" s="17" t="n">
        <f aca="false">IF(AJ52="","",AJ52*$AZ52)</f>
        <v>13.5436391556084</v>
      </c>
      <c r="BD52" s="17" t="n">
        <f aca="false">N(BA52)+N(BB52)</f>
        <v>28.3492063461198</v>
      </c>
      <c r="BE52" s="17" t="n">
        <f aca="false">BD52+N($M52)*N(BC52)</f>
        <v>34.8257745903317</v>
      </c>
      <c r="BF52" s="17" t="n">
        <f aca="false">IF(W52="","",W52*$AV52)</f>
        <v>4.38958930526071</v>
      </c>
      <c r="BG52" s="17" t="n">
        <f aca="false">IF(AD52="","",AD52*$AX52)</f>
        <v>4.32907554322898</v>
      </c>
      <c r="BH52" s="17" t="n">
        <f aca="false">IF(AK52="","",AK52*$AZ52)</f>
        <v>3.77498160464503</v>
      </c>
      <c r="BI52" s="17" t="n">
        <f aca="false">IF(BF52="","",N(BF52)+N(BG52))</f>
        <v>8.71866484848969</v>
      </c>
      <c r="BJ52" s="17" t="n">
        <f aca="false">IF(BI52="","",BI52+N($M52)*N(BH52))</f>
        <v>10.5238610518309</v>
      </c>
      <c r="BK52" s="13" t="n">
        <f aca="false">IFERROR(BD52/AL52,1)</f>
        <v>1.03019575265493</v>
      </c>
    </row>
    <row r="53" customFormat="false" ht="15" hidden="false" customHeight="false" outlineLevel="0" collapsed="false">
      <c r="A53" s="0" t="s">
        <v>1008</v>
      </c>
      <c r="B53" s="0" t="s">
        <v>775</v>
      </c>
      <c r="C53" s="0" t="s">
        <v>857</v>
      </c>
      <c r="D53" s="0" t="s">
        <v>863</v>
      </c>
      <c r="E53" s="0" t="s">
        <v>1006</v>
      </c>
      <c r="F53" s="0" t="s">
        <v>1218</v>
      </c>
      <c r="G53" s="0" t="str">
        <f aca="false">IFERROR(IF(INDEX(Matches!$W$5:$W$17,MATCH($C53,Matches!$A$5:$A$17,0))="","",INDEX(Matches!$W$5:$W$17,MATCH($C53,Matches!$A$5:$A$17,0))),"")</f>
        <v>Ancient</v>
      </c>
      <c r="H53" s="0" t="str">
        <f aca="false">IFERROR(IF(INDEX(Matches!$X$5:$X$17,MATCH($C53,Matches!$A$5:$A$17,0))="","",INDEX(Matches!$X$5:$X$17,MATCH($C53,Matches!$A$5:$A$17,0))),"")</f>
        <v>Inferno</v>
      </c>
      <c r="I53" s="0" t="str">
        <f aca="false">IFERROR(IF(INDEX(Matches!$Y$5:$Y$17,MATCH($C53,Matches!$A$5:$A$17,0))="","",INDEX(Matches!$Y$5:$Y$17,MATCH($C53,Matches!$A$5:$A$17,0))),"")</f>
        <v>Dust2</v>
      </c>
      <c r="J53" s="11" t="n">
        <f aca="false">IFERROR(IF(INDEX(Matches!$Z$5:$Z$17,MATCH($C53,Matches!$A$5:$A$17,0))="","",INDEX(Matches!$Z$5:$Z$17,MATCH($C53,Matches!$A$5:$A$17,0))),"")</f>
        <v>21.5</v>
      </c>
      <c r="K53" s="11" t="n">
        <f aca="false">IFERROR(IF(INDEX(Matches!$AA$5:$AA$17,MATCH($C53,Matches!$A$5:$A$17,0))="","",INDEX(Matches!$AA$5:$AA$17,MATCH($C53,Matches!$A$5:$A$17,0))),"")</f>
        <v>21.31</v>
      </c>
      <c r="L53" s="11" t="n">
        <f aca="false">IFERROR(IF(INDEX(Matches!$AB$5:$AB$17,MATCH($C53,Matches!$A$5:$A$17,0))="","",INDEX(Matches!$AB$5:$AB$17,MATCH($C53,Matches!$A$5:$A$17,0))),"")</f>
        <v>21.42</v>
      </c>
      <c r="M53" s="10" t="n">
        <f aca="false">IFERROR(IF(INDEX(Matches!$AC$5:$AC$17,MATCH($C53,Matches!$A$5:$A$17,0))="","",INDEX(Matches!$AC$5:$AC$17,MATCH($C53,Matches!$A$5:$A$17,0))),"")</f>
        <v>0.4782</v>
      </c>
      <c r="N53" s="9" t="n">
        <f aca="false">IFERROR(INDEX(Players!$F$2:$F$105,MATCH($F53,Players!$A$2:$A$105,0)),0)</f>
        <v>35</v>
      </c>
      <c r="O53" s="13" t="n">
        <f aca="false">IFERROR(1/(1/INDEX(Players!$H$2:$H$105,MATCH($F53,Players!$A$2:$A$105,0))),"")</f>
        <v>0.69</v>
      </c>
      <c r="P53" s="10" t="n">
        <f aca="false">IFERROR(1/(1/INDEX(Players!$I$2:$I$105,MATCH($F53,Players!$A$2:$A$105,0))),"")</f>
        <v>0.609</v>
      </c>
      <c r="Q53" s="9" t="n">
        <f aca="false">IF($G53="",0,SUMIFS(Map_Stats!$F$2:$F$642,Map_Stats!$A$2:$A$642,$F53&amp;"|"&amp;$G53))</f>
        <v>9</v>
      </c>
      <c r="R53" s="13" t="n">
        <f aca="false">IF($G53="","",IFERROR(1/(1/INDEX(Map_Stats!$K$2:$K$642,MATCH($F53&amp;"|"&amp;$G53,Map_Stats!$A$2:$A$642,0))),$O53))</f>
        <v>0.79</v>
      </c>
      <c r="S53" s="10" t="n">
        <f aca="false">IF(OR($G53="",$P53=""),"",IFERROR(1/(1/INDEX(Map_Stats!$I$2:$I$642,MATCH($F53&amp;"|"&amp;$G53,Map_Stats!$A$2:$A$642,0))),$P53))</f>
        <v>0.612</v>
      </c>
      <c r="T53" s="13" t="n">
        <f aca="false">IF(OR($G53="",R53=""),"",IF($O53="",R53,(Q53*R53+Config!$B$4*$O53)/(Q53+Config!$B$4)))</f>
        <v>0.754285714285714</v>
      </c>
      <c r="U53" s="10" t="n">
        <f aca="false">IF(S53="","",(Q53*S53+Config!$B$4*$P53)/(Q53+Config!$B$4))</f>
        <v>0.610928571428572</v>
      </c>
      <c r="V53" s="17" t="n">
        <f aca="false">IF(OR(T53="",$J53=""),"",T53*$J53*($J53/Config!$B$10)^Config!$B$9)</f>
        <v>16.2171428571429</v>
      </c>
      <c r="W53" s="17" t="n">
        <f aca="false">IF(OR(V53="",U53=""),"",V53*U53)</f>
        <v>9.90751591836735</v>
      </c>
      <c r="X53" s="9" t="n">
        <f aca="false">IF($H53="",0,SUMIFS(Map_Stats!$F$2:$F$642,Map_Stats!$A$2:$A$642,$F53&amp;"|"&amp;$H53))</f>
        <v>9</v>
      </c>
      <c r="Y53" s="13" t="n">
        <f aca="false">IF($H53="","",IFERROR(1/(1/INDEX(Map_Stats!$K$2:$K$642,MATCH($F53&amp;"|"&amp;$H53,Map_Stats!$A$2:$A$642,0))),$O53))</f>
        <v>0.63</v>
      </c>
      <c r="Z53" s="10" t="n">
        <f aca="false">IF(OR($H53="",$P53=""),"",IFERROR(1/(1/INDEX(Map_Stats!$I$2:$I$642,MATCH($F53&amp;"|"&amp;$H53,Map_Stats!$A$2:$A$642,0))),$P53))</f>
        <v>0.608</v>
      </c>
      <c r="AA53" s="13" t="n">
        <f aca="false">IF(OR($H53="",Y53=""),"",IF($O53="",Y53,(X53*Y53+Config!$B$4*$O53)/(X53+Config!$B$4)))</f>
        <v>0.651428571428571</v>
      </c>
      <c r="AB53" s="10" t="n">
        <f aca="false">IF(Z53="","",(X53*Z53+Config!$B$4*$P53)/(X53+Config!$B$4))</f>
        <v>0.608357142857143</v>
      </c>
      <c r="AC53" s="17" t="n">
        <f aca="false">IF(OR(AA53="",$K53=""),"",AA53*$K53*($K53/Config!$B$10)^Config!$B$9)</f>
        <v>13.8819428571429</v>
      </c>
      <c r="AD53" s="17" t="n">
        <f aca="false">IF(OR(AC53="",AB53=""),"",AC53*AB53)</f>
        <v>8.44517909387755</v>
      </c>
      <c r="AE53" s="9" t="n">
        <f aca="false">IF($I53="",0,SUMIFS(Map_Stats!$F$2:$F$642,Map_Stats!$A$2:$A$642,$F53&amp;"|"&amp;$I53))</f>
        <v>6</v>
      </c>
      <c r="AF53" s="13" t="n">
        <f aca="false">IF($I53="","",IFERROR(1/(1/INDEX(Map_Stats!$K$2:$K$642,MATCH($F53&amp;"|"&amp;$I53,Map_Stats!$A$2:$A$642,0))),$O53))</f>
        <v>0.59</v>
      </c>
      <c r="AG53" s="10" t="n">
        <f aca="false">IF(OR($I53="",$P53=""),"",IFERROR(1/(1/INDEX(Map_Stats!$I$2:$I$642,MATCH($F53&amp;"|"&amp;$I53,Map_Stats!$A$2:$A$642,0))),$P53))</f>
        <v>0.586</v>
      </c>
      <c r="AH53" s="13" t="n">
        <f aca="false">IF(OR($I53="",AF53=""),"",IF($O53="",AF53,(AE53*AF53+Config!$B$4*$O53)/(AE53+Config!$B$4)))</f>
        <v>0.635454545454546</v>
      </c>
      <c r="AI53" s="10" t="n">
        <f aca="false">IF(AG53="","",(AE53*AG53+Config!$B$4*$P53)/(AE53+Config!$B$4))</f>
        <v>0.596454545454546</v>
      </c>
      <c r="AJ53" s="17" t="n">
        <f aca="false">IF(OR(AH53="",$L53=""),"",AH53*$L53*($L53/Config!$B$10)^Config!$B$9)</f>
        <v>13.6114363636364</v>
      </c>
      <c r="AK53" s="17" t="n">
        <f aca="false">IF(OR(AJ53="",AI53=""),"",AJ53*AI53)</f>
        <v>8.1186030892562</v>
      </c>
      <c r="AL53" s="17" t="n">
        <f aca="false">N(V53)+N(AC53)</f>
        <v>30.0990857142857</v>
      </c>
      <c r="AM53" s="17" t="n">
        <f aca="false">AL53+N($M53)*N(AJ53)</f>
        <v>36.6080745833766</v>
      </c>
      <c r="AN53" s="17" t="n">
        <f aca="false">IF(W53="","",N(W53)+N(AD53))</f>
        <v>18.3526950122449</v>
      </c>
      <c r="AO53" s="17" t="n">
        <f aca="false">IF(AN53="","",AN53+N($M53)*N(AK53))</f>
        <v>22.2350110095272</v>
      </c>
      <c r="AP53" s="10" t="n">
        <f aca="false">IFERROR(AN53/AL53,"")</f>
        <v>0.60974260768108</v>
      </c>
      <c r="AQ53" s="0" t="str">
        <f aca="false">TRIM(IF($N53&lt;Config!$B$12,"thin sample ("&amp;$N53&amp;" maps) · ","")&amp;IF(AND($G53&lt;&gt;"",Q53=0),"M1 unplayed→overall KPR · ","")&amp;IF(AND($H53&lt;&gt;"",X53=0),"M2 unplayed→overall KPR · ","")&amp;IF($O53="","no PickFinder stats",""))</f>
        <v/>
      </c>
      <c r="AR53" s="0" t="str">
        <f aca="false">IF($C53=Board!$B$2,COUNTIFS($C$2:$C$105,Board!$B$2,$AL$2:$AL$105,"&gt;"&amp;$AL53)+COUNTIFS($C$1:$C52,Board!$B$2,$AL$1:$AL52,$AL53)+1,"")</f>
        <v/>
      </c>
      <c r="AS53" s="0" t="str">
        <f aca="false">IFERROR(IF($D53=INDEX(Matches!$AD$5:$AD$17,MATCH($C53,Matches!$A$5:$A$17,0)),"A",IF($D53=INDEX(Matches!$AE$5:$AE$17,MATCH($C53,Matches!$A$5:$A$17,0)),"B","")),"")</f>
        <v>B</v>
      </c>
      <c r="AT53" s="10" t="n">
        <f aca="false">IF($AS53="","",IFERROR(IF($AS53="A",INDEX(Matches!$AI$5:$AI$17,MATCH($C53,Matches!$A$5:$A$17,0)),INDEX(Matches!$AJ$5:$AJ$17,MATCH($C53,Matches!$A$5:$A$17,0))),""))</f>
        <v>0.488544967535125</v>
      </c>
      <c r="AU53" s="10" t="n">
        <f aca="false">IF($AS53="","",IFERROR(IF(INDEX(Matches!$AP$5:$AP$17,MATCH($C53,Matches!$A$5:$A$17,0))="","",IF($AS53="A",INDEX(Matches!$AP$5:$AP$17,MATCH($C53,Matches!$A$5:$A$17,0)),1-INDEX(Matches!$AP$5:$AP$17,MATCH($C53,Matches!$A$5:$A$17,0)))),""))</f>
        <v>0.516589764890753</v>
      </c>
      <c r="AV53" s="13" t="n">
        <f aca="false">IF(OR($AU53="",$AT53=""),1,((Config!$B$14*$AU53+Config!$B$15*(1-$AU53))/(Config!$B$14*$AT53+Config!$B$15*(1-$AT53)))^Config!$B$13)</f>
        <v>1.02532049933826</v>
      </c>
      <c r="AW53" s="10" t="n">
        <f aca="false">IF($AS53="","",IFERROR(IF(INDEX(Matches!$AV$5:$AV$17,MATCH($C53,Matches!$A$5:$A$17,0))="","",IF($AS53="A",INDEX(Matches!$AV$5:$AV$17,MATCH($C53,Matches!$A$5:$A$17,0)),1-INDEX(Matches!$AV$5:$AV$17,MATCH($C53,Matches!$A$5:$A$17,0)))),""))</f>
        <v>0.527223853663554</v>
      </c>
      <c r="AX53" s="13" t="n">
        <f aca="false">IF(OR($AW53="",$AT53=""),1,((Config!$B$14*$AW53+Config!$B$15*(1-$AW53))/(Config!$B$14*$AT53+Config!$B$15*(1-$AT53)))^Config!$B$13)</f>
        <v>1.03492158271641</v>
      </c>
      <c r="AY53" s="10" t="n">
        <f aca="false">IF($AS53="","",IFERROR(IF(INDEX(Matches!$BB$5:$BB$17,MATCH($C53,Matches!$A$5:$A$17,0))="","",IF($AS53="A",INDEX(Matches!$BB$5:$BB$17,MATCH($C53,Matches!$A$5:$A$17,0)),1-INDEX(Matches!$BB$5:$BB$17,MATCH($C53,Matches!$A$5:$A$17,0)))),""))</f>
        <v>0.542869377973391</v>
      </c>
      <c r="AZ53" s="13" t="n">
        <f aca="false">IF(OR($AY53="",$AT53=""),1,((Config!$B$14*$AY53+Config!$B$15*(1-$AY53))/(Config!$B$14*$AT53+Config!$B$15*(1-$AT53)))^Config!$B$13)</f>
        <v>1.0490472860656</v>
      </c>
      <c r="BA53" s="17" t="n">
        <f aca="false">IF(V53="","",V53*$AV53)</f>
        <v>16.6277690121256</v>
      </c>
      <c r="BB53" s="17" t="n">
        <f aca="false">IF(AC53="","",AC53*$AX53)</f>
        <v>14.366722272893</v>
      </c>
      <c r="BC53" s="17" t="n">
        <f aca="false">IF(AJ53="","",AJ53*$AZ53)</f>
        <v>14.2790403767274</v>
      </c>
      <c r="BD53" s="17" t="n">
        <f aca="false">N(BA53)+N(BB53)</f>
        <v>30.9944912850186</v>
      </c>
      <c r="BE53" s="17" t="n">
        <f aca="false">BD53+N($M53)*N(BC53)</f>
        <v>37.8227283931696</v>
      </c>
      <c r="BF53" s="17" t="n">
        <f aca="false">IF(W53="","",W53*$AV53)</f>
        <v>10.1583791686221</v>
      </c>
      <c r="BG53" s="17" t="n">
        <f aca="false">IF(AD53="","",AD53*$AX53)</f>
        <v>8.74009811415927</v>
      </c>
      <c r="BH53" s="17" t="n">
        <f aca="false">IF(AK53="","",AK53*$AZ53)</f>
        <v>8.51679853742804</v>
      </c>
      <c r="BI53" s="17" t="n">
        <f aca="false">IF(BF53="","",N(BF53)+N(BG53))</f>
        <v>18.8984772827814</v>
      </c>
      <c r="BJ53" s="17" t="n">
        <f aca="false">IF(BI53="","",BI53+N($M53)*N(BH53))</f>
        <v>22.9712103433795</v>
      </c>
      <c r="BK53" s="13" t="n">
        <f aca="false">IFERROR(BD53/AL53,1)</f>
        <v>1.0297485969917</v>
      </c>
    </row>
    <row r="54" customFormat="false" ht="15" hidden="false" customHeight="false" outlineLevel="0" collapsed="false">
      <c r="A54" s="0" t="s">
        <v>1010</v>
      </c>
      <c r="B54" s="0" t="s">
        <v>775</v>
      </c>
      <c r="C54" s="0" t="s">
        <v>857</v>
      </c>
      <c r="D54" s="0" t="s">
        <v>863</v>
      </c>
      <c r="E54" s="0" t="s">
        <v>1009</v>
      </c>
      <c r="F54" s="0" t="s">
        <v>1219</v>
      </c>
      <c r="G54" s="0" t="str">
        <f aca="false">IFERROR(IF(INDEX(Matches!$W$5:$W$17,MATCH($C54,Matches!$A$5:$A$17,0))="","",INDEX(Matches!$W$5:$W$17,MATCH($C54,Matches!$A$5:$A$17,0))),"")</f>
        <v>Ancient</v>
      </c>
      <c r="H54" s="0" t="str">
        <f aca="false">IFERROR(IF(INDEX(Matches!$X$5:$X$17,MATCH($C54,Matches!$A$5:$A$17,0))="","",INDEX(Matches!$X$5:$X$17,MATCH($C54,Matches!$A$5:$A$17,0))),"")</f>
        <v>Inferno</v>
      </c>
      <c r="I54" s="0" t="str">
        <f aca="false">IFERROR(IF(INDEX(Matches!$Y$5:$Y$17,MATCH($C54,Matches!$A$5:$A$17,0))="","",INDEX(Matches!$Y$5:$Y$17,MATCH($C54,Matches!$A$5:$A$17,0))),"")</f>
        <v>Dust2</v>
      </c>
      <c r="J54" s="11" t="n">
        <f aca="false">IFERROR(IF(INDEX(Matches!$Z$5:$Z$17,MATCH($C54,Matches!$A$5:$A$17,0))="","",INDEX(Matches!$Z$5:$Z$17,MATCH($C54,Matches!$A$5:$A$17,0))),"")</f>
        <v>21.5</v>
      </c>
      <c r="K54" s="11" t="n">
        <f aca="false">IFERROR(IF(INDEX(Matches!$AA$5:$AA$17,MATCH($C54,Matches!$A$5:$A$17,0))="","",INDEX(Matches!$AA$5:$AA$17,MATCH($C54,Matches!$A$5:$A$17,0))),"")</f>
        <v>21.31</v>
      </c>
      <c r="L54" s="11" t="n">
        <f aca="false">IFERROR(IF(INDEX(Matches!$AB$5:$AB$17,MATCH($C54,Matches!$A$5:$A$17,0))="","",INDEX(Matches!$AB$5:$AB$17,MATCH($C54,Matches!$A$5:$A$17,0))),"")</f>
        <v>21.42</v>
      </c>
      <c r="M54" s="10" t="n">
        <f aca="false">IFERROR(IF(INDEX(Matches!$AC$5:$AC$17,MATCH($C54,Matches!$A$5:$A$17,0))="","",INDEX(Matches!$AC$5:$AC$17,MATCH($C54,Matches!$A$5:$A$17,0))),"")</f>
        <v>0.4782</v>
      </c>
      <c r="N54" s="9" t="n">
        <f aca="false">IFERROR(INDEX(Players!$F$2:$F$105,MATCH($F54,Players!$A$2:$A$105,0)),0)</f>
        <v>35</v>
      </c>
      <c r="O54" s="13" t="n">
        <f aca="false">IFERROR(1/(1/INDEX(Players!$H$2:$H$105,MATCH($F54,Players!$A$2:$A$105,0))),"")</f>
        <v>0.59</v>
      </c>
      <c r="P54" s="10" t="n">
        <f aca="false">IFERROR(1/(1/INDEX(Players!$I$2:$I$105,MATCH($F54,Players!$A$2:$A$105,0))),"")</f>
        <v>0.532</v>
      </c>
      <c r="Q54" s="9" t="n">
        <f aca="false">IF($G54="",0,SUMIFS(Map_Stats!$F$2:$F$642,Map_Stats!$A$2:$A$642,$F54&amp;"|"&amp;$G54))</f>
        <v>9</v>
      </c>
      <c r="R54" s="13" t="n">
        <f aca="false">IF($G54="","",IFERROR(1/(1/INDEX(Map_Stats!$K$2:$K$642,MATCH($F54&amp;"|"&amp;$G54,Map_Stats!$A$2:$A$642,0))),$O54))</f>
        <v>0.62</v>
      </c>
      <c r="S54" s="10" t="n">
        <f aca="false">IF(OR($G54="",$P54=""),"",IFERROR(1/(1/INDEX(Map_Stats!$I$2:$I$642,MATCH($F54&amp;"|"&amp;$G54,Map_Stats!$A$2:$A$642,0))),$P54))</f>
        <v>0.6</v>
      </c>
      <c r="T54" s="13" t="n">
        <f aca="false">IF(OR($G54="",R54=""),"",IF($O54="",R54,(Q54*R54+Config!$B$4*$O54)/(Q54+Config!$B$4)))</f>
        <v>0.609285714285714</v>
      </c>
      <c r="U54" s="10" t="n">
        <f aca="false">IF(S54="","",(Q54*S54+Config!$B$4*$P54)/(Q54+Config!$B$4))</f>
        <v>0.575714285714286</v>
      </c>
      <c r="V54" s="17" t="n">
        <f aca="false">IF(OR(T54="",$J54=""),"",T54*$J54*($J54/Config!$B$10)^Config!$B$9)</f>
        <v>13.0996428571429</v>
      </c>
      <c r="W54" s="17" t="n">
        <f aca="false">IF(OR(V54="",U54=""),"",V54*U54)</f>
        <v>7.54165153061224</v>
      </c>
      <c r="X54" s="9" t="n">
        <f aca="false">IF($H54="",0,SUMIFS(Map_Stats!$F$2:$F$642,Map_Stats!$A$2:$A$642,$F54&amp;"|"&amp;$H54))</f>
        <v>9</v>
      </c>
      <c r="Y54" s="13" t="n">
        <f aca="false">IF($H54="","",IFERROR(1/(1/INDEX(Map_Stats!$K$2:$K$642,MATCH($F54&amp;"|"&amp;$H54,Map_Stats!$A$2:$A$642,0))),$O54))</f>
        <v>0.58</v>
      </c>
      <c r="Z54" s="10" t="n">
        <f aca="false">IF(OR($H54="",$P54=""),"",IFERROR(1/(1/INDEX(Map_Stats!$I$2:$I$642,MATCH($F54&amp;"|"&amp;$H54,Map_Stats!$A$2:$A$642,0))),$P54))</f>
        <v>0.487</v>
      </c>
      <c r="AA54" s="13" t="n">
        <f aca="false">IF(OR($H54="",Y54=""),"",IF($O54="",Y54,(X54*Y54+Config!$B$4*$O54)/(X54+Config!$B$4)))</f>
        <v>0.583571428571429</v>
      </c>
      <c r="AB54" s="10" t="n">
        <f aca="false">IF(Z54="","",(X54*Z54+Config!$B$4*$P54)/(X54+Config!$B$4))</f>
        <v>0.503071428571429</v>
      </c>
      <c r="AC54" s="17" t="n">
        <f aca="false">IF(OR(AA54="",$K54=""),"",AA54*$K54*($K54/Config!$B$10)^Config!$B$9)</f>
        <v>12.4359071428571</v>
      </c>
      <c r="AD54" s="17" t="n">
        <f aca="false">IF(OR(AC54="",AB54=""),"",AC54*AB54)</f>
        <v>6.25614957193877</v>
      </c>
      <c r="AE54" s="9" t="n">
        <f aca="false">IF($I54="",0,SUMIFS(Map_Stats!$F$2:$F$642,Map_Stats!$A$2:$A$642,$F54&amp;"|"&amp;$I54))</f>
        <v>6</v>
      </c>
      <c r="AF54" s="13" t="n">
        <f aca="false">IF($I54="","",IFERROR(1/(1/INDEX(Map_Stats!$K$2:$K$642,MATCH($F54&amp;"|"&amp;$I54,Map_Stats!$A$2:$A$642,0))),$O54))</f>
        <v>0.61</v>
      </c>
      <c r="AG54" s="10" t="n">
        <f aca="false">IF(OR($I54="",$P54=""),"",IFERROR(1/(1/INDEX(Map_Stats!$I$2:$I$642,MATCH($F54&amp;"|"&amp;$I54,Map_Stats!$A$2:$A$642,0))),$P54))</f>
        <v>0.556</v>
      </c>
      <c r="AH54" s="13" t="n">
        <f aca="false">IF(OR($I54="",AF54=""),"",IF($O54="",AF54,(AE54*AF54+Config!$B$4*$O54)/(AE54+Config!$B$4)))</f>
        <v>0.600909090909091</v>
      </c>
      <c r="AI54" s="10" t="n">
        <f aca="false">IF(AG54="","",(AE54*AG54+Config!$B$4*$P54)/(AE54+Config!$B$4))</f>
        <v>0.545090909090909</v>
      </c>
      <c r="AJ54" s="17" t="n">
        <f aca="false">IF(OR(AH54="",$L54=""),"",AH54*$L54*($L54/Config!$B$10)^Config!$B$9)</f>
        <v>12.8714727272727</v>
      </c>
      <c r="AK54" s="17" t="n">
        <f aca="false">IF(OR(AJ54="",AI54=""),"",AJ54*AI54)</f>
        <v>7.01612277024793</v>
      </c>
      <c r="AL54" s="17" t="n">
        <f aca="false">N(V54)+N(AC54)</f>
        <v>25.53555</v>
      </c>
      <c r="AM54" s="17" t="n">
        <f aca="false">AL54+N($M54)*N(AJ54)</f>
        <v>31.6906882581818</v>
      </c>
      <c r="AN54" s="17" t="n">
        <f aca="false">IF(W54="","",N(W54)+N(AD54))</f>
        <v>13.797801102551</v>
      </c>
      <c r="AO54" s="17" t="n">
        <f aca="false">IF(AN54="","",AN54+N($M54)*N(AK54))</f>
        <v>17.1529110112836</v>
      </c>
      <c r="AP54" s="10" t="n">
        <f aca="false">IFERROR(AN54/AL54,"")</f>
        <v>0.540336946043889</v>
      </c>
      <c r="AQ54" s="0" t="str">
        <f aca="false">TRIM(IF($N54&lt;Config!$B$12,"thin sample ("&amp;$N54&amp;" maps) · ","")&amp;IF(AND($G54&lt;&gt;"",Q54=0),"M1 unplayed→overall KPR · ","")&amp;IF(AND($H54&lt;&gt;"",X54=0),"M2 unplayed→overall KPR · ","")&amp;IF($O54="","no PickFinder stats",""))</f>
        <v/>
      </c>
      <c r="AR54" s="0" t="str">
        <f aca="false">IF($C54=Board!$B$2,COUNTIFS($C$2:$C$105,Board!$B$2,$AL$2:$AL$105,"&gt;"&amp;$AL54)+COUNTIFS($C$1:$C53,Board!$B$2,$AL$1:$AL53,$AL54)+1,"")</f>
        <v/>
      </c>
      <c r="AS54" s="0" t="str">
        <f aca="false">IFERROR(IF($D54=INDEX(Matches!$AD$5:$AD$17,MATCH($C54,Matches!$A$5:$A$17,0)),"A",IF($D54=INDEX(Matches!$AE$5:$AE$17,MATCH($C54,Matches!$A$5:$A$17,0)),"B","")),"")</f>
        <v>B</v>
      </c>
      <c r="AT54" s="10" t="n">
        <f aca="false">IF($AS54="","",IFERROR(IF($AS54="A",INDEX(Matches!$AI$5:$AI$17,MATCH($C54,Matches!$A$5:$A$17,0)),INDEX(Matches!$AJ$5:$AJ$17,MATCH($C54,Matches!$A$5:$A$17,0))),""))</f>
        <v>0.488544967535125</v>
      </c>
      <c r="AU54" s="10" t="n">
        <f aca="false">IF($AS54="","",IFERROR(IF(INDEX(Matches!$AP$5:$AP$17,MATCH($C54,Matches!$A$5:$A$17,0))="","",IF($AS54="A",INDEX(Matches!$AP$5:$AP$17,MATCH($C54,Matches!$A$5:$A$17,0)),1-INDEX(Matches!$AP$5:$AP$17,MATCH($C54,Matches!$A$5:$A$17,0)))),""))</f>
        <v>0.516589764890753</v>
      </c>
      <c r="AV54" s="13" t="n">
        <f aca="false">IF(OR($AU54="",$AT54=""),1,((Config!$B$14*$AU54+Config!$B$15*(1-$AU54))/(Config!$B$14*$AT54+Config!$B$15*(1-$AT54)))^Config!$B$13)</f>
        <v>1.02532049933826</v>
      </c>
      <c r="AW54" s="10" t="n">
        <f aca="false">IF($AS54="","",IFERROR(IF(INDEX(Matches!$AV$5:$AV$17,MATCH($C54,Matches!$A$5:$A$17,0))="","",IF($AS54="A",INDEX(Matches!$AV$5:$AV$17,MATCH($C54,Matches!$A$5:$A$17,0)),1-INDEX(Matches!$AV$5:$AV$17,MATCH($C54,Matches!$A$5:$A$17,0)))),""))</f>
        <v>0.527223853663554</v>
      </c>
      <c r="AX54" s="13" t="n">
        <f aca="false">IF(OR($AW54="",$AT54=""),1,((Config!$B$14*$AW54+Config!$B$15*(1-$AW54))/(Config!$B$14*$AT54+Config!$B$15*(1-$AT54)))^Config!$B$13)</f>
        <v>1.03492158271641</v>
      </c>
      <c r="AY54" s="10" t="n">
        <f aca="false">IF($AS54="","",IFERROR(IF(INDEX(Matches!$BB$5:$BB$17,MATCH($C54,Matches!$A$5:$A$17,0))="","",IF($AS54="A",INDEX(Matches!$BB$5:$BB$17,MATCH($C54,Matches!$A$5:$A$17,0)),1-INDEX(Matches!$BB$5:$BB$17,MATCH($C54,Matches!$A$5:$A$17,0)))),""))</f>
        <v>0.542869377973391</v>
      </c>
      <c r="AZ54" s="13" t="n">
        <f aca="false">IF(OR($AY54="",$AT54=""),1,((Config!$B$14*$AY54+Config!$B$15*(1-$AY54))/(Config!$B$14*$AT54+Config!$B$15*(1-$AT54)))^Config!$B$13)</f>
        <v>1.0490472860656</v>
      </c>
      <c r="BA54" s="17" t="n">
        <f aca="false">IF(V54="","",V54*$AV54)</f>
        <v>13.4313323554386</v>
      </c>
      <c r="BB54" s="17" t="n">
        <f aca="false">IF(AC54="","",AC54*$AX54)</f>
        <v>12.8701887028</v>
      </c>
      <c r="BC54" s="17" t="n">
        <f aca="false">IF(AJ54="","",AJ54*$AZ54)</f>
        <v>13.5027835322129</v>
      </c>
      <c r="BD54" s="17" t="n">
        <f aca="false">N(BA54)+N(BB54)</f>
        <v>26.3015210582386</v>
      </c>
      <c r="BE54" s="17" t="n">
        <f aca="false">BD54+N($M54)*N(BC54)</f>
        <v>32.7585521433428</v>
      </c>
      <c r="BF54" s="17" t="n">
        <f aca="false">IF(W54="","",W54*$AV54)</f>
        <v>7.73260991320248</v>
      </c>
      <c r="BG54" s="17" t="n">
        <f aca="false">IF(AD54="","",AD54*$AX54)</f>
        <v>6.47462421670145</v>
      </c>
      <c r="BH54" s="17" t="n">
        <f aca="false">IF(AK54="","",AK54*$AZ54)</f>
        <v>7.36024455083168</v>
      </c>
      <c r="BI54" s="17" t="n">
        <f aca="false">IF(BF54="","",N(BF54)+N(BG54))</f>
        <v>14.2072341299039</v>
      </c>
      <c r="BJ54" s="17" t="n">
        <f aca="false">IF(BI54="","",BI54+N($M54)*N(BH54))</f>
        <v>17.7269030741116</v>
      </c>
      <c r="BK54" s="13" t="n">
        <f aca="false">IFERROR(BD54/AL54,1)</f>
        <v>1.02999626239648</v>
      </c>
    </row>
    <row r="55" customFormat="false" ht="15" hidden="false" customHeight="false" outlineLevel="0" collapsed="false">
      <c r="A55" s="0" t="s">
        <v>1012</v>
      </c>
      <c r="B55" s="0" t="s">
        <v>775</v>
      </c>
      <c r="C55" s="0" t="s">
        <v>819</v>
      </c>
      <c r="D55" s="0" t="s">
        <v>824</v>
      </c>
      <c r="E55" s="0" t="s">
        <v>1011</v>
      </c>
      <c r="F55" s="0" t="s">
        <v>1220</v>
      </c>
      <c r="G55" s="0" t="str">
        <f aca="false">IFERROR(IF(INDEX(Matches!$W$5:$W$17,MATCH($C55,Matches!$A$5:$A$17,0))="","",INDEX(Matches!$W$5:$W$17,MATCH($C55,Matches!$A$5:$A$17,0))),"")</f>
        <v>Cache</v>
      </c>
      <c r="H55" s="0" t="str">
        <f aca="false">IFERROR(IF(INDEX(Matches!$X$5:$X$17,MATCH($C55,Matches!$A$5:$A$17,0))="","",INDEX(Matches!$X$5:$X$17,MATCH($C55,Matches!$A$5:$A$17,0))),"")</f>
        <v>Inferno</v>
      </c>
      <c r="I55" s="0" t="str">
        <f aca="false">IFERROR(IF(INDEX(Matches!$Y$5:$Y$17,MATCH($C55,Matches!$A$5:$A$17,0))="","",INDEX(Matches!$Y$5:$Y$17,MATCH($C55,Matches!$A$5:$A$17,0))),"")</f>
        <v>Ancient</v>
      </c>
      <c r="J55" s="11" t="n">
        <f aca="false">IFERROR(IF(INDEX(Matches!$Z$5:$Z$17,MATCH($C55,Matches!$A$5:$A$17,0))="","",INDEX(Matches!$Z$5:$Z$17,MATCH($C55,Matches!$A$5:$A$17,0))),"")</f>
        <v>20.19</v>
      </c>
      <c r="K55" s="11" t="n">
        <f aca="false">IFERROR(IF(INDEX(Matches!$AA$5:$AA$17,MATCH($C55,Matches!$A$5:$A$17,0))="","",INDEX(Matches!$AA$5:$AA$17,MATCH($C55,Matches!$A$5:$A$17,0))),"")</f>
        <v>20.19</v>
      </c>
      <c r="L55" s="11" t="n">
        <f aca="false">IFERROR(IF(INDEX(Matches!$AB$5:$AB$17,MATCH($C55,Matches!$A$5:$A$17,0))="","",INDEX(Matches!$AB$5:$AB$17,MATCH($C55,Matches!$A$5:$A$17,0))),"")</f>
        <v>21.5</v>
      </c>
      <c r="M55" s="10" t="n">
        <f aca="false">IFERROR(IF(INDEX(Matches!$AC$5:$AC$17,MATCH($C55,Matches!$A$5:$A$17,0))="","",INDEX(Matches!$AC$5:$AC$17,MATCH($C55,Matches!$A$5:$A$17,0))),"")</f>
        <v>0.3196</v>
      </c>
      <c r="N55" s="9" t="n">
        <f aca="false">IFERROR(INDEX(Players!$F$2:$F$105,MATCH($F55,Players!$A$2:$A$105,0)),0)</f>
        <v>40</v>
      </c>
      <c r="O55" s="13" t="n">
        <f aca="false">IFERROR(1/(1/INDEX(Players!$H$2:$H$105,MATCH($F55,Players!$A$2:$A$105,0))),"")</f>
        <v>0.73</v>
      </c>
      <c r="P55" s="10" t="n">
        <f aca="false">IFERROR(1/(1/INDEX(Players!$I$2:$I$105,MATCH($F55,Players!$A$2:$A$105,0))),"")</f>
        <v>0.541</v>
      </c>
      <c r="Q55" s="9" t="n">
        <f aca="false">IF($G55="",0,SUMIFS(Map_Stats!$F$2:$F$642,Map_Stats!$A$2:$A$642,$F55&amp;"|"&amp;$G55))</f>
        <v>9</v>
      </c>
      <c r="R55" s="13" t="n">
        <f aca="false">IF($G55="","",IFERROR(1/(1/INDEX(Map_Stats!$K$2:$K$642,MATCH($F55&amp;"|"&amp;$G55,Map_Stats!$A$2:$A$642,0))),$O55))</f>
        <v>0.82</v>
      </c>
      <c r="S55" s="10" t="n">
        <f aca="false">IF(OR($G55="",$P55=""),"",IFERROR(1/(1/INDEX(Map_Stats!$I$2:$I$642,MATCH($F55&amp;"|"&amp;$G55,Map_Stats!$A$2:$A$642,0))),$P55))</f>
        <v>0.563</v>
      </c>
      <c r="T55" s="13" t="n">
        <f aca="false">IF(OR($G55="",R55=""),"",IF($O55="",R55,(Q55*R55+Config!$B$4*$O55)/(Q55+Config!$B$4)))</f>
        <v>0.787857142857143</v>
      </c>
      <c r="U55" s="10" t="n">
        <f aca="false">IF(S55="","",(Q55*S55+Config!$B$4*$P55)/(Q55+Config!$B$4))</f>
        <v>0.555142857142857</v>
      </c>
      <c r="V55" s="17" t="n">
        <f aca="false">IF(OR(T55="",$J55=""),"",T55*$J55*($J55/Config!$B$10)^Config!$B$9)</f>
        <v>15.9068357142857</v>
      </c>
      <c r="W55" s="17" t="n">
        <f aca="false">IF(OR(V55="",U55=""),"",V55*U55)</f>
        <v>8.83056622653061</v>
      </c>
      <c r="X55" s="9" t="n">
        <f aca="false">IF($H55="",0,SUMIFS(Map_Stats!$F$2:$F$642,Map_Stats!$A$2:$A$642,$F55&amp;"|"&amp;$H55))</f>
        <v>7</v>
      </c>
      <c r="Y55" s="13" t="n">
        <f aca="false">IF($H55="","",IFERROR(1/(1/INDEX(Map_Stats!$K$2:$K$642,MATCH($F55&amp;"|"&amp;$H55,Map_Stats!$A$2:$A$642,0))),$O55))</f>
        <v>0.86</v>
      </c>
      <c r="Z55" s="10" t="n">
        <f aca="false">IF(OR($H55="",$P55=""),"",IFERROR(1/(1/INDEX(Map_Stats!$I$2:$I$642,MATCH($F55&amp;"|"&amp;$H55,Map_Stats!$A$2:$A$642,0))),$P55))</f>
        <v>0.533</v>
      </c>
      <c r="AA55" s="13" t="n">
        <f aca="false">IF(OR($H55="",Y55=""),"",IF($O55="",Y55,(X55*Y55+Config!$B$4*$O55)/(X55+Config!$B$4)))</f>
        <v>0.805833333333333</v>
      </c>
      <c r="AB55" s="10" t="n">
        <f aca="false">IF(Z55="","",(X55*Z55+Config!$B$4*$P55)/(X55+Config!$B$4))</f>
        <v>0.536333333333333</v>
      </c>
      <c r="AC55" s="17" t="n">
        <f aca="false">IF(OR(AA55="",$K55=""),"",AA55*$K55*($K55/Config!$B$10)^Config!$B$9)</f>
        <v>16.269775</v>
      </c>
      <c r="AD55" s="17" t="n">
        <f aca="false">IF(OR(AC55="",AB55=""),"",AC55*AB55)</f>
        <v>8.72602265833333</v>
      </c>
      <c r="AE55" s="9" t="n">
        <f aca="false">IF($I55="",0,SUMIFS(Map_Stats!$F$2:$F$642,Map_Stats!$A$2:$A$642,$F55&amp;"|"&amp;$I55))</f>
        <v>7</v>
      </c>
      <c r="AF55" s="13" t="n">
        <f aca="false">IF($I55="","",IFERROR(1/(1/INDEX(Map_Stats!$K$2:$K$642,MATCH($F55&amp;"|"&amp;$I55,Map_Stats!$A$2:$A$642,0))),$O55))</f>
        <v>0.77</v>
      </c>
      <c r="AG55" s="10" t="n">
        <f aca="false">IF(OR($I55="",$P55=""),"",IFERROR(1/(1/INDEX(Map_Stats!$I$2:$I$642,MATCH($F55&amp;"|"&amp;$I55,Map_Stats!$A$2:$A$642,0))),$P55))</f>
        <v>0.53</v>
      </c>
      <c r="AH55" s="13" t="n">
        <f aca="false">IF(OR($I55="",AF55=""),"",IF($O55="",AF55,(AE55*AF55+Config!$B$4*$O55)/(AE55+Config!$B$4)))</f>
        <v>0.753333333333333</v>
      </c>
      <c r="AI55" s="10" t="n">
        <f aca="false">IF(AG55="","",(AE55*AG55+Config!$B$4*$P55)/(AE55+Config!$B$4))</f>
        <v>0.534583333333333</v>
      </c>
      <c r="AJ55" s="17" t="n">
        <f aca="false">IF(OR(AH55="",$L55=""),"",AH55*$L55*($L55/Config!$B$10)^Config!$B$9)</f>
        <v>16.1966666666667</v>
      </c>
      <c r="AK55" s="17" t="n">
        <f aca="false">IF(OR(AJ55="",AI55=""),"",AJ55*AI55)</f>
        <v>8.65846805555556</v>
      </c>
      <c r="AL55" s="17" t="n">
        <f aca="false">N(V55)+N(AC55)</f>
        <v>32.1766107142857</v>
      </c>
      <c r="AM55" s="17" t="n">
        <f aca="false">AL55+N($M55)*N(AJ55)</f>
        <v>37.3530653809524</v>
      </c>
      <c r="AN55" s="17" t="n">
        <f aca="false">IF(W55="","",N(W55)+N(AD55))</f>
        <v>17.5565888848639</v>
      </c>
      <c r="AO55" s="17" t="n">
        <f aca="false">IF(AN55="","",AN55+N($M55)*N(AK55))</f>
        <v>20.3238352754195</v>
      </c>
      <c r="AP55" s="10" t="n">
        <f aca="false">IFERROR(AN55/AL55,"")</f>
        <v>0.545632013289367</v>
      </c>
      <c r="AQ55" s="0" t="str">
        <f aca="false">TRIM(IF($N55&lt;Config!$B$12,"thin sample ("&amp;$N55&amp;" maps) · ","")&amp;IF(AND($G55&lt;&gt;"",Q55=0),"M1 unplayed→overall KPR · ","")&amp;IF(AND($H55&lt;&gt;"",X55=0),"M2 unplayed→overall KPR · ","")&amp;IF($O55="","no PickFinder stats",""))</f>
        <v/>
      </c>
      <c r="AR55" s="0" t="str">
        <f aca="false">IF($C55=Board!$B$2,COUNTIFS($C$2:$C$105,Board!$B$2,$AL$2:$AL$105,"&gt;"&amp;$AL55)+COUNTIFS($C$1:$C54,Board!$B$2,$AL$1:$AL54,$AL55)+1,"")</f>
        <v/>
      </c>
      <c r="AS55" s="0" t="str">
        <f aca="false">IFERROR(IF($D55=INDEX(Matches!$AD$5:$AD$17,MATCH($C55,Matches!$A$5:$A$17,0)),"A",IF($D55=INDEX(Matches!$AE$5:$AE$17,MATCH($C55,Matches!$A$5:$A$17,0)),"B","")),"")</f>
        <v>A</v>
      </c>
      <c r="AT55" s="10" t="n">
        <f aca="false">IF($AS55="","",IFERROR(IF($AS55="A",INDEX(Matches!$AI$5:$AI$17,MATCH($C55,Matches!$A$5:$A$17,0)),INDEX(Matches!$AJ$5:$AJ$17,MATCH($C55,Matches!$A$5:$A$17,0))),""))</f>
        <v>0.565058271752111</v>
      </c>
      <c r="AU55" s="10" t="n">
        <f aca="false">IF($AS55="","",IFERROR(IF(INDEX(Matches!$AP$5:$AP$17,MATCH($C55,Matches!$A$5:$A$17,0))="","",IF($AS55="A",INDEX(Matches!$AP$5:$AP$17,MATCH($C55,Matches!$A$5:$A$17,0)),1-INDEX(Matches!$AP$5:$AP$17,MATCH($C55,Matches!$A$5:$A$17,0)))),""))</f>
        <v>0.57390517217621</v>
      </c>
      <c r="AV55" s="13" t="n">
        <f aca="false">IF(OR($AU55="",$AT55=""),1,((Config!$B$14*$AU55+Config!$B$15*(1-$AU55))/(Config!$B$14*$AT55+Config!$B$15*(1-$AT55)))^Config!$B$13)</f>
        <v>1.00747137607611</v>
      </c>
      <c r="AW55" s="10" t="n">
        <f aca="false">IF($AS55="","",IFERROR(IF(INDEX(Matches!$AV$5:$AV$17,MATCH($C55,Matches!$A$5:$A$17,0))="","",IF($AS55="A",INDEX(Matches!$AV$5:$AV$17,MATCH($C55,Matches!$A$5:$A$17,0)),1-INDEX(Matches!$AV$5:$AV$17,MATCH($C55,Matches!$A$5:$A$17,0)))),""))</f>
        <v>0.611658749217191</v>
      </c>
      <c r="AX55" s="13" t="n">
        <f aca="false">IF(OR($AW55="",$AT55=""),1,((Config!$B$14*$AW55+Config!$B$15*(1-$AW55))/(Config!$B$14*$AT55+Config!$B$15*(1-$AT55)))^Config!$B$13)</f>
        <v>1.03935499166684</v>
      </c>
      <c r="AY55" s="10" t="n">
        <f aca="false">IF($AS55="","",IFERROR(IF(INDEX(Matches!$BB$5:$BB$17,MATCH($C55,Matches!$A$5:$A$17,0))="","",IF($AS55="A",INDEX(Matches!$BB$5:$BB$17,MATCH($C55,Matches!$A$5:$A$17,0)),1-INDEX(Matches!$BB$5:$BB$17,MATCH($C55,Matches!$A$5:$A$17,0)))),""))</f>
        <v>0.589988868890949</v>
      </c>
      <c r="AZ55" s="13" t="n">
        <f aca="false">IF(OR($AY55="",$AT55=""),1,((Config!$B$14*$AY55+Config!$B$15*(1-$AY55))/(Config!$B$14*$AT55+Config!$B$15*(1-$AT55)))^Config!$B$13)</f>
        <v>1.02105436459065</v>
      </c>
      <c r="BA55" s="17" t="n">
        <f aca="false">IF(V55="","",V55*$AV55)</f>
        <v>16.025681666088</v>
      </c>
      <c r="BB55" s="17" t="n">
        <f aca="false">IF(AC55="","",AC55*$AX55)</f>
        <v>16.9100718595464</v>
      </c>
      <c r="BC55" s="17" t="n">
        <f aca="false">IF(AJ55="","",AJ55*$AZ55)</f>
        <v>16.53767719182</v>
      </c>
      <c r="BD55" s="17" t="n">
        <f aca="false">N(BA55)+N(BB55)</f>
        <v>32.9357535256344</v>
      </c>
      <c r="BE55" s="17" t="n">
        <f aca="false">BD55+N($M55)*N(BC55)</f>
        <v>38.22119515614</v>
      </c>
      <c r="BF55" s="17" t="n">
        <f aca="false">IF(W55="","",W55*$AV55)</f>
        <v>8.89654270777399</v>
      </c>
      <c r="BG55" s="17" t="n">
        <f aca="false">IF(AD55="","",AD55*$AX55)</f>
        <v>9.0694352073367</v>
      </c>
      <c r="BH55" s="17" t="n">
        <f aca="false">IF(AK55="","",AK55*$AZ55)</f>
        <v>8.84076659879375</v>
      </c>
      <c r="BI55" s="17" t="n">
        <f aca="false">IF(BF55="","",N(BF55)+N(BG55))</f>
        <v>17.9659779151107</v>
      </c>
      <c r="BJ55" s="17" t="n">
        <f aca="false">IF(BI55="","",BI55+N($M55)*N(BH55))</f>
        <v>20.7914869200852</v>
      </c>
      <c r="BK55" s="13" t="n">
        <f aca="false">IFERROR(BD55/AL55,1)</f>
        <v>1.02359300108049</v>
      </c>
    </row>
    <row r="56" customFormat="false" ht="15" hidden="false" customHeight="false" outlineLevel="0" collapsed="false">
      <c r="A56" s="0" t="s">
        <v>1014</v>
      </c>
      <c r="B56" s="0" t="s">
        <v>775</v>
      </c>
      <c r="C56" s="0" t="s">
        <v>819</v>
      </c>
      <c r="D56" s="0" t="s">
        <v>824</v>
      </c>
      <c r="E56" s="0" t="s">
        <v>1013</v>
      </c>
      <c r="F56" s="0" t="s">
        <v>1221</v>
      </c>
      <c r="G56" s="0" t="str">
        <f aca="false">IFERROR(IF(INDEX(Matches!$W$5:$W$17,MATCH($C56,Matches!$A$5:$A$17,0))="","",INDEX(Matches!$W$5:$W$17,MATCH($C56,Matches!$A$5:$A$17,0))),"")</f>
        <v>Cache</v>
      </c>
      <c r="H56" s="0" t="str">
        <f aca="false">IFERROR(IF(INDEX(Matches!$X$5:$X$17,MATCH($C56,Matches!$A$5:$A$17,0))="","",INDEX(Matches!$X$5:$X$17,MATCH($C56,Matches!$A$5:$A$17,0))),"")</f>
        <v>Inferno</v>
      </c>
      <c r="I56" s="0" t="str">
        <f aca="false">IFERROR(IF(INDEX(Matches!$Y$5:$Y$17,MATCH($C56,Matches!$A$5:$A$17,0))="","",INDEX(Matches!$Y$5:$Y$17,MATCH($C56,Matches!$A$5:$A$17,0))),"")</f>
        <v>Ancient</v>
      </c>
      <c r="J56" s="11" t="n">
        <f aca="false">IFERROR(IF(INDEX(Matches!$Z$5:$Z$17,MATCH($C56,Matches!$A$5:$A$17,0))="","",INDEX(Matches!$Z$5:$Z$17,MATCH($C56,Matches!$A$5:$A$17,0))),"")</f>
        <v>20.19</v>
      </c>
      <c r="K56" s="11" t="n">
        <f aca="false">IFERROR(IF(INDEX(Matches!$AA$5:$AA$17,MATCH($C56,Matches!$A$5:$A$17,0))="","",INDEX(Matches!$AA$5:$AA$17,MATCH($C56,Matches!$A$5:$A$17,0))),"")</f>
        <v>20.19</v>
      </c>
      <c r="L56" s="11" t="n">
        <f aca="false">IFERROR(IF(INDEX(Matches!$AB$5:$AB$17,MATCH($C56,Matches!$A$5:$A$17,0))="","",INDEX(Matches!$AB$5:$AB$17,MATCH($C56,Matches!$A$5:$A$17,0))),"")</f>
        <v>21.5</v>
      </c>
      <c r="M56" s="10" t="n">
        <f aca="false">IFERROR(IF(INDEX(Matches!$AC$5:$AC$17,MATCH($C56,Matches!$A$5:$A$17,0))="","",INDEX(Matches!$AC$5:$AC$17,MATCH($C56,Matches!$A$5:$A$17,0))),"")</f>
        <v>0.3196</v>
      </c>
      <c r="N56" s="9" t="n">
        <f aca="false">IFERROR(INDEX(Players!$F$2:$F$105,MATCH($F56,Players!$A$2:$A$105,0)),0)</f>
        <v>40</v>
      </c>
      <c r="O56" s="13" t="n">
        <f aca="false">IFERROR(1/(1/INDEX(Players!$H$2:$H$105,MATCH($F56,Players!$A$2:$A$105,0))),"")</f>
        <v>0.67</v>
      </c>
      <c r="P56" s="10" t="n">
        <f aca="false">IFERROR(1/(1/INDEX(Players!$I$2:$I$105,MATCH($F56,Players!$A$2:$A$105,0))),"")</f>
        <v>0.549</v>
      </c>
      <c r="Q56" s="9" t="n">
        <f aca="false">IF($G56="",0,SUMIFS(Map_Stats!$F$2:$F$642,Map_Stats!$A$2:$A$642,$F56&amp;"|"&amp;$G56))</f>
        <v>9</v>
      </c>
      <c r="R56" s="13" t="n">
        <f aca="false">IF($G56="","",IFERROR(1/(1/INDEX(Map_Stats!$K$2:$K$642,MATCH($F56&amp;"|"&amp;$G56,Map_Stats!$A$2:$A$642,0))),$O56))</f>
        <v>0.71</v>
      </c>
      <c r="S56" s="10" t="n">
        <f aca="false">IF(OR($G56="",$P56=""),"",IFERROR(1/(1/INDEX(Map_Stats!$I$2:$I$642,MATCH($F56&amp;"|"&amp;$G56,Map_Stats!$A$2:$A$642,0))),$P56))</f>
        <v>0.55</v>
      </c>
      <c r="T56" s="13" t="n">
        <f aca="false">IF(OR($G56="",R56=""),"",IF($O56="",R56,(Q56*R56+Config!$B$4*$O56)/(Q56+Config!$B$4)))</f>
        <v>0.695714285714286</v>
      </c>
      <c r="U56" s="10" t="n">
        <f aca="false">IF(S56="","",(Q56*S56+Config!$B$4*$P56)/(Q56+Config!$B$4))</f>
        <v>0.549642857142857</v>
      </c>
      <c r="V56" s="17" t="n">
        <f aca="false">IF(OR(T56="",$J56=""),"",T56*$J56*($J56/Config!$B$10)^Config!$B$9)</f>
        <v>14.0464714285714</v>
      </c>
      <c r="W56" s="17" t="n">
        <f aca="false">IF(OR(V56="",U56=""),"",V56*U56)</f>
        <v>7.72054268877551</v>
      </c>
      <c r="X56" s="9" t="n">
        <f aca="false">IF($H56="",0,SUMIFS(Map_Stats!$F$2:$F$642,Map_Stats!$A$2:$A$642,$F56&amp;"|"&amp;$H56))</f>
        <v>7</v>
      </c>
      <c r="Y56" s="13" t="n">
        <f aca="false">IF($H56="","",IFERROR(1/(1/INDEX(Map_Stats!$K$2:$K$642,MATCH($F56&amp;"|"&amp;$H56,Map_Stats!$A$2:$A$642,0))),$O56))</f>
        <v>0.63</v>
      </c>
      <c r="Z56" s="10" t="n">
        <f aca="false">IF(OR($H56="",$P56=""),"",IFERROR(1/(1/INDEX(Map_Stats!$I$2:$I$642,MATCH($F56&amp;"|"&amp;$H56,Map_Stats!$A$2:$A$642,0))),$P56))</f>
        <v>0.545</v>
      </c>
      <c r="AA56" s="13" t="n">
        <f aca="false">IF(OR($H56="",Y56=""),"",IF($O56="",Y56,(X56*Y56+Config!$B$4*$O56)/(X56+Config!$B$4)))</f>
        <v>0.646666666666667</v>
      </c>
      <c r="AB56" s="10" t="n">
        <f aca="false">IF(Z56="","",(X56*Z56+Config!$B$4*$P56)/(X56+Config!$B$4))</f>
        <v>0.546666666666667</v>
      </c>
      <c r="AC56" s="17" t="n">
        <f aca="false">IF(OR(AA56="",$K56=""),"",AA56*$K56*($K56/Config!$B$10)^Config!$B$9)</f>
        <v>13.0562</v>
      </c>
      <c r="AD56" s="17" t="n">
        <f aca="false">IF(OR(AC56="",AB56=""),"",AC56*AB56)</f>
        <v>7.13738933333334</v>
      </c>
      <c r="AE56" s="9" t="n">
        <f aca="false">IF($I56="",0,SUMIFS(Map_Stats!$F$2:$F$642,Map_Stats!$A$2:$A$642,$F56&amp;"|"&amp;$I56))</f>
        <v>7</v>
      </c>
      <c r="AF56" s="13" t="n">
        <f aca="false">IF($I56="","",IFERROR(1/(1/INDEX(Map_Stats!$K$2:$K$642,MATCH($F56&amp;"|"&amp;$I56,Map_Stats!$A$2:$A$642,0))),$O56))</f>
        <v>0.6</v>
      </c>
      <c r="AG56" s="10" t="n">
        <f aca="false">IF(OR($I56="",$P56=""),"",IFERROR(1/(1/INDEX(Map_Stats!$I$2:$I$642,MATCH($F56&amp;"|"&amp;$I56,Map_Stats!$A$2:$A$642,0))),$P56))</f>
        <v>0.533</v>
      </c>
      <c r="AH56" s="13" t="n">
        <f aca="false">IF(OR($I56="",AF56=""),"",IF($O56="",AF56,(AE56*AF56+Config!$B$4*$O56)/(AE56+Config!$B$4)))</f>
        <v>0.629166666666667</v>
      </c>
      <c r="AI56" s="10" t="n">
        <f aca="false">IF(AG56="","",(AE56*AG56+Config!$B$4*$P56)/(AE56+Config!$B$4))</f>
        <v>0.539666666666667</v>
      </c>
      <c r="AJ56" s="17" t="n">
        <f aca="false">IF(OR(AH56="",$L56=""),"",AH56*$L56*($L56/Config!$B$10)^Config!$B$9)</f>
        <v>13.5270833333333</v>
      </c>
      <c r="AK56" s="17" t="n">
        <f aca="false">IF(OR(AJ56="",AI56=""),"",AJ56*AI56)</f>
        <v>7.30011597222222</v>
      </c>
      <c r="AL56" s="17" t="n">
        <f aca="false">N(V56)+N(AC56)</f>
        <v>27.1026714285714</v>
      </c>
      <c r="AM56" s="17" t="n">
        <f aca="false">AL56+N($M56)*N(AJ56)</f>
        <v>31.4259272619048</v>
      </c>
      <c r="AN56" s="17" t="n">
        <f aca="false">IF(W56="","",N(W56)+N(AD56))</f>
        <v>14.8579320221088</v>
      </c>
      <c r="AO56" s="17" t="n">
        <f aca="false">IF(AN56="","",AN56+N($M56)*N(AK56))</f>
        <v>17.1910490868311</v>
      </c>
      <c r="AP56" s="10" t="n">
        <f aca="false">IFERROR(AN56/AL56,"")</f>
        <v>0.54820913360023</v>
      </c>
      <c r="AQ56" s="0" t="str">
        <f aca="false">TRIM(IF($N56&lt;Config!$B$12,"thin sample ("&amp;$N56&amp;" maps) · ","")&amp;IF(AND($G56&lt;&gt;"",Q56=0),"M1 unplayed→overall KPR · ","")&amp;IF(AND($H56&lt;&gt;"",X56=0),"M2 unplayed→overall KPR · ","")&amp;IF($O56="","no PickFinder stats",""))</f>
        <v/>
      </c>
      <c r="AR56" s="0" t="str">
        <f aca="false">IF($C56=Board!$B$2,COUNTIFS($C$2:$C$105,Board!$B$2,$AL$2:$AL$105,"&gt;"&amp;$AL56)+COUNTIFS($C$1:$C55,Board!$B$2,$AL$1:$AL55,$AL56)+1,"")</f>
        <v/>
      </c>
      <c r="AS56" s="0" t="str">
        <f aca="false">IFERROR(IF($D56=INDEX(Matches!$AD$5:$AD$17,MATCH($C56,Matches!$A$5:$A$17,0)),"A",IF($D56=INDEX(Matches!$AE$5:$AE$17,MATCH($C56,Matches!$A$5:$A$17,0)),"B","")),"")</f>
        <v>A</v>
      </c>
      <c r="AT56" s="10" t="n">
        <f aca="false">IF($AS56="","",IFERROR(IF($AS56="A",INDEX(Matches!$AI$5:$AI$17,MATCH($C56,Matches!$A$5:$A$17,0)),INDEX(Matches!$AJ$5:$AJ$17,MATCH($C56,Matches!$A$5:$A$17,0))),""))</f>
        <v>0.565058271752111</v>
      </c>
      <c r="AU56" s="10" t="n">
        <f aca="false">IF($AS56="","",IFERROR(IF(INDEX(Matches!$AP$5:$AP$17,MATCH($C56,Matches!$A$5:$A$17,0))="","",IF($AS56="A",INDEX(Matches!$AP$5:$AP$17,MATCH($C56,Matches!$A$5:$A$17,0)),1-INDEX(Matches!$AP$5:$AP$17,MATCH($C56,Matches!$A$5:$A$17,0)))),""))</f>
        <v>0.57390517217621</v>
      </c>
      <c r="AV56" s="13" t="n">
        <f aca="false">IF(OR($AU56="",$AT56=""),1,((Config!$B$14*$AU56+Config!$B$15*(1-$AU56))/(Config!$B$14*$AT56+Config!$B$15*(1-$AT56)))^Config!$B$13)</f>
        <v>1.00747137607611</v>
      </c>
      <c r="AW56" s="10" t="n">
        <f aca="false">IF($AS56="","",IFERROR(IF(INDEX(Matches!$AV$5:$AV$17,MATCH($C56,Matches!$A$5:$A$17,0))="","",IF($AS56="A",INDEX(Matches!$AV$5:$AV$17,MATCH($C56,Matches!$A$5:$A$17,0)),1-INDEX(Matches!$AV$5:$AV$17,MATCH($C56,Matches!$A$5:$A$17,0)))),""))</f>
        <v>0.611658749217191</v>
      </c>
      <c r="AX56" s="13" t="n">
        <f aca="false">IF(OR($AW56="",$AT56=""),1,((Config!$B$14*$AW56+Config!$B$15*(1-$AW56))/(Config!$B$14*$AT56+Config!$B$15*(1-$AT56)))^Config!$B$13)</f>
        <v>1.03935499166684</v>
      </c>
      <c r="AY56" s="10" t="n">
        <f aca="false">IF($AS56="","",IFERROR(IF(INDEX(Matches!$BB$5:$BB$17,MATCH($C56,Matches!$A$5:$A$17,0))="","",IF($AS56="A",INDEX(Matches!$BB$5:$BB$17,MATCH($C56,Matches!$A$5:$A$17,0)),1-INDEX(Matches!$BB$5:$BB$17,MATCH($C56,Matches!$A$5:$A$17,0)))),""))</f>
        <v>0.589988868890949</v>
      </c>
      <c r="AZ56" s="13" t="n">
        <f aca="false">IF(OR($AY56="",$AT56=""),1,((Config!$B$14*$AY56+Config!$B$15*(1-$AY56))/(Config!$B$14*$AT56+Config!$B$15*(1-$AT56)))^Config!$B$13)</f>
        <v>1.02105436459065</v>
      </c>
      <c r="BA56" s="17" t="n">
        <f aca="false">IF(V56="","",V56*$AV56)</f>
        <v>14.1514178991566</v>
      </c>
      <c r="BB56" s="17" t="n">
        <f aca="false">IF(AC56="","",AC56*$AX56)</f>
        <v>13.5700266422006</v>
      </c>
      <c r="BC56" s="17" t="n">
        <f aca="false">IF(AJ56="","",AJ56*$AZ56)</f>
        <v>13.8118874776815</v>
      </c>
      <c r="BD56" s="17" t="n">
        <f aca="false">N(BA56)+N(BB56)</f>
        <v>27.7214445413572</v>
      </c>
      <c r="BE56" s="17" t="n">
        <f aca="false">BD56+N($M56)*N(BC56)</f>
        <v>32.1357237792242</v>
      </c>
      <c r="BF56" s="17" t="n">
        <f aca="false">IF(W56="","",W56*$AV56)</f>
        <v>7.77822576671499</v>
      </c>
      <c r="BG56" s="17" t="n">
        <f aca="false">IF(AD56="","",AD56*$AX56)</f>
        <v>7.41828123106967</v>
      </c>
      <c r="BH56" s="17" t="n">
        <f aca="false">IF(AK56="","",AK56*$AZ56)</f>
        <v>7.45381527545544</v>
      </c>
      <c r="BI56" s="17" t="n">
        <f aca="false">IF(BF56="","",N(BF56)+N(BG56))</f>
        <v>15.1965069977847</v>
      </c>
      <c r="BJ56" s="17" t="n">
        <f aca="false">IF(BI56="","",BI56+N($M56)*N(BH56))</f>
        <v>17.5787463598202</v>
      </c>
      <c r="BK56" s="13" t="n">
        <f aca="false">IFERROR(BD56/AL56,1)</f>
        <v>1.02283070561574</v>
      </c>
    </row>
    <row r="57" customFormat="false" ht="15" hidden="false" customHeight="false" outlineLevel="0" collapsed="false">
      <c r="A57" s="0" t="s">
        <v>1016</v>
      </c>
      <c r="B57" s="0" t="s">
        <v>775</v>
      </c>
      <c r="C57" s="0" t="s">
        <v>819</v>
      </c>
      <c r="D57" s="0" t="s">
        <v>824</v>
      </c>
      <c r="E57" s="0" t="s">
        <v>1015</v>
      </c>
      <c r="F57" s="0" t="s">
        <v>1222</v>
      </c>
      <c r="G57" s="0" t="str">
        <f aca="false">IFERROR(IF(INDEX(Matches!$W$5:$W$17,MATCH($C57,Matches!$A$5:$A$17,0))="","",INDEX(Matches!$W$5:$W$17,MATCH($C57,Matches!$A$5:$A$17,0))),"")</f>
        <v>Cache</v>
      </c>
      <c r="H57" s="0" t="str">
        <f aca="false">IFERROR(IF(INDEX(Matches!$X$5:$X$17,MATCH($C57,Matches!$A$5:$A$17,0))="","",INDEX(Matches!$X$5:$X$17,MATCH($C57,Matches!$A$5:$A$17,0))),"")</f>
        <v>Inferno</v>
      </c>
      <c r="I57" s="0" t="str">
        <f aca="false">IFERROR(IF(INDEX(Matches!$Y$5:$Y$17,MATCH($C57,Matches!$A$5:$A$17,0))="","",INDEX(Matches!$Y$5:$Y$17,MATCH($C57,Matches!$A$5:$A$17,0))),"")</f>
        <v>Ancient</v>
      </c>
      <c r="J57" s="11" t="n">
        <f aca="false">IFERROR(IF(INDEX(Matches!$Z$5:$Z$17,MATCH($C57,Matches!$A$5:$A$17,0))="","",INDEX(Matches!$Z$5:$Z$17,MATCH($C57,Matches!$A$5:$A$17,0))),"")</f>
        <v>20.19</v>
      </c>
      <c r="K57" s="11" t="n">
        <f aca="false">IFERROR(IF(INDEX(Matches!$AA$5:$AA$17,MATCH($C57,Matches!$A$5:$A$17,0))="","",INDEX(Matches!$AA$5:$AA$17,MATCH($C57,Matches!$A$5:$A$17,0))),"")</f>
        <v>20.19</v>
      </c>
      <c r="L57" s="11" t="n">
        <f aca="false">IFERROR(IF(INDEX(Matches!$AB$5:$AB$17,MATCH($C57,Matches!$A$5:$A$17,0))="","",INDEX(Matches!$AB$5:$AB$17,MATCH($C57,Matches!$A$5:$A$17,0))),"")</f>
        <v>21.5</v>
      </c>
      <c r="M57" s="10" t="n">
        <f aca="false">IFERROR(IF(INDEX(Matches!$AC$5:$AC$17,MATCH($C57,Matches!$A$5:$A$17,0))="","",INDEX(Matches!$AC$5:$AC$17,MATCH($C57,Matches!$A$5:$A$17,0))),"")</f>
        <v>0.3196</v>
      </c>
      <c r="N57" s="9" t="n">
        <f aca="false">IFERROR(INDEX(Players!$F$2:$F$105,MATCH($F57,Players!$A$2:$A$105,0)),0)</f>
        <v>40</v>
      </c>
      <c r="O57" s="13" t="n">
        <f aca="false">IFERROR(1/(1/INDEX(Players!$H$2:$H$105,MATCH($F57,Players!$A$2:$A$105,0))),"")</f>
        <v>0.65</v>
      </c>
      <c r="P57" s="10" t="n">
        <f aca="false">IFERROR(1/(1/INDEX(Players!$I$2:$I$105,MATCH($F57,Players!$A$2:$A$105,0))),"")</f>
        <v>0.384</v>
      </c>
      <c r="Q57" s="9" t="n">
        <f aca="false">IF($G57="",0,SUMIFS(Map_Stats!$F$2:$F$642,Map_Stats!$A$2:$A$642,$F57&amp;"|"&amp;$G57))</f>
        <v>9</v>
      </c>
      <c r="R57" s="13" t="n">
        <f aca="false">IF($G57="","",IFERROR(1/(1/INDEX(Map_Stats!$K$2:$K$642,MATCH($F57&amp;"|"&amp;$G57,Map_Stats!$A$2:$A$642,0))),$O57))</f>
        <v>0.6</v>
      </c>
      <c r="S57" s="10" t="n">
        <f aca="false">IF(OR($G57="",$P57=""),"",IFERROR(1/(1/INDEX(Map_Stats!$I$2:$I$642,MATCH($F57&amp;"|"&amp;$G57,Map_Stats!$A$2:$A$642,0))),$P57))</f>
        <v>0.382</v>
      </c>
      <c r="T57" s="13" t="n">
        <f aca="false">IF(OR($G57="",R57=""),"",IF($O57="",R57,(Q57*R57+Config!$B$4*$O57)/(Q57+Config!$B$4)))</f>
        <v>0.617857142857143</v>
      </c>
      <c r="U57" s="10" t="n">
        <f aca="false">IF(S57="","",(Q57*S57+Config!$B$4*$P57)/(Q57+Config!$B$4))</f>
        <v>0.382714285714286</v>
      </c>
      <c r="V57" s="17" t="n">
        <f aca="false">IF(OR(T57="",$J57=""),"",T57*$J57*($J57/Config!$B$10)^Config!$B$9)</f>
        <v>12.4745357142857</v>
      </c>
      <c r="W57" s="17" t="n">
        <f aca="false">IF(OR(V57="",U57=""),"",V57*U57)</f>
        <v>4.7741830255102</v>
      </c>
      <c r="X57" s="9" t="n">
        <f aca="false">IF($H57="",0,SUMIFS(Map_Stats!$F$2:$F$642,Map_Stats!$A$2:$A$642,$F57&amp;"|"&amp;$H57))</f>
        <v>7</v>
      </c>
      <c r="Y57" s="13" t="n">
        <f aca="false">IF($H57="","",IFERROR(1/(1/INDEX(Map_Stats!$K$2:$K$642,MATCH($F57&amp;"|"&amp;$H57,Map_Stats!$A$2:$A$642,0))),$O57))</f>
        <v>0.61</v>
      </c>
      <c r="Z57" s="10" t="n">
        <f aca="false">IF(OR($H57="",$P57=""),"",IFERROR(1/(1/INDEX(Map_Stats!$I$2:$I$642,MATCH($F57&amp;"|"&amp;$H57,Map_Stats!$A$2:$A$642,0))),$P57))</f>
        <v>0.482</v>
      </c>
      <c r="AA57" s="13" t="n">
        <f aca="false">IF(OR($H57="",Y57=""),"",IF($O57="",Y57,(X57*Y57+Config!$B$4*$O57)/(X57+Config!$B$4)))</f>
        <v>0.626666666666667</v>
      </c>
      <c r="AB57" s="10" t="n">
        <f aca="false">IF(Z57="","",(X57*Z57+Config!$B$4*$P57)/(X57+Config!$B$4))</f>
        <v>0.441166666666667</v>
      </c>
      <c r="AC57" s="17" t="n">
        <f aca="false">IF(OR(AA57="",$K57=""),"",AA57*$K57*($K57/Config!$B$10)^Config!$B$9)</f>
        <v>12.6524</v>
      </c>
      <c r="AD57" s="17" t="n">
        <f aca="false">IF(OR(AC57="",AB57=""),"",AC57*AB57)</f>
        <v>5.58181713333333</v>
      </c>
      <c r="AE57" s="9" t="n">
        <f aca="false">IF($I57="",0,SUMIFS(Map_Stats!$F$2:$F$642,Map_Stats!$A$2:$A$642,$F57&amp;"|"&amp;$I57))</f>
        <v>7</v>
      </c>
      <c r="AF57" s="13" t="n">
        <f aca="false">IF($I57="","",IFERROR(1/(1/INDEX(Map_Stats!$K$2:$K$642,MATCH($F57&amp;"|"&amp;$I57,Map_Stats!$A$2:$A$642,0))),$O57))</f>
        <v>0.78</v>
      </c>
      <c r="AG57" s="10" t="n">
        <f aca="false">IF(OR($I57="",$P57=""),"",IFERROR(1/(1/INDEX(Map_Stats!$I$2:$I$642,MATCH($F57&amp;"|"&amp;$I57,Map_Stats!$A$2:$A$642,0))),$P57))</f>
        <v>0.331</v>
      </c>
      <c r="AH57" s="13" t="n">
        <f aca="false">IF(OR($I57="",AF57=""),"",IF($O57="",AF57,(AE57*AF57+Config!$B$4*$O57)/(AE57+Config!$B$4)))</f>
        <v>0.725833333333333</v>
      </c>
      <c r="AI57" s="10" t="n">
        <f aca="false">IF(AG57="","",(AE57*AG57+Config!$B$4*$P57)/(AE57+Config!$B$4))</f>
        <v>0.353083333333333</v>
      </c>
      <c r="AJ57" s="17" t="n">
        <f aca="false">IF(OR(AH57="",$L57=""),"",AH57*$L57*($L57/Config!$B$10)^Config!$B$9)</f>
        <v>15.6054166666667</v>
      </c>
      <c r="AK57" s="17" t="n">
        <f aca="false">IF(OR(AJ57="",AI57=""),"",AJ57*AI57)</f>
        <v>5.51001253472222</v>
      </c>
      <c r="AL57" s="17" t="n">
        <f aca="false">N(V57)+N(AC57)</f>
        <v>25.1269357142857</v>
      </c>
      <c r="AM57" s="17" t="n">
        <f aca="false">AL57+N($M57)*N(AJ57)</f>
        <v>30.1144268809524</v>
      </c>
      <c r="AN57" s="17" t="n">
        <f aca="false">IF(W57="","",N(W57)+N(AD57))</f>
        <v>10.3560001588435</v>
      </c>
      <c r="AO57" s="17" t="n">
        <f aca="false">IF(AN57="","",AN57+N($M57)*N(AK57))</f>
        <v>12.1170001649408</v>
      </c>
      <c r="AP57" s="10" t="n">
        <f aca="false">IFERROR(AN57/AL57,"")</f>
        <v>0.412147357584702</v>
      </c>
      <c r="AQ57" s="0" t="str">
        <f aca="false">TRIM(IF($N57&lt;Config!$B$12,"thin sample ("&amp;$N57&amp;" maps) · ","")&amp;IF(AND($G57&lt;&gt;"",Q57=0),"M1 unplayed→overall KPR · ","")&amp;IF(AND($H57&lt;&gt;"",X57=0),"M2 unplayed→overall KPR · ","")&amp;IF($O57="","no PickFinder stats",""))</f>
        <v/>
      </c>
      <c r="AR57" s="0" t="str">
        <f aca="false">IF($C57=Board!$B$2,COUNTIFS($C$2:$C$105,Board!$B$2,$AL$2:$AL$105,"&gt;"&amp;$AL57)+COUNTIFS($C$1:$C56,Board!$B$2,$AL$1:$AL56,$AL57)+1,"")</f>
        <v/>
      </c>
      <c r="AS57" s="0" t="str">
        <f aca="false">IFERROR(IF($D57=INDEX(Matches!$AD$5:$AD$17,MATCH($C57,Matches!$A$5:$A$17,0)),"A",IF($D57=INDEX(Matches!$AE$5:$AE$17,MATCH($C57,Matches!$A$5:$A$17,0)),"B","")),"")</f>
        <v>A</v>
      </c>
      <c r="AT57" s="10" t="n">
        <f aca="false">IF($AS57="","",IFERROR(IF($AS57="A",INDEX(Matches!$AI$5:$AI$17,MATCH($C57,Matches!$A$5:$A$17,0)),INDEX(Matches!$AJ$5:$AJ$17,MATCH($C57,Matches!$A$5:$A$17,0))),""))</f>
        <v>0.565058271752111</v>
      </c>
      <c r="AU57" s="10" t="n">
        <f aca="false">IF($AS57="","",IFERROR(IF(INDEX(Matches!$AP$5:$AP$17,MATCH($C57,Matches!$A$5:$A$17,0))="","",IF($AS57="A",INDEX(Matches!$AP$5:$AP$17,MATCH($C57,Matches!$A$5:$A$17,0)),1-INDEX(Matches!$AP$5:$AP$17,MATCH($C57,Matches!$A$5:$A$17,0)))),""))</f>
        <v>0.57390517217621</v>
      </c>
      <c r="AV57" s="13" t="n">
        <f aca="false">IF(OR($AU57="",$AT57=""),1,((Config!$B$14*$AU57+Config!$B$15*(1-$AU57))/(Config!$B$14*$AT57+Config!$B$15*(1-$AT57)))^Config!$B$13)</f>
        <v>1.00747137607611</v>
      </c>
      <c r="AW57" s="10" t="n">
        <f aca="false">IF($AS57="","",IFERROR(IF(INDEX(Matches!$AV$5:$AV$17,MATCH($C57,Matches!$A$5:$A$17,0))="","",IF($AS57="A",INDEX(Matches!$AV$5:$AV$17,MATCH($C57,Matches!$A$5:$A$17,0)),1-INDEX(Matches!$AV$5:$AV$17,MATCH($C57,Matches!$A$5:$A$17,0)))),""))</f>
        <v>0.611658749217191</v>
      </c>
      <c r="AX57" s="13" t="n">
        <f aca="false">IF(OR($AW57="",$AT57=""),1,((Config!$B$14*$AW57+Config!$B$15*(1-$AW57))/(Config!$B$14*$AT57+Config!$B$15*(1-$AT57)))^Config!$B$13)</f>
        <v>1.03935499166684</v>
      </c>
      <c r="AY57" s="10" t="n">
        <f aca="false">IF($AS57="","",IFERROR(IF(INDEX(Matches!$BB$5:$BB$17,MATCH($C57,Matches!$A$5:$A$17,0))="","",IF($AS57="A",INDEX(Matches!$BB$5:$BB$17,MATCH($C57,Matches!$A$5:$A$17,0)),1-INDEX(Matches!$BB$5:$BB$17,MATCH($C57,Matches!$A$5:$A$17,0)))),""))</f>
        <v>0.589988868890949</v>
      </c>
      <c r="AZ57" s="13" t="n">
        <f aca="false">IF(OR($AY57="",$AT57=""),1,((Config!$B$14*$AY57+Config!$B$15*(1-$AY57))/(Config!$B$14*$AT57+Config!$B$15*(1-$AT57)))^Config!$B$13)</f>
        <v>1.02105436459065</v>
      </c>
      <c r="BA57" s="17" t="n">
        <f aca="false">IF(V57="","",V57*$AV57)</f>
        <v>12.567737661982</v>
      </c>
      <c r="BB57" s="17" t="n">
        <f aca="false">IF(AC57="","",AC57*$AX57)</f>
        <v>13.1503350965655</v>
      </c>
      <c r="BC57" s="17" t="n">
        <f aca="false">IF(AJ57="","",AJ57*$AZ57)</f>
        <v>15.9339787987557</v>
      </c>
      <c r="BD57" s="17" t="n">
        <f aca="false">N(BA57)+N(BB57)</f>
        <v>25.7180727585475</v>
      </c>
      <c r="BE57" s="17" t="n">
        <f aca="false">BD57+N($M57)*N(BC57)</f>
        <v>30.8105723826298</v>
      </c>
      <c r="BF57" s="17" t="n">
        <f aca="false">IF(W57="","",W57*$AV57)</f>
        <v>4.80985274234996</v>
      </c>
      <c r="BG57" s="17" t="n">
        <f aca="false">IF(AD57="","",AD57*$AX57)</f>
        <v>5.80148950010149</v>
      </c>
      <c r="BH57" s="17" t="n">
        <f aca="false">IF(AK57="","",AK57*$AZ57)</f>
        <v>5.62602234752733</v>
      </c>
      <c r="BI57" s="17" t="n">
        <f aca="false">IF(BF57="","",N(BF57)+N(BG57))</f>
        <v>10.6113422424515</v>
      </c>
      <c r="BJ57" s="17" t="n">
        <f aca="false">IF(BI57="","",BI57+N($M57)*N(BH57))</f>
        <v>12.4094189847212</v>
      </c>
      <c r="BK57" s="13" t="n">
        <f aca="false">IFERROR(BD57/AL57,1)</f>
        <v>1.02352603003341</v>
      </c>
    </row>
    <row r="58" customFormat="false" ht="15" hidden="false" customHeight="false" outlineLevel="0" collapsed="false">
      <c r="A58" s="0" t="s">
        <v>1018</v>
      </c>
      <c r="B58" s="0" t="s">
        <v>775</v>
      </c>
      <c r="C58" s="0" t="s">
        <v>819</v>
      </c>
      <c r="D58" s="0" t="s">
        <v>824</v>
      </c>
      <c r="E58" s="0" t="s">
        <v>1017</v>
      </c>
      <c r="F58" s="0" t="s">
        <v>1223</v>
      </c>
      <c r="G58" s="0" t="str">
        <f aca="false">IFERROR(IF(INDEX(Matches!$W$5:$W$17,MATCH($C58,Matches!$A$5:$A$17,0))="","",INDEX(Matches!$W$5:$W$17,MATCH($C58,Matches!$A$5:$A$17,0))),"")</f>
        <v>Cache</v>
      </c>
      <c r="H58" s="0" t="str">
        <f aca="false">IFERROR(IF(INDEX(Matches!$X$5:$X$17,MATCH($C58,Matches!$A$5:$A$17,0))="","",INDEX(Matches!$X$5:$X$17,MATCH($C58,Matches!$A$5:$A$17,0))),"")</f>
        <v>Inferno</v>
      </c>
      <c r="I58" s="0" t="str">
        <f aca="false">IFERROR(IF(INDEX(Matches!$Y$5:$Y$17,MATCH($C58,Matches!$A$5:$A$17,0))="","",INDEX(Matches!$Y$5:$Y$17,MATCH($C58,Matches!$A$5:$A$17,0))),"")</f>
        <v>Ancient</v>
      </c>
      <c r="J58" s="11" t="n">
        <f aca="false">IFERROR(IF(INDEX(Matches!$Z$5:$Z$17,MATCH($C58,Matches!$A$5:$A$17,0))="","",INDEX(Matches!$Z$5:$Z$17,MATCH($C58,Matches!$A$5:$A$17,0))),"")</f>
        <v>20.19</v>
      </c>
      <c r="K58" s="11" t="n">
        <f aca="false">IFERROR(IF(INDEX(Matches!$AA$5:$AA$17,MATCH($C58,Matches!$A$5:$A$17,0))="","",INDEX(Matches!$AA$5:$AA$17,MATCH($C58,Matches!$A$5:$A$17,0))),"")</f>
        <v>20.19</v>
      </c>
      <c r="L58" s="11" t="n">
        <f aca="false">IFERROR(IF(INDEX(Matches!$AB$5:$AB$17,MATCH($C58,Matches!$A$5:$A$17,0))="","",INDEX(Matches!$AB$5:$AB$17,MATCH($C58,Matches!$A$5:$A$17,0))),"")</f>
        <v>21.5</v>
      </c>
      <c r="M58" s="10" t="n">
        <f aca="false">IFERROR(IF(INDEX(Matches!$AC$5:$AC$17,MATCH($C58,Matches!$A$5:$A$17,0))="","",INDEX(Matches!$AC$5:$AC$17,MATCH($C58,Matches!$A$5:$A$17,0))),"")</f>
        <v>0.3196</v>
      </c>
      <c r="N58" s="9" t="n">
        <f aca="false">IFERROR(INDEX(Players!$F$2:$F$105,MATCH($F58,Players!$A$2:$A$105,0)),0)</f>
        <v>40</v>
      </c>
      <c r="O58" s="13" t="n">
        <f aca="false">IFERROR(1/(1/INDEX(Players!$H$2:$H$105,MATCH($F58,Players!$A$2:$A$105,0))),"")</f>
        <v>0.78</v>
      </c>
      <c r="P58" s="10" t="n">
        <f aca="false">IFERROR(1/(1/INDEX(Players!$I$2:$I$105,MATCH($F58,Players!$A$2:$A$105,0))),"")</f>
        <v>0.603</v>
      </c>
      <c r="Q58" s="9" t="n">
        <f aca="false">IF($G58="",0,SUMIFS(Map_Stats!$F$2:$F$642,Map_Stats!$A$2:$A$642,$F58&amp;"|"&amp;$G58))</f>
        <v>9</v>
      </c>
      <c r="R58" s="13" t="n">
        <f aca="false">IF($G58="","",IFERROR(1/(1/INDEX(Map_Stats!$K$2:$K$642,MATCH($F58&amp;"|"&amp;$G58,Map_Stats!$A$2:$A$642,0))),$O58))</f>
        <v>0.9</v>
      </c>
      <c r="S58" s="10" t="n">
        <f aca="false">IF(OR($G58="",$P58=""),"",IFERROR(1/(1/INDEX(Map_Stats!$I$2:$I$642,MATCH($F58&amp;"|"&amp;$G58,Map_Stats!$A$2:$A$642,0))),$P58))</f>
        <v>0.63</v>
      </c>
      <c r="T58" s="13" t="n">
        <f aca="false">IF(OR($G58="",R58=""),"",IF($O58="",R58,(Q58*R58+Config!$B$4*$O58)/(Q58+Config!$B$4)))</f>
        <v>0.857142857142857</v>
      </c>
      <c r="U58" s="10" t="n">
        <f aca="false">IF(S58="","",(Q58*S58+Config!$B$4*$P58)/(Q58+Config!$B$4))</f>
        <v>0.620357142857143</v>
      </c>
      <c r="V58" s="17" t="n">
        <f aca="false">IF(OR(T58="",$J58=""),"",T58*$J58*($J58/Config!$B$10)^Config!$B$9)</f>
        <v>17.3057142857143</v>
      </c>
      <c r="W58" s="17" t="n">
        <f aca="false">IF(OR(V58="",U58=""),"",V58*U58)</f>
        <v>10.7357234693878</v>
      </c>
      <c r="X58" s="9" t="n">
        <f aca="false">IF($H58="",0,SUMIFS(Map_Stats!$F$2:$F$642,Map_Stats!$A$2:$A$642,$F58&amp;"|"&amp;$H58))</f>
        <v>7</v>
      </c>
      <c r="Y58" s="13" t="n">
        <f aca="false">IF($H58="","",IFERROR(1/(1/INDEX(Map_Stats!$K$2:$K$642,MATCH($F58&amp;"|"&amp;$H58,Map_Stats!$A$2:$A$642,0))),$O58))</f>
        <v>0.68</v>
      </c>
      <c r="Z58" s="10" t="n">
        <f aca="false">IF(OR($H58="",$P58=""),"",IFERROR(1/(1/INDEX(Map_Stats!$I$2:$I$642,MATCH($F58&amp;"|"&amp;$H58,Map_Stats!$A$2:$A$642,0))),$P58))</f>
        <v>0.568</v>
      </c>
      <c r="AA58" s="13" t="n">
        <f aca="false">IF(OR($H58="",Y58=""),"",IF($O58="",Y58,(X58*Y58+Config!$B$4*$O58)/(X58+Config!$B$4)))</f>
        <v>0.721666666666667</v>
      </c>
      <c r="AB58" s="10" t="n">
        <f aca="false">IF(Z58="","",(X58*Z58+Config!$B$4*$P58)/(X58+Config!$B$4))</f>
        <v>0.582583333333333</v>
      </c>
      <c r="AC58" s="17" t="n">
        <f aca="false">IF(OR(AA58="",$K58=""),"",AA58*$K58*($K58/Config!$B$10)^Config!$B$9)</f>
        <v>14.57045</v>
      </c>
      <c r="AD58" s="17" t="n">
        <f aca="false">IF(OR(AC58="",AB58=""),"",AC58*AB58)</f>
        <v>8.48850132916667</v>
      </c>
      <c r="AE58" s="9" t="n">
        <f aca="false">IF($I58="",0,SUMIFS(Map_Stats!$F$2:$F$642,Map_Stats!$A$2:$A$642,$F58&amp;"|"&amp;$I58))</f>
        <v>7</v>
      </c>
      <c r="AF58" s="13" t="n">
        <f aca="false">IF($I58="","",IFERROR(1/(1/INDEX(Map_Stats!$K$2:$K$642,MATCH($F58&amp;"|"&amp;$I58,Map_Stats!$A$2:$A$642,0))),$O58))</f>
        <v>0.77</v>
      </c>
      <c r="AG58" s="10" t="n">
        <f aca="false">IF(OR($I58="",$P58=""),"",IFERROR(1/(1/INDEX(Map_Stats!$I$2:$I$642,MATCH($F58&amp;"|"&amp;$I58,Map_Stats!$A$2:$A$642,0))),$P58))</f>
        <v>0.586</v>
      </c>
      <c r="AH58" s="13" t="n">
        <f aca="false">IF(OR($I58="",AF58=""),"",IF($O58="",AF58,(AE58*AF58+Config!$B$4*$O58)/(AE58+Config!$B$4)))</f>
        <v>0.774166666666667</v>
      </c>
      <c r="AI58" s="10" t="n">
        <f aca="false">IF(AG58="","",(AE58*AG58+Config!$B$4*$P58)/(AE58+Config!$B$4))</f>
        <v>0.593083333333333</v>
      </c>
      <c r="AJ58" s="17" t="n">
        <f aca="false">IF(OR(AH58="",$L58=""),"",AH58*$L58*($L58/Config!$B$10)^Config!$B$9)</f>
        <v>16.6445833333333</v>
      </c>
      <c r="AK58" s="17" t="n">
        <f aca="false">IF(OR(AJ58="",AI58=""),"",AJ58*AI58)</f>
        <v>9.87162496527778</v>
      </c>
      <c r="AL58" s="17" t="n">
        <f aca="false">N(V58)+N(AC58)</f>
        <v>31.8761642857143</v>
      </c>
      <c r="AM58" s="17" t="n">
        <f aca="false">AL58+N($M58)*N(AJ58)</f>
        <v>37.1957731190476</v>
      </c>
      <c r="AN58" s="17" t="n">
        <f aca="false">IF(W58="","",N(W58)+N(AD58))</f>
        <v>19.2242247985544</v>
      </c>
      <c r="AO58" s="17" t="n">
        <f aca="false">IF(AN58="","",AN58+N($M58)*N(AK58))</f>
        <v>22.3791961374572</v>
      </c>
      <c r="AP58" s="10" t="n">
        <f aca="false">IFERROR(AN58/AL58,"")</f>
        <v>0.603090905989903</v>
      </c>
      <c r="AQ58" s="0" t="str">
        <f aca="false">TRIM(IF($N58&lt;Config!$B$12,"thin sample ("&amp;$N58&amp;" maps) · ","")&amp;IF(AND($G58&lt;&gt;"",Q58=0),"M1 unplayed→overall KPR · ","")&amp;IF(AND($H58&lt;&gt;"",X58=0),"M2 unplayed→overall KPR · ","")&amp;IF($O58="","no PickFinder stats",""))</f>
        <v/>
      </c>
      <c r="AR58" s="0" t="str">
        <f aca="false">IF($C58=Board!$B$2,COUNTIFS($C$2:$C$105,Board!$B$2,$AL$2:$AL$105,"&gt;"&amp;$AL58)+COUNTIFS($C$1:$C57,Board!$B$2,$AL$1:$AL57,$AL58)+1,"")</f>
        <v/>
      </c>
      <c r="AS58" s="0" t="str">
        <f aca="false">IFERROR(IF($D58=INDEX(Matches!$AD$5:$AD$17,MATCH($C58,Matches!$A$5:$A$17,0)),"A",IF($D58=INDEX(Matches!$AE$5:$AE$17,MATCH($C58,Matches!$A$5:$A$17,0)),"B","")),"")</f>
        <v>A</v>
      </c>
      <c r="AT58" s="10" t="n">
        <f aca="false">IF($AS58="","",IFERROR(IF($AS58="A",INDEX(Matches!$AI$5:$AI$17,MATCH($C58,Matches!$A$5:$A$17,0)),INDEX(Matches!$AJ$5:$AJ$17,MATCH($C58,Matches!$A$5:$A$17,0))),""))</f>
        <v>0.565058271752111</v>
      </c>
      <c r="AU58" s="10" t="n">
        <f aca="false">IF($AS58="","",IFERROR(IF(INDEX(Matches!$AP$5:$AP$17,MATCH($C58,Matches!$A$5:$A$17,0))="","",IF($AS58="A",INDEX(Matches!$AP$5:$AP$17,MATCH($C58,Matches!$A$5:$A$17,0)),1-INDEX(Matches!$AP$5:$AP$17,MATCH($C58,Matches!$A$5:$A$17,0)))),""))</f>
        <v>0.57390517217621</v>
      </c>
      <c r="AV58" s="13" t="n">
        <f aca="false">IF(OR($AU58="",$AT58=""),1,((Config!$B$14*$AU58+Config!$B$15*(1-$AU58))/(Config!$B$14*$AT58+Config!$B$15*(1-$AT58)))^Config!$B$13)</f>
        <v>1.00747137607611</v>
      </c>
      <c r="AW58" s="10" t="n">
        <f aca="false">IF($AS58="","",IFERROR(IF(INDEX(Matches!$AV$5:$AV$17,MATCH($C58,Matches!$A$5:$A$17,0))="","",IF($AS58="A",INDEX(Matches!$AV$5:$AV$17,MATCH($C58,Matches!$A$5:$A$17,0)),1-INDEX(Matches!$AV$5:$AV$17,MATCH($C58,Matches!$A$5:$A$17,0)))),""))</f>
        <v>0.611658749217191</v>
      </c>
      <c r="AX58" s="13" t="n">
        <f aca="false">IF(OR($AW58="",$AT58=""),1,((Config!$B$14*$AW58+Config!$B$15*(1-$AW58))/(Config!$B$14*$AT58+Config!$B$15*(1-$AT58)))^Config!$B$13)</f>
        <v>1.03935499166684</v>
      </c>
      <c r="AY58" s="10" t="n">
        <f aca="false">IF($AS58="","",IFERROR(IF(INDEX(Matches!$BB$5:$BB$17,MATCH($C58,Matches!$A$5:$A$17,0))="","",IF($AS58="A",INDEX(Matches!$BB$5:$BB$17,MATCH($C58,Matches!$A$5:$A$17,0)),1-INDEX(Matches!$BB$5:$BB$17,MATCH($C58,Matches!$A$5:$A$17,0)))),""))</f>
        <v>0.589988868890949</v>
      </c>
      <c r="AZ58" s="13" t="n">
        <f aca="false">IF(OR($AY58="",$AT58=""),1,((Config!$B$14*$AY58+Config!$B$15*(1-$AY58))/(Config!$B$14*$AT58+Config!$B$15*(1-$AT58)))^Config!$B$13)</f>
        <v>1.02105436459065</v>
      </c>
      <c r="BA58" s="17" t="n">
        <f aca="false">IF(V58="","",V58*$AV58)</f>
        <v>17.4350117854085</v>
      </c>
      <c r="BB58" s="17" t="n">
        <f aca="false">IF(AC58="","",AC58*$AX58)</f>
        <v>15.1438699383321</v>
      </c>
      <c r="BC58" s="17" t="n">
        <f aca="false">IF(AJ58="","",AJ58*$AZ58)</f>
        <v>16.9950244592928</v>
      </c>
      <c r="BD58" s="17" t="n">
        <f aca="false">N(BA58)+N(BB58)</f>
        <v>32.5788817237406</v>
      </c>
      <c r="BE58" s="17" t="n">
        <f aca="false">BD58+N($M58)*N(BC58)</f>
        <v>38.0104915409306</v>
      </c>
      <c r="BF58" s="17" t="n">
        <f aca="false">IF(W58="","",W58*$AV58)</f>
        <v>10.8159340968766</v>
      </c>
      <c r="BG58" s="17" t="n">
        <f aca="false">IF(AD58="","",AD58*$AX58)</f>
        <v>8.82256622823999</v>
      </c>
      <c r="BH58" s="17" t="n">
        <f aca="false">IF(AK58="","",AK58*$AZ58)</f>
        <v>10.0794657563989</v>
      </c>
      <c r="BI58" s="17" t="n">
        <f aca="false">IF(BF58="","",N(BF58)+N(BG58))</f>
        <v>19.6385003251166</v>
      </c>
      <c r="BJ58" s="17" t="n">
        <f aca="false">IF(BI58="","",BI58+N($M58)*N(BH58))</f>
        <v>22.8598975808617</v>
      </c>
      <c r="BK58" s="13" t="n">
        <f aca="false">IFERROR(BD58/AL58,1)</f>
        <v>1.02204523203381</v>
      </c>
    </row>
    <row r="59" customFormat="false" ht="15" hidden="false" customHeight="false" outlineLevel="0" collapsed="false">
      <c r="A59" s="0" t="s">
        <v>1020</v>
      </c>
      <c r="B59" s="0" t="s">
        <v>775</v>
      </c>
      <c r="C59" s="0" t="s">
        <v>819</v>
      </c>
      <c r="D59" s="0" t="s">
        <v>824</v>
      </c>
      <c r="E59" s="0" t="s">
        <v>1019</v>
      </c>
      <c r="F59" s="0" t="s">
        <v>1224</v>
      </c>
      <c r="G59" s="0" t="str">
        <f aca="false">IFERROR(IF(INDEX(Matches!$W$5:$W$17,MATCH($C59,Matches!$A$5:$A$17,0))="","",INDEX(Matches!$W$5:$W$17,MATCH($C59,Matches!$A$5:$A$17,0))),"")</f>
        <v>Cache</v>
      </c>
      <c r="H59" s="0" t="str">
        <f aca="false">IFERROR(IF(INDEX(Matches!$X$5:$X$17,MATCH($C59,Matches!$A$5:$A$17,0))="","",INDEX(Matches!$X$5:$X$17,MATCH($C59,Matches!$A$5:$A$17,0))),"")</f>
        <v>Inferno</v>
      </c>
      <c r="I59" s="0" t="str">
        <f aca="false">IFERROR(IF(INDEX(Matches!$Y$5:$Y$17,MATCH($C59,Matches!$A$5:$A$17,0))="","",INDEX(Matches!$Y$5:$Y$17,MATCH($C59,Matches!$A$5:$A$17,0))),"")</f>
        <v>Ancient</v>
      </c>
      <c r="J59" s="11" t="n">
        <f aca="false">IFERROR(IF(INDEX(Matches!$Z$5:$Z$17,MATCH($C59,Matches!$A$5:$A$17,0))="","",INDEX(Matches!$Z$5:$Z$17,MATCH($C59,Matches!$A$5:$A$17,0))),"")</f>
        <v>20.19</v>
      </c>
      <c r="K59" s="11" t="n">
        <f aca="false">IFERROR(IF(INDEX(Matches!$AA$5:$AA$17,MATCH($C59,Matches!$A$5:$A$17,0))="","",INDEX(Matches!$AA$5:$AA$17,MATCH($C59,Matches!$A$5:$A$17,0))),"")</f>
        <v>20.19</v>
      </c>
      <c r="L59" s="11" t="n">
        <f aca="false">IFERROR(IF(INDEX(Matches!$AB$5:$AB$17,MATCH($C59,Matches!$A$5:$A$17,0))="","",INDEX(Matches!$AB$5:$AB$17,MATCH($C59,Matches!$A$5:$A$17,0))),"")</f>
        <v>21.5</v>
      </c>
      <c r="M59" s="10" t="n">
        <f aca="false">IFERROR(IF(INDEX(Matches!$AC$5:$AC$17,MATCH($C59,Matches!$A$5:$A$17,0))="","",INDEX(Matches!$AC$5:$AC$17,MATCH($C59,Matches!$A$5:$A$17,0))),"")</f>
        <v>0.3196</v>
      </c>
      <c r="N59" s="9" t="n">
        <f aca="false">IFERROR(INDEX(Players!$F$2:$F$105,MATCH($F59,Players!$A$2:$A$105,0)),0)</f>
        <v>40</v>
      </c>
      <c r="O59" s="13" t="n">
        <f aca="false">IFERROR(1/(1/INDEX(Players!$H$2:$H$105,MATCH($F59,Players!$A$2:$A$105,0))),"")</f>
        <v>0.65</v>
      </c>
      <c r="P59" s="10" t="n">
        <f aca="false">IFERROR(1/(1/INDEX(Players!$I$2:$I$105,MATCH($F59,Players!$A$2:$A$105,0))),"")</f>
        <v>0.59</v>
      </c>
      <c r="Q59" s="9" t="n">
        <f aca="false">IF($G59="",0,SUMIFS(Map_Stats!$F$2:$F$642,Map_Stats!$A$2:$A$642,$F59&amp;"|"&amp;$G59))</f>
        <v>9</v>
      </c>
      <c r="R59" s="13" t="n">
        <f aca="false">IF($G59="","",IFERROR(1/(1/INDEX(Map_Stats!$K$2:$K$642,MATCH($F59&amp;"|"&amp;$G59,Map_Stats!$A$2:$A$642,0))),$O59))</f>
        <v>0.68</v>
      </c>
      <c r="S59" s="10" t="n">
        <f aca="false">IF(OR($G59="",$P59=""),"",IFERROR(1/(1/INDEX(Map_Stats!$I$2:$I$642,MATCH($F59&amp;"|"&amp;$G59,Map_Stats!$A$2:$A$642,0))),$P59))</f>
        <v>0.552</v>
      </c>
      <c r="T59" s="13" t="n">
        <f aca="false">IF(OR($G59="",R59=""),"",IF($O59="",R59,(Q59*R59+Config!$B$4*$O59)/(Q59+Config!$B$4)))</f>
        <v>0.669285714285714</v>
      </c>
      <c r="U59" s="10" t="n">
        <f aca="false">IF(S59="","",(Q59*S59+Config!$B$4*$P59)/(Q59+Config!$B$4))</f>
        <v>0.565571428571429</v>
      </c>
      <c r="V59" s="17" t="n">
        <f aca="false">IF(OR(T59="",$J59=""),"",T59*$J59*($J59/Config!$B$10)^Config!$B$9)</f>
        <v>13.5128785714286</v>
      </c>
      <c r="W59" s="17" t="n">
        <f aca="false">IF(OR(V59="",U59=""),"",V59*U59)</f>
        <v>7.6424980377551</v>
      </c>
      <c r="X59" s="9" t="n">
        <f aca="false">IF($H59="",0,SUMIFS(Map_Stats!$F$2:$F$642,Map_Stats!$A$2:$A$642,$F59&amp;"|"&amp;$H59))</f>
        <v>7</v>
      </c>
      <c r="Y59" s="13" t="n">
        <f aca="false">IF($H59="","",IFERROR(1/(1/INDEX(Map_Stats!$K$2:$K$642,MATCH($F59&amp;"|"&amp;$H59,Map_Stats!$A$2:$A$642,0))),$O59))</f>
        <v>0.73</v>
      </c>
      <c r="Z59" s="10" t="n">
        <f aca="false">IF(OR($H59="",$P59=""),"",IFERROR(1/(1/INDEX(Map_Stats!$I$2:$I$642,MATCH($F59&amp;"|"&amp;$H59,Map_Stats!$A$2:$A$642,0))),$P59))</f>
        <v>0.578</v>
      </c>
      <c r="AA59" s="13" t="n">
        <f aca="false">IF(OR($H59="",Y59=""),"",IF($O59="",Y59,(X59*Y59+Config!$B$4*$O59)/(X59+Config!$B$4)))</f>
        <v>0.696666666666667</v>
      </c>
      <c r="AB59" s="10" t="n">
        <f aca="false">IF(Z59="","",(X59*Z59+Config!$B$4*$P59)/(X59+Config!$B$4))</f>
        <v>0.583</v>
      </c>
      <c r="AC59" s="17" t="n">
        <f aca="false">IF(OR(AA59="",$K59=""),"",AA59*$K59*($K59/Config!$B$10)^Config!$B$9)</f>
        <v>14.0657</v>
      </c>
      <c r="AD59" s="17" t="n">
        <f aca="false">IF(OR(AC59="",AB59=""),"",AC59*AB59)</f>
        <v>8.2003031</v>
      </c>
      <c r="AE59" s="9" t="n">
        <f aca="false">IF($I59="",0,SUMIFS(Map_Stats!$F$2:$F$642,Map_Stats!$A$2:$A$642,$F59&amp;"|"&amp;$I59))</f>
        <v>7</v>
      </c>
      <c r="AF59" s="13" t="n">
        <f aca="false">IF($I59="","",IFERROR(1/(1/INDEX(Map_Stats!$K$2:$K$642,MATCH($F59&amp;"|"&amp;$I59,Map_Stats!$A$2:$A$642,0))),$O59))</f>
        <v>0.54</v>
      </c>
      <c r="AG59" s="10" t="n">
        <f aca="false">IF(OR($I59="",$P59=""),"",IFERROR(1/(1/INDEX(Map_Stats!$I$2:$I$642,MATCH($F59&amp;"|"&amp;$I59,Map_Stats!$A$2:$A$642,0))),$P59))</f>
        <v>0.679</v>
      </c>
      <c r="AH59" s="13" t="n">
        <f aca="false">IF(OR($I59="",AF59=""),"",IF($O59="",AF59,(AE59*AF59+Config!$B$4*$O59)/(AE59+Config!$B$4)))</f>
        <v>0.585833333333333</v>
      </c>
      <c r="AI59" s="10" t="n">
        <f aca="false">IF(AG59="","",(AE59*AG59+Config!$B$4*$P59)/(AE59+Config!$B$4))</f>
        <v>0.641916666666667</v>
      </c>
      <c r="AJ59" s="17" t="n">
        <f aca="false">IF(OR(AH59="",$L59=""),"",AH59*$L59*($L59/Config!$B$10)^Config!$B$9)</f>
        <v>12.5954166666667</v>
      </c>
      <c r="AK59" s="17" t="n">
        <f aca="false">IF(OR(AJ59="",AI59=""),"",AJ59*AI59)</f>
        <v>8.08520788194444</v>
      </c>
      <c r="AL59" s="17" t="n">
        <f aca="false">N(V59)+N(AC59)</f>
        <v>27.5785785714286</v>
      </c>
      <c r="AM59" s="17" t="n">
        <f aca="false">AL59+N($M59)*N(AJ59)</f>
        <v>31.6040737380952</v>
      </c>
      <c r="AN59" s="17" t="n">
        <f aca="false">IF(W59="","",N(W59)+N(AD59))</f>
        <v>15.8428011377551</v>
      </c>
      <c r="AO59" s="17" t="n">
        <f aca="false">IF(AN59="","",AN59+N($M59)*N(AK59))</f>
        <v>18.4268335768245</v>
      </c>
      <c r="AP59" s="10" t="n">
        <f aca="false">IFERROR(AN59/AL59,"")</f>
        <v>0.574460394930153</v>
      </c>
      <c r="AQ59" s="0" t="str">
        <f aca="false">TRIM(IF($N59&lt;Config!$B$12,"thin sample ("&amp;$N59&amp;" maps) · ","")&amp;IF(AND($G59&lt;&gt;"",Q59=0),"M1 unplayed→overall KPR · ","")&amp;IF(AND($H59&lt;&gt;"",X59=0),"M2 unplayed→overall KPR · ","")&amp;IF($O59="","no PickFinder stats",""))</f>
        <v/>
      </c>
      <c r="AR59" s="0" t="str">
        <f aca="false">IF($C59=Board!$B$2,COUNTIFS($C$2:$C$105,Board!$B$2,$AL$2:$AL$105,"&gt;"&amp;$AL59)+COUNTIFS($C$1:$C58,Board!$B$2,$AL$1:$AL58,$AL59)+1,"")</f>
        <v/>
      </c>
      <c r="AS59" s="0" t="str">
        <f aca="false">IFERROR(IF($D59=INDEX(Matches!$AD$5:$AD$17,MATCH($C59,Matches!$A$5:$A$17,0)),"A",IF($D59=INDEX(Matches!$AE$5:$AE$17,MATCH($C59,Matches!$A$5:$A$17,0)),"B","")),"")</f>
        <v>A</v>
      </c>
      <c r="AT59" s="10" t="n">
        <f aca="false">IF($AS59="","",IFERROR(IF($AS59="A",INDEX(Matches!$AI$5:$AI$17,MATCH($C59,Matches!$A$5:$A$17,0)),INDEX(Matches!$AJ$5:$AJ$17,MATCH($C59,Matches!$A$5:$A$17,0))),""))</f>
        <v>0.565058271752111</v>
      </c>
      <c r="AU59" s="10" t="n">
        <f aca="false">IF($AS59="","",IFERROR(IF(INDEX(Matches!$AP$5:$AP$17,MATCH($C59,Matches!$A$5:$A$17,0))="","",IF($AS59="A",INDEX(Matches!$AP$5:$AP$17,MATCH($C59,Matches!$A$5:$A$17,0)),1-INDEX(Matches!$AP$5:$AP$17,MATCH($C59,Matches!$A$5:$A$17,0)))),""))</f>
        <v>0.57390517217621</v>
      </c>
      <c r="AV59" s="13" t="n">
        <f aca="false">IF(OR($AU59="",$AT59=""),1,((Config!$B$14*$AU59+Config!$B$15*(1-$AU59))/(Config!$B$14*$AT59+Config!$B$15*(1-$AT59)))^Config!$B$13)</f>
        <v>1.00747137607611</v>
      </c>
      <c r="AW59" s="10" t="n">
        <f aca="false">IF($AS59="","",IFERROR(IF(INDEX(Matches!$AV$5:$AV$17,MATCH($C59,Matches!$A$5:$A$17,0))="","",IF($AS59="A",INDEX(Matches!$AV$5:$AV$17,MATCH($C59,Matches!$A$5:$A$17,0)),1-INDEX(Matches!$AV$5:$AV$17,MATCH($C59,Matches!$A$5:$A$17,0)))),""))</f>
        <v>0.611658749217191</v>
      </c>
      <c r="AX59" s="13" t="n">
        <f aca="false">IF(OR($AW59="",$AT59=""),1,((Config!$B$14*$AW59+Config!$B$15*(1-$AW59))/(Config!$B$14*$AT59+Config!$B$15*(1-$AT59)))^Config!$B$13)</f>
        <v>1.03935499166684</v>
      </c>
      <c r="AY59" s="10" t="n">
        <f aca="false">IF($AS59="","",IFERROR(IF(INDEX(Matches!$BB$5:$BB$17,MATCH($C59,Matches!$A$5:$A$17,0))="","",IF($AS59="A",INDEX(Matches!$BB$5:$BB$17,MATCH($C59,Matches!$A$5:$A$17,0)),1-INDEX(Matches!$BB$5:$BB$17,MATCH($C59,Matches!$A$5:$A$17,0)))),""))</f>
        <v>0.589988868890949</v>
      </c>
      <c r="AZ59" s="13" t="n">
        <f aca="false">IF(OR($AY59="",$AT59=""),1,((Config!$B$14*$AY59+Config!$B$15*(1-$AY59))/(Config!$B$14*$AT59+Config!$B$15*(1-$AT59)))^Config!$B$13)</f>
        <v>1.02105436459065</v>
      </c>
      <c r="BA59" s="17" t="n">
        <f aca="false">IF(V59="","",V59*$AV59)</f>
        <v>13.6138383691065</v>
      </c>
      <c r="BB59" s="17" t="n">
        <f aca="false">IF(AC59="","",AC59*$AX59)</f>
        <v>14.6192555062883</v>
      </c>
      <c r="BC59" s="17" t="n">
        <f aca="false">IF(AJ59="","",AJ59*$AZ59)</f>
        <v>12.8606051613379</v>
      </c>
      <c r="BD59" s="17" t="n">
        <f aca="false">N(BA59)+N(BB59)</f>
        <v>28.2330938753948</v>
      </c>
      <c r="BE59" s="17" t="n">
        <f aca="false">BD59+N($M59)*N(BC59)</f>
        <v>32.3433432849583</v>
      </c>
      <c r="BF59" s="17" t="n">
        <f aca="false">IF(W59="","",W59*$AV59)</f>
        <v>7.69959801475608</v>
      </c>
      <c r="BG59" s="17" t="n">
        <f aca="false">IF(AD59="","",AD59*$AX59)</f>
        <v>8.52302596016607</v>
      </c>
      <c r="BH59" s="17" t="n">
        <f aca="false">IF(AK59="","",AK59*$AZ59)</f>
        <v>8.25543679648212</v>
      </c>
      <c r="BI59" s="17" t="n">
        <f aca="false">IF(BF59="","",N(BF59)+N(BG59))</f>
        <v>16.2226239749221</v>
      </c>
      <c r="BJ59" s="17" t="n">
        <f aca="false">IF(BI59="","",BI59+N($M59)*N(BH59))</f>
        <v>18.8610615750778</v>
      </c>
      <c r="BK59" s="13" t="n">
        <f aca="false">IFERROR(BD59/AL59,1)</f>
        <v>1.02373274250778</v>
      </c>
    </row>
    <row r="60" customFormat="false" ht="15" hidden="false" customHeight="false" outlineLevel="0" collapsed="false">
      <c r="A60" s="0" t="s">
        <v>1022</v>
      </c>
      <c r="B60" s="0" t="s">
        <v>775</v>
      </c>
      <c r="C60" s="0" t="s">
        <v>807</v>
      </c>
      <c r="D60" s="0" t="s">
        <v>812</v>
      </c>
      <c r="E60" s="0" t="s">
        <v>1021</v>
      </c>
      <c r="F60" s="0" t="s">
        <v>1225</v>
      </c>
      <c r="G60" s="0" t="str">
        <f aca="false">IFERROR(IF(INDEX(Matches!$W$5:$W$17,MATCH($C60,Matches!$A$5:$A$17,0))="","",INDEX(Matches!$W$5:$W$17,MATCH($C60,Matches!$A$5:$A$17,0))),"")</f>
        <v>Ancient</v>
      </c>
      <c r="H60" s="0" t="str">
        <f aca="false">IFERROR(IF(INDEX(Matches!$X$5:$X$17,MATCH($C60,Matches!$A$5:$A$17,0))="","",INDEX(Matches!$X$5:$X$17,MATCH($C60,Matches!$A$5:$A$17,0))),"")</f>
        <v>Dust2</v>
      </c>
      <c r="I60" s="0" t="str">
        <f aca="false">IFERROR(IF(INDEX(Matches!$Y$5:$Y$17,MATCH($C60,Matches!$A$5:$A$17,0))="","",INDEX(Matches!$Y$5:$Y$17,MATCH($C60,Matches!$A$5:$A$17,0))),"")</f>
        <v>Mirage</v>
      </c>
      <c r="J60" s="11" t="n">
        <f aca="false">IFERROR(IF(INDEX(Matches!$Z$5:$Z$17,MATCH($C60,Matches!$A$5:$A$17,0))="","",INDEX(Matches!$Z$5:$Z$17,MATCH($C60,Matches!$A$5:$A$17,0))),"")</f>
        <v>21.02</v>
      </c>
      <c r="K60" s="11" t="n">
        <f aca="false">IFERROR(IF(INDEX(Matches!$AA$5:$AA$17,MATCH($C60,Matches!$A$5:$A$17,0))="","",INDEX(Matches!$AA$5:$AA$17,MATCH($C60,Matches!$A$5:$A$17,0))),"")</f>
        <v>21.01</v>
      </c>
      <c r="L60" s="11" t="n">
        <f aca="false">IFERROR(IF(INDEX(Matches!$AB$5:$AB$17,MATCH($C60,Matches!$A$5:$A$17,0))="","",INDEX(Matches!$AB$5:$AB$17,MATCH($C60,Matches!$A$5:$A$17,0))),"")</f>
        <v>21.5</v>
      </c>
      <c r="M60" s="10" t="n">
        <f aca="false">IFERROR(IF(INDEX(Matches!$AC$5:$AC$17,MATCH($C60,Matches!$A$5:$A$17,0))="","",INDEX(Matches!$AC$5:$AC$17,MATCH($C60,Matches!$A$5:$A$17,0))),"")</f>
        <v>0.4319</v>
      </c>
      <c r="N60" s="9" t="n">
        <f aca="false">IFERROR(INDEX(Players!$F$2:$F$105,MATCH($F60,Players!$A$2:$A$105,0)),0)</f>
        <v>30</v>
      </c>
      <c r="O60" s="13" t="n">
        <f aca="false">IFERROR(1/(1/INDEX(Players!$H$2:$H$105,MATCH($F60,Players!$A$2:$A$105,0))),"")</f>
        <v>0.81</v>
      </c>
      <c r="P60" s="10" t="n">
        <f aca="false">IFERROR(1/(1/INDEX(Players!$I$2:$I$105,MATCH($F60,Players!$A$2:$A$105,0))),"")</f>
        <v>0.614</v>
      </c>
      <c r="Q60" s="9" t="n">
        <f aca="false">IF($G60="",0,SUMIFS(Map_Stats!$F$2:$F$642,Map_Stats!$A$2:$A$642,$F60&amp;"|"&amp;$G60))</f>
        <v>5</v>
      </c>
      <c r="R60" s="13" t="n">
        <f aca="false">IF($G60="","",IFERROR(1/(1/INDEX(Map_Stats!$K$2:$K$642,MATCH($F60&amp;"|"&amp;$G60,Map_Stats!$A$2:$A$642,0))),$O60))</f>
        <v>0.85</v>
      </c>
      <c r="S60" s="10" t="n">
        <f aca="false">IF(OR($G60="",$P60=""),"",IFERROR(1/(1/INDEX(Map_Stats!$I$2:$I$642,MATCH($F60&amp;"|"&amp;$G60,Map_Stats!$A$2:$A$642,0))),$P60))</f>
        <v>0.558</v>
      </c>
      <c r="T60" s="13" t="n">
        <f aca="false">IF(OR($G60="",R60=""),"",IF($O60="",R60,(Q60*R60+Config!$B$4*$O60)/(Q60+Config!$B$4)))</f>
        <v>0.83</v>
      </c>
      <c r="U60" s="10" t="n">
        <f aca="false">IF(S60="","",(Q60*S60+Config!$B$4*$P60)/(Q60+Config!$B$4))</f>
        <v>0.586</v>
      </c>
      <c r="V60" s="17" t="n">
        <f aca="false">IF(OR(T60="",$J60=""),"",T60*$J60*($J60/Config!$B$10)^Config!$B$9)</f>
        <v>17.4466</v>
      </c>
      <c r="W60" s="17" t="n">
        <f aca="false">IF(OR(V60="",U60=""),"",V60*U60)</f>
        <v>10.2237076</v>
      </c>
      <c r="X60" s="9" t="n">
        <f aca="false">IF($H60="",0,SUMIFS(Map_Stats!$F$2:$F$642,Map_Stats!$A$2:$A$642,$F60&amp;"|"&amp;$H60))</f>
        <v>8</v>
      </c>
      <c r="Y60" s="13" t="n">
        <f aca="false">IF($H60="","",IFERROR(1/(1/INDEX(Map_Stats!$K$2:$K$642,MATCH($F60&amp;"|"&amp;$H60,Map_Stats!$A$2:$A$642,0))),$O60))</f>
        <v>0.81</v>
      </c>
      <c r="Z60" s="10" t="n">
        <f aca="false">IF(OR($H60="",$P60=""),"",IFERROR(1/(1/INDEX(Map_Stats!$I$2:$I$642,MATCH($F60&amp;"|"&amp;$H60,Map_Stats!$A$2:$A$642,0))),$P60))</f>
        <v>0.647</v>
      </c>
      <c r="AA60" s="13" t="n">
        <f aca="false">IF(OR($H60="",Y60=""),"",IF($O60="",Y60,(X60*Y60+Config!$B$4*$O60)/(X60+Config!$B$4)))</f>
        <v>0.81</v>
      </c>
      <c r="AB60" s="10" t="n">
        <f aca="false">IF(Z60="","",(X60*Z60+Config!$B$4*$P60)/(X60+Config!$B$4))</f>
        <v>0.634307692307692</v>
      </c>
      <c r="AC60" s="17" t="n">
        <f aca="false">IF(OR(AA60="",$K60=""),"",AA60*$K60*($K60/Config!$B$10)^Config!$B$9)</f>
        <v>17.0181</v>
      </c>
      <c r="AD60" s="17" t="n">
        <f aca="false">IF(OR(AC60="",AB60=""),"",AC60*AB60)</f>
        <v>10.7947117384615</v>
      </c>
      <c r="AE60" s="9" t="n">
        <f aca="false">IF($I60="",0,SUMIFS(Map_Stats!$F$2:$F$642,Map_Stats!$A$2:$A$642,$F60&amp;"|"&amp;$I60))</f>
        <v>3</v>
      </c>
      <c r="AF60" s="13" t="n">
        <f aca="false">IF($I60="","",IFERROR(1/(1/INDEX(Map_Stats!$K$2:$K$642,MATCH($F60&amp;"|"&amp;$I60,Map_Stats!$A$2:$A$642,0))),$O60))</f>
        <v>0.77</v>
      </c>
      <c r="AG60" s="10" t="n">
        <f aca="false">IF(OR($I60="",$P60=""),"",IFERROR(1/(1/INDEX(Map_Stats!$I$2:$I$642,MATCH($F60&amp;"|"&amp;$I60,Map_Stats!$A$2:$A$642,0))),$P60))</f>
        <v>0.625</v>
      </c>
      <c r="AH60" s="13" t="n">
        <f aca="false">IF(OR($I60="",AF60=""),"",IF($O60="",AF60,(AE60*AF60+Config!$B$4*$O60)/(AE60+Config!$B$4)))</f>
        <v>0.795</v>
      </c>
      <c r="AI60" s="10" t="n">
        <f aca="false">IF(AG60="","",(AE60*AG60+Config!$B$4*$P60)/(AE60+Config!$B$4))</f>
        <v>0.618125</v>
      </c>
      <c r="AJ60" s="17" t="n">
        <f aca="false">IF(OR(AH60="",$L60=""),"",AH60*$L60*($L60/Config!$B$10)^Config!$B$9)</f>
        <v>17.0925</v>
      </c>
      <c r="AK60" s="17" t="n">
        <f aca="false">IF(OR(AJ60="",AI60=""),"",AJ60*AI60)</f>
        <v>10.5653015625</v>
      </c>
      <c r="AL60" s="17" t="n">
        <f aca="false">N(V60)+N(AC60)</f>
        <v>34.4647</v>
      </c>
      <c r="AM60" s="17" t="n">
        <f aca="false">AL60+N($M60)*N(AJ60)</f>
        <v>41.84695075</v>
      </c>
      <c r="AN60" s="17" t="n">
        <f aca="false">IF(W60="","",N(W60)+N(AD60))</f>
        <v>21.0184193384615</v>
      </c>
      <c r="AO60" s="17" t="n">
        <f aca="false">IF(AN60="","",AN60+N($M60)*N(AK60))</f>
        <v>25.5815730833053</v>
      </c>
      <c r="AP60" s="10" t="n">
        <f aca="false">IFERROR(AN60/AL60,"")</f>
        <v>0.609853541114866</v>
      </c>
      <c r="AQ60" s="0" t="str">
        <f aca="false">TRIM(IF($N60&lt;Config!$B$12,"thin sample ("&amp;$N60&amp;" maps) · ","")&amp;IF(AND($G60&lt;&gt;"",Q60=0),"M1 unplayed→overall KPR · ","")&amp;IF(AND($H60&lt;&gt;"",X60=0),"M2 unplayed→overall KPR · ","")&amp;IF($O60="","no PickFinder stats",""))</f>
        <v/>
      </c>
      <c r="AR60" s="0" t="str">
        <f aca="false">IF($C60=Board!$B$2,COUNTIFS($C$2:$C$105,Board!$B$2,$AL$2:$AL$105,"&gt;"&amp;$AL60)+COUNTIFS($C$1:$C59,Board!$B$2,$AL$1:$AL59,$AL60)+1,"")</f>
        <v/>
      </c>
      <c r="AS60" s="0" t="str">
        <f aca="false">IFERROR(IF($D60=INDEX(Matches!$AD$5:$AD$17,MATCH($C60,Matches!$A$5:$A$17,0)),"A",IF($D60=INDEX(Matches!$AE$5:$AE$17,MATCH($C60,Matches!$A$5:$A$17,0)),"B","")),"")</f>
        <v>B</v>
      </c>
      <c r="AT60" s="10" t="n">
        <f aca="false">IF($AS60="","",IFERROR(IF($AS60="A",INDEX(Matches!$AI$5:$AI$17,MATCH($C60,Matches!$A$5:$A$17,0)),INDEX(Matches!$AJ$5:$AJ$17,MATCH($C60,Matches!$A$5:$A$17,0))),""))</f>
        <v>0.524698931009962</v>
      </c>
      <c r="AU60" s="10" t="n">
        <f aca="false">IF($AS60="","",IFERROR(IF(INDEX(Matches!$AP$5:$AP$17,MATCH($C60,Matches!$A$5:$A$17,0))="","",IF($AS60="A",INDEX(Matches!$AP$5:$AP$17,MATCH($C60,Matches!$A$5:$A$17,0)),1-INDEX(Matches!$AP$5:$AP$17,MATCH($C60,Matches!$A$5:$A$17,0)))),""))</f>
        <v>0.53063354909096</v>
      </c>
      <c r="AV60" s="13" t="n">
        <f aca="false">IF(OR($AU60="",$AT60=""),1,((Config!$B$14*$AU60+Config!$B$15*(1-$AU60))/(Config!$B$14*$AT60+Config!$B$15*(1-$AT60)))^Config!$B$13)</f>
        <v>1.00518875277106</v>
      </c>
      <c r="AW60" s="10" t="n">
        <f aca="false">IF($AS60="","",IFERROR(IF(INDEX(Matches!$AV$5:$AV$17,MATCH($C60,Matches!$A$5:$A$17,0))="","",IF($AS60="A",INDEX(Matches!$AV$5:$AV$17,MATCH($C60,Matches!$A$5:$A$17,0)),1-INDEX(Matches!$AV$5:$AV$17,MATCH($C60,Matches!$A$5:$A$17,0)))),""))</f>
        <v>0.553985408962031</v>
      </c>
      <c r="AX60" s="13" t="n">
        <f aca="false">IF(OR($AW60="",$AT60=""),1,((Config!$B$14*$AW60+Config!$B$15*(1-$AW60))/(Config!$B$14*$AT60+Config!$B$15*(1-$AT60)))^Config!$B$13)</f>
        <v>1.02560574101893</v>
      </c>
      <c r="AY60" s="10" t="n">
        <f aca="false">IF($AS60="","",IFERROR(IF(INDEX(Matches!$BB$5:$BB$17,MATCH($C60,Matches!$A$5:$A$17,0))="","",IF($AS60="A",INDEX(Matches!$BB$5:$BB$17,MATCH($C60,Matches!$A$5:$A$17,0)),1-INDEX(Matches!$BB$5:$BB$17,MATCH($C60,Matches!$A$5:$A$17,0)))),""))</f>
        <v>0.527157925336599</v>
      </c>
      <c r="AZ60" s="13" t="n">
        <f aca="false">IF(OR($AY60="",$AT60=""),1,((Config!$B$14*$AY60+Config!$B$15*(1-$AY60))/(Config!$B$14*$AT60+Config!$B$15*(1-$AT60)))^Config!$B$13)</f>
        <v>1.00214994687985</v>
      </c>
      <c r="BA60" s="17" t="n">
        <f aca="false">IF(V60="","",V60*$AV60)</f>
        <v>17.5371260940955</v>
      </c>
      <c r="BB60" s="17" t="n">
        <f aca="false">IF(AC60="","",AC60*$AX60)</f>
        <v>17.4538610612343</v>
      </c>
      <c r="BC60" s="17" t="n">
        <f aca="false">IF(AJ60="","",AJ60*$AZ60)</f>
        <v>17.1292479670439</v>
      </c>
      <c r="BD60" s="17" t="n">
        <f aca="false">N(BA60)+N(BB60)</f>
        <v>34.9909871553298</v>
      </c>
      <c r="BE60" s="17" t="n">
        <f aca="false">BD60+N($M60)*N(BC60)</f>
        <v>42.389109352296</v>
      </c>
      <c r="BF60" s="17" t="n">
        <f aca="false">IF(W60="","",W60*$AV60)</f>
        <v>10.27675589114</v>
      </c>
      <c r="BG60" s="17" t="n">
        <f aca="false">IF(AD60="","",AD60*$AX60)</f>
        <v>11.0711183316106</v>
      </c>
      <c r="BH60" s="17" t="n">
        <f aca="false">IF(AK60="","",AK60*$AZ60)</f>
        <v>10.588016399629</v>
      </c>
      <c r="BI60" s="17" t="n">
        <f aca="false">IF(BF60="","",N(BF60)+N(BG60))</f>
        <v>21.3478742227506</v>
      </c>
      <c r="BJ60" s="17" t="n">
        <f aca="false">IF(BI60="","",BI60+N($M60)*N(BH60))</f>
        <v>25.9208385057503</v>
      </c>
      <c r="BK60" s="13" t="n">
        <f aca="false">IFERROR(BD60/AL60,1)</f>
        <v>1.01527032457354</v>
      </c>
    </row>
    <row r="61" customFormat="false" ht="15" hidden="false" customHeight="false" outlineLevel="0" collapsed="false">
      <c r="A61" s="0" t="s">
        <v>1024</v>
      </c>
      <c r="B61" s="0" t="s">
        <v>775</v>
      </c>
      <c r="C61" s="0" t="s">
        <v>807</v>
      </c>
      <c r="D61" s="0" t="s">
        <v>812</v>
      </c>
      <c r="E61" s="0" t="s">
        <v>1023</v>
      </c>
      <c r="F61" s="0" t="s">
        <v>1226</v>
      </c>
      <c r="G61" s="0" t="str">
        <f aca="false">IFERROR(IF(INDEX(Matches!$W$5:$W$17,MATCH($C61,Matches!$A$5:$A$17,0))="","",INDEX(Matches!$W$5:$W$17,MATCH($C61,Matches!$A$5:$A$17,0))),"")</f>
        <v>Ancient</v>
      </c>
      <c r="H61" s="0" t="str">
        <f aca="false">IFERROR(IF(INDEX(Matches!$X$5:$X$17,MATCH($C61,Matches!$A$5:$A$17,0))="","",INDEX(Matches!$X$5:$X$17,MATCH($C61,Matches!$A$5:$A$17,0))),"")</f>
        <v>Dust2</v>
      </c>
      <c r="I61" s="0" t="str">
        <f aca="false">IFERROR(IF(INDEX(Matches!$Y$5:$Y$17,MATCH($C61,Matches!$A$5:$A$17,0))="","",INDEX(Matches!$Y$5:$Y$17,MATCH($C61,Matches!$A$5:$A$17,0))),"")</f>
        <v>Mirage</v>
      </c>
      <c r="J61" s="11" t="n">
        <f aca="false">IFERROR(IF(INDEX(Matches!$Z$5:$Z$17,MATCH($C61,Matches!$A$5:$A$17,0))="","",INDEX(Matches!$Z$5:$Z$17,MATCH($C61,Matches!$A$5:$A$17,0))),"")</f>
        <v>21.02</v>
      </c>
      <c r="K61" s="11" t="n">
        <f aca="false">IFERROR(IF(INDEX(Matches!$AA$5:$AA$17,MATCH($C61,Matches!$A$5:$A$17,0))="","",INDEX(Matches!$AA$5:$AA$17,MATCH($C61,Matches!$A$5:$A$17,0))),"")</f>
        <v>21.01</v>
      </c>
      <c r="L61" s="11" t="n">
        <f aca="false">IFERROR(IF(INDEX(Matches!$AB$5:$AB$17,MATCH($C61,Matches!$A$5:$A$17,0))="","",INDEX(Matches!$AB$5:$AB$17,MATCH($C61,Matches!$A$5:$A$17,0))),"")</f>
        <v>21.5</v>
      </c>
      <c r="M61" s="10" t="n">
        <f aca="false">IFERROR(IF(INDEX(Matches!$AC$5:$AC$17,MATCH($C61,Matches!$A$5:$A$17,0))="","",INDEX(Matches!$AC$5:$AC$17,MATCH($C61,Matches!$A$5:$A$17,0))),"")</f>
        <v>0.4319</v>
      </c>
      <c r="N61" s="9" t="n">
        <f aca="false">IFERROR(INDEX(Players!$F$2:$F$105,MATCH($F61,Players!$A$2:$A$105,0)),0)</f>
        <v>30</v>
      </c>
      <c r="O61" s="13" t="n">
        <f aca="false">IFERROR(1/(1/INDEX(Players!$H$2:$H$105,MATCH($F61,Players!$A$2:$A$105,0))),"")</f>
        <v>0.69</v>
      </c>
      <c r="P61" s="10" t="n">
        <f aca="false">IFERROR(1/(1/INDEX(Players!$I$2:$I$105,MATCH($F61,Players!$A$2:$A$105,0))),"")</f>
        <v>0.584</v>
      </c>
      <c r="Q61" s="9" t="n">
        <f aca="false">IF($G61="",0,SUMIFS(Map_Stats!$F$2:$F$642,Map_Stats!$A$2:$A$642,$F61&amp;"|"&amp;$G61))</f>
        <v>5</v>
      </c>
      <c r="R61" s="13" t="n">
        <f aca="false">IF($G61="","",IFERROR(1/(1/INDEX(Map_Stats!$K$2:$K$642,MATCH($F61&amp;"|"&amp;$G61,Map_Stats!$A$2:$A$642,0))),$O61))</f>
        <v>0.85</v>
      </c>
      <c r="S61" s="10" t="n">
        <f aca="false">IF(OR($G61="",$P61=""),"",IFERROR(1/(1/INDEX(Map_Stats!$I$2:$I$642,MATCH($F61&amp;"|"&amp;$G61,Map_Stats!$A$2:$A$642,0))),$P61))</f>
        <v>0.547</v>
      </c>
      <c r="T61" s="13" t="n">
        <f aca="false">IF(OR($G61="",R61=""),"",IF($O61="",R61,(Q61*R61+Config!$B$4*$O61)/(Q61+Config!$B$4)))</f>
        <v>0.77</v>
      </c>
      <c r="U61" s="10" t="n">
        <f aca="false">IF(S61="","",(Q61*S61+Config!$B$4*$P61)/(Q61+Config!$B$4))</f>
        <v>0.5655</v>
      </c>
      <c r="V61" s="17" t="n">
        <f aca="false">IF(OR(T61="",$J61=""),"",T61*$J61*($J61/Config!$B$10)^Config!$B$9)</f>
        <v>16.1854</v>
      </c>
      <c r="W61" s="17" t="n">
        <f aca="false">IF(OR(V61="",U61=""),"",V61*U61)</f>
        <v>9.1528437</v>
      </c>
      <c r="X61" s="9" t="n">
        <f aca="false">IF($H61="",0,SUMIFS(Map_Stats!$F$2:$F$642,Map_Stats!$A$2:$A$642,$F61&amp;"|"&amp;$H61))</f>
        <v>8</v>
      </c>
      <c r="Y61" s="13" t="n">
        <f aca="false">IF($H61="","",IFERROR(1/(1/INDEX(Map_Stats!$K$2:$K$642,MATCH($F61&amp;"|"&amp;$H61,Map_Stats!$A$2:$A$642,0))),$O61))</f>
        <v>0.68</v>
      </c>
      <c r="Z61" s="10" t="n">
        <f aca="false">IF(OR($H61="",$P61=""),"",IFERROR(1/(1/INDEX(Map_Stats!$I$2:$I$642,MATCH($F61&amp;"|"&amp;$H61,Map_Stats!$A$2:$A$642,0))),$P61))</f>
        <v>0.591</v>
      </c>
      <c r="AA61" s="13" t="n">
        <f aca="false">IF(OR($H61="",Y61=""),"",IF($O61="",Y61,(X61*Y61+Config!$B$4*$O61)/(X61+Config!$B$4)))</f>
        <v>0.683846153846154</v>
      </c>
      <c r="AB61" s="10" t="n">
        <f aca="false">IF(Z61="","",(X61*Z61+Config!$B$4*$P61)/(X61+Config!$B$4))</f>
        <v>0.588307692307692</v>
      </c>
      <c r="AC61" s="17" t="n">
        <f aca="false">IF(OR(AA61="",$K61=""),"",AA61*$K61*($K61/Config!$B$10)^Config!$B$9)</f>
        <v>14.3676076923077</v>
      </c>
      <c r="AD61" s="17" t="n">
        <f aca="false">IF(OR(AC61="",AB61=""),"",AC61*AB61)</f>
        <v>8.45257412544379</v>
      </c>
      <c r="AE61" s="9" t="n">
        <f aca="false">IF($I61="",0,SUMIFS(Map_Stats!$F$2:$F$642,Map_Stats!$A$2:$A$642,$F61&amp;"|"&amp;$I61))</f>
        <v>3</v>
      </c>
      <c r="AF61" s="13" t="n">
        <f aca="false">IF($I61="","",IFERROR(1/(1/INDEX(Map_Stats!$K$2:$K$642,MATCH($F61&amp;"|"&amp;$I61,Map_Stats!$A$2:$A$642,0))),$O61))</f>
        <v>0.68</v>
      </c>
      <c r="AG61" s="10" t="n">
        <f aca="false">IF(OR($I61="",$P61=""),"",IFERROR(1/(1/INDEX(Map_Stats!$I$2:$I$642,MATCH($F61&amp;"|"&amp;$I61,Map_Stats!$A$2:$A$642,0))),$P61))</f>
        <v>0.7</v>
      </c>
      <c r="AH61" s="13" t="n">
        <f aca="false">IF(OR($I61="",AF61=""),"",IF($O61="",AF61,(AE61*AF61+Config!$B$4*$O61)/(AE61+Config!$B$4)))</f>
        <v>0.68625</v>
      </c>
      <c r="AI61" s="10" t="n">
        <f aca="false">IF(AG61="","",(AE61*AG61+Config!$B$4*$P61)/(AE61+Config!$B$4))</f>
        <v>0.6275</v>
      </c>
      <c r="AJ61" s="17" t="n">
        <f aca="false">IF(OR(AH61="",$L61=""),"",AH61*$L61*($L61/Config!$B$10)^Config!$B$9)</f>
        <v>14.754375</v>
      </c>
      <c r="AK61" s="17" t="n">
        <f aca="false">IF(OR(AJ61="",AI61=""),"",AJ61*AI61)</f>
        <v>9.2583703125</v>
      </c>
      <c r="AL61" s="17" t="n">
        <f aca="false">N(V61)+N(AC61)</f>
        <v>30.5530076923077</v>
      </c>
      <c r="AM61" s="17" t="n">
        <f aca="false">AL61+N($M61)*N(AJ61)</f>
        <v>36.9254222548077</v>
      </c>
      <c r="AN61" s="17" t="n">
        <f aca="false">IF(W61="","",N(W61)+N(AD61))</f>
        <v>17.6054178254438</v>
      </c>
      <c r="AO61" s="17" t="n">
        <f aca="false">IF(AN61="","",AN61+N($M61)*N(AK61))</f>
        <v>21.6041079634125</v>
      </c>
      <c r="AP61" s="10" t="n">
        <f aca="false">IFERROR(AN61/AL61,"")</f>
        <v>0.576225358980821</v>
      </c>
      <c r="AQ61" s="0" t="str">
        <f aca="false">TRIM(IF($N61&lt;Config!$B$12,"thin sample ("&amp;$N61&amp;" maps) · ","")&amp;IF(AND($G61&lt;&gt;"",Q61=0),"M1 unplayed→overall KPR · ","")&amp;IF(AND($H61&lt;&gt;"",X61=0),"M2 unplayed→overall KPR · ","")&amp;IF($O61="","no PickFinder stats",""))</f>
        <v/>
      </c>
      <c r="AR61" s="0" t="str">
        <f aca="false">IF($C61=Board!$B$2,COUNTIFS($C$2:$C$105,Board!$B$2,$AL$2:$AL$105,"&gt;"&amp;$AL61)+COUNTIFS($C$1:$C60,Board!$B$2,$AL$1:$AL60,$AL61)+1,"")</f>
        <v/>
      </c>
      <c r="AS61" s="0" t="str">
        <f aca="false">IFERROR(IF($D61=INDEX(Matches!$AD$5:$AD$17,MATCH($C61,Matches!$A$5:$A$17,0)),"A",IF($D61=INDEX(Matches!$AE$5:$AE$17,MATCH($C61,Matches!$A$5:$A$17,0)),"B","")),"")</f>
        <v>B</v>
      </c>
      <c r="AT61" s="10" t="n">
        <f aca="false">IF($AS61="","",IFERROR(IF($AS61="A",INDEX(Matches!$AI$5:$AI$17,MATCH($C61,Matches!$A$5:$A$17,0)),INDEX(Matches!$AJ$5:$AJ$17,MATCH($C61,Matches!$A$5:$A$17,0))),""))</f>
        <v>0.524698931009962</v>
      </c>
      <c r="AU61" s="10" t="n">
        <f aca="false">IF($AS61="","",IFERROR(IF(INDEX(Matches!$AP$5:$AP$17,MATCH($C61,Matches!$A$5:$A$17,0))="","",IF($AS61="A",INDEX(Matches!$AP$5:$AP$17,MATCH($C61,Matches!$A$5:$A$17,0)),1-INDEX(Matches!$AP$5:$AP$17,MATCH($C61,Matches!$A$5:$A$17,0)))),""))</f>
        <v>0.53063354909096</v>
      </c>
      <c r="AV61" s="13" t="n">
        <f aca="false">IF(OR($AU61="",$AT61=""),1,((Config!$B$14*$AU61+Config!$B$15*(1-$AU61))/(Config!$B$14*$AT61+Config!$B$15*(1-$AT61)))^Config!$B$13)</f>
        <v>1.00518875277106</v>
      </c>
      <c r="AW61" s="10" t="n">
        <f aca="false">IF($AS61="","",IFERROR(IF(INDEX(Matches!$AV$5:$AV$17,MATCH($C61,Matches!$A$5:$A$17,0))="","",IF($AS61="A",INDEX(Matches!$AV$5:$AV$17,MATCH($C61,Matches!$A$5:$A$17,0)),1-INDEX(Matches!$AV$5:$AV$17,MATCH($C61,Matches!$A$5:$A$17,0)))),""))</f>
        <v>0.553985408962031</v>
      </c>
      <c r="AX61" s="13" t="n">
        <f aca="false">IF(OR($AW61="",$AT61=""),1,((Config!$B$14*$AW61+Config!$B$15*(1-$AW61))/(Config!$B$14*$AT61+Config!$B$15*(1-$AT61)))^Config!$B$13)</f>
        <v>1.02560574101893</v>
      </c>
      <c r="AY61" s="10" t="n">
        <f aca="false">IF($AS61="","",IFERROR(IF(INDEX(Matches!$BB$5:$BB$17,MATCH($C61,Matches!$A$5:$A$17,0))="","",IF($AS61="A",INDEX(Matches!$BB$5:$BB$17,MATCH($C61,Matches!$A$5:$A$17,0)),1-INDEX(Matches!$BB$5:$BB$17,MATCH($C61,Matches!$A$5:$A$17,0)))),""))</f>
        <v>0.527157925336599</v>
      </c>
      <c r="AZ61" s="13" t="n">
        <f aca="false">IF(OR($AY61="",$AT61=""),1,((Config!$B$14*$AY61+Config!$B$15*(1-$AY61))/(Config!$B$14*$AT61+Config!$B$15*(1-$AT61)))^Config!$B$13)</f>
        <v>1.00214994687985</v>
      </c>
      <c r="BA61" s="17" t="n">
        <f aca="false">IF(V61="","",V61*$AV61)</f>
        <v>16.2693820391007</v>
      </c>
      <c r="BB61" s="17" t="n">
        <f aca="false">IF(AC61="","",AC61*$AX61)</f>
        <v>14.7355009339385</v>
      </c>
      <c r="BC61" s="17" t="n">
        <f aca="false">IF(AJ61="","",AJ61*$AZ61)</f>
        <v>14.7860961224954</v>
      </c>
      <c r="BD61" s="17" t="n">
        <f aca="false">N(BA61)+N(BB61)</f>
        <v>31.0048829730392</v>
      </c>
      <c r="BE61" s="17" t="n">
        <f aca="false">BD61+N($M61)*N(BC61)</f>
        <v>37.390997888345</v>
      </c>
      <c r="BF61" s="17" t="n">
        <f aca="false">IF(W61="","",W61*$AV61)</f>
        <v>9.20033554311143</v>
      </c>
      <c r="BG61" s="17" t="n">
        <f aca="false">IF(AD61="","",AD61*$AX61)</f>
        <v>8.66900854944321</v>
      </c>
      <c r="BH61" s="17" t="n">
        <f aca="false">IF(AK61="","",AK61*$AZ61)</f>
        <v>9.27827531686587</v>
      </c>
      <c r="BI61" s="17" t="n">
        <f aca="false">IF(BF61="","",N(BF61)+N(BG61))</f>
        <v>17.8693440925546</v>
      </c>
      <c r="BJ61" s="17" t="n">
        <f aca="false">IF(BI61="","",BI61+N($M61)*N(BH61))</f>
        <v>21.876631201909</v>
      </c>
      <c r="BK61" s="13" t="n">
        <f aca="false">IFERROR(BD61/AL61,1)</f>
        <v>1.01478987879957</v>
      </c>
    </row>
    <row r="62" customFormat="false" ht="15" hidden="false" customHeight="false" outlineLevel="0" collapsed="false">
      <c r="A62" s="0" t="s">
        <v>1026</v>
      </c>
      <c r="B62" s="0" t="s">
        <v>775</v>
      </c>
      <c r="C62" s="0" t="s">
        <v>807</v>
      </c>
      <c r="D62" s="0" t="s">
        <v>812</v>
      </c>
      <c r="E62" s="0" t="s">
        <v>1025</v>
      </c>
      <c r="F62" s="0" t="s">
        <v>1227</v>
      </c>
      <c r="G62" s="0" t="str">
        <f aca="false">IFERROR(IF(INDEX(Matches!$W$5:$W$17,MATCH($C62,Matches!$A$5:$A$17,0))="","",INDEX(Matches!$W$5:$W$17,MATCH($C62,Matches!$A$5:$A$17,0))),"")</f>
        <v>Ancient</v>
      </c>
      <c r="H62" s="0" t="str">
        <f aca="false">IFERROR(IF(INDEX(Matches!$X$5:$X$17,MATCH($C62,Matches!$A$5:$A$17,0))="","",INDEX(Matches!$X$5:$X$17,MATCH($C62,Matches!$A$5:$A$17,0))),"")</f>
        <v>Dust2</v>
      </c>
      <c r="I62" s="0" t="str">
        <f aca="false">IFERROR(IF(INDEX(Matches!$Y$5:$Y$17,MATCH($C62,Matches!$A$5:$A$17,0))="","",INDEX(Matches!$Y$5:$Y$17,MATCH($C62,Matches!$A$5:$A$17,0))),"")</f>
        <v>Mirage</v>
      </c>
      <c r="J62" s="11" t="n">
        <f aca="false">IFERROR(IF(INDEX(Matches!$Z$5:$Z$17,MATCH($C62,Matches!$A$5:$A$17,0))="","",INDEX(Matches!$Z$5:$Z$17,MATCH($C62,Matches!$A$5:$A$17,0))),"")</f>
        <v>21.02</v>
      </c>
      <c r="K62" s="11" t="n">
        <f aca="false">IFERROR(IF(INDEX(Matches!$AA$5:$AA$17,MATCH($C62,Matches!$A$5:$A$17,0))="","",INDEX(Matches!$AA$5:$AA$17,MATCH($C62,Matches!$A$5:$A$17,0))),"")</f>
        <v>21.01</v>
      </c>
      <c r="L62" s="11" t="n">
        <f aca="false">IFERROR(IF(INDEX(Matches!$AB$5:$AB$17,MATCH($C62,Matches!$A$5:$A$17,0))="","",INDEX(Matches!$AB$5:$AB$17,MATCH($C62,Matches!$A$5:$A$17,0))),"")</f>
        <v>21.5</v>
      </c>
      <c r="M62" s="10" t="n">
        <f aca="false">IFERROR(IF(INDEX(Matches!$AC$5:$AC$17,MATCH($C62,Matches!$A$5:$A$17,0))="","",INDEX(Matches!$AC$5:$AC$17,MATCH($C62,Matches!$A$5:$A$17,0))),"")</f>
        <v>0.4319</v>
      </c>
      <c r="N62" s="9" t="n">
        <f aca="false">IFERROR(INDEX(Players!$F$2:$F$105,MATCH($F62,Players!$A$2:$A$105,0)),0)</f>
        <v>30</v>
      </c>
      <c r="O62" s="13" t="n">
        <f aca="false">IFERROR(1/(1/INDEX(Players!$H$2:$H$105,MATCH($F62,Players!$A$2:$A$105,0))),"")</f>
        <v>0.57</v>
      </c>
      <c r="P62" s="10" t="n">
        <f aca="false">IFERROR(1/(1/INDEX(Players!$I$2:$I$105,MATCH($F62,Players!$A$2:$A$105,0))),"")</f>
        <v>0.554</v>
      </c>
      <c r="Q62" s="9" t="n">
        <f aca="false">IF($G62="",0,SUMIFS(Map_Stats!$F$2:$F$642,Map_Stats!$A$2:$A$642,$F62&amp;"|"&amp;$G62))</f>
        <v>5</v>
      </c>
      <c r="R62" s="13" t="n">
        <f aca="false">IF($G62="","",IFERROR(1/(1/INDEX(Map_Stats!$K$2:$K$642,MATCH($F62&amp;"|"&amp;$G62,Map_Stats!$A$2:$A$642,0))),$O62))</f>
        <v>0.58</v>
      </c>
      <c r="S62" s="10" t="n">
        <f aca="false">IF(OR($G62="",$P62=""),"",IFERROR(1/(1/INDEX(Map_Stats!$I$2:$I$642,MATCH($F62&amp;"|"&amp;$G62,Map_Stats!$A$2:$A$642,0))),$P62))</f>
        <v>0.559</v>
      </c>
      <c r="T62" s="13" t="n">
        <f aca="false">IF(OR($G62="",R62=""),"",IF($O62="",R62,(Q62*R62+Config!$B$4*$O62)/(Q62+Config!$B$4)))</f>
        <v>0.575</v>
      </c>
      <c r="U62" s="10" t="n">
        <f aca="false">IF(S62="","",(Q62*S62+Config!$B$4*$P62)/(Q62+Config!$B$4))</f>
        <v>0.5565</v>
      </c>
      <c r="V62" s="17" t="n">
        <f aca="false">IF(OR(T62="",$J62=""),"",T62*$J62*($J62/Config!$B$10)^Config!$B$9)</f>
        <v>12.0865</v>
      </c>
      <c r="W62" s="17" t="n">
        <f aca="false">IF(OR(V62="",U62=""),"",V62*U62)</f>
        <v>6.72613725</v>
      </c>
      <c r="X62" s="9" t="n">
        <f aca="false">IF($H62="",0,SUMIFS(Map_Stats!$F$2:$F$642,Map_Stats!$A$2:$A$642,$F62&amp;"|"&amp;$H62))</f>
        <v>8</v>
      </c>
      <c r="Y62" s="13" t="n">
        <f aca="false">IF($H62="","",IFERROR(1/(1/INDEX(Map_Stats!$K$2:$K$642,MATCH($F62&amp;"|"&amp;$H62,Map_Stats!$A$2:$A$642,0))),$O62))</f>
        <v>0.61</v>
      </c>
      <c r="Z62" s="10" t="n">
        <f aca="false">IF(OR($H62="",$P62=""),"",IFERROR(1/(1/INDEX(Map_Stats!$I$2:$I$642,MATCH($F62&amp;"|"&amp;$H62,Map_Stats!$A$2:$A$642,0))),$P62))</f>
        <v>0.547</v>
      </c>
      <c r="AA62" s="13" t="n">
        <f aca="false">IF(OR($H62="",Y62=""),"",IF($O62="",Y62,(X62*Y62+Config!$B$4*$O62)/(X62+Config!$B$4)))</f>
        <v>0.594615384615385</v>
      </c>
      <c r="AB62" s="10" t="n">
        <f aca="false">IF(Z62="","",(X62*Z62+Config!$B$4*$P62)/(X62+Config!$B$4))</f>
        <v>0.549692307692308</v>
      </c>
      <c r="AC62" s="17" t="n">
        <f aca="false">IF(OR(AA62="",$K62=""),"",AA62*$K62*($K62/Config!$B$10)^Config!$B$9)</f>
        <v>12.4928692307692</v>
      </c>
      <c r="AD62" s="17" t="n">
        <f aca="false">IF(OR(AC62="",AB62=""),"",AC62*AB62)</f>
        <v>6.86723411715976</v>
      </c>
      <c r="AE62" s="9" t="n">
        <f aca="false">IF($I62="",0,SUMIFS(Map_Stats!$F$2:$F$642,Map_Stats!$A$2:$A$642,$F62&amp;"|"&amp;$I62))</f>
        <v>3</v>
      </c>
      <c r="AF62" s="13" t="n">
        <f aca="false">IF($I62="","",IFERROR(1/(1/INDEX(Map_Stats!$K$2:$K$642,MATCH($F62&amp;"|"&amp;$I62,Map_Stats!$A$2:$A$642,0))),$O62))</f>
        <v>0.66</v>
      </c>
      <c r="AG62" s="10" t="n">
        <f aca="false">IF(OR($I62="",$P62=""),"",IFERROR(1/(1/INDEX(Map_Stats!$I$2:$I$642,MATCH($F62&amp;"|"&amp;$I62,Map_Stats!$A$2:$A$642,0))),$P62))</f>
        <v>0.563</v>
      </c>
      <c r="AH62" s="13" t="n">
        <f aca="false">IF(OR($I62="",AF62=""),"",IF($O62="",AF62,(AE62*AF62+Config!$B$4*$O62)/(AE62+Config!$B$4)))</f>
        <v>0.60375</v>
      </c>
      <c r="AI62" s="10" t="n">
        <f aca="false">IF(AG62="","",(AE62*AG62+Config!$B$4*$P62)/(AE62+Config!$B$4))</f>
        <v>0.557375</v>
      </c>
      <c r="AJ62" s="17" t="n">
        <f aca="false">IF(OR(AH62="",$L62=""),"",AH62*$L62*($L62/Config!$B$10)^Config!$B$9)</f>
        <v>12.980625</v>
      </c>
      <c r="AK62" s="17" t="n">
        <f aca="false">IF(OR(AJ62="",AI62=""),"",AJ62*AI62)</f>
        <v>7.235075859375</v>
      </c>
      <c r="AL62" s="17" t="n">
        <f aca="false">N(V62)+N(AC62)</f>
        <v>24.5793692307692</v>
      </c>
      <c r="AM62" s="17" t="n">
        <f aca="false">AL62+N($M62)*N(AJ62)</f>
        <v>30.1857011682692</v>
      </c>
      <c r="AN62" s="17" t="n">
        <f aca="false">IF(W62="","",N(W62)+N(AD62))</f>
        <v>13.5933713671598</v>
      </c>
      <c r="AO62" s="17" t="n">
        <f aca="false">IF(AN62="","",AN62+N($M62)*N(AK62))</f>
        <v>16.7182006308238</v>
      </c>
      <c r="AP62" s="10" t="n">
        <f aca="false">IFERROR(AN62/AL62,"")</f>
        <v>0.553039878262749</v>
      </c>
      <c r="AQ62" s="0" t="str">
        <f aca="false">TRIM(IF($N62&lt;Config!$B$12,"thin sample ("&amp;$N62&amp;" maps) · ","")&amp;IF(AND($G62&lt;&gt;"",Q62=0),"M1 unplayed→overall KPR · ","")&amp;IF(AND($H62&lt;&gt;"",X62=0),"M2 unplayed→overall KPR · ","")&amp;IF($O62="","no PickFinder stats",""))</f>
        <v/>
      </c>
      <c r="AR62" s="0" t="str">
        <f aca="false">IF($C62=Board!$B$2,COUNTIFS($C$2:$C$105,Board!$B$2,$AL$2:$AL$105,"&gt;"&amp;$AL62)+COUNTIFS($C$1:$C61,Board!$B$2,$AL$1:$AL61,$AL62)+1,"")</f>
        <v/>
      </c>
      <c r="AS62" s="0" t="str">
        <f aca="false">IFERROR(IF($D62=INDEX(Matches!$AD$5:$AD$17,MATCH($C62,Matches!$A$5:$A$17,0)),"A",IF($D62=INDEX(Matches!$AE$5:$AE$17,MATCH($C62,Matches!$A$5:$A$17,0)),"B","")),"")</f>
        <v>B</v>
      </c>
      <c r="AT62" s="10" t="n">
        <f aca="false">IF($AS62="","",IFERROR(IF($AS62="A",INDEX(Matches!$AI$5:$AI$17,MATCH($C62,Matches!$A$5:$A$17,0)),INDEX(Matches!$AJ$5:$AJ$17,MATCH($C62,Matches!$A$5:$A$17,0))),""))</f>
        <v>0.524698931009962</v>
      </c>
      <c r="AU62" s="10" t="n">
        <f aca="false">IF($AS62="","",IFERROR(IF(INDEX(Matches!$AP$5:$AP$17,MATCH($C62,Matches!$A$5:$A$17,0))="","",IF($AS62="A",INDEX(Matches!$AP$5:$AP$17,MATCH($C62,Matches!$A$5:$A$17,0)),1-INDEX(Matches!$AP$5:$AP$17,MATCH($C62,Matches!$A$5:$A$17,0)))),""))</f>
        <v>0.53063354909096</v>
      </c>
      <c r="AV62" s="13" t="n">
        <f aca="false">IF(OR($AU62="",$AT62=""),1,((Config!$B$14*$AU62+Config!$B$15*(1-$AU62))/(Config!$B$14*$AT62+Config!$B$15*(1-$AT62)))^Config!$B$13)</f>
        <v>1.00518875277106</v>
      </c>
      <c r="AW62" s="10" t="n">
        <f aca="false">IF($AS62="","",IFERROR(IF(INDEX(Matches!$AV$5:$AV$17,MATCH($C62,Matches!$A$5:$A$17,0))="","",IF($AS62="A",INDEX(Matches!$AV$5:$AV$17,MATCH($C62,Matches!$A$5:$A$17,0)),1-INDEX(Matches!$AV$5:$AV$17,MATCH($C62,Matches!$A$5:$A$17,0)))),""))</f>
        <v>0.553985408962031</v>
      </c>
      <c r="AX62" s="13" t="n">
        <f aca="false">IF(OR($AW62="",$AT62=""),1,((Config!$B$14*$AW62+Config!$B$15*(1-$AW62))/(Config!$B$14*$AT62+Config!$B$15*(1-$AT62)))^Config!$B$13)</f>
        <v>1.02560574101893</v>
      </c>
      <c r="AY62" s="10" t="n">
        <f aca="false">IF($AS62="","",IFERROR(IF(INDEX(Matches!$BB$5:$BB$17,MATCH($C62,Matches!$A$5:$A$17,0))="","",IF($AS62="A",INDEX(Matches!$BB$5:$BB$17,MATCH($C62,Matches!$A$5:$A$17,0)),1-INDEX(Matches!$BB$5:$BB$17,MATCH($C62,Matches!$A$5:$A$17,0)))),""))</f>
        <v>0.527157925336599</v>
      </c>
      <c r="AZ62" s="13" t="n">
        <f aca="false">IF(OR($AY62="",$AT62=""),1,((Config!$B$14*$AY62+Config!$B$15*(1-$AY62))/(Config!$B$14*$AT62+Config!$B$15*(1-$AT62)))^Config!$B$13)</f>
        <v>1.00214994687985</v>
      </c>
      <c r="BA62" s="17" t="n">
        <f aca="false">IF(V62="","",V62*$AV62)</f>
        <v>12.1492138603674</v>
      </c>
      <c r="BB62" s="17" t="n">
        <f aca="false">IF(AC62="","",AC62*$AX62)</f>
        <v>12.8127584048757</v>
      </c>
      <c r="BC62" s="17" t="n">
        <f aca="false">IF(AJ62="","",AJ62*$AZ62)</f>
        <v>13.0085326542173</v>
      </c>
      <c r="BD62" s="17" t="n">
        <f aca="false">N(BA62)+N(BB62)</f>
        <v>24.9619722652431</v>
      </c>
      <c r="BE62" s="17" t="n">
        <f aca="false">BD62+N($M62)*N(BC62)</f>
        <v>30.5803575185995</v>
      </c>
      <c r="BF62" s="17" t="n">
        <f aca="false">IF(W62="","",W62*$AV62)</f>
        <v>6.76103751329445</v>
      </c>
      <c r="BG62" s="17" t="n">
        <f aca="false">IF(AD62="","",AD62*$AX62)</f>
        <v>7.04307473548012</v>
      </c>
      <c r="BH62" s="17" t="n">
        <f aca="false">IF(AK62="","",AK62*$AZ62)</f>
        <v>7.25063088814435</v>
      </c>
      <c r="BI62" s="17" t="n">
        <f aca="false">IF(BF62="","",N(BF62)+N(BG62))</f>
        <v>13.8041122487746</v>
      </c>
      <c r="BJ62" s="17" t="n">
        <f aca="false">IF(BI62="","",BI62+N($M62)*N(BH62))</f>
        <v>16.9356597293641</v>
      </c>
      <c r="BK62" s="13" t="n">
        <f aca="false">IFERROR(BD62/AL62,1)</f>
        <v>1.01556602331336</v>
      </c>
    </row>
    <row r="63" customFormat="false" ht="15" hidden="false" customHeight="false" outlineLevel="0" collapsed="false">
      <c r="A63" s="0" t="s">
        <v>1028</v>
      </c>
      <c r="B63" s="0" t="s">
        <v>775</v>
      </c>
      <c r="C63" s="0" t="s">
        <v>807</v>
      </c>
      <c r="D63" s="0" t="s">
        <v>812</v>
      </c>
      <c r="E63" s="0" t="s">
        <v>1027</v>
      </c>
      <c r="F63" s="0" t="s">
        <v>1228</v>
      </c>
      <c r="G63" s="0" t="str">
        <f aca="false">IFERROR(IF(INDEX(Matches!$W$5:$W$17,MATCH($C63,Matches!$A$5:$A$17,0))="","",INDEX(Matches!$W$5:$W$17,MATCH($C63,Matches!$A$5:$A$17,0))),"")</f>
        <v>Ancient</v>
      </c>
      <c r="H63" s="0" t="str">
        <f aca="false">IFERROR(IF(INDEX(Matches!$X$5:$X$17,MATCH($C63,Matches!$A$5:$A$17,0))="","",INDEX(Matches!$X$5:$X$17,MATCH($C63,Matches!$A$5:$A$17,0))),"")</f>
        <v>Dust2</v>
      </c>
      <c r="I63" s="0" t="str">
        <f aca="false">IFERROR(IF(INDEX(Matches!$Y$5:$Y$17,MATCH($C63,Matches!$A$5:$A$17,0))="","",INDEX(Matches!$Y$5:$Y$17,MATCH($C63,Matches!$A$5:$A$17,0))),"")</f>
        <v>Mirage</v>
      </c>
      <c r="J63" s="11" t="n">
        <f aca="false">IFERROR(IF(INDEX(Matches!$Z$5:$Z$17,MATCH($C63,Matches!$A$5:$A$17,0))="","",INDEX(Matches!$Z$5:$Z$17,MATCH($C63,Matches!$A$5:$A$17,0))),"")</f>
        <v>21.02</v>
      </c>
      <c r="K63" s="11" t="n">
        <f aca="false">IFERROR(IF(INDEX(Matches!$AA$5:$AA$17,MATCH($C63,Matches!$A$5:$A$17,0))="","",INDEX(Matches!$AA$5:$AA$17,MATCH($C63,Matches!$A$5:$A$17,0))),"")</f>
        <v>21.01</v>
      </c>
      <c r="L63" s="11" t="n">
        <f aca="false">IFERROR(IF(INDEX(Matches!$AB$5:$AB$17,MATCH($C63,Matches!$A$5:$A$17,0))="","",INDEX(Matches!$AB$5:$AB$17,MATCH($C63,Matches!$A$5:$A$17,0))),"")</f>
        <v>21.5</v>
      </c>
      <c r="M63" s="10" t="n">
        <f aca="false">IFERROR(IF(INDEX(Matches!$AC$5:$AC$17,MATCH($C63,Matches!$A$5:$A$17,0))="","",INDEX(Matches!$AC$5:$AC$17,MATCH($C63,Matches!$A$5:$A$17,0))),"")</f>
        <v>0.4319</v>
      </c>
      <c r="N63" s="9" t="n">
        <f aca="false">IFERROR(INDEX(Players!$F$2:$F$105,MATCH($F63,Players!$A$2:$A$105,0)),0)</f>
        <v>30</v>
      </c>
      <c r="O63" s="13" t="n">
        <f aca="false">IFERROR(1/(1/INDEX(Players!$H$2:$H$105,MATCH($F63,Players!$A$2:$A$105,0))),"")</f>
        <v>0.61</v>
      </c>
      <c r="P63" s="10" t="n">
        <f aca="false">IFERROR(1/(1/INDEX(Players!$I$2:$I$105,MATCH($F63,Players!$A$2:$A$105,0))),"")</f>
        <v>0.417</v>
      </c>
      <c r="Q63" s="9" t="n">
        <f aca="false">IF($G63="",0,SUMIFS(Map_Stats!$F$2:$F$642,Map_Stats!$A$2:$A$642,$F63&amp;"|"&amp;$G63))</f>
        <v>5</v>
      </c>
      <c r="R63" s="13" t="n">
        <f aca="false">IF($G63="","",IFERROR(1/(1/INDEX(Map_Stats!$K$2:$K$642,MATCH($F63&amp;"|"&amp;$G63,Map_Stats!$A$2:$A$642,0))),$O63))</f>
        <v>0.64</v>
      </c>
      <c r="S63" s="10" t="n">
        <f aca="false">IF(OR($G63="",$P63=""),"",IFERROR(1/(1/INDEX(Map_Stats!$I$2:$I$642,MATCH($F63&amp;"|"&amp;$G63,Map_Stats!$A$2:$A$642,0))),$P63))</f>
        <v>0.323</v>
      </c>
      <c r="T63" s="13" t="n">
        <f aca="false">IF(OR($G63="",R63=""),"",IF($O63="",R63,(Q63*R63+Config!$B$4*$O63)/(Q63+Config!$B$4)))</f>
        <v>0.625</v>
      </c>
      <c r="U63" s="10" t="n">
        <f aca="false">IF(S63="","",(Q63*S63+Config!$B$4*$P63)/(Q63+Config!$B$4))</f>
        <v>0.37</v>
      </c>
      <c r="V63" s="17" t="n">
        <f aca="false">IF(OR(T63="",$J63=""),"",T63*$J63*($J63/Config!$B$10)^Config!$B$9)</f>
        <v>13.1375</v>
      </c>
      <c r="W63" s="17" t="n">
        <f aca="false">IF(OR(V63="",U63=""),"",V63*U63)</f>
        <v>4.860875</v>
      </c>
      <c r="X63" s="9" t="n">
        <f aca="false">IF($H63="",0,SUMIFS(Map_Stats!$F$2:$F$642,Map_Stats!$A$2:$A$642,$F63&amp;"|"&amp;$H63))</f>
        <v>8</v>
      </c>
      <c r="Y63" s="13" t="n">
        <f aca="false">IF($H63="","",IFERROR(1/(1/INDEX(Map_Stats!$K$2:$K$642,MATCH($F63&amp;"|"&amp;$H63,Map_Stats!$A$2:$A$642,0))),$O63))</f>
        <v>0.55</v>
      </c>
      <c r="Z63" s="10" t="n">
        <f aca="false">IF(OR($H63="",$P63=""),"",IFERROR(1/(1/INDEX(Map_Stats!$I$2:$I$642,MATCH($F63&amp;"|"&amp;$H63,Map_Stats!$A$2:$A$642,0))),$P63))</f>
        <v>0.425</v>
      </c>
      <c r="AA63" s="13" t="n">
        <f aca="false">IF(OR($H63="",Y63=""),"",IF($O63="",Y63,(X63*Y63+Config!$B$4*$O63)/(X63+Config!$B$4)))</f>
        <v>0.573076923076923</v>
      </c>
      <c r="AB63" s="10" t="n">
        <f aca="false">IF(Z63="","",(X63*Z63+Config!$B$4*$P63)/(X63+Config!$B$4))</f>
        <v>0.421923076923077</v>
      </c>
      <c r="AC63" s="17" t="n">
        <f aca="false">IF(OR(AA63="",$K63=""),"",AA63*$K63*($K63/Config!$B$10)^Config!$B$9)</f>
        <v>12.0403461538462</v>
      </c>
      <c r="AD63" s="17" t="n">
        <f aca="false">IF(OR(AC63="",AB63=""),"",AC63*AB63)</f>
        <v>5.0800998964497</v>
      </c>
      <c r="AE63" s="9" t="n">
        <f aca="false">IF($I63="",0,SUMIFS(Map_Stats!$F$2:$F$642,Map_Stats!$A$2:$A$642,$F63&amp;"|"&amp;$I63))</f>
        <v>3</v>
      </c>
      <c r="AF63" s="13" t="n">
        <f aca="false">IF($I63="","",IFERROR(1/(1/INDEX(Map_Stats!$K$2:$K$642,MATCH($F63&amp;"|"&amp;$I63,Map_Stats!$A$2:$A$642,0))),$O63))</f>
        <v>0.67</v>
      </c>
      <c r="AG63" s="10" t="n">
        <f aca="false">IF(OR($I63="",$P63=""),"",IFERROR(1/(1/INDEX(Map_Stats!$I$2:$I$642,MATCH($F63&amp;"|"&amp;$I63,Map_Stats!$A$2:$A$642,0))),$P63))</f>
        <v>0.449</v>
      </c>
      <c r="AH63" s="13" t="n">
        <f aca="false">IF(OR($I63="",AF63=""),"",IF($O63="",AF63,(AE63*AF63+Config!$B$4*$O63)/(AE63+Config!$B$4)))</f>
        <v>0.6325</v>
      </c>
      <c r="AI63" s="10" t="n">
        <f aca="false">IF(AG63="","",(AE63*AG63+Config!$B$4*$P63)/(AE63+Config!$B$4))</f>
        <v>0.429</v>
      </c>
      <c r="AJ63" s="17" t="n">
        <f aca="false">IF(OR(AH63="",$L63=""),"",AH63*$L63*($L63/Config!$B$10)^Config!$B$9)</f>
        <v>13.59875</v>
      </c>
      <c r="AK63" s="17" t="n">
        <f aca="false">IF(OR(AJ63="",AI63=""),"",AJ63*AI63)</f>
        <v>5.83386375</v>
      </c>
      <c r="AL63" s="17" t="n">
        <f aca="false">N(V63)+N(AC63)</f>
        <v>25.1778461538462</v>
      </c>
      <c r="AM63" s="17" t="n">
        <f aca="false">AL63+N($M63)*N(AJ63)</f>
        <v>31.0511462788462</v>
      </c>
      <c r="AN63" s="17" t="n">
        <f aca="false">IF(W63="","",N(W63)+N(AD63))</f>
        <v>9.9409748964497</v>
      </c>
      <c r="AO63" s="17" t="n">
        <f aca="false">IF(AN63="","",AN63+N($M63)*N(AK63))</f>
        <v>12.4606206500747</v>
      </c>
      <c r="AP63" s="10" t="n">
        <f aca="false">IFERROR(AN63/AL63,"")</f>
        <v>0.39483023431419</v>
      </c>
      <c r="AQ63" s="0" t="str">
        <f aca="false">TRIM(IF($N63&lt;Config!$B$12,"thin sample ("&amp;$N63&amp;" maps) · ","")&amp;IF(AND($G63&lt;&gt;"",Q63=0),"M1 unplayed→overall KPR · ","")&amp;IF(AND($H63&lt;&gt;"",X63=0),"M2 unplayed→overall KPR · ","")&amp;IF($O63="","no PickFinder stats",""))</f>
        <v/>
      </c>
      <c r="AR63" s="0" t="str">
        <f aca="false">IF($C63=Board!$B$2,COUNTIFS($C$2:$C$105,Board!$B$2,$AL$2:$AL$105,"&gt;"&amp;$AL63)+COUNTIFS($C$1:$C62,Board!$B$2,$AL$1:$AL62,$AL63)+1,"")</f>
        <v/>
      </c>
      <c r="AS63" s="0" t="str">
        <f aca="false">IFERROR(IF($D63=INDEX(Matches!$AD$5:$AD$17,MATCH($C63,Matches!$A$5:$A$17,0)),"A",IF($D63=INDEX(Matches!$AE$5:$AE$17,MATCH($C63,Matches!$A$5:$A$17,0)),"B","")),"")</f>
        <v>B</v>
      </c>
      <c r="AT63" s="10" t="n">
        <f aca="false">IF($AS63="","",IFERROR(IF($AS63="A",INDEX(Matches!$AI$5:$AI$17,MATCH($C63,Matches!$A$5:$A$17,0)),INDEX(Matches!$AJ$5:$AJ$17,MATCH($C63,Matches!$A$5:$A$17,0))),""))</f>
        <v>0.524698931009962</v>
      </c>
      <c r="AU63" s="10" t="n">
        <f aca="false">IF($AS63="","",IFERROR(IF(INDEX(Matches!$AP$5:$AP$17,MATCH($C63,Matches!$A$5:$A$17,0))="","",IF($AS63="A",INDEX(Matches!$AP$5:$AP$17,MATCH($C63,Matches!$A$5:$A$17,0)),1-INDEX(Matches!$AP$5:$AP$17,MATCH($C63,Matches!$A$5:$A$17,0)))),""))</f>
        <v>0.53063354909096</v>
      </c>
      <c r="AV63" s="13" t="n">
        <f aca="false">IF(OR($AU63="",$AT63=""),1,((Config!$B$14*$AU63+Config!$B$15*(1-$AU63))/(Config!$B$14*$AT63+Config!$B$15*(1-$AT63)))^Config!$B$13)</f>
        <v>1.00518875277106</v>
      </c>
      <c r="AW63" s="10" t="n">
        <f aca="false">IF($AS63="","",IFERROR(IF(INDEX(Matches!$AV$5:$AV$17,MATCH($C63,Matches!$A$5:$A$17,0))="","",IF($AS63="A",INDEX(Matches!$AV$5:$AV$17,MATCH($C63,Matches!$A$5:$A$17,0)),1-INDEX(Matches!$AV$5:$AV$17,MATCH($C63,Matches!$A$5:$A$17,0)))),""))</f>
        <v>0.553985408962031</v>
      </c>
      <c r="AX63" s="13" t="n">
        <f aca="false">IF(OR($AW63="",$AT63=""),1,((Config!$B$14*$AW63+Config!$B$15*(1-$AW63))/(Config!$B$14*$AT63+Config!$B$15*(1-$AT63)))^Config!$B$13)</f>
        <v>1.02560574101893</v>
      </c>
      <c r="AY63" s="10" t="n">
        <f aca="false">IF($AS63="","",IFERROR(IF(INDEX(Matches!$BB$5:$BB$17,MATCH($C63,Matches!$A$5:$A$17,0))="","",IF($AS63="A",INDEX(Matches!$BB$5:$BB$17,MATCH($C63,Matches!$A$5:$A$17,0)),1-INDEX(Matches!$BB$5:$BB$17,MATCH($C63,Matches!$A$5:$A$17,0)))),""))</f>
        <v>0.527157925336599</v>
      </c>
      <c r="AZ63" s="13" t="n">
        <f aca="false">IF(OR($AY63="",$AT63=""),1,((Config!$B$14*$AY63+Config!$B$15*(1-$AY63))/(Config!$B$14*$AT63+Config!$B$15*(1-$AT63)))^Config!$B$13)</f>
        <v>1.00214994687985</v>
      </c>
      <c r="BA63" s="17" t="n">
        <f aca="false">IF(V63="","",V63*$AV63)</f>
        <v>13.2056672395298</v>
      </c>
      <c r="BB63" s="17" t="n">
        <f aca="false">IF(AC63="","",AC63*$AX63)</f>
        <v>12.3486481392398</v>
      </c>
      <c r="BC63" s="17" t="n">
        <f aca="false">IF(AJ63="","",AJ63*$AZ63)</f>
        <v>13.6279865901324</v>
      </c>
      <c r="BD63" s="17" t="n">
        <f aca="false">N(BA63)+N(BB63)</f>
        <v>25.5543153787696</v>
      </c>
      <c r="BE63" s="17" t="n">
        <f aca="false">BD63+N($M63)*N(BC63)</f>
        <v>31.4402427870477</v>
      </c>
      <c r="BF63" s="17" t="n">
        <f aca="false">IF(W63="","",W63*$AV63)</f>
        <v>4.88609687862601</v>
      </c>
      <c r="BG63" s="17" t="n">
        <f aca="false">IF(AD63="","",AD63*$AX63)</f>
        <v>5.21017961874849</v>
      </c>
      <c r="BH63" s="17" t="n">
        <f aca="false">IF(AK63="","",AK63*$AZ63)</f>
        <v>5.84640624716679</v>
      </c>
      <c r="BI63" s="17" t="n">
        <f aca="false">IF(BF63="","",N(BF63)+N(BG63))</f>
        <v>10.0962764973745</v>
      </c>
      <c r="BJ63" s="17" t="n">
        <f aca="false">IF(BI63="","",BI63+N($M63)*N(BH63))</f>
        <v>12.6213393555258</v>
      </c>
      <c r="BK63" s="13" t="n">
        <f aca="false">IFERROR(BD63/AL63,1)</f>
        <v>1.01495239992425</v>
      </c>
    </row>
    <row r="64" customFormat="false" ht="15" hidden="false" customHeight="false" outlineLevel="0" collapsed="false">
      <c r="A64" s="0" t="s">
        <v>1030</v>
      </c>
      <c r="B64" s="0" t="s">
        <v>775</v>
      </c>
      <c r="C64" s="0" t="s">
        <v>807</v>
      </c>
      <c r="D64" s="0" t="s">
        <v>812</v>
      </c>
      <c r="E64" s="0" t="s">
        <v>1029</v>
      </c>
      <c r="F64" s="0" t="s">
        <v>1229</v>
      </c>
      <c r="G64" s="0" t="str">
        <f aca="false">IFERROR(IF(INDEX(Matches!$W$5:$W$17,MATCH($C64,Matches!$A$5:$A$17,0))="","",INDEX(Matches!$W$5:$W$17,MATCH($C64,Matches!$A$5:$A$17,0))),"")</f>
        <v>Ancient</v>
      </c>
      <c r="H64" s="0" t="str">
        <f aca="false">IFERROR(IF(INDEX(Matches!$X$5:$X$17,MATCH($C64,Matches!$A$5:$A$17,0))="","",INDEX(Matches!$X$5:$X$17,MATCH($C64,Matches!$A$5:$A$17,0))),"")</f>
        <v>Dust2</v>
      </c>
      <c r="I64" s="0" t="str">
        <f aca="false">IFERROR(IF(INDEX(Matches!$Y$5:$Y$17,MATCH($C64,Matches!$A$5:$A$17,0))="","",INDEX(Matches!$Y$5:$Y$17,MATCH($C64,Matches!$A$5:$A$17,0))),"")</f>
        <v>Mirage</v>
      </c>
      <c r="J64" s="11" t="n">
        <f aca="false">IFERROR(IF(INDEX(Matches!$Z$5:$Z$17,MATCH($C64,Matches!$A$5:$A$17,0))="","",INDEX(Matches!$Z$5:$Z$17,MATCH($C64,Matches!$A$5:$A$17,0))),"")</f>
        <v>21.02</v>
      </c>
      <c r="K64" s="11" t="n">
        <f aca="false">IFERROR(IF(INDEX(Matches!$AA$5:$AA$17,MATCH($C64,Matches!$A$5:$A$17,0))="","",INDEX(Matches!$AA$5:$AA$17,MATCH($C64,Matches!$A$5:$A$17,0))),"")</f>
        <v>21.01</v>
      </c>
      <c r="L64" s="11" t="n">
        <f aca="false">IFERROR(IF(INDEX(Matches!$AB$5:$AB$17,MATCH($C64,Matches!$A$5:$A$17,0))="","",INDEX(Matches!$AB$5:$AB$17,MATCH($C64,Matches!$A$5:$A$17,0))),"")</f>
        <v>21.5</v>
      </c>
      <c r="M64" s="10" t="n">
        <f aca="false">IFERROR(IF(INDEX(Matches!$AC$5:$AC$17,MATCH($C64,Matches!$A$5:$A$17,0))="","",INDEX(Matches!$AC$5:$AC$17,MATCH($C64,Matches!$A$5:$A$17,0))),"")</f>
        <v>0.4319</v>
      </c>
      <c r="N64" s="9" t="n">
        <f aca="false">IFERROR(INDEX(Players!$F$2:$F$105,MATCH($F64,Players!$A$2:$A$105,0)),0)</f>
        <v>30</v>
      </c>
      <c r="O64" s="13" t="n">
        <f aca="false">IFERROR(1/(1/INDEX(Players!$H$2:$H$105,MATCH($F64,Players!$A$2:$A$105,0))),"")</f>
        <v>0.72</v>
      </c>
      <c r="P64" s="10" t="n">
        <f aca="false">IFERROR(1/(1/INDEX(Players!$I$2:$I$105,MATCH($F64,Players!$A$2:$A$105,0))),"")</f>
        <v>0.547</v>
      </c>
      <c r="Q64" s="9" t="n">
        <f aca="false">IF($G64="",0,SUMIFS(Map_Stats!$F$2:$F$642,Map_Stats!$A$2:$A$642,$F64&amp;"|"&amp;$G64))</f>
        <v>5</v>
      </c>
      <c r="R64" s="13" t="n">
        <f aca="false">IF($G64="","",IFERROR(1/(1/INDEX(Map_Stats!$K$2:$K$642,MATCH($F64&amp;"|"&amp;$G64,Map_Stats!$A$2:$A$642,0))),$O64))</f>
        <v>0.82</v>
      </c>
      <c r="S64" s="10" t="n">
        <f aca="false">IF(OR($G64="",$P64=""),"",IFERROR(1/(1/INDEX(Map_Stats!$I$2:$I$642,MATCH($F64&amp;"|"&amp;$G64,Map_Stats!$A$2:$A$642,0))),$P64))</f>
        <v>0.602</v>
      </c>
      <c r="T64" s="13" t="n">
        <f aca="false">IF(OR($G64="",R64=""),"",IF($O64="",R64,(Q64*R64+Config!$B$4*$O64)/(Q64+Config!$B$4)))</f>
        <v>0.77</v>
      </c>
      <c r="U64" s="10" t="n">
        <f aca="false">IF(S64="","",(Q64*S64+Config!$B$4*$P64)/(Q64+Config!$B$4))</f>
        <v>0.5745</v>
      </c>
      <c r="V64" s="17" t="n">
        <f aca="false">IF(OR(T64="",$J64=""),"",T64*$J64*($J64/Config!$B$10)^Config!$B$9)</f>
        <v>16.1854</v>
      </c>
      <c r="W64" s="17" t="n">
        <f aca="false">IF(OR(V64="",U64=""),"",V64*U64)</f>
        <v>9.2985123</v>
      </c>
      <c r="X64" s="9" t="n">
        <f aca="false">IF($H64="",0,SUMIFS(Map_Stats!$F$2:$F$642,Map_Stats!$A$2:$A$642,$F64&amp;"|"&amp;$H64))</f>
        <v>8</v>
      </c>
      <c r="Y64" s="13" t="n">
        <f aca="false">IF($H64="","",IFERROR(1/(1/INDEX(Map_Stats!$K$2:$K$642,MATCH($F64&amp;"|"&amp;$H64,Map_Stats!$A$2:$A$642,0))),$O64))</f>
        <v>0.7</v>
      </c>
      <c r="Z64" s="10" t="n">
        <f aca="false">IF(OR($H64="",$P64=""),"",IFERROR(1/(1/INDEX(Map_Stats!$I$2:$I$642,MATCH($F64&amp;"|"&amp;$H64,Map_Stats!$A$2:$A$642,0))),$P64))</f>
        <v>0.544</v>
      </c>
      <c r="AA64" s="13" t="n">
        <f aca="false">IF(OR($H64="",Y64=""),"",IF($O64="",Y64,(X64*Y64+Config!$B$4*$O64)/(X64+Config!$B$4)))</f>
        <v>0.707692307692308</v>
      </c>
      <c r="AB64" s="10" t="n">
        <f aca="false">IF(Z64="","",(X64*Z64+Config!$B$4*$P64)/(X64+Config!$B$4))</f>
        <v>0.545153846153846</v>
      </c>
      <c r="AC64" s="17" t="n">
        <f aca="false">IF(OR(AA64="",$K64=""),"",AA64*$K64*($K64/Config!$B$10)^Config!$B$9)</f>
        <v>14.8686153846154</v>
      </c>
      <c r="AD64" s="17" t="n">
        <f aca="false">IF(OR(AC64="",AB64=""),"",AC64*AB64)</f>
        <v>8.10568286390533</v>
      </c>
      <c r="AE64" s="9" t="n">
        <f aca="false">IF($I64="",0,SUMIFS(Map_Stats!$F$2:$F$642,Map_Stats!$A$2:$A$642,$F64&amp;"|"&amp;$I64))</f>
        <v>3</v>
      </c>
      <c r="AF64" s="13" t="n">
        <f aca="false">IF($I64="","",IFERROR(1/(1/INDEX(Map_Stats!$K$2:$K$642,MATCH($F64&amp;"|"&amp;$I64,Map_Stats!$A$2:$A$642,0))),$O64))</f>
        <v>0.68</v>
      </c>
      <c r="AG64" s="10" t="n">
        <f aca="false">IF(OR($I64="",$P64=""),"",IFERROR(1/(1/INDEX(Map_Stats!$I$2:$I$642,MATCH($F64&amp;"|"&amp;$I64,Map_Stats!$A$2:$A$642,0))),$P64))</f>
        <v>0.5</v>
      </c>
      <c r="AH64" s="13" t="n">
        <f aca="false">IF(OR($I64="",AF64=""),"",IF($O64="",AF64,(AE64*AF64+Config!$B$4*$O64)/(AE64+Config!$B$4)))</f>
        <v>0.705</v>
      </c>
      <c r="AI64" s="10" t="n">
        <f aca="false">IF(AG64="","",(AE64*AG64+Config!$B$4*$P64)/(AE64+Config!$B$4))</f>
        <v>0.529375</v>
      </c>
      <c r="AJ64" s="17" t="n">
        <f aca="false">IF(OR(AH64="",$L64=""),"",AH64*$L64*($L64/Config!$B$10)^Config!$B$9)</f>
        <v>15.1575</v>
      </c>
      <c r="AK64" s="17" t="n">
        <f aca="false">IF(OR(AJ64="",AI64=""),"",AJ64*AI64)</f>
        <v>8.0240015625</v>
      </c>
      <c r="AL64" s="17" t="n">
        <f aca="false">N(V64)+N(AC64)</f>
        <v>31.0540153846154</v>
      </c>
      <c r="AM64" s="17" t="n">
        <f aca="false">AL64+N($M64)*N(AJ64)</f>
        <v>37.6005396346154</v>
      </c>
      <c r="AN64" s="17" t="n">
        <f aca="false">IF(W64="","",N(W64)+N(AD64))</f>
        <v>17.4041951639053</v>
      </c>
      <c r="AO64" s="17" t="n">
        <f aca="false">IF(AN64="","",AN64+N($M64)*N(AK64))</f>
        <v>20.8697614387491</v>
      </c>
      <c r="AP64" s="10" t="n">
        <f aca="false">IFERROR(AN64/AL64,"")</f>
        <v>0.560449106125182</v>
      </c>
      <c r="AQ64" s="0" t="str">
        <f aca="false">TRIM(IF($N64&lt;Config!$B$12,"thin sample ("&amp;$N64&amp;" maps) · ","")&amp;IF(AND($G64&lt;&gt;"",Q64=0),"M1 unplayed→overall KPR · ","")&amp;IF(AND($H64&lt;&gt;"",X64=0),"M2 unplayed→overall KPR · ","")&amp;IF($O64="","no PickFinder stats",""))</f>
        <v/>
      </c>
      <c r="AR64" s="0" t="str">
        <f aca="false">IF($C64=Board!$B$2,COUNTIFS($C$2:$C$105,Board!$B$2,$AL$2:$AL$105,"&gt;"&amp;$AL64)+COUNTIFS($C$1:$C63,Board!$B$2,$AL$1:$AL63,$AL64)+1,"")</f>
        <v/>
      </c>
      <c r="AS64" s="0" t="str">
        <f aca="false">IFERROR(IF($D64=INDEX(Matches!$AD$5:$AD$17,MATCH($C64,Matches!$A$5:$A$17,0)),"A",IF($D64=INDEX(Matches!$AE$5:$AE$17,MATCH($C64,Matches!$A$5:$A$17,0)),"B","")),"")</f>
        <v>B</v>
      </c>
      <c r="AT64" s="10" t="n">
        <f aca="false">IF($AS64="","",IFERROR(IF($AS64="A",INDEX(Matches!$AI$5:$AI$17,MATCH($C64,Matches!$A$5:$A$17,0)),INDEX(Matches!$AJ$5:$AJ$17,MATCH($C64,Matches!$A$5:$A$17,0))),""))</f>
        <v>0.524698931009962</v>
      </c>
      <c r="AU64" s="10" t="n">
        <f aca="false">IF($AS64="","",IFERROR(IF(INDEX(Matches!$AP$5:$AP$17,MATCH($C64,Matches!$A$5:$A$17,0))="","",IF($AS64="A",INDEX(Matches!$AP$5:$AP$17,MATCH($C64,Matches!$A$5:$A$17,0)),1-INDEX(Matches!$AP$5:$AP$17,MATCH($C64,Matches!$A$5:$A$17,0)))),""))</f>
        <v>0.53063354909096</v>
      </c>
      <c r="AV64" s="13" t="n">
        <f aca="false">IF(OR($AU64="",$AT64=""),1,((Config!$B$14*$AU64+Config!$B$15*(1-$AU64))/(Config!$B$14*$AT64+Config!$B$15*(1-$AT64)))^Config!$B$13)</f>
        <v>1.00518875277106</v>
      </c>
      <c r="AW64" s="10" t="n">
        <f aca="false">IF($AS64="","",IFERROR(IF(INDEX(Matches!$AV$5:$AV$17,MATCH($C64,Matches!$A$5:$A$17,0))="","",IF($AS64="A",INDEX(Matches!$AV$5:$AV$17,MATCH($C64,Matches!$A$5:$A$17,0)),1-INDEX(Matches!$AV$5:$AV$17,MATCH($C64,Matches!$A$5:$A$17,0)))),""))</f>
        <v>0.553985408962031</v>
      </c>
      <c r="AX64" s="13" t="n">
        <f aca="false">IF(OR($AW64="",$AT64=""),1,((Config!$B$14*$AW64+Config!$B$15*(1-$AW64))/(Config!$B$14*$AT64+Config!$B$15*(1-$AT64)))^Config!$B$13)</f>
        <v>1.02560574101893</v>
      </c>
      <c r="AY64" s="10" t="n">
        <f aca="false">IF($AS64="","",IFERROR(IF(INDEX(Matches!$BB$5:$BB$17,MATCH($C64,Matches!$A$5:$A$17,0))="","",IF($AS64="A",INDEX(Matches!$BB$5:$BB$17,MATCH($C64,Matches!$A$5:$A$17,0)),1-INDEX(Matches!$BB$5:$BB$17,MATCH($C64,Matches!$A$5:$A$17,0)))),""))</f>
        <v>0.527157925336599</v>
      </c>
      <c r="AZ64" s="13" t="n">
        <f aca="false">IF(OR($AY64="",$AT64=""),1,((Config!$B$14*$AY64+Config!$B$15*(1-$AY64))/(Config!$B$14*$AT64+Config!$B$15*(1-$AT64)))^Config!$B$13)</f>
        <v>1.00214994687985</v>
      </c>
      <c r="BA64" s="17" t="n">
        <f aca="false">IF(V64="","",V64*$AV64)</f>
        <v>16.2693820391007</v>
      </c>
      <c r="BB64" s="17" t="n">
        <f aca="false">IF(AC64="","",AC64*$AX64)</f>
        <v>15.2493372994639</v>
      </c>
      <c r="BC64" s="17" t="n">
        <f aca="false">IF(AJ64="","",AJ64*$AZ64)</f>
        <v>15.1900878198313</v>
      </c>
      <c r="BD64" s="17" t="n">
        <f aca="false">N(BA64)+N(BB64)</f>
        <v>31.5187193385646</v>
      </c>
      <c r="BE64" s="17" t="n">
        <f aca="false">BD64+N($M64)*N(BC64)</f>
        <v>38.0793182679498</v>
      </c>
      <c r="BF64" s="17" t="n">
        <f aca="false">IF(W64="","",W64*$AV64)</f>
        <v>9.34675998146334</v>
      </c>
      <c r="BG64" s="17" t="n">
        <f aca="false">IF(AD64="","",AD64*$AX64)</f>
        <v>8.31323488010007</v>
      </c>
      <c r="BH64" s="17" t="n">
        <f aca="false">IF(AK64="","",AK64*$AZ64)</f>
        <v>8.04125273962322</v>
      </c>
      <c r="BI64" s="17" t="n">
        <f aca="false">IF(BF64="","",N(BF64)+N(BG64))</f>
        <v>17.6599948615634</v>
      </c>
      <c r="BJ64" s="17" t="n">
        <f aca="false">IF(BI64="","",BI64+N($M64)*N(BH64))</f>
        <v>21.1330119198067</v>
      </c>
      <c r="BK64" s="13" t="n">
        <f aca="false">IFERROR(BD64/AL64,1)</f>
        <v>1.01496437572384</v>
      </c>
    </row>
    <row r="65" customFormat="false" ht="15" hidden="false" customHeight="false" outlineLevel="0" collapsed="false">
      <c r="A65" s="0" t="s">
        <v>1032</v>
      </c>
      <c r="B65" s="0" t="s">
        <v>775</v>
      </c>
      <c r="C65" s="0" t="s">
        <v>807</v>
      </c>
      <c r="D65" s="0" t="s">
        <v>811</v>
      </c>
      <c r="E65" s="0" t="s">
        <v>1031</v>
      </c>
      <c r="F65" s="0" t="s">
        <v>1230</v>
      </c>
      <c r="G65" s="0" t="str">
        <f aca="false">IFERROR(IF(INDEX(Matches!$W$5:$W$17,MATCH($C65,Matches!$A$5:$A$17,0))="","",INDEX(Matches!$W$5:$W$17,MATCH($C65,Matches!$A$5:$A$17,0))),"")</f>
        <v>Ancient</v>
      </c>
      <c r="H65" s="0" t="str">
        <f aca="false">IFERROR(IF(INDEX(Matches!$X$5:$X$17,MATCH($C65,Matches!$A$5:$A$17,0))="","",INDEX(Matches!$X$5:$X$17,MATCH($C65,Matches!$A$5:$A$17,0))),"")</f>
        <v>Dust2</v>
      </c>
      <c r="I65" s="0" t="str">
        <f aca="false">IFERROR(IF(INDEX(Matches!$Y$5:$Y$17,MATCH($C65,Matches!$A$5:$A$17,0))="","",INDEX(Matches!$Y$5:$Y$17,MATCH($C65,Matches!$A$5:$A$17,0))),"")</f>
        <v>Mirage</v>
      </c>
      <c r="J65" s="11" t="n">
        <f aca="false">IFERROR(IF(INDEX(Matches!$Z$5:$Z$17,MATCH($C65,Matches!$A$5:$A$17,0))="","",INDEX(Matches!$Z$5:$Z$17,MATCH($C65,Matches!$A$5:$A$17,0))),"")</f>
        <v>21.02</v>
      </c>
      <c r="K65" s="11" t="n">
        <f aca="false">IFERROR(IF(INDEX(Matches!$AA$5:$AA$17,MATCH($C65,Matches!$A$5:$A$17,0))="","",INDEX(Matches!$AA$5:$AA$17,MATCH($C65,Matches!$A$5:$A$17,0))),"")</f>
        <v>21.01</v>
      </c>
      <c r="L65" s="11" t="n">
        <f aca="false">IFERROR(IF(INDEX(Matches!$AB$5:$AB$17,MATCH($C65,Matches!$A$5:$A$17,0))="","",INDEX(Matches!$AB$5:$AB$17,MATCH($C65,Matches!$A$5:$A$17,0))),"")</f>
        <v>21.5</v>
      </c>
      <c r="M65" s="10" t="n">
        <f aca="false">IFERROR(IF(INDEX(Matches!$AC$5:$AC$17,MATCH($C65,Matches!$A$5:$A$17,0))="","",INDEX(Matches!$AC$5:$AC$17,MATCH($C65,Matches!$A$5:$A$17,0))),"")</f>
        <v>0.4319</v>
      </c>
      <c r="N65" s="9" t="n">
        <f aca="false">IFERROR(INDEX(Players!$F$2:$F$105,MATCH($F65,Players!$A$2:$A$105,0)),0)</f>
        <v>27</v>
      </c>
      <c r="O65" s="13" t="n">
        <f aca="false">IFERROR(1/(1/INDEX(Players!$H$2:$H$105,MATCH($F65,Players!$A$2:$A$105,0))),"")</f>
        <v>0.66</v>
      </c>
      <c r="P65" s="10" t="n">
        <f aca="false">IFERROR(1/(1/INDEX(Players!$I$2:$I$105,MATCH($F65,Players!$A$2:$A$105,0))),"")</f>
        <v>0.585</v>
      </c>
      <c r="Q65" s="9" t="n">
        <f aca="false">IF($G65="",0,SUMIFS(Map_Stats!$F$2:$F$642,Map_Stats!$A$2:$A$642,$F65&amp;"|"&amp;$G65))</f>
        <v>9</v>
      </c>
      <c r="R65" s="13" t="n">
        <f aca="false">IF($G65="","",IFERROR(1/(1/INDEX(Map_Stats!$K$2:$K$642,MATCH($F65&amp;"|"&amp;$G65,Map_Stats!$A$2:$A$642,0))),$O65))</f>
        <v>0.64</v>
      </c>
      <c r="S65" s="10" t="n">
        <f aca="false">IF(OR($G65="",$P65=""),"",IFERROR(1/(1/INDEX(Map_Stats!$I$2:$I$642,MATCH($F65&amp;"|"&amp;$G65,Map_Stats!$A$2:$A$642,0))),$P65))</f>
        <v>0.662</v>
      </c>
      <c r="T65" s="13" t="n">
        <f aca="false">IF(OR($G65="",R65=""),"",IF($O65="",R65,(Q65*R65+Config!$B$4*$O65)/(Q65+Config!$B$4)))</f>
        <v>0.647142857142857</v>
      </c>
      <c r="U65" s="10" t="n">
        <f aca="false">IF(S65="","",(Q65*S65+Config!$B$4*$P65)/(Q65+Config!$B$4))</f>
        <v>0.6345</v>
      </c>
      <c r="V65" s="17" t="n">
        <f aca="false">IF(OR(T65="",$J65=""),"",T65*$J65*($J65/Config!$B$10)^Config!$B$9)</f>
        <v>13.6029428571429</v>
      </c>
      <c r="W65" s="17" t="n">
        <f aca="false">IF(OR(V65="",U65=""),"",V65*U65)</f>
        <v>8.63106724285714</v>
      </c>
      <c r="X65" s="9" t="n">
        <f aca="false">IF($H65="",0,SUMIFS(Map_Stats!$F$2:$F$642,Map_Stats!$A$2:$A$642,$F65&amp;"|"&amp;$H65))</f>
        <v>6</v>
      </c>
      <c r="Y65" s="13" t="n">
        <f aca="false">IF($H65="","",IFERROR(1/(1/INDEX(Map_Stats!$K$2:$K$642,MATCH($F65&amp;"|"&amp;$H65,Map_Stats!$A$2:$A$642,0))),$O65))</f>
        <v>0.66</v>
      </c>
      <c r="Z65" s="10" t="n">
        <f aca="false">IF(OR($H65="",$P65=""),"",IFERROR(1/(1/INDEX(Map_Stats!$I$2:$I$642,MATCH($F65&amp;"|"&amp;$H65,Map_Stats!$A$2:$A$642,0))),$P65))</f>
        <v>0.516</v>
      </c>
      <c r="AA65" s="13" t="n">
        <f aca="false">IF(OR($H65="",Y65=""),"",IF($O65="",Y65,(X65*Y65+Config!$B$4*$O65)/(X65+Config!$B$4)))</f>
        <v>0.66</v>
      </c>
      <c r="AB65" s="10" t="n">
        <f aca="false">IF(Z65="","",(X65*Z65+Config!$B$4*$P65)/(X65+Config!$B$4))</f>
        <v>0.547363636363636</v>
      </c>
      <c r="AC65" s="17" t="n">
        <f aca="false">IF(OR(AA65="",$K65=""),"",AA65*$K65*($K65/Config!$B$10)^Config!$B$9)</f>
        <v>13.8666</v>
      </c>
      <c r="AD65" s="17" t="n">
        <f aca="false">IF(OR(AC65="",AB65=""),"",AC65*AB65)</f>
        <v>7.5900726</v>
      </c>
      <c r="AE65" s="9" t="n">
        <f aca="false">IF($I65="",0,SUMIFS(Map_Stats!$F$2:$F$642,Map_Stats!$A$2:$A$642,$F65&amp;"|"&amp;$I65))</f>
        <v>4</v>
      </c>
      <c r="AF65" s="13" t="n">
        <f aca="false">IF($I65="","",IFERROR(1/(1/INDEX(Map_Stats!$K$2:$K$642,MATCH($F65&amp;"|"&amp;$I65,Map_Stats!$A$2:$A$642,0))),$O65))</f>
        <v>0.66</v>
      </c>
      <c r="AG65" s="10" t="n">
        <f aca="false">IF(OR($I65="",$P65=""),"",IFERROR(1/(1/INDEX(Map_Stats!$I$2:$I$642,MATCH($F65&amp;"|"&amp;$I65,Map_Stats!$A$2:$A$642,0))),$P65))</f>
        <v>0.521</v>
      </c>
      <c r="AH65" s="13" t="n">
        <f aca="false">IF(OR($I65="",AF65=""),"",IF($O65="",AF65,(AE65*AF65+Config!$B$4*$O65)/(AE65+Config!$B$4)))</f>
        <v>0.66</v>
      </c>
      <c r="AI65" s="10" t="n">
        <f aca="false">IF(AG65="","",(AE65*AG65+Config!$B$4*$P65)/(AE65+Config!$B$4))</f>
        <v>0.556555555555556</v>
      </c>
      <c r="AJ65" s="17" t="n">
        <f aca="false">IF(OR(AH65="",$L65=""),"",AH65*$L65*($L65/Config!$B$10)^Config!$B$9)</f>
        <v>14.19</v>
      </c>
      <c r="AK65" s="17" t="n">
        <f aca="false">IF(OR(AJ65="",AI65=""),"",AJ65*AI65)</f>
        <v>7.89752333333334</v>
      </c>
      <c r="AL65" s="17" t="n">
        <f aca="false">N(V65)+N(AC65)</f>
        <v>27.4695428571429</v>
      </c>
      <c r="AM65" s="17" t="n">
        <f aca="false">AL65+N($M65)*N(AJ65)</f>
        <v>33.5982038571429</v>
      </c>
      <c r="AN65" s="17" t="n">
        <f aca="false">IF(W65="","",N(W65)+N(AD65))</f>
        <v>16.2211398428571</v>
      </c>
      <c r="AO65" s="17" t="n">
        <f aca="false">IF(AN65="","",AN65+N($M65)*N(AK65))</f>
        <v>19.6320801705238</v>
      </c>
      <c r="AP65" s="10" t="n">
        <f aca="false">IFERROR(AN65/AL65,"")</f>
        <v>0.59051364368225</v>
      </c>
      <c r="AQ65" s="0" t="str">
        <f aca="false">TRIM(IF($N65&lt;Config!$B$12,"thin sample ("&amp;$N65&amp;" maps) · ","")&amp;IF(AND($G65&lt;&gt;"",Q65=0),"M1 unplayed→overall KPR · ","")&amp;IF(AND($H65&lt;&gt;"",X65=0),"M2 unplayed→overall KPR · ","")&amp;IF($O65="","no PickFinder stats",""))</f>
        <v/>
      </c>
      <c r="AR65" s="0" t="str">
        <f aca="false">IF($C65=Board!$B$2,COUNTIFS($C$2:$C$105,Board!$B$2,$AL$2:$AL$105,"&gt;"&amp;$AL65)+COUNTIFS($C$1:$C64,Board!$B$2,$AL$1:$AL64,$AL65)+1,"")</f>
        <v/>
      </c>
      <c r="AS65" s="0" t="str">
        <f aca="false">IFERROR(IF($D65=INDEX(Matches!$AD$5:$AD$17,MATCH($C65,Matches!$A$5:$A$17,0)),"A",IF($D65=INDEX(Matches!$AE$5:$AE$17,MATCH($C65,Matches!$A$5:$A$17,0)),"B","")),"")</f>
        <v>A</v>
      </c>
      <c r="AT65" s="10" t="n">
        <f aca="false">IF($AS65="","",IFERROR(IF($AS65="A",INDEX(Matches!$AI$5:$AI$17,MATCH($C65,Matches!$A$5:$A$17,0)),INDEX(Matches!$AJ$5:$AJ$17,MATCH($C65,Matches!$A$5:$A$17,0))),""))</f>
        <v>0.48716142396227</v>
      </c>
      <c r="AU65" s="10" t="n">
        <f aca="false">IF($AS65="","",IFERROR(IF(INDEX(Matches!$AP$5:$AP$17,MATCH($C65,Matches!$A$5:$A$17,0))="","",IF($AS65="A",INDEX(Matches!$AP$5:$AP$17,MATCH($C65,Matches!$A$5:$A$17,0)),1-INDEX(Matches!$AP$5:$AP$17,MATCH($C65,Matches!$A$5:$A$17,0)))),""))</f>
        <v>0.46936645090904</v>
      </c>
      <c r="AV65" s="13" t="n">
        <f aca="false">IF(OR($AU65="",$AT65=""),1,((Config!$B$14*$AU65+Config!$B$15*(1-$AU65))/(Config!$B$14*$AT65+Config!$B$15*(1-$AT65)))^Config!$B$13)</f>
        <v>0.983913553079613</v>
      </c>
      <c r="AW65" s="10" t="n">
        <f aca="false">IF($AS65="","",IFERROR(IF(INDEX(Matches!$AV$5:$AV$17,MATCH($C65,Matches!$A$5:$A$17,0))="","",IF($AS65="A",INDEX(Matches!$AV$5:$AV$17,MATCH($C65,Matches!$A$5:$A$17,0)),1-INDEX(Matches!$AV$5:$AV$17,MATCH($C65,Matches!$A$5:$A$17,0)))),""))</f>
        <v>0.446014591037969</v>
      </c>
      <c r="AX65" s="13" t="n">
        <f aca="false">IF(OR($AW65="",$AT65=""),1,((Config!$B$14*$AW65+Config!$B$15*(1-$AW65))/(Config!$B$14*$AT65+Config!$B$15*(1-$AT65)))^Config!$B$13)</f>
        <v>0.962803745653404</v>
      </c>
      <c r="AY65" s="10" t="n">
        <f aca="false">IF($AS65="","",IFERROR(IF(INDEX(Matches!$BB$5:$BB$17,MATCH($C65,Matches!$A$5:$A$17,0))="","",IF($AS65="A",INDEX(Matches!$BB$5:$BB$17,MATCH($C65,Matches!$A$5:$A$17,0)),1-INDEX(Matches!$BB$5:$BB$17,MATCH($C65,Matches!$A$5:$A$17,0)))),""))</f>
        <v>0.472842074663401</v>
      </c>
      <c r="AZ65" s="13" t="n">
        <f aca="false">IF(OR($AY65="",$AT65=""),1,((Config!$B$14*$AY65+Config!$B$15*(1-$AY65))/(Config!$B$14*$AT65+Config!$B$15*(1-$AT65)))^Config!$B$13)</f>
        <v>0.987055476187478</v>
      </c>
      <c r="BA65" s="17" t="n">
        <f aca="false">IF(V65="","",V65*$AV65)</f>
        <v>13.3841198389104</v>
      </c>
      <c r="BB65" s="17" t="n">
        <f aca="false">IF(AC65="","",AC65*$AX65)</f>
        <v>13.3508144194775</v>
      </c>
      <c r="BC65" s="17" t="n">
        <f aca="false">IF(AJ65="","",AJ65*$AZ65)</f>
        <v>14.0063172071003</v>
      </c>
      <c r="BD65" s="17" t="n">
        <f aca="false">N(BA65)+N(BB65)</f>
        <v>26.7349342583879</v>
      </c>
      <c r="BE65" s="17" t="n">
        <f aca="false">BD65+N($M65)*N(BC65)</f>
        <v>32.7842626601345</v>
      </c>
      <c r="BF65" s="17" t="n">
        <f aca="false">IF(W65="","",W65*$AV65)</f>
        <v>8.49222403778863</v>
      </c>
      <c r="BG65" s="17" t="n">
        <f aca="false">IF(AD65="","",AD65*$AX65)</f>
        <v>7.30775032906127</v>
      </c>
      <c r="BH65" s="17" t="n">
        <f aca="false">IF(AK65="","",AK65*$AZ65)</f>
        <v>7.79529365448505</v>
      </c>
      <c r="BI65" s="17" t="n">
        <f aca="false">IF(BF65="","",N(BF65)+N(BG65))</f>
        <v>15.7999743668499</v>
      </c>
      <c r="BJ65" s="17" t="n">
        <f aca="false">IF(BI65="","",BI65+N($M65)*N(BH65))</f>
        <v>19.166761696222</v>
      </c>
      <c r="BK65" s="13" t="n">
        <f aca="false">IFERROR(BD65/AL65,1)</f>
        <v>0.973257341682919</v>
      </c>
    </row>
    <row r="66" customFormat="false" ht="15" hidden="false" customHeight="false" outlineLevel="0" collapsed="false">
      <c r="A66" s="0" t="s">
        <v>1034</v>
      </c>
      <c r="B66" s="0" t="s">
        <v>775</v>
      </c>
      <c r="C66" s="0" t="s">
        <v>807</v>
      </c>
      <c r="D66" s="0" t="s">
        <v>811</v>
      </c>
      <c r="E66" s="0" t="s">
        <v>1033</v>
      </c>
      <c r="F66" s="0" t="s">
        <v>1231</v>
      </c>
      <c r="G66" s="0" t="str">
        <f aca="false">IFERROR(IF(INDEX(Matches!$W$5:$W$17,MATCH($C66,Matches!$A$5:$A$17,0))="","",INDEX(Matches!$W$5:$W$17,MATCH($C66,Matches!$A$5:$A$17,0))),"")</f>
        <v>Ancient</v>
      </c>
      <c r="H66" s="0" t="str">
        <f aca="false">IFERROR(IF(INDEX(Matches!$X$5:$X$17,MATCH($C66,Matches!$A$5:$A$17,0))="","",INDEX(Matches!$X$5:$X$17,MATCH($C66,Matches!$A$5:$A$17,0))),"")</f>
        <v>Dust2</v>
      </c>
      <c r="I66" s="0" t="str">
        <f aca="false">IFERROR(IF(INDEX(Matches!$Y$5:$Y$17,MATCH($C66,Matches!$A$5:$A$17,0))="","",INDEX(Matches!$Y$5:$Y$17,MATCH($C66,Matches!$A$5:$A$17,0))),"")</f>
        <v>Mirage</v>
      </c>
      <c r="J66" s="11" t="n">
        <f aca="false">IFERROR(IF(INDEX(Matches!$Z$5:$Z$17,MATCH($C66,Matches!$A$5:$A$17,0))="","",INDEX(Matches!$Z$5:$Z$17,MATCH($C66,Matches!$A$5:$A$17,0))),"")</f>
        <v>21.02</v>
      </c>
      <c r="K66" s="11" t="n">
        <f aca="false">IFERROR(IF(INDEX(Matches!$AA$5:$AA$17,MATCH($C66,Matches!$A$5:$A$17,0))="","",INDEX(Matches!$AA$5:$AA$17,MATCH($C66,Matches!$A$5:$A$17,0))),"")</f>
        <v>21.01</v>
      </c>
      <c r="L66" s="11" t="n">
        <f aca="false">IFERROR(IF(INDEX(Matches!$AB$5:$AB$17,MATCH($C66,Matches!$A$5:$A$17,0))="","",INDEX(Matches!$AB$5:$AB$17,MATCH($C66,Matches!$A$5:$A$17,0))),"")</f>
        <v>21.5</v>
      </c>
      <c r="M66" s="10" t="n">
        <f aca="false">IFERROR(IF(INDEX(Matches!$AC$5:$AC$17,MATCH($C66,Matches!$A$5:$A$17,0))="","",INDEX(Matches!$AC$5:$AC$17,MATCH($C66,Matches!$A$5:$A$17,0))),"")</f>
        <v>0.4319</v>
      </c>
      <c r="N66" s="9" t="n">
        <f aca="false">IFERROR(INDEX(Players!$F$2:$F$105,MATCH($F66,Players!$A$2:$A$105,0)),0)</f>
        <v>28</v>
      </c>
      <c r="O66" s="13" t="n">
        <f aca="false">IFERROR(1/(1/INDEX(Players!$H$2:$H$105,MATCH($F66,Players!$A$2:$A$105,0))),"")</f>
        <v>0.81</v>
      </c>
      <c r="P66" s="10" t="n">
        <f aca="false">IFERROR(1/(1/INDEX(Players!$I$2:$I$105,MATCH($F66,Players!$A$2:$A$105,0))),"")</f>
        <v>0.321</v>
      </c>
      <c r="Q66" s="9" t="n">
        <f aca="false">IF($G66="",0,SUMIFS(Map_Stats!$F$2:$F$642,Map_Stats!$A$2:$A$642,$F66&amp;"|"&amp;$G66))</f>
        <v>9</v>
      </c>
      <c r="R66" s="13" t="n">
        <f aca="false">IF($G66="","",IFERROR(1/(1/INDEX(Map_Stats!$K$2:$K$642,MATCH($F66&amp;"|"&amp;$G66,Map_Stats!$A$2:$A$642,0))),$O66))</f>
        <v>0.88</v>
      </c>
      <c r="S66" s="10" t="n">
        <f aca="false">IF(OR($G66="",$P66=""),"",IFERROR(1/(1/INDEX(Map_Stats!$I$2:$I$642,MATCH($F66&amp;"|"&amp;$G66,Map_Stats!$A$2:$A$642,0))),$P66))</f>
        <v>0.299</v>
      </c>
      <c r="T66" s="13" t="n">
        <f aca="false">IF(OR($G66="",R66=""),"",IF($O66="",R66,(Q66*R66+Config!$B$4*$O66)/(Q66+Config!$B$4)))</f>
        <v>0.855</v>
      </c>
      <c r="U66" s="10" t="n">
        <f aca="false">IF(S66="","",(Q66*S66+Config!$B$4*$P66)/(Q66+Config!$B$4))</f>
        <v>0.306857142857143</v>
      </c>
      <c r="V66" s="17" t="n">
        <f aca="false">IF(OR(T66="",$J66=""),"",T66*$J66*($J66/Config!$B$10)^Config!$B$9)</f>
        <v>17.9721</v>
      </c>
      <c r="W66" s="17" t="n">
        <f aca="false">IF(OR(V66="",U66=""),"",V66*U66)</f>
        <v>5.51486725714286</v>
      </c>
      <c r="X66" s="9" t="n">
        <f aca="false">IF($H66="",0,SUMIFS(Map_Stats!$F$2:$F$642,Map_Stats!$A$2:$A$642,$F66&amp;"|"&amp;$H66))</f>
        <v>6</v>
      </c>
      <c r="Y66" s="13" t="n">
        <f aca="false">IF($H66="","",IFERROR(1/(1/INDEX(Map_Stats!$K$2:$K$642,MATCH($F66&amp;"|"&amp;$H66,Map_Stats!$A$2:$A$642,0))),$O66))</f>
        <v>0.72</v>
      </c>
      <c r="Z66" s="10" t="n">
        <f aca="false">IF(OR($H66="",$P66=""),"",IFERROR(1/(1/INDEX(Map_Stats!$I$2:$I$642,MATCH($F66&amp;"|"&amp;$H66,Map_Stats!$A$2:$A$642,0))),$P66))</f>
        <v>0.35</v>
      </c>
      <c r="AA66" s="13" t="n">
        <f aca="false">IF(OR($H66="",Y66=""),"",IF($O66="",Y66,(X66*Y66+Config!$B$4*$O66)/(X66+Config!$B$4)))</f>
        <v>0.760909090909091</v>
      </c>
      <c r="AB66" s="10" t="n">
        <f aca="false">IF(Z66="","",(X66*Z66+Config!$B$4*$P66)/(X66+Config!$B$4))</f>
        <v>0.336818181818182</v>
      </c>
      <c r="AC66" s="17" t="n">
        <f aca="false">IF(OR(AA66="",$K66=""),"",AA66*$K66*($K66/Config!$B$10)^Config!$B$9)</f>
        <v>15.9867</v>
      </c>
      <c r="AD66" s="17" t="n">
        <f aca="false">IF(OR(AC66="",AB66=""),"",AC66*AB66)</f>
        <v>5.38461122727273</v>
      </c>
      <c r="AE66" s="9" t="n">
        <f aca="false">IF($I66="",0,SUMIFS(Map_Stats!$F$2:$F$642,Map_Stats!$A$2:$A$642,$F66&amp;"|"&amp;$I66))</f>
        <v>4</v>
      </c>
      <c r="AF66" s="13" t="n">
        <f aca="false">IF($I66="","",IFERROR(1/(1/INDEX(Map_Stats!$K$2:$K$642,MATCH($F66&amp;"|"&amp;$I66,Map_Stats!$A$2:$A$642,0))),$O66))</f>
        <v>0.86</v>
      </c>
      <c r="AG66" s="10" t="n">
        <f aca="false">IF(OR($I66="",$P66=""),"",IFERROR(1/(1/INDEX(Map_Stats!$I$2:$I$642,MATCH($F66&amp;"|"&amp;$I66,Map_Stats!$A$2:$A$642,0))),$P66))</f>
        <v>0.391</v>
      </c>
      <c r="AH66" s="13" t="n">
        <f aca="false">IF(OR($I66="",AF66=""),"",IF($O66="",AF66,(AE66*AF66+Config!$B$4*$O66)/(AE66+Config!$B$4)))</f>
        <v>0.832222222222222</v>
      </c>
      <c r="AI66" s="10" t="n">
        <f aca="false">IF(AG66="","",(AE66*AG66+Config!$B$4*$P66)/(AE66+Config!$B$4))</f>
        <v>0.352111111111111</v>
      </c>
      <c r="AJ66" s="17" t="n">
        <f aca="false">IF(OR(AH66="",$L66=""),"",AH66*$L66*($L66/Config!$B$10)^Config!$B$9)</f>
        <v>17.8927777777778</v>
      </c>
      <c r="AK66" s="17" t="n">
        <f aca="false">IF(OR(AJ66="",AI66=""),"",AJ66*AI66)</f>
        <v>6.30024586419753</v>
      </c>
      <c r="AL66" s="17" t="n">
        <f aca="false">N(V66)+N(AC66)</f>
        <v>33.9588</v>
      </c>
      <c r="AM66" s="17" t="n">
        <f aca="false">AL66+N($M66)*N(AJ66)</f>
        <v>41.6866907222222</v>
      </c>
      <c r="AN66" s="17" t="n">
        <f aca="false">IF(W66="","",N(W66)+N(AD66))</f>
        <v>10.8994784844156</v>
      </c>
      <c r="AO66" s="17" t="n">
        <f aca="false">IF(AN66="","",AN66+N($M66)*N(AK66))</f>
        <v>13.6205546731625</v>
      </c>
      <c r="AP66" s="10" t="n">
        <f aca="false">IFERROR(AN66/AL66,"")</f>
        <v>0.320961826814127</v>
      </c>
      <c r="AQ66" s="0" t="str">
        <f aca="false">TRIM(IF($N66&lt;Config!$B$12,"thin sample ("&amp;$N66&amp;" maps) · ","")&amp;IF(AND($G66&lt;&gt;"",Q66=0),"M1 unplayed→overall KPR · ","")&amp;IF(AND($H66&lt;&gt;"",X66=0),"M2 unplayed→overall KPR · ","")&amp;IF($O66="","no PickFinder stats",""))</f>
        <v/>
      </c>
      <c r="AR66" s="0" t="str">
        <f aca="false">IF($C66=Board!$B$2,COUNTIFS($C$2:$C$105,Board!$B$2,$AL$2:$AL$105,"&gt;"&amp;$AL66)+COUNTIFS($C$1:$C65,Board!$B$2,$AL$1:$AL65,$AL66)+1,"")</f>
        <v/>
      </c>
      <c r="AS66" s="0" t="str">
        <f aca="false">IFERROR(IF($D66=INDEX(Matches!$AD$5:$AD$17,MATCH($C66,Matches!$A$5:$A$17,0)),"A",IF($D66=INDEX(Matches!$AE$5:$AE$17,MATCH($C66,Matches!$A$5:$A$17,0)),"B","")),"")</f>
        <v>A</v>
      </c>
      <c r="AT66" s="10" t="n">
        <f aca="false">IF($AS66="","",IFERROR(IF($AS66="A",INDEX(Matches!$AI$5:$AI$17,MATCH($C66,Matches!$A$5:$A$17,0)),INDEX(Matches!$AJ$5:$AJ$17,MATCH($C66,Matches!$A$5:$A$17,0))),""))</f>
        <v>0.48716142396227</v>
      </c>
      <c r="AU66" s="10" t="n">
        <f aca="false">IF($AS66="","",IFERROR(IF(INDEX(Matches!$AP$5:$AP$17,MATCH($C66,Matches!$A$5:$A$17,0))="","",IF($AS66="A",INDEX(Matches!$AP$5:$AP$17,MATCH($C66,Matches!$A$5:$A$17,0)),1-INDEX(Matches!$AP$5:$AP$17,MATCH($C66,Matches!$A$5:$A$17,0)))),""))</f>
        <v>0.46936645090904</v>
      </c>
      <c r="AV66" s="13" t="n">
        <f aca="false">IF(OR($AU66="",$AT66=""),1,((Config!$B$14*$AU66+Config!$B$15*(1-$AU66))/(Config!$B$14*$AT66+Config!$B$15*(1-$AT66)))^Config!$B$13)</f>
        <v>0.983913553079613</v>
      </c>
      <c r="AW66" s="10" t="n">
        <f aca="false">IF($AS66="","",IFERROR(IF(INDEX(Matches!$AV$5:$AV$17,MATCH($C66,Matches!$A$5:$A$17,0))="","",IF($AS66="A",INDEX(Matches!$AV$5:$AV$17,MATCH($C66,Matches!$A$5:$A$17,0)),1-INDEX(Matches!$AV$5:$AV$17,MATCH($C66,Matches!$A$5:$A$17,0)))),""))</f>
        <v>0.446014591037969</v>
      </c>
      <c r="AX66" s="13" t="n">
        <f aca="false">IF(OR($AW66="",$AT66=""),1,((Config!$B$14*$AW66+Config!$B$15*(1-$AW66))/(Config!$B$14*$AT66+Config!$B$15*(1-$AT66)))^Config!$B$13)</f>
        <v>0.962803745653404</v>
      </c>
      <c r="AY66" s="10" t="n">
        <f aca="false">IF($AS66="","",IFERROR(IF(INDEX(Matches!$BB$5:$BB$17,MATCH($C66,Matches!$A$5:$A$17,0))="","",IF($AS66="A",INDEX(Matches!$BB$5:$BB$17,MATCH($C66,Matches!$A$5:$A$17,0)),1-INDEX(Matches!$BB$5:$BB$17,MATCH($C66,Matches!$A$5:$A$17,0)))),""))</f>
        <v>0.472842074663401</v>
      </c>
      <c r="AZ66" s="13" t="n">
        <f aca="false">IF(OR($AY66="",$AT66=""),1,((Config!$B$14*$AY66+Config!$B$15*(1-$AY66))/(Config!$B$14*$AT66+Config!$B$15*(1-$AT66)))^Config!$B$13)</f>
        <v>0.987055476187478</v>
      </c>
      <c r="BA66" s="17" t="n">
        <f aca="false">IF(V66="","",V66*$AV66)</f>
        <v>17.6829927673021</v>
      </c>
      <c r="BB66" s="17" t="n">
        <f aca="false">IF(AC66="","",AC66*$AX66)</f>
        <v>15.3920546406373</v>
      </c>
      <c r="BC66" s="17" t="n">
        <f aca="false">IF(AJ66="","",AJ66*$AZ66)</f>
        <v>17.6611642897612</v>
      </c>
      <c r="BD66" s="17" t="n">
        <f aca="false">N(BA66)+N(BB66)</f>
        <v>33.0750474079394</v>
      </c>
      <c r="BE66" s="17" t="n">
        <f aca="false">BD66+N($M66)*N(BC66)</f>
        <v>40.7029042646872</v>
      </c>
      <c r="BF66" s="17" t="n">
        <f aca="false">IF(W66="","",W66*$AV66)</f>
        <v>5.42615263773785</v>
      </c>
      <c r="BG66" s="17" t="n">
        <f aca="false">IF(AD66="","",AD66*$AX66)</f>
        <v>5.18432385850555</v>
      </c>
      <c r="BH66" s="17" t="n">
        <f aca="false">IF(AK66="","",AK66*$AZ66)</f>
        <v>6.21869218158368</v>
      </c>
      <c r="BI66" s="17" t="n">
        <f aca="false">IF(BF66="","",N(BF66)+N(BG66))</f>
        <v>10.6104764962434</v>
      </c>
      <c r="BJ66" s="17" t="n">
        <f aca="false">IF(BI66="","",BI66+N($M66)*N(BH66))</f>
        <v>13.2963296494694</v>
      </c>
      <c r="BK66" s="13" t="n">
        <f aca="false">IFERROR(BD66/AL66,1)</f>
        <v>0.973975741426063</v>
      </c>
    </row>
    <row r="67" customFormat="false" ht="15" hidden="false" customHeight="false" outlineLevel="0" collapsed="false">
      <c r="A67" s="0" t="s">
        <v>1036</v>
      </c>
      <c r="B67" s="0" t="s">
        <v>775</v>
      </c>
      <c r="C67" s="0" t="s">
        <v>807</v>
      </c>
      <c r="D67" s="0" t="s">
        <v>811</v>
      </c>
      <c r="E67" s="0" t="s">
        <v>1035</v>
      </c>
      <c r="F67" s="0" t="s">
        <v>1232</v>
      </c>
      <c r="G67" s="0" t="str">
        <f aca="false">IFERROR(IF(INDEX(Matches!$W$5:$W$17,MATCH($C67,Matches!$A$5:$A$17,0))="","",INDEX(Matches!$W$5:$W$17,MATCH($C67,Matches!$A$5:$A$17,0))),"")</f>
        <v>Ancient</v>
      </c>
      <c r="H67" s="0" t="str">
        <f aca="false">IFERROR(IF(INDEX(Matches!$X$5:$X$17,MATCH($C67,Matches!$A$5:$A$17,0))="","",INDEX(Matches!$X$5:$X$17,MATCH($C67,Matches!$A$5:$A$17,0))),"")</f>
        <v>Dust2</v>
      </c>
      <c r="I67" s="0" t="str">
        <f aca="false">IFERROR(IF(INDEX(Matches!$Y$5:$Y$17,MATCH($C67,Matches!$A$5:$A$17,0))="","",INDEX(Matches!$Y$5:$Y$17,MATCH($C67,Matches!$A$5:$A$17,0))),"")</f>
        <v>Mirage</v>
      </c>
      <c r="J67" s="11" t="n">
        <f aca="false">IFERROR(IF(INDEX(Matches!$Z$5:$Z$17,MATCH($C67,Matches!$A$5:$A$17,0))="","",INDEX(Matches!$Z$5:$Z$17,MATCH($C67,Matches!$A$5:$A$17,0))),"")</f>
        <v>21.02</v>
      </c>
      <c r="K67" s="11" t="n">
        <f aca="false">IFERROR(IF(INDEX(Matches!$AA$5:$AA$17,MATCH($C67,Matches!$A$5:$A$17,0))="","",INDEX(Matches!$AA$5:$AA$17,MATCH($C67,Matches!$A$5:$A$17,0))),"")</f>
        <v>21.01</v>
      </c>
      <c r="L67" s="11" t="n">
        <f aca="false">IFERROR(IF(INDEX(Matches!$AB$5:$AB$17,MATCH($C67,Matches!$A$5:$A$17,0))="","",INDEX(Matches!$AB$5:$AB$17,MATCH($C67,Matches!$A$5:$A$17,0))),"")</f>
        <v>21.5</v>
      </c>
      <c r="M67" s="10" t="n">
        <f aca="false">IFERROR(IF(INDEX(Matches!$AC$5:$AC$17,MATCH($C67,Matches!$A$5:$A$17,0))="","",INDEX(Matches!$AC$5:$AC$17,MATCH($C67,Matches!$A$5:$A$17,0))),"")</f>
        <v>0.4319</v>
      </c>
      <c r="N67" s="9" t="n">
        <f aca="false">IFERROR(INDEX(Players!$F$2:$F$105,MATCH($F67,Players!$A$2:$A$105,0)),0)</f>
        <v>27</v>
      </c>
      <c r="O67" s="13" t="n">
        <f aca="false">IFERROR(1/(1/INDEX(Players!$H$2:$H$105,MATCH($F67,Players!$A$2:$A$105,0))),"")</f>
        <v>0.59</v>
      </c>
      <c r="P67" s="10" t="n">
        <f aca="false">IFERROR(1/(1/INDEX(Players!$I$2:$I$105,MATCH($F67,Players!$A$2:$A$105,0))),"")</f>
        <v>0.557</v>
      </c>
      <c r="Q67" s="9" t="n">
        <f aca="false">IF($G67="",0,SUMIFS(Map_Stats!$F$2:$F$642,Map_Stats!$A$2:$A$642,$F67&amp;"|"&amp;$G67))</f>
        <v>9</v>
      </c>
      <c r="R67" s="13" t="n">
        <f aca="false">IF($G67="","",IFERROR(1/(1/INDEX(Map_Stats!$K$2:$K$642,MATCH($F67&amp;"|"&amp;$G67,Map_Stats!$A$2:$A$642,0))),$O67))</f>
        <v>0.65</v>
      </c>
      <c r="S67" s="10" t="n">
        <f aca="false">IF(OR($G67="",$P67=""),"",IFERROR(1/(1/INDEX(Map_Stats!$I$2:$I$642,MATCH($F67&amp;"|"&amp;$G67,Map_Stats!$A$2:$A$642,0))),$P67))</f>
        <v>0.588</v>
      </c>
      <c r="T67" s="13" t="n">
        <f aca="false">IF(OR($G67="",R67=""),"",IF($O67="",R67,(Q67*R67+Config!$B$4*$O67)/(Q67+Config!$B$4)))</f>
        <v>0.628571428571429</v>
      </c>
      <c r="U67" s="10" t="n">
        <f aca="false">IF(S67="","",(Q67*S67+Config!$B$4*$P67)/(Q67+Config!$B$4))</f>
        <v>0.576928571428572</v>
      </c>
      <c r="V67" s="17" t="n">
        <f aca="false">IF(OR(T67="",$J67=""),"",T67*$J67*($J67/Config!$B$10)^Config!$B$9)</f>
        <v>13.2125714285714</v>
      </c>
      <c r="W67" s="17" t="n">
        <f aca="false">IF(OR(V67="",U67=""),"",V67*U67)</f>
        <v>7.62270995918367</v>
      </c>
      <c r="X67" s="9" t="n">
        <f aca="false">IF($H67="",0,SUMIFS(Map_Stats!$F$2:$F$642,Map_Stats!$A$2:$A$642,$F67&amp;"|"&amp;$H67))</f>
        <v>6</v>
      </c>
      <c r="Y67" s="13" t="n">
        <f aca="false">IF($H67="","",IFERROR(1/(1/INDEX(Map_Stats!$K$2:$K$642,MATCH($F67&amp;"|"&amp;$H67,Map_Stats!$A$2:$A$642,0))),$O67))</f>
        <v>0.58</v>
      </c>
      <c r="Z67" s="10" t="n">
        <f aca="false">IF(OR($H67="",$P67=""),"",IFERROR(1/(1/INDEX(Map_Stats!$I$2:$I$642,MATCH($F67&amp;"|"&amp;$H67,Map_Stats!$A$2:$A$642,0))),$P67))</f>
        <v>0.642</v>
      </c>
      <c r="AA67" s="13" t="n">
        <f aca="false">IF(OR($H67="",Y67=""),"",IF($O67="",Y67,(X67*Y67+Config!$B$4*$O67)/(X67+Config!$B$4)))</f>
        <v>0.584545454545455</v>
      </c>
      <c r="AB67" s="10" t="n">
        <f aca="false">IF(Z67="","",(X67*Z67+Config!$B$4*$P67)/(X67+Config!$B$4))</f>
        <v>0.603363636363636</v>
      </c>
      <c r="AC67" s="17" t="n">
        <f aca="false">IF(OR(AA67="",$K67=""),"",AA67*$K67*($K67/Config!$B$10)^Config!$B$9)</f>
        <v>12.2813</v>
      </c>
      <c r="AD67" s="17" t="n">
        <f aca="false">IF(OR(AC67="",AB67=""),"",AC67*AB67)</f>
        <v>7.41008982727273</v>
      </c>
      <c r="AE67" s="9" t="n">
        <f aca="false">IF($I67="",0,SUMIFS(Map_Stats!$F$2:$F$642,Map_Stats!$A$2:$A$642,$F67&amp;"|"&amp;$I67))</f>
        <v>4</v>
      </c>
      <c r="AF67" s="13" t="n">
        <f aca="false">IF($I67="","",IFERROR(1/(1/INDEX(Map_Stats!$K$2:$K$642,MATCH($F67&amp;"|"&amp;$I67,Map_Stats!$A$2:$A$642,0))),$O67))</f>
        <v>0.52</v>
      </c>
      <c r="AG67" s="10" t="n">
        <f aca="false">IF(OR($I67="",$P67=""),"",IFERROR(1/(1/INDEX(Map_Stats!$I$2:$I$642,MATCH($F67&amp;"|"&amp;$I67,Map_Stats!$A$2:$A$642,0))),$P67))</f>
        <v>0.571</v>
      </c>
      <c r="AH67" s="13" t="n">
        <f aca="false">IF(OR($I67="",AF67=""),"",IF($O67="",AF67,(AE67*AF67+Config!$B$4*$O67)/(AE67+Config!$B$4)))</f>
        <v>0.558888888888889</v>
      </c>
      <c r="AI67" s="10" t="n">
        <f aca="false">IF(AG67="","",(AE67*AG67+Config!$B$4*$P67)/(AE67+Config!$B$4))</f>
        <v>0.563222222222222</v>
      </c>
      <c r="AJ67" s="17" t="n">
        <f aca="false">IF(OR(AH67="",$L67=""),"",AH67*$L67*($L67/Config!$B$10)^Config!$B$9)</f>
        <v>12.0161111111111</v>
      </c>
      <c r="AK67" s="17" t="n">
        <f aca="false">IF(OR(AJ67="",AI67=""),"",AJ67*AI67)</f>
        <v>6.76774080246914</v>
      </c>
      <c r="AL67" s="17" t="n">
        <f aca="false">N(V67)+N(AC67)</f>
        <v>25.4938714285714</v>
      </c>
      <c r="AM67" s="17" t="n">
        <f aca="false">AL67+N($M67)*N(AJ67)</f>
        <v>30.6836298174603</v>
      </c>
      <c r="AN67" s="17" t="n">
        <f aca="false">IF(W67="","",N(W67)+N(AD67))</f>
        <v>15.0327997864564</v>
      </c>
      <c r="AO67" s="17" t="n">
        <f aca="false">IF(AN67="","",AN67+N($M67)*N(AK67))</f>
        <v>17.9557870390428</v>
      </c>
      <c r="AP67" s="10" t="n">
        <f aca="false">IFERROR(AN67/AL67,"")</f>
        <v>0.589663277645971</v>
      </c>
      <c r="AQ67" s="0" t="str">
        <f aca="false">TRIM(IF($N67&lt;Config!$B$12,"thin sample ("&amp;$N67&amp;" maps) · ","")&amp;IF(AND($G67&lt;&gt;"",Q67=0),"M1 unplayed→overall KPR · ","")&amp;IF(AND($H67&lt;&gt;"",X67=0),"M2 unplayed→overall KPR · ","")&amp;IF($O67="","no PickFinder stats",""))</f>
        <v/>
      </c>
      <c r="AR67" s="0" t="str">
        <f aca="false">IF($C67=Board!$B$2,COUNTIFS($C$2:$C$105,Board!$B$2,$AL$2:$AL$105,"&gt;"&amp;$AL67)+COUNTIFS($C$1:$C66,Board!$B$2,$AL$1:$AL66,$AL67)+1,"")</f>
        <v/>
      </c>
      <c r="AS67" s="0" t="str">
        <f aca="false">IFERROR(IF($D67=INDEX(Matches!$AD$5:$AD$17,MATCH($C67,Matches!$A$5:$A$17,0)),"A",IF($D67=INDEX(Matches!$AE$5:$AE$17,MATCH($C67,Matches!$A$5:$A$17,0)),"B","")),"")</f>
        <v>A</v>
      </c>
      <c r="AT67" s="10" t="n">
        <f aca="false">IF($AS67="","",IFERROR(IF($AS67="A",INDEX(Matches!$AI$5:$AI$17,MATCH($C67,Matches!$A$5:$A$17,0)),INDEX(Matches!$AJ$5:$AJ$17,MATCH($C67,Matches!$A$5:$A$17,0))),""))</f>
        <v>0.48716142396227</v>
      </c>
      <c r="AU67" s="10" t="n">
        <f aca="false">IF($AS67="","",IFERROR(IF(INDEX(Matches!$AP$5:$AP$17,MATCH($C67,Matches!$A$5:$A$17,0))="","",IF($AS67="A",INDEX(Matches!$AP$5:$AP$17,MATCH($C67,Matches!$A$5:$A$17,0)),1-INDEX(Matches!$AP$5:$AP$17,MATCH($C67,Matches!$A$5:$A$17,0)))),""))</f>
        <v>0.46936645090904</v>
      </c>
      <c r="AV67" s="13" t="n">
        <f aca="false">IF(OR($AU67="",$AT67=""),1,((Config!$B$14*$AU67+Config!$B$15*(1-$AU67))/(Config!$B$14*$AT67+Config!$B$15*(1-$AT67)))^Config!$B$13)</f>
        <v>0.983913553079613</v>
      </c>
      <c r="AW67" s="10" t="n">
        <f aca="false">IF($AS67="","",IFERROR(IF(INDEX(Matches!$AV$5:$AV$17,MATCH($C67,Matches!$A$5:$A$17,0))="","",IF($AS67="A",INDEX(Matches!$AV$5:$AV$17,MATCH($C67,Matches!$A$5:$A$17,0)),1-INDEX(Matches!$AV$5:$AV$17,MATCH($C67,Matches!$A$5:$A$17,0)))),""))</f>
        <v>0.446014591037969</v>
      </c>
      <c r="AX67" s="13" t="n">
        <f aca="false">IF(OR($AW67="",$AT67=""),1,((Config!$B$14*$AW67+Config!$B$15*(1-$AW67))/(Config!$B$14*$AT67+Config!$B$15*(1-$AT67)))^Config!$B$13)</f>
        <v>0.962803745653404</v>
      </c>
      <c r="AY67" s="10" t="n">
        <f aca="false">IF($AS67="","",IFERROR(IF(INDEX(Matches!$BB$5:$BB$17,MATCH($C67,Matches!$A$5:$A$17,0))="","",IF($AS67="A",INDEX(Matches!$BB$5:$BB$17,MATCH($C67,Matches!$A$5:$A$17,0)),1-INDEX(Matches!$BB$5:$BB$17,MATCH($C67,Matches!$A$5:$A$17,0)))),""))</f>
        <v>0.472842074663401</v>
      </c>
      <c r="AZ67" s="13" t="n">
        <f aca="false">IF(OR($AY67="",$AT67=""),1,((Config!$B$14*$AY67+Config!$B$15*(1-$AY67))/(Config!$B$14*$AT67+Config!$B$15*(1-$AT67)))^Config!$B$13)</f>
        <v>0.987055476187478</v>
      </c>
      <c r="BA67" s="17" t="n">
        <f aca="false">IF(V67="","",V67*$AV67)</f>
        <v>13.0000280996039</v>
      </c>
      <c r="BB67" s="17" t="n">
        <f aca="false">IF(AC67="","",AC67*$AX67)</f>
        <v>11.8244816414931</v>
      </c>
      <c r="BC67" s="17" t="n">
        <f aca="false">IF(AJ67="","",AJ67*$AZ67)</f>
        <v>11.8605682746994</v>
      </c>
      <c r="BD67" s="17" t="n">
        <f aca="false">N(BA67)+N(BB67)</f>
        <v>24.824509741097</v>
      </c>
      <c r="BE67" s="17" t="n">
        <f aca="false">BD67+N($M67)*N(BC67)</f>
        <v>29.9470891789397</v>
      </c>
      <c r="BF67" s="17" t="n">
        <f aca="false">IF(W67="","",W67*$AV67)</f>
        <v>7.50008764003576</v>
      </c>
      <c r="BG67" s="17" t="n">
        <f aca="false">IF(AD67="","",AD67*$AX67)</f>
        <v>7.13446224132636</v>
      </c>
      <c r="BH67" s="17" t="n">
        <f aca="false">IF(AK67="","",AK67*$AZ67)</f>
        <v>6.6801356204946</v>
      </c>
      <c r="BI67" s="17" t="n">
        <f aca="false">IF(BF67="","",N(BF67)+N(BG67))</f>
        <v>14.6345498813621</v>
      </c>
      <c r="BJ67" s="17" t="n">
        <f aca="false">IF(BI67="","",BI67+N($M67)*N(BH67))</f>
        <v>17.5197004558537</v>
      </c>
      <c r="BK67" s="13" t="n">
        <f aca="false">IFERROR(BD67/AL67,1)</f>
        <v>0.973744211845196</v>
      </c>
    </row>
    <row r="68" customFormat="false" ht="15" hidden="false" customHeight="false" outlineLevel="0" collapsed="false">
      <c r="A68" s="0" t="s">
        <v>1038</v>
      </c>
      <c r="B68" s="0" t="s">
        <v>775</v>
      </c>
      <c r="C68" s="0" t="s">
        <v>826</v>
      </c>
      <c r="D68" s="0" t="s">
        <v>829</v>
      </c>
      <c r="E68" s="0" t="s">
        <v>1037</v>
      </c>
      <c r="F68" s="0" t="s">
        <v>1233</v>
      </c>
      <c r="G68" s="0" t="str">
        <f aca="false">IFERROR(IF(INDEX(Matches!$W$5:$W$17,MATCH($C68,Matches!$A$5:$A$17,0))="","",INDEX(Matches!$W$5:$W$17,MATCH($C68,Matches!$A$5:$A$17,0))),"")</f>
        <v>Mirage</v>
      </c>
      <c r="H68" s="0" t="str">
        <f aca="false">IFERROR(IF(INDEX(Matches!$X$5:$X$17,MATCH($C68,Matches!$A$5:$A$17,0))="","",INDEX(Matches!$X$5:$X$17,MATCH($C68,Matches!$A$5:$A$17,0))),"")</f>
        <v>Inferno</v>
      </c>
      <c r="I68" s="0" t="str">
        <f aca="false">IFERROR(IF(INDEX(Matches!$Y$5:$Y$17,MATCH($C68,Matches!$A$5:$A$17,0))="","",INDEX(Matches!$Y$5:$Y$17,MATCH($C68,Matches!$A$5:$A$17,0))),"")</f>
        <v>Ancient</v>
      </c>
      <c r="J68" s="11" t="n">
        <f aca="false">IFERROR(IF(INDEX(Matches!$Z$5:$Z$17,MATCH($C68,Matches!$A$5:$A$17,0))="","",INDEX(Matches!$Z$5:$Z$17,MATCH($C68,Matches!$A$5:$A$17,0))),"")</f>
        <v>21.2</v>
      </c>
      <c r="K68" s="11" t="n">
        <f aca="false">IFERROR(IF(INDEX(Matches!$AA$5:$AA$17,MATCH($C68,Matches!$A$5:$A$17,0))="","",INDEX(Matches!$AA$5:$AA$17,MATCH($C68,Matches!$A$5:$A$17,0))),"")</f>
        <v>21.17</v>
      </c>
      <c r="L68" s="11" t="n">
        <f aca="false">IFERROR(IF(INDEX(Matches!$AB$5:$AB$17,MATCH($C68,Matches!$A$5:$A$17,0))="","",INDEX(Matches!$AB$5:$AB$17,MATCH($C68,Matches!$A$5:$A$17,0))),"")</f>
        <v>21.5</v>
      </c>
      <c r="M68" s="10" t="n">
        <f aca="false">IFERROR(IF(INDEX(Matches!$AC$5:$AC$17,MATCH($C68,Matches!$A$5:$A$17,0))="","",INDEX(Matches!$AC$5:$AC$17,MATCH($C68,Matches!$A$5:$A$17,0))),"")</f>
        <v>0.4632</v>
      </c>
      <c r="N68" s="9" t="n">
        <f aca="false">IFERROR(INDEX(Players!$F$2:$F$105,MATCH($F68,Players!$A$2:$A$105,0)),0)</f>
        <v>30</v>
      </c>
      <c r="O68" s="13" t="n">
        <f aca="false">IFERROR(1/(1/INDEX(Players!$H$2:$H$105,MATCH($F68,Players!$A$2:$A$105,0))),"")</f>
        <v>0.63</v>
      </c>
      <c r="P68" s="10" t="n">
        <f aca="false">IFERROR(1/(1/INDEX(Players!$I$2:$I$105,MATCH($F68,Players!$A$2:$A$105,0))),"")</f>
        <v>0.561</v>
      </c>
      <c r="Q68" s="9" t="n">
        <f aca="false">IF($G68="",0,SUMIFS(Map_Stats!$F$2:$F$642,Map_Stats!$A$2:$A$642,$F68&amp;"|"&amp;$G68))</f>
        <v>7</v>
      </c>
      <c r="R68" s="13" t="n">
        <f aca="false">IF($G68="","",IFERROR(1/(1/INDEX(Map_Stats!$K$2:$K$642,MATCH($F68&amp;"|"&amp;$G68,Map_Stats!$A$2:$A$642,0))),$O68))</f>
        <v>0.55</v>
      </c>
      <c r="S68" s="10" t="n">
        <f aca="false">IF(OR($G68="",$P68=""),"",IFERROR(1/(1/INDEX(Map_Stats!$I$2:$I$642,MATCH($F68&amp;"|"&amp;$G68,Map_Stats!$A$2:$A$642,0))),$P68))</f>
        <v>0.593</v>
      </c>
      <c r="T68" s="13" t="n">
        <f aca="false">IF(OR($G68="",R68=""),"",IF($O68="",R68,(Q68*R68+Config!$B$4*$O68)/(Q68+Config!$B$4)))</f>
        <v>0.583333333333333</v>
      </c>
      <c r="U68" s="10" t="n">
        <f aca="false">IF(S68="","",(Q68*S68+Config!$B$4*$P68)/(Q68+Config!$B$4))</f>
        <v>0.579666666666667</v>
      </c>
      <c r="V68" s="17" t="n">
        <f aca="false">IF(OR(T68="",$J68=""),"",T68*$J68*($J68/Config!$B$10)^Config!$B$9)</f>
        <v>12.3666666666667</v>
      </c>
      <c r="W68" s="17" t="n">
        <f aca="false">IF(OR(V68="",U68=""),"",V68*U68)</f>
        <v>7.16854444444445</v>
      </c>
      <c r="X68" s="9" t="n">
        <f aca="false">IF($H68="",0,SUMIFS(Map_Stats!$F$2:$F$642,Map_Stats!$A$2:$A$642,$F68&amp;"|"&amp;$H68))</f>
        <v>7</v>
      </c>
      <c r="Y68" s="13" t="n">
        <f aca="false">IF($H68="","",IFERROR(1/(1/INDEX(Map_Stats!$K$2:$K$642,MATCH($F68&amp;"|"&amp;$H68,Map_Stats!$A$2:$A$642,0))),$O68))</f>
        <v>0.66</v>
      </c>
      <c r="Z68" s="10" t="n">
        <f aca="false">IF(OR($H68="",$P68=""),"",IFERROR(1/(1/INDEX(Map_Stats!$I$2:$I$642,MATCH($F68&amp;"|"&amp;$H68,Map_Stats!$A$2:$A$642,0))),$P68))</f>
        <v>0.604</v>
      </c>
      <c r="AA68" s="13" t="n">
        <f aca="false">IF(OR($H68="",Y68=""),"",IF($O68="",Y68,(X68*Y68+Config!$B$4*$O68)/(X68+Config!$B$4)))</f>
        <v>0.6475</v>
      </c>
      <c r="AB68" s="10" t="n">
        <f aca="false">IF(Z68="","",(X68*Z68+Config!$B$4*$P68)/(X68+Config!$B$4))</f>
        <v>0.586083333333333</v>
      </c>
      <c r="AC68" s="17" t="n">
        <f aca="false">IF(OR(AA68="",$K68=""),"",AA68*$K68*($K68/Config!$B$10)^Config!$B$9)</f>
        <v>13.707575</v>
      </c>
      <c r="AD68" s="17" t="n">
        <f aca="false">IF(OR(AC68="",AB68=""),"",AC68*AB68)</f>
        <v>8.03378124791667</v>
      </c>
      <c r="AE68" s="9" t="n">
        <f aca="false">IF($I68="",0,SUMIFS(Map_Stats!$F$2:$F$642,Map_Stats!$A$2:$A$642,$F68&amp;"|"&amp;$I68))</f>
        <v>3</v>
      </c>
      <c r="AF68" s="13" t="n">
        <f aca="false">IF($I68="","",IFERROR(1/(1/INDEX(Map_Stats!$K$2:$K$642,MATCH($F68&amp;"|"&amp;$I68,Map_Stats!$A$2:$A$642,0))),$O68))</f>
        <v>0.84</v>
      </c>
      <c r="AG68" s="10" t="n">
        <f aca="false">IF(OR($I68="",$P68=""),"",IFERROR(1/(1/INDEX(Map_Stats!$I$2:$I$642,MATCH($F68&amp;"|"&amp;$I68,Map_Stats!$A$2:$A$642,0))),$P68))</f>
        <v>0.577</v>
      </c>
      <c r="AH68" s="13" t="n">
        <f aca="false">IF(OR($I68="",AF68=""),"",IF($O68="",AF68,(AE68*AF68+Config!$B$4*$O68)/(AE68+Config!$B$4)))</f>
        <v>0.70875</v>
      </c>
      <c r="AI68" s="10" t="n">
        <f aca="false">IF(AG68="","",(AE68*AG68+Config!$B$4*$P68)/(AE68+Config!$B$4))</f>
        <v>0.567</v>
      </c>
      <c r="AJ68" s="17" t="n">
        <f aca="false">IF(OR(AH68="",$L68=""),"",AH68*$L68*($L68/Config!$B$10)^Config!$B$9)</f>
        <v>15.238125</v>
      </c>
      <c r="AK68" s="17" t="n">
        <f aca="false">IF(OR(AJ68="",AI68=""),"",AJ68*AI68)</f>
        <v>8.640016875</v>
      </c>
      <c r="AL68" s="17" t="n">
        <f aca="false">N(V68)+N(AC68)</f>
        <v>26.0742416666667</v>
      </c>
      <c r="AM68" s="17" t="n">
        <f aca="false">AL68+N($M68)*N(AJ68)</f>
        <v>33.1325411666667</v>
      </c>
      <c r="AN68" s="17" t="n">
        <f aca="false">IF(W68="","",N(W68)+N(AD68))</f>
        <v>15.2023256923611</v>
      </c>
      <c r="AO68" s="17" t="n">
        <f aca="false">IF(AN68="","",AN68+N($M68)*N(AK68))</f>
        <v>19.2043815088611</v>
      </c>
      <c r="AP68" s="10" t="n">
        <f aca="false">IFERROR(AN68/AL68,"")</f>
        <v>0.583039993519573</v>
      </c>
      <c r="AQ68" s="0" t="str">
        <f aca="false">TRIM(IF($N68&lt;Config!$B$12,"thin sample ("&amp;$N68&amp;" maps) · ","")&amp;IF(AND($G68&lt;&gt;"",Q68=0),"M1 unplayed→overall KPR · ","")&amp;IF(AND($H68&lt;&gt;"",X68=0),"M2 unplayed→overall KPR · ","")&amp;IF($O68="","no PickFinder stats",""))</f>
        <v/>
      </c>
      <c r="AR68" s="0" t="str">
        <f aca="false">IF($C68=Board!$B$2,COUNTIFS($C$2:$C$105,Board!$B$2,$AL$2:$AL$105,"&gt;"&amp;$AL68)+COUNTIFS($C$1:$C67,Board!$B$2,$AL$1:$AL67,$AL68)+1,"")</f>
        <v/>
      </c>
      <c r="AS68" s="0" t="str">
        <f aca="false">IFERROR(IF($D68=INDEX(Matches!$AD$5:$AD$17,MATCH($C68,Matches!$A$5:$A$17,0)),"A",IF($D68=INDEX(Matches!$AE$5:$AE$17,MATCH($C68,Matches!$A$5:$A$17,0)),"B","")),"")</f>
        <v>B</v>
      </c>
      <c r="AT68" s="10" t="n">
        <f aca="false">IF($AS68="","",IFERROR(IF($AS68="A",INDEX(Matches!$AI$5:$AI$17,MATCH($C68,Matches!$A$5:$A$17,0)),INDEX(Matches!$AJ$5:$AJ$17,MATCH($C68,Matches!$A$5:$A$17,0))),""))</f>
        <v>0.512856397182864</v>
      </c>
      <c r="AU68" s="10" t="n">
        <f aca="false">IF($AS68="","",IFERROR(IF(INDEX(Matches!$AP$5:$AP$17,MATCH($C68,Matches!$A$5:$A$17,0))="","",IF($AS68="A",INDEX(Matches!$AP$5:$AP$17,MATCH($C68,Matches!$A$5:$A$17,0)),1-INDEX(Matches!$AP$5:$AP$17,MATCH($C68,Matches!$A$5:$A$17,0)))),""))</f>
        <v>0.460420810233476</v>
      </c>
      <c r="AV68" s="13" t="n">
        <f aca="false">IF(OR($AU68="",$AT68=""),1,((Config!$B$14*$AU68+Config!$B$15*(1-$AU68))/(Config!$B$14*$AT68+Config!$B$15*(1-$AT68)))^Config!$B$13)</f>
        <v>0.953674882147683</v>
      </c>
      <c r="AW68" s="10" t="n">
        <f aca="false">IF($AS68="","",IFERROR(IF(INDEX(Matches!$AV$5:$AV$17,MATCH($C68,Matches!$A$5:$A$17,0))="","",IF($AS68="A",INDEX(Matches!$AV$5:$AV$17,MATCH($C68,Matches!$A$5:$A$17,0)),1-INDEX(Matches!$AV$5:$AV$17,MATCH($C68,Matches!$A$5:$A$17,0)))),""))</f>
        <v>0.506044807124228</v>
      </c>
      <c r="AX68" s="13" t="n">
        <f aca="false">IF(OR($AW68="",$AT68=""),1,((Config!$B$14*$AW68+Config!$B$15*(1-$AW68))/(Config!$B$14*$AT68+Config!$B$15*(1-$AT68)))^Config!$B$13)</f>
        <v>0.993982184035957</v>
      </c>
      <c r="AY68" s="10" t="n">
        <f aca="false">IF($AS68="","",IFERROR(IF(INDEX(Matches!$BB$5:$BB$17,MATCH($C68,Matches!$A$5:$A$17,0))="","",IF($AS68="A",INDEX(Matches!$BB$5:$BB$17,MATCH($C68,Matches!$A$5:$A$17,0)),1-INDEX(Matches!$BB$5:$BB$17,MATCH($C68,Matches!$A$5:$A$17,0)))),""))</f>
        <v>0.518406731891536</v>
      </c>
      <c r="AZ68" s="13" t="n">
        <f aca="false">IF(OR($AY68="",$AT68=""),1,((Config!$B$14*$AY68+Config!$B$15*(1-$AY68))/(Config!$B$14*$AT68+Config!$B$15*(1-$AT68)))^Config!$B$13)</f>
        <v>1.00490353831163</v>
      </c>
      <c r="BA68" s="17" t="n">
        <f aca="false">IF(V68="","",V68*$AV68)</f>
        <v>11.793779375893</v>
      </c>
      <c r="BB68" s="17" t="n">
        <f aca="false">IF(AC68="","",AC68*$AX68)</f>
        <v>13.6250853363367</v>
      </c>
      <c r="BC68" s="17" t="n">
        <f aca="false">IF(AJ68="","",AJ68*$AZ68)</f>
        <v>15.3128457297349</v>
      </c>
      <c r="BD68" s="17" t="n">
        <f aca="false">N(BA68)+N(BB68)</f>
        <v>25.4188647122297</v>
      </c>
      <c r="BE68" s="17" t="n">
        <f aca="false">BD68+N($M68)*N(BC68)</f>
        <v>32.5117748542429</v>
      </c>
      <c r="BF68" s="17" t="n">
        <f aca="false">IF(W68="","",W68*$AV68)</f>
        <v>6.83646077822598</v>
      </c>
      <c r="BG68" s="17" t="n">
        <f aca="false">IF(AD68="","",AD68*$AX68)</f>
        <v>7.98543543087132</v>
      </c>
      <c r="BH68" s="17" t="n">
        <f aca="false">IF(AK68="","",AK68*$AZ68)</f>
        <v>8.68238352875967</v>
      </c>
      <c r="BI68" s="17" t="n">
        <f aca="false">IF(BF68="","",N(BF68)+N(BG68))</f>
        <v>14.8218962090973</v>
      </c>
      <c r="BJ68" s="17" t="n">
        <f aca="false">IF(BI68="","",BI68+N($M68)*N(BH68))</f>
        <v>18.8435762596188</v>
      </c>
      <c r="BK68" s="13" t="n">
        <f aca="false">IFERROR(BD68/AL68,1)</f>
        <v>0.974864965861124</v>
      </c>
    </row>
    <row r="69" customFormat="false" ht="15" hidden="false" customHeight="false" outlineLevel="0" collapsed="false">
      <c r="A69" s="0" t="s">
        <v>1040</v>
      </c>
      <c r="B69" s="0" t="s">
        <v>775</v>
      </c>
      <c r="C69" s="0" t="s">
        <v>826</v>
      </c>
      <c r="D69" s="0" t="s">
        <v>829</v>
      </c>
      <c r="E69" s="0" t="s">
        <v>1039</v>
      </c>
      <c r="F69" s="0" t="s">
        <v>1234</v>
      </c>
      <c r="G69" s="0" t="str">
        <f aca="false">IFERROR(IF(INDEX(Matches!$W$5:$W$17,MATCH($C69,Matches!$A$5:$A$17,0))="","",INDEX(Matches!$W$5:$W$17,MATCH($C69,Matches!$A$5:$A$17,0))),"")</f>
        <v>Mirage</v>
      </c>
      <c r="H69" s="0" t="str">
        <f aca="false">IFERROR(IF(INDEX(Matches!$X$5:$X$17,MATCH($C69,Matches!$A$5:$A$17,0))="","",INDEX(Matches!$X$5:$X$17,MATCH($C69,Matches!$A$5:$A$17,0))),"")</f>
        <v>Inferno</v>
      </c>
      <c r="I69" s="0" t="str">
        <f aca="false">IFERROR(IF(INDEX(Matches!$Y$5:$Y$17,MATCH($C69,Matches!$A$5:$A$17,0))="","",INDEX(Matches!$Y$5:$Y$17,MATCH($C69,Matches!$A$5:$A$17,0))),"")</f>
        <v>Ancient</v>
      </c>
      <c r="J69" s="11" t="n">
        <f aca="false">IFERROR(IF(INDEX(Matches!$Z$5:$Z$17,MATCH($C69,Matches!$A$5:$A$17,0))="","",INDEX(Matches!$Z$5:$Z$17,MATCH($C69,Matches!$A$5:$A$17,0))),"")</f>
        <v>21.2</v>
      </c>
      <c r="K69" s="11" t="n">
        <f aca="false">IFERROR(IF(INDEX(Matches!$AA$5:$AA$17,MATCH($C69,Matches!$A$5:$A$17,0))="","",INDEX(Matches!$AA$5:$AA$17,MATCH($C69,Matches!$A$5:$A$17,0))),"")</f>
        <v>21.17</v>
      </c>
      <c r="L69" s="11" t="n">
        <f aca="false">IFERROR(IF(INDEX(Matches!$AB$5:$AB$17,MATCH($C69,Matches!$A$5:$A$17,0))="","",INDEX(Matches!$AB$5:$AB$17,MATCH($C69,Matches!$A$5:$A$17,0))),"")</f>
        <v>21.5</v>
      </c>
      <c r="M69" s="10" t="n">
        <f aca="false">IFERROR(IF(INDEX(Matches!$AC$5:$AC$17,MATCH($C69,Matches!$A$5:$A$17,0))="","",INDEX(Matches!$AC$5:$AC$17,MATCH($C69,Matches!$A$5:$A$17,0))),"")</f>
        <v>0.4632</v>
      </c>
      <c r="N69" s="9" t="n">
        <f aca="false">IFERROR(INDEX(Players!$F$2:$F$105,MATCH($F69,Players!$A$2:$A$105,0)),0)</f>
        <v>30</v>
      </c>
      <c r="O69" s="13" t="n">
        <f aca="false">IFERROR(1/(1/INDEX(Players!$H$2:$H$105,MATCH($F69,Players!$A$2:$A$105,0))),"")</f>
        <v>0.69</v>
      </c>
      <c r="P69" s="10" t="n">
        <f aca="false">IFERROR(1/(1/INDEX(Players!$I$2:$I$105,MATCH($F69,Players!$A$2:$A$105,0))),"")</f>
        <v>0.526</v>
      </c>
      <c r="Q69" s="9" t="n">
        <f aca="false">IF($G69="",0,SUMIFS(Map_Stats!$F$2:$F$642,Map_Stats!$A$2:$A$642,$F69&amp;"|"&amp;$G69))</f>
        <v>7</v>
      </c>
      <c r="R69" s="13" t="n">
        <f aca="false">IF($G69="","",IFERROR(1/(1/INDEX(Map_Stats!$K$2:$K$642,MATCH($F69&amp;"|"&amp;$G69,Map_Stats!$A$2:$A$642,0))),$O69))</f>
        <v>0.72</v>
      </c>
      <c r="S69" s="10" t="n">
        <f aca="false">IF(OR($G69="",$P69=""),"",IFERROR(1/(1/INDEX(Map_Stats!$I$2:$I$642,MATCH($F69&amp;"|"&amp;$G69,Map_Stats!$A$2:$A$642,0))),$P69))</f>
        <v>0.472</v>
      </c>
      <c r="T69" s="13" t="n">
        <f aca="false">IF(OR($G69="",R69=""),"",IF($O69="",R69,(Q69*R69+Config!$B$4*$O69)/(Q69+Config!$B$4)))</f>
        <v>0.7075</v>
      </c>
      <c r="U69" s="10" t="n">
        <f aca="false">IF(S69="","",(Q69*S69+Config!$B$4*$P69)/(Q69+Config!$B$4))</f>
        <v>0.4945</v>
      </c>
      <c r="V69" s="17" t="n">
        <f aca="false">IF(OR(T69="",$J69=""),"",T69*$J69*($J69/Config!$B$10)^Config!$B$9)</f>
        <v>14.999</v>
      </c>
      <c r="W69" s="17" t="n">
        <f aca="false">IF(OR(V69="",U69=""),"",V69*U69)</f>
        <v>7.4170055</v>
      </c>
      <c r="X69" s="9" t="n">
        <f aca="false">IF($H69="",0,SUMIFS(Map_Stats!$F$2:$F$642,Map_Stats!$A$2:$A$642,$F69&amp;"|"&amp;$H69))</f>
        <v>7</v>
      </c>
      <c r="Y69" s="13" t="n">
        <f aca="false">IF($H69="","",IFERROR(1/(1/INDEX(Map_Stats!$K$2:$K$642,MATCH($F69&amp;"|"&amp;$H69,Map_Stats!$A$2:$A$642,0))),$O69))</f>
        <v>0.68</v>
      </c>
      <c r="Z69" s="10" t="n">
        <f aca="false">IF(OR($H69="",$P69=""),"",IFERROR(1/(1/INDEX(Map_Stats!$I$2:$I$642,MATCH($F69&amp;"|"&amp;$H69,Map_Stats!$A$2:$A$642,0))),$P69))</f>
        <v>0.586</v>
      </c>
      <c r="AA69" s="13" t="n">
        <f aca="false">IF(OR($H69="",Y69=""),"",IF($O69="",Y69,(X69*Y69+Config!$B$4*$O69)/(X69+Config!$B$4)))</f>
        <v>0.684166666666667</v>
      </c>
      <c r="AB69" s="10" t="n">
        <f aca="false">IF(Z69="","",(X69*Z69+Config!$B$4*$P69)/(X69+Config!$B$4))</f>
        <v>0.561</v>
      </c>
      <c r="AC69" s="17" t="n">
        <f aca="false">IF(OR(AA69="",$K69=""),"",AA69*$K69*($K69/Config!$B$10)^Config!$B$9)</f>
        <v>14.4838083333333</v>
      </c>
      <c r="AD69" s="17" t="n">
        <f aca="false">IF(OR(AC69="",AB69=""),"",AC69*AB69)</f>
        <v>8.125416475</v>
      </c>
      <c r="AE69" s="9" t="n">
        <f aca="false">IF($I69="",0,SUMIFS(Map_Stats!$F$2:$F$642,Map_Stats!$A$2:$A$642,$F69&amp;"|"&amp;$I69))</f>
        <v>4</v>
      </c>
      <c r="AF69" s="13" t="n">
        <f aca="false">IF($I69="","",IFERROR(1/(1/INDEX(Map_Stats!$K$2:$K$642,MATCH($F69&amp;"|"&amp;$I69,Map_Stats!$A$2:$A$642,0))),$O69))</f>
        <v>0.63</v>
      </c>
      <c r="AG69" s="10" t="n">
        <f aca="false">IF(OR($I69="",$P69=""),"",IFERROR(1/(1/INDEX(Map_Stats!$I$2:$I$642,MATCH($F69&amp;"|"&amp;$I69,Map_Stats!$A$2:$A$642,0))),$P69))</f>
        <v>0.585</v>
      </c>
      <c r="AH69" s="13" t="n">
        <f aca="false">IF(OR($I69="",AF69=""),"",IF($O69="",AF69,(AE69*AF69+Config!$B$4*$O69)/(AE69+Config!$B$4)))</f>
        <v>0.663333333333333</v>
      </c>
      <c r="AI69" s="10" t="n">
        <f aca="false">IF(AG69="","",(AE69*AG69+Config!$B$4*$P69)/(AE69+Config!$B$4))</f>
        <v>0.552222222222222</v>
      </c>
      <c r="AJ69" s="17" t="n">
        <f aca="false">IF(OR(AH69="",$L69=""),"",AH69*$L69*($L69/Config!$B$10)^Config!$B$9)</f>
        <v>14.2616666666667</v>
      </c>
      <c r="AK69" s="17" t="n">
        <f aca="false">IF(OR(AJ69="",AI69=""),"",AJ69*AI69)</f>
        <v>7.87560925925926</v>
      </c>
      <c r="AL69" s="17" t="n">
        <f aca="false">N(V69)+N(AC69)</f>
        <v>29.4828083333333</v>
      </c>
      <c r="AM69" s="17" t="n">
        <f aca="false">AL69+N($M69)*N(AJ69)</f>
        <v>36.0888123333333</v>
      </c>
      <c r="AN69" s="17" t="n">
        <f aca="false">IF(W69="","",N(W69)+N(AD69))</f>
        <v>15.542421975</v>
      </c>
      <c r="AO69" s="17" t="n">
        <f aca="false">IF(AN69="","",AN69+N($M69)*N(AK69))</f>
        <v>19.1904041838889</v>
      </c>
      <c r="AP69" s="10" t="n">
        <f aca="false">IFERROR(AN69/AL69,"")</f>
        <v>0.527168979266731</v>
      </c>
      <c r="AQ69" s="0" t="str">
        <f aca="false">TRIM(IF($N69&lt;Config!$B$12,"thin sample ("&amp;$N69&amp;" maps) · ","")&amp;IF(AND($G69&lt;&gt;"",Q69=0),"M1 unplayed→overall KPR · ","")&amp;IF(AND($H69&lt;&gt;"",X69=0),"M2 unplayed→overall KPR · ","")&amp;IF($O69="","no PickFinder stats",""))</f>
        <v/>
      </c>
      <c r="AR69" s="0" t="str">
        <f aca="false">IF($C69=Board!$B$2,COUNTIFS($C$2:$C$105,Board!$B$2,$AL$2:$AL$105,"&gt;"&amp;$AL69)+COUNTIFS($C$1:$C68,Board!$B$2,$AL$1:$AL68,$AL69)+1,"")</f>
        <v/>
      </c>
      <c r="AS69" s="0" t="str">
        <f aca="false">IFERROR(IF($D69=INDEX(Matches!$AD$5:$AD$17,MATCH($C69,Matches!$A$5:$A$17,0)),"A",IF($D69=INDEX(Matches!$AE$5:$AE$17,MATCH($C69,Matches!$A$5:$A$17,0)),"B","")),"")</f>
        <v>B</v>
      </c>
      <c r="AT69" s="10" t="n">
        <f aca="false">IF($AS69="","",IFERROR(IF($AS69="A",INDEX(Matches!$AI$5:$AI$17,MATCH($C69,Matches!$A$5:$A$17,0)),INDEX(Matches!$AJ$5:$AJ$17,MATCH($C69,Matches!$A$5:$A$17,0))),""))</f>
        <v>0.512856397182864</v>
      </c>
      <c r="AU69" s="10" t="n">
        <f aca="false">IF($AS69="","",IFERROR(IF(INDEX(Matches!$AP$5:$AP$17,MATCH($C69,Matches!$A$5:$A$17,0))="","",IF($AS69="A",INDEX(Matches!$AP$5:$AP$17,MATCH($C69,Matches!$A$5:$A$17,0)),1-INDEX(Matches!$AP$5:$AP$17,MATCH($C69,Matches!$A$5:$A$17,0)))),""))</f>
        <v>0.460420810233476</v>
      </c>
      <c r="AV69" s="13" t="n">
        <f aca="false">IF(OR($AU69="",$AT69=""),1,((Config!$B$14*$AU69+Config!$B$15*(1-$AU69))/(Config!$B$14*$AT69+Config!$B$15*(1-$AT69)))^Config!$B$13)</f>
        <v>0.953674882147683</v>
      </c>
      <c r="AW69" s="10" t="n">
        <f aca="false">IF($AS69="","",IFERROR(IF(INDEX(Matches!$AV$5:$AV$17,MATCH($C69,Matches!$A$5:$A$17,0))="","",IF($AS69="A",INDEX(Matches!$AV$5:$AV$17,MATCH($C69,Matches!$A$5:$A$17,0)),1-INDEX(Matches!$AV$5:$AV$17,MATCH($C69,Matches!$A$5:$A$17,0)))),""))</f>
        <v>0.506044807124228</v>
      </c>
      <c r="AX69" s="13" t="n">
        <f aca="false">IF(OR($AW69="",$AT69=""),1,((Config!$B$14*$AW69+Config!$B$15*(1-$AW69))/(Config!$B$14*$AT69+Config!$B$15*(1-$AT69)))^Config!$B$13)</f>
        <v>0.993982184035957</v>
      </c>
      <c r="AY69" s="10" t="n">
        <f aca="false">IF($AS69="","",IFERROR(IF(INDEX(Matches!$BB$5:$BB$17,MATCH($C69,Matches!$A$5:$A$17,0))="","",IF($AS69="A",INDEX(Matches!$BB$5:$BB$17,MATCH($C69,Matches!$A$5:$A$17,0)),1-INDEX(Matches!$BB$5:$BB$17,MATCH($C69,Matches!$A$5:$A$17,0)))),""))</f>
        <v>0.518406731891536</v>
      </c>
      <c r="AZ69" s="13" t="n">
        <f aca="false">IF(OR($AY69="",$AT69=""),1,((Config!$B$14*$AY69+Config!$B$15*(1-$AY69))/(Config!$B$14*$AT69+Config!$B$15*(1-$AT69)))^Config!$B$13)</f>
        <v>1.00490353831163</v>
      </c>
      <c r="BA69" s="17" t="n">
        <f aca="false">IF(V69="","",V69*$AV69)</f>
        <v>14.3041695573331</v>
      </c>
      <c r="BB69" s="17" t="n">
        <f aca="false">IF(AC69="","",AC69*$AX69)</f>
        <v>14.3966474403249</v>
      </c>
      <c r="BC69" s="17" t="n">
        <f aca="false">IF(AJ69="","",AJ69*$AZ69)</f>
        <v>14.3315992955543</v>
      </c>
      <c r="BD69" s="17" t="n">
        <f aca="false">N(BA69)+N(BB69)</f>
        <v>28.700816997658</v>
      </c>
      <c r="BE69" s="17" t="n">
        <f aca="false">BD69+N($M69)*N(BC69)</f>
        <v>35.3392137913587</v>
      </c>
      <c r="BF69" s="17" t="n">
        <f aca="false">IF(W69="","",W69*$AV69)</f>
        <v>7.07341184610122</v>
      </c>
      <c r="BG69" s="17" t="n">
        <f aca="false">IF(AD69="","",AD69*$AX69)</f>
        <v>8.07651921402224</v>
      </c>
      <c r="BH69" s="17" t="n">
        <f aca="false">IF(AK69="","",AK69*$AZ69)</f>
        <v>7.91422761098945</v>
      </c>
      <c r="BI69" s="17" t="n">
        <f aca="false">IF(BF69="","",N(BF69)+N(BG69))</f>
        <v>15.1499310601235</v>
      </c>
      <c r="BJ69" s="17" t="n">
        <f aca="false">IF(BI69="","",BI69+N($M69)*N(BH69))</f>
        <v>18.8158012895338</v>
      </c>
      <c r="BK69" s="13" t="n">
        <f aca="false">IFERROR(BD69/AL69,1)</f>
        <v>0.973476361992583</v>
      </c>
    </row>
    <row r="70" customFormat="false" ht="15" hidden="false" customHeight="false" outlineLevel="0" collapsed="false">
      <c r="A70" s="0" t="s">
        <v>1042</v>
      </c>
      <c r="B70" s="0" t="s">
        <v>775</v>
      </c>
      <c r="C70" s="0" t="s">
        <v>826</v>
      </c>
      <c r="D70" s="0" t="s">
        <v>829</v>
      </c>
      <c r="E70" s="0" t="s">
        <v>1041</v>
      </c>
      <c r="F70" s="0" t="s">
        <v>1235</v>
      </c>
      <c r="G70" s="0" t="str">
        <f aca="false">IFERROR(IF(INDEX(Matches!$W$5:$W$17,MATCH($C70,Matches!$A$5:$A$17,0))="","",INDEX(Matches!$W$5:$W$17,MATCH($C70,Matches!$A$5:$A$17,0))),"")</f>
        <v>Mirage</v>
      </c>
      <c r="H70" s="0" t="str">
        <f aca="false">IFERROR(IF(INDEX(Matches!$X$5:$X$17,MATCH($C70,Matches!$A$5:$A$17,0))="","",INDEX(Matches!$X$5:$X$17,MATCH($C70,Matches!$A$5:$A$17,0))),"")</f>
        <v>Inferno</v>
      </c>
      <c r="I70" s="0" t="str">
        <f aca="false">IFERROR(IF(INDEX(Matches!$Y$5:$Y$17,MATCH($C70,Matches!$A$5:$A$17,0))="","",INDEX(Matches!$Y$5:$Y$17,MATCH($C70,Matches!$A$5:$A$17,0))),"")</f>
        <v>Ancient</v>
      </c>
      <c r="J70" s="11" t="n">
        <f aca="false">IFERROR(IF(INDEX(Matches!$Z$5:$Z$17,MATCH($C70,Matches!$A$5:$A$17,0))="","",INDEX(Matches!$Z$5:$Z$17,MATCH($C70,Matches!$A$5:$A$17,0))),"")</f>
        <v>21.2</v>
      </c>
      <c r="K70" s="11" t="n">
        <f aca="false">IFERROR(IF(INDEX(Matches!$AA$5:$AA$17,MATCH($C70,Matches!$A$5:$A$17,0))="","",INDEX(Matches!$AA$5:$AA$17,MATCH($C70,Matches!$A$5:$A$17,0))),"")</f>
        <v>21.17</v>
      </c>
      <c r="L70" s="11" t="n">
        <f aca="false">IFERROR(IF(INDEX(Matches!$AB$5:$AB$17,MATCH($C70,Matches!$A$5:$A$17,0))="","",INDEX(Matches!$AB$5:$AB$17,MATCH($C70,Matches!$A$5:$A$17,0))),"")</f>
        <v>21.5</v>
      </c>
      <c r="M70" s="10" t="n">
        <f aca="false">IFERROR(IF(INDEX(Matches!$AC$5:$AC$17,MATCH($C70,Matches!$A$5:$A$17,0))="","",INDEX(Matches!$AC$5:$AC$17,MATCH($C70,Matches!$A$5:$A$17,0))),"")</f>
        <v>0.4632</v>
      </c>
      <c r="N70" s="9" t="n">
        <f aca="false">IFERROR(INDEX(Players!$F$2:$F$105,MATCH($F70,Players!$A$2:$A$105,0)),0)</f>
        <v>30</v>
      </c>
      <c r="O70" s="13" t="n">
        <f aca="false">IFERROR(1/(1/INDEX(Players!$H$2:$H$105,MATCH($F70,Players!$A$2:$A$105,0))),"")</f>
        <v>0.72</v>
      </c>
      <c r="P70" s="10" t="n">
        <f aca="false">IFERROR(1/(1/INDEX(Players!$I$2:$I$105,MATCH($F70,Players!$A$2:$A$105,0))),"")</f>
        <v>0.363</v>
      </c>
      <c r="Q70" s="9" t="n">
        <f aca="false">IF($G70="",0,SUMIFS(Map_Stats!$F$2:$F$642,Map_Stats!$A$2:$A$642,$F70&amp;"|"&amp;$G70))</f>
        <v>7</v>
      </c>
      <c r="R70" s="13" t="n">
        <f aca="false">IF($G70="","",IFERROR(1/(1/INDEX(Map_Stats!$K$2:$K$642,MATCH($F70&amp;"|"&amp;$G70,Map_Stats!$A$2:$A$642,0))),$O70))</f>
        <v>0.8</v>
      </c>
      <c r="S70" s="10" t="n">
        <f aca="false">IF(OR($G70="",$P70=""),"",IFERROR(1/(1/INDEX(Map_Stats!$I$2:$I$642,MATCH($F70&amp;"|"&amp;$G70,Map_Stats!$A$2:$A$642,0))),$P70))</f>
        <v>0.373</v>
      </c>
      <c r="T70" s="13" t="n">
        <f aca="false">IF(OR($G70="",R70=""),"",IF($O70="",R70,(Q70*R70+Config!$B$4*$O70)/(Q70+Config!$B$4)))</f>
        <v>0.766666666666667</v>
      </c>
      <c r="U70" s="10" t="n">
        <f aca="false">IF(S70="","",(Q70*S70+Config!$B$4*$P70)/(Q70+Config!$B$4))</f>
        <v>0.368833333333333</v>
      </c>
      <c r="V70" s="17" t="n">
        <f aca="false">IF(OR(T70="",$J70=""),"",T70*$J70*($J70/Config!$B$10)^Config!$B$9)</f>
        <v>16.2533333333333</v>
      </c>
      <c r="W70" s="17" t="n">
        <f aca="false">IF(OR(V70="",U70=""),"",V70*U70)</f>
        <v>5.99477111111111</v>
      </c>
      <c r="X70" s="9" t="n">
        <f aca="false">IF($H70="",0,SUMIFS(Map_Stats!$F$2:$F$642,Map_Stats!$A$2:$A$642,$F70&amp;"|"&amp;$H70))</f>
        <v>7</v>
      </c>
      <c r="Y70" s="13" t="n">
        <f aca="false">IF($H70="","",IFERROR(1/(1/INDEX(Map_Stats!$K$2:$K$642,MATCH($F70&amp;"|"&amp;$H70,Map_Stats!$A$2:$A$642,0))),$O70))</f>
        <v>0.72</v>
      </c>
      <c r="Z70" s="10" t="n">
        <f aca="false">IF(OR($H70="",$P70=""),"",IFERROR(1/(1/INDEX(Map_Stats!$I$2:$I$642,MATCH($F70&amp;"|"&amp;$H70,Map_Stats!$A$2:$A$642,0))),$P70))</f>
        <v>0.317</v>
      </c>
      <c r="AA70" s="13" t="n">
        <f aca="false">IF(OR($H70="",Y70=""),"",IF($O70="",Y70,(X70*Y70+Config!$B$4*$O70)/(X70+Config!$B$4)))</f>
        <v>0.72</v>
      </c>
      <c r="AB70" s="10" t="n">
        <f aca="false">IF(Z70="","",(X70*Z70+Config!$B$4*$P70)/(X70+Config!$B$4))</f>
        <v>0.336166666666667</v>
      </c>
      <c r="AC70" s="17" t="n">
        <f aca="false">IF(OR(AA70="",$K70=""),"",AA70*$K70*($K70/Config!$B$10)^Config!$B$9)</f>
        <v>15.2424</v>
      </c>
      <c r="AD70" s="17" t="n">
        <f aca="false">IF(OR(AC70="",AB70=""),"",AC70*AB70)</f>
        <v>5.1239868</v>
      </c>
      <c r="AE70" s="9" t="n">
        <f aca="false">IF($I70="",0,SUMIFS(Map_Stats!$F$2:$F$642,Map_Stats!$A$2:$A$642,$F70&amp;"|"&amp;$I70))</f>
        <v>4</v>
      </c>
      <c r="AF70" s="13" t="n">
        <f aca="false">IF($I70="","",IFERROR(1/(1/INDEX(Map_Stats!$K$2:$K$642,MATCH($F70&amp;"|"&amp;$I70,Map_Stats!$A$2:$A$642,0))),$O70))</f>
        <v>0.71</v>
      </c>
      <c r="AG70" s="10" t="n">
        <f aca="false">IF(OR($I70="",$P70=""),"",IFERROR(1/(1/INDEX(Map_Stats!$I$2:$I$642,MATCH($F70&amp;"|"&amp;$I70,Map_Stats!$A$2:$A$642,0))),$P70))</f>
        <v>0.367</v>
      </c>
      <c r="AH70" s="13" t="n">
        <f aca="false">IF(OR($I70="",AF70=""),"",IF($O70="",AF70,(AE70*AF70+Config!$B$4*$O70)/(AE70+Config!$B$4)))</f>
        <v>0.715555555555556</v>
      </c>
      <c r="AI70" s="10" t="n">
        <f aca="false">IF(AG70="","",(AE70*AG70+Config!$B$4*$P70)/(AE70+Config!$B$4))</f>
        <v>0.364777777777778</v>
      </c>
      <c r="AJ70" s="17" t="n">
        <f aca="false">IF(OR(AH70="",$L70=""),"",AH70*$L70*($L70/Config!$B$10)^Config!$B$9)</f>
        <v>15.3844444444444</v>
      </c>
      <c r="AK70" s="17" t="n">
        <f aca="false">IF(OR(AJ70="",AI70=""),"",AJ70*AI70)</f>
        <v>5.61190345679012</v>
      </c>
      <c r="AL70" s="17" t="n">
        <f aca="false">N(V70)+N(AC70)</f>
        <v>31.4957333333333</v>
      </c>
      <c r="AM70" s="17" t="n">
        <f aca="false">AL70+N($M70)*N(AJ70)</f>
        <v>38.621808</v>
      </c>
      <c r="AN70" s="17" t="n">
        <f aca="false">IF(W70="","",N(W70)+N(AD70))</f>
        <v>11.1187579111111</v>
      </c>
      <c r="AO70" s="17" t="n">
        <f aca="false">IF(AN70="","",AN70+N($M70)*N(AK70))</f>
        <v>13.7181915922963</v>
      </c>
      <c r="AP70" s="10" t="n">
        <f aca="false">IFERROR(AN70/AL70,"")</f>
        <v>0.353024258665018</v>
      </c>
      <c r="AQ70" s="0" t="str">
        <f aca="false">TRIM(IF($N70&lt;Config!$B$12,"thin sample ("&amp;$N70&amp;" maps) · ","")&amp;IF(AND($G70&lt;&gt;"",Q70=0),"M1 unplayed→overall KPR · ","")&amp;IF(AND($H70&lt;&gt;"",X70=0),"M2 unplayed→overall KPR · ","")&amp;IF($O70="","no PickFinder stats",""))</f>
        <v/>
      </c>
      <c r="AR70" s="0" t="str">
        <f aca="false">IF($C70=Board!$B$2,COUNTIFS($C$2:$C$105,Board!$B$2,$AL$2:$AL$105,"&gt;"&amp;$AL70)+COUNTIFS($C$1:$C69,Board!$B$2,$AL$1:$AL69,$AL70)+1,"")</f>
        <v/>
      </c>
      <c r="AS70" s="0" t="str">
        <f aca="false">IFERROR(IF($D70=INDEX(Matches!$AD$5:$AD$17,MATCH($C70,Matches!$A$5:$A$17,0)),"A",IF($D70=INDEX(Matches!$AE$5:$AE$17,MATCH($C70,Matches!$A$5:$A$17,0)),"B","")),"")</f>
        <v>B</v>
      </c>
      <c r="AT70" s="10" t="n">
        <f aca="false">IF($AS70="","",IFERROR(IF($AS70="A",INDEX(Matches!$AI$5:$AI$17,MATCH($C70,Matches!$A$5:$A$17,0)),INDEX(Matches!$AJ$5:$AJ$17,MATCH($C70,Matches!$A$5:$A$17,0))),""))</f>
        <v>0.512856397182864</v>
      </c>
      <c r="AU70" s="10" t="n">
        <f aca="false">IF($AS70="","",IFERROR(IF(INDEX(Matches!$AP$5:$AP$17,MATCH($C70,Matches!$A$5:$A$17,0))="","",IF($AS70="A",INDEX(Matches!$AP$5:$AP$17,MATCH($C70,Matches!$A$5:$A$17,0)),1-INDEX(Matches!$AP$5:$AP$17,MATCH($C70,Matches!$A$5:$A$17,0)))),""))</f>
        <v>0.460420810233476</v>
      </c>
      <c r="AV70" s="13" t="n">
        <f aca="false">IF(OR($AU70="",$AT70=""),1,((Config!$B$14*$AU70+Config!$B$15*(1-$AU70))/(Config!$B$14*$AT70+Config!$B$15*(1-$AT70)))^Config!$B$13)</f>
        <v>0.953674882147683</v>
      </c>
      <c r="AW70" s="10" t="n">
        <f aca="false">IF($AS70="","",IFERROR(IF(INDEX(Matches!$AV$5:$AV$17,MATCH($C70,Matches!$A$5:$A$17,0))="","",IF($AS70="A",INDEX(Matches!$AV$5:$AV$17,MATCH($C70,Matches!$A$5:$A$17,0)),1-INDEX(Matches!$AV$5:$AV$17,MATCH($C70,Matches!$A$5:$A$17,0)))),""))</f>
        <v>0.506044807124228</v>
      </c>
      <c r="AX70" s="13" t="n">
        <f aca="false">IF(OR($AW70="",$AT70=""),1,((Config!$B$14*$AW70+Config!$B$15*(1-$AW70))/(Config!$B$14*$AT70+Config!$B$15*(1-$AT70)))^Config!$B$13)</f>
        <v>0.993982184035957</v>
      </c>
      <c r="AY70" s="10" t="n">
        <f aca="false">IF($AS70="","",IFERROR(IF(INDEX(Matches!$BB$5:$BB$17,MATCH($C70,Matches!$A$5:$A$17,0))="","",IF($AS70="A",INDEX(Matches!$BB$5:$BB$17,MATCH($C70,Matches!$A$5:$A$17,0)),1-INDEX(Matches!$BB$5:$BB$17,MATCH($C70,Matches!$A$5:$A$17,0)))),""))</f>
        <v>0.518406731891536</v>
      </c>
      <c r="AZ70" s="13" t="n">
        <f aca="false">IF(OR($AY70="",$AT70=""),1,((Config!$B$14*$AY70+Config!$B$15*(1-$AY70))/(Config!$B$14*$AT70+Config!$B$15*(1-$AT70)))^Config!$B$13)</f>
        <v>1.00490353831163</v>
      </c>
      <c r="BA70" s="17" t="n">
        <f aca="false">IF(V70="","",V70*$AV70)</f>
        <v>15.5003957511737</v>
      </c>
      <c r="BB70" s="17" t="n">
        <f aca="false">IF(AC70="","",AC70*$AX70)</f>
        <v>15.1506740419497</v>
      </c>
      <c r="BC70" s="17" t="n">
        <f aca="false">IF(AJ70="","",AJ70*$AZ70)</f>
        <v>15.4598826571809</v>
      </c>
      <c r="BD70" s="17" t="n">
        <f aca="false">N(BA70)+N(BB70)</f>
        <v>30.6510697931233</v>
      </c>
      <c r="BE70" s="17" t="n">
        <f aca="false">BD70+N($M70)*N(BC70)</f>
        <v>37.8120874399295</v>
      </c>
      <c r="BF70" s="17" t="n">
        <f aca="false">IF(W70="","",W70*$AV70)</f>
        <v>5.71706263289122</v>
      </c>
      <c r="BG70" s="17" t="n">
        <f aca="false">IF(AD70="","",AD70*$AX70)</f>
        <v>5.09315159043541</v>
      </c>
      <c r="BH70" s="17" t="n">
        <f aca="false">IF(AK70="","",AK70*$AZ70)</f>
        <v>5.63942164039165</v>
      </c>
      <c r="BI70" s="17" t="n">
        <f aca="false">IF(BF70="","",N(BF70)+N(BG70))</f>
        <v>10.8102142233266</v>
      </c>
      <c r="BJ70" s="17" t="n">
        <f aca="false">IF(BI70="","",BI70+N($M70)*N(BH70))</f>
        <v>13.422394327156</v>
      </c>
      <c r="BK70" s="13" t="n">
        <f aca="false">IFERROR(BD70/AL70,1)</f>
        <v>0.973181651899623</v>
      </c>
    </row>
    <row r="71" customFormat="false" ht="15" hidden="false" customHeight="false" outlineLevel="0" collapsed="false">
      <c r="A71" s="0" t="s">
        <v>1044</v>
      </c>
      <c r="B71" s="0" t="s">
        <v>775</v>
      </c>
      <c r="C71" s="0" t="s">
        <v>826</v>
      </c>
      <c r="D71" s="0" t="s">
        <v>829</v>
      </c>
      <c r="E71" s="0" t="s">
        <v>1043</v>
      </c>
      <c r="F71" s="0" t="s">
        <v>1236</v>
      </c>
      <c r="G71" s="0" t="str">
        <f aca="false">IFERROR(IF(INDEX(Matches!$W$5:$W$17,MATCH($C71,Matches!$A$5:$A$17,0))="","",INDEX(Matches!$W$5:$W$17,MATCH($C71,Matches!$A$5:$A$17,0))),"")</f>
        <v>Mirage</v>
      </c>
      <c r="H71" s="0" t="str">
        <f aca="false">IFERROR(IF(INDEX(Matches!$X$5:$X$17,MATCH($C71,Matches!$A$5:$A$17,0))="","",INDEX(Matches!$X$5:$X$17,MATCH($C71,Matches!$A$5:$A$17,0))),"")</f>
        <v>Inferno</v>
      </c>
      <c r="I71" s="0" t="str">
        <f aca="false">IFERROR(IF(INDEX(Matches!$Y$5:$Y$17,MATCH($C71,Matches!$A$5:$A$17,0))="","",INDEX(Matches!$Y$5:$Y$17,MATCH($C71,Matches!$A$5:$A$17,0))),"")</f>
        <v>Ancient</v>
      </c>
      <c r="J71" s="11" t="n">
        <f aca="false">IFERROR(IF(INDEX(Matches!$Z$5:$Z$17,MATCH($C71,Matches!$A$5:$A$17,0))="","",INDEX(Matches!$Z$5:$Z$17,MATCH($C71,Matches!$A$5:$A$17,0))),"")</f>
        <v>21.2</v>
      </c>
      <c r="K71" s="11" t="n">
        <f aca="false">IFERROR(IF(INDEX(Matches!$AA$5:$AA$17,MATCH($C71,Matches!$A$5:$A$17,0))="","",INDEX(Matches!$AA$5:$AA$17,MATCH($C71,Matches!$A$5:$A$17,0))),"")</f>
        <v>21.17</v>
      </c>
      <c r="L71" s="11" t="n">
        <f aca="false">IFERROR(IF(INDEX(Matches!$AB$5:$AB$17,MATCH($C71,Matches!$A$5:$A$17,0))="","",INDEX(Matches!$AB$5:$AB$17,MATCH($C71,Matches!$A$5:$A$17,0))),"")</f>
        <v>21.5</v>
      </c>
      <c r="M71" s="10" t="n">
        <f aca="false">IFERROR(IF(INDEX(Matches!$AC$5:$AC$17,MATCH($C71,Matches!$A$5:$A$17,0))="","",INDEX(Matches!$AC$5:$AC$17,MATCH($C71,Matches!$A$5:$A$17,0))),"")</f>
        <v>0.4632</v>
      </c>
      <c r="N71" s="9" t="n">
        <f aca="false">IFERROR(INDEX(Players!$F$2:$F$105,MATCH($F71,Players!$A$2:$A$105,0)),0)</f>
        <v>30</v>
      </c>
      <c r="O71" s="13" t="n">
        <f aca="false">IFERROR(1/(1/INDEX(Players!$H$2:$H$105,MATCH($F71,Players!$A$2:$A$105,0))),"")</f>
        <v>0.7</v>
      </c>
      <c r="P71" s="10" t="n">
        <f aca="false">IFERROR(1/(1/INDEX(Players!$I$2:$I$105,MATCH($F71,Players!$A$2:$A$105,0))),"")</f>
        <v>0.588</v>
      </c>
      <c r="Q71" s="9" t="n">
        <f aca="false">IF($G71="",0,SUMIFS(Map_Stats!$F$2:$F$642,Map_Stats!$A$2:$A$642,$F71&amp;"|"&amp;$G71))</f>
        <v>7</v>
      </c>
      <c r="R71" s="13" t="n">
        <f aca="false">IF($G71="","",IFERROR(1/(1/INDEX(Map_Stats!$K$2:$K$642,MATCH($F71&amp;"|"&amp;$G71,Map_Stats!$A$2:$A$642,0))),$O71))</f>
        <v>0.6</v>
      </c>
      <c r="S71" s="10" t="n">
        <f aca="false">IF(OR($G71="",$P71=""),"",IFERROR(1/(1/INDEX(Map_Stats!$I$2:$I$642,MATCH($F71&amp;"|"&amp;$G71,Map_Stats!$A$2:$A$642,0))),$P71))</f>
        <v>0.551</v>
      </c>
      <c r="T71" s="13" t="n">
        <f aca="false">IF(OR($G71="",R71=""),"",IF($O71="",R71,(Q71*R71+Config!$B$4*$O71)/(Q71+Config!$B$4)))</f>
        <v>0.641666666666667</v>
      </c>
      <c r="U71" s="10" t="n">
        <f aca="false">IF(S71="","",(Q71*S71+Config!$B$4*$P71)/(Q71+Config!$B$4))</f>
        <v>0.566416666666667</v>
      </c>
      <c r="V71" s="17" t="n">
        <f aca="false">IF(OR(T71="",$J71=""),"",T71*$J71*($J71/Config!$B$10)^Config!$B$9)</f>
        <v>13.6033333333333</v>
      </c>
      <c r="W71" s="17" t="n">
        <f aca="false">IF(OR(V71="",U71=""),"",V71*U71)</f>
        <v>7.70515472222222</v>
      </c>
      <c r="X71" s="9" t="n">
        <f aca="false">IF($H71="",0,SUMIFS(Map_Stats!$F$2:$F$642,Map_Stats!$A$2:$A$642,$F71&amp;"|"&amp;$H71))</f>
        <v>7</v>
      </c>
      <c r="Y71" s="13" t="n">
        <f aca="false">IF($H71="","",IFERROR(1/(1/INDEX(Map_Stats!$K$2:$K$642,MATCH($F71&amp;"|"&amp;$H71,Map_Stats!$A$2:$A$642,0))),$O71))</f>
        <v>0.59</v>
      </c>
      <c r="Z71" s="10" t="n">
        <f aca="false">IF(OR($H71="",$P71=""),"",IFERROR(1/(1/INDEX(Map_Stats!$I$2:$I$642,MATCH($F71&amp;"|"&amp;$H71,Map_Stats!$A$2:$A$642,0))),$P71))</f>
        <v>0.57</v>
      </c>
      <c r="AA71" s="13" t="n">
        <f aca="false">IF(OR($H71="",Y71=""),"",IF($O71="",Y71,(X71*Y71+Config!$B$4*$O71)/(X71+Config!$B$4)))</f>
        <v>0.635833333333333</v>
      </c>
      <c r="AB71" s="10" t="n">
        <f aca="false">IF(Z71="","",(X71*Z71+Config!$B$4*$P71)/(X71+Config!$B$4))</f>
        <v>0.5775</v>
      </c>
      <c r="AC71" s="17" t="n">
        <f aca="false">IF(OR(AA71="",$K71=""),"",AA71*$K71*($K71/Config!$B$10)^Config!$B$9)</f>
        <v>13.4605916666667</v>
      </c>
      <c r="AD71" s="17" t="n">
        <f aca="false">IF(OR(AC71="",AB71=""),"",AC71*AB71)</f>
        <v>7.7734916875</v>
      </c>
      <c r="AE71" s="9" t="n">
        <f aca="false">IF($I71="",0,SUMIFS(Map_Stats!$F$2:$F$642,Map_Stats!$A$2:$A$642,$F71&amp;"|"&amp;$I71))</f>
        <v>4</v>
      </c>
      <c r="AF71" s="13" t="n">
        <f aca="false">IF($I71="","",IFERROR(1/(1/INDEX(Map_Stats!$K$2:$K$642,MATCH($F71&amp;"|"&amp;$I71,Map_Stats!$A$2:$A$642,0))),$O71))</f>
        <v>0.82</v>
      </c>
      <c r="AG71" s="10" t="n">
        <f aca="false">IF(OR($I71="",$P71=""),"",IFERROR(1/(1/INDEX(Map_Stats!$I$2:$I$642,MATCH($F71&amp;"|"&amp;$I71,Map_Stats!$A$2:$A$642,0))),$P71))</f>
        <v>0.652</v>
      </c>
      <c r="AH71" s="13" t="n">
        <f aca="false">IF(OR($I71="",AF71=""),"",IF($O71="",AF71,(AE71*AF71+Config!$B$4*$O71)/(AE71+Config!$B$4)))</f>
        <v>0.753333333333333</v>
      </c>
      <c r="AI71" s="10" t="n">
        <f aca="false">IF(AG71="","",(AE71*AG71+Config!$B$4*$P71)/(AE71+Config!$B$4))</f>
        <v>0.616444444444445</v>
      </c>
      <c r="AJ71" s="17" t="n">
        <f aca="false">IF(OR(AH71="",$L71=""),"",AH71*$L71*($L71/Config!$B$10)^Config!$B$9)</f>
        <v>16.1966666666667</v>
      </c>
      <c r="AK71" s="17" t="n">
        <f aca="false">IF(OR(AJ71="",AI71=""),"",AJ71*AI71)</f>
        <v>9.98434518518519</v>
      </c>
      <c r="AL71" s="17" t="n">
        <f aca="false">N(V71)+N(AC71)</f>
        <v>27.063925</v>
      </c>
      <c r="AM71" s="17" t="n">
        <f aca="false">AL71+N($M71)*N(AJ71)</f>
        <v>34.566221</v>
      </c>
      <c r="AN71" s="17" t="n">
        <f aca="false">IF(W71="","",N(W71)+N(AD71))</f>
        <v>15.4786464097222</v>
      </c>
      <c r="AO71" s="17" t="n">
        <f aca="false">IF(AN71="","",AN71+N($M71)*N(AK71))</f>
        <v>20.1033950995</v>
      </c>
      <c r="AP71" s="10" t="n">
        <f aca="false">IFERROR(AN71/AL71,"")</f>
        <v>0.571929105247011</v>
      </c>
      <c r="AQ71" s="0" t="str">
        <f aca="false">TRIM(IF($N71&lt;Config!$B$12,"thin sample ("&amp;$N71&amp;" maps) · ","")&amp;IF(AND($G71&lt;&gt;"",Q71=0),"M1 unplayed→overall KPR · ","")&amp;IF(AND($H71&lt;&gt;"",X71=0),"M2 unplayed→overall KPR · ","")&amp;IF($O71="","no PickFinder stats",""))</f>
        <v/>
      </c>
      <c r="AR71" s="0" t="str">
        <f aca="false">IF($C71=Board!$B$2,COUNTIFS($C$2:$C$105,Board!$B$2,$AL$2:$AL$105,"&gt;"&amp;$AL71)+COUNTIFS($C$1:$C70,Board!$B$2,$AL$1:$AL70,$AL71)+1,"")</f>
        <v/>
      </c>
      <c r="AS71" s="0" t="str">
        <f aca="false">IFERROR(IF($D71=INDEX(Matches!$AD$5:$AD$17,MATCH($C71,Matches!$A$5:$A$17,0)),"A",IF($D71=INDEX(Matches!$AE$5:$AE$17,MATCH($C71,Matches!$A$5:$A$17,0)),"B","")),"")</f>
        <v>B</v>
      </c>
      <c r="AT71" s="10" t="n">
        <f aca="false">IF($AS71="","",IFERROR(IF($AS71="A",INDEX(Matches!$AI$5:$AI$17,MATCH($C71,Matches!$A$5:$A$17,0)),INDEX(Matches!$AJ$5:$AJ$17,MATCH($C71,Matches!$A$5:$A$17,0))),""))</f>
        <v>0.512856397182864</v>
      </c>
      <c r="AU71" s="10" t="n">
        <f aca="false">IF($AS71="","",IFERROR(IF(INDEX(Matches!$AP$5:$AP$17,MATCH($C71,Matches!$A$5:$A$17,0))="","",IF($AS71="A",INDEX(Matches!$AP$5:$AP$17,MATCH($C71,Matches!$A$5:$A$17,0)),1-INDEX(Matches!$AP$5:$AP$17,MATCH($C71,Matches!$A$5:$A$17,0)))),""))</f>
        <v>0.460420810233476</v>
      </c>
      <c r="AV71" s="13" t="n">
        <f aca="false">IF(OR($AU71="",$AT71=""),1,((Config!$B$14*$AU71+Config!$B$15*(1-$AU71))/(Config!$B$14*$AT71+Config!$B$15*(1-$AT71)))^Config!$B$13)</f>
        <v>0.953674882147683</v>
      </c>
      <c r="AW71" s="10" t="n">
        <f aca="false">IF($AS71="","",IFERROR(IF(INDEX(Matches!$AV$5:$AV$17,MATCH($C71,Matches!$A$5:$A$17,0))="","",IF($AS71="A",INDEX(Matches!$AV$5:$AV$17,MATCH($C71,Matches!$A$5:$A$17,0)),1-INDEX(Matches!$AV$5:$AV$17,MATCH($C71,Matches!$A$5:$A$17,0)))),""))</f>
        <v>0.506044807124228</v>
      </c>
      <c r="AX71" s="13" t="n">
        <f aca="false">IF(OR($AW71="",$AT71=""),1,((Config!$B$14*$AW71+Config!$B$15*(1-$AW71))/(Config!$B$14*$AT71+Config!$B$15*(1-$AT71)))^Config!$B$13)</f>
        <v>0.993982184035957</v>
      </c>
      <c r="AY71" s="10" t="n">
        <f aca="false">IF($AS71="","",IFERROR(IF(INDEX(Matches!$BB$5:$BB$17,MATCH($C71,Matches!$A$5:$A$17,0))="","",IF($AS71="A",INDEX(Matches!$BB$5:$BB$17,MATCH($C71,Matches!$A$5:$A$17,0)),1-INDEX(Matches!$BB$5:$BB$17,MATCH($C71,Matches!$A$5:$A$17,0)))),""))</f>
        <v>0.518406731891536</v>
      </c>
      <c r="AZ71" s="13" t="n">
        <f aca="false">IF(OR($AY71="",$AT71=""),1,((Config!$B$14*$AY71+Config!$B$15*(1-$AY71))/(Config!$B$14*$AT71+Config!$B$15*(1-$AT71)))^Config!$B$13)</f>
        <v>1.00490353831163</v>
      </c>
      <c r="BA71" s="17" t="n">
        <f aca="false">IF(V71="","",V71*$AV71)</f>
        <v>12.9731573134823</v>
      </c>
      <c r="BB71" s="17" t="n">
        <f aca="false">IF(AC71="","",AC71*$AX71)</f>
        <v>13.3795883032495</v>
      </c>
      <c r="BC71" s="17" t="n">
        <f aca="false">IF(AJ71="","",AJ71*$AZ71)</f>
        <v>16.2760876421873</v>
      </c>
      <c r="BD71" s="17" t="n">
        <f aca="false">N(BA71)+N(BB71)</f>
        <v>26.3527456167318</v>
      </c>
      <c r="BE71" s="17" t="n">
        <f aca="false">BD71+N($M71)*N(BC71)</f>
        <v>33.891829412593</v>
      </c>
      <c r="BF71" s="17" t="n">
        <f aca="false">IF(W71="","",W71*$AV71)</f>
        <v>7.34821252164494</v>
      </c>
      <c r="BG71" s="17" t="n">
        <f aca="false">IF(AD71="","",AD71*$AX71)</f>
        <v>7.7267122451266</v>
      </c>
      <c r="BH71" s="17" t="n">
        <f aca="false">IF(AK71="","",AK71*$AZ71)</f>
        <v>10.0333038043173</v>
      </c>
      <c r="BI71" s="17" t="n">
        <f aca="false">IF(BF71="","",N(BF71)+N(BG71))</f>
        <v>15.0749247667715</v>
      </c>
      <c r="BJ71" s="17" t="n">
        <f aca="false">IF(BI71="","",BI71+N($M71)*N(BH71))</f>
        <v>19.7223510889313</v>
      </c>
      <c r="BK71" s="13" t="n">
        <f aca="false">IFERROR(BD71/AL71,1)</f>
        <v>0.973722237876873</v>
      </c>
    </row>
    <row r="72" customFormat="false" ht="15" hidden="false" customHeight="false" outlineLevel="0" collapsed="false">
      <c r="A72" s="0" t="s">
        <v>1046</v>
      </c>
      <c r="B72" s="0" t="s">
        <v>775</v>
      </c>
      <c r="C72" s="0" t="s">
        <v>826</v>
      </c>
      <c r="D72" s="0" t="s">
        <v>829</v>
      </c>
      <c r="E72" s="0" t="s">
        <v>1045</v>
      </c>
      <c r="F72" s="0" t="s">
        <v>1237</v>
      </c>
      <c r="G72" s="0" t="str">
        <f aca="false">IFERROR(IF(INDEX(Matches!$W$5:$W$17,MATCH($C72,Matches!$A$5:$A$17,0))="","",INDEX(Matches!$W$5:$W$17,MATCH($C72,Matches!$A$5:$A$17,0))),"")</f>
        <v>Mirage</v>
      </c>
      <c r="H72" s="0" t="str">
        <f aca="false">IFERROR(IF(INDEX(Matches!$X$5:$X$17,MATCH($C72,Matches!$A$5:$A$17,0))="","",INDEX(Matches!$X$5:$X$17,MATCH($C72,Matches!$A$5:$A$17,0))),"")</f>
        <v>Inferno</v>
      </c>
      <c r="I72" s="0" t="str">
        <f aca="false">IFERROR(IF(INDEX(Matches!$Y$5:$Y$17,MATCH($C72,Matches!$A$5:$A$17,0))="","",INDEX(Matches!$Y$5:$Y$17,MATCH($C72,Matches!$A$5:$A$17,0))),"")</f>
        <v>Ancient</v>
      </c>
      <c r="J72" s="11" t="n">
        <f aca="false">IFERROR(IF(INDEX(Matches!$Z$5:$Z$17,MATCH($C72,Matches!$A$5:$A$17,0))="","",INDEX(Matches!$Z$5:$Z$17,MATCH($C72,Matches!$A$5:$A$17,0))),"")</f>
        <v>21.2</v>
      </c>
      <c r="K72" s="11" t="n">
        <f aca="false">IFERROR(IF(INDEX(Matches!$AA$5:$AA$17,MATCH($C72,Matches!$A$5:$A$17,0))="","",INDEX(Matches!$AA$5:$AA$17,MATCH($C72,Matches!$A$5:$A$17,0))),"")</f>
        <v>21.17</v>
      </c>
      <c r="L72" s="11" t="n">
        <f aca="false">IFERROR(IF(INDEX(Matches!$AB$5:$AB$17,MATCH($C72,Matches!$A$5:$A$17,0))="","",INDEX(Matches!$AB$5:$AB$17,MATCH($C72,Matches!$A$5:$A$17,0))),"")</f>
        <v>21.5</v>
      </c>
      <c r="M72" s="10" t="n">
        <f aca="false">IFERROR(IF(INDEX(Matches!$AC$5:$AC$17,MATCH($C72,Matches!$A$5:$A$17,0))="","",INDEX(Matches!$AC$5:$AC$17,MATCH($C72,Matches!$A$5:$A$17,0))),"")</f>
        <v>0.4632</v>
      </c>
      <c r="N72" s="9" t="n">
        <f aca="false">IFERROR(INDEX(Players!$F$2:$F$105,MATCH($F72,Players!$A$2:$A$105,0)),0)</f>
        <v>30</v>
      </c>
      <c r="O72" s="13" t="n">
        <f aca="false">IFERROR(1/(1/INDEX(Players!$H$2:$H$105,MATCH($F72,Players!$A$2:$A$105,0))),"")</f>
        <v>0.68</v>
      </c>
      <c r="P72" s="10" t="n">
        <f aca="false">IFERROR(1/(1/INDEX(Players!$I$2:$I$105,MATCH($F72,Players!$A$2:$A$105,0))),"")</f>
        <v>0.54</v>
      </c>
      <c r="Q72" s="9" t="n">
        <f aca="false">IF($G72="",0,SUMIFS(Map_Stats!$F$2:$F$642,Map_Stats!$A$2:$A$642,$F72&amp;"|"&amp;$G72))</f>
        <v>7</v>
      </c>
      <c r="R72" s="13" t="n">
        <f aca="false">IF($G72="","",IFERROR(1/(1/INDEX(Map_Stats!$K$2:$K$642,MATCH($F72&amp;"|"&amp;$G72,Map_Stats!$A$2:$A$642,0))),$O72))</f>
        <v>0.78</v>
      </c>
      <c r="S72" s="10" t="n">
        <f aca="false">IF(OR($G72="",$P72=""),"",IFERROR(1/(1/INDEX(Map_Stats!$I$2:$I$642,MATCH($F72&amp;"|"&amp;$G72,Map_Stats!$A$2:$A$642,0))),$P72))</f>
        <v>0.504</v>
      </c>
      <c r="T72" s="13" t="n">
        <f aca="false">IF(OR($G72="",R72=""),"",IF($O72="",R72,(Q72*R72+Config!$B$4*$O72)/(Q72+Config!$B$4)))</f>
        <v>0.738333333333333</v>
      </c>
      <c r="U72" s="10" t="n">
        <f aca="false">IF(S72="","",(Q72*S72+Config!$B$4*$P72)/(Q72+Config!$B$4))</f>
        <v>0.519</v>
      </c>
      <c r="V72" s="17" t="n">
        <f aca="false">IF(OR(T72="",$J72=""),"",T72*$J72*($J72/Config!$B$10)^Config!$B$9)</f>
        <v>15.6526666666667</v>
      </c>
      <c r="W72" s="17" t="n">
        <f aca="false">IF(OR(V72="",U72=""),"",V72*U72)</f>
        <v>8.123734</v>
      </c>
      <c r="X72" s="9" t="n">
        <f aca="false">IF($H72="",0,SUMIFS(Map_Stats!$F$2:$F$642,Map_Stats!$A$2:$A$642,$F72&amp;"|"&amp;$H72))</f>
        <v>7</v>
      </c>
      <c r="Y72" s="13" t="n">
        <f aca="false">IF($H72="","",IFERROR(1/(1/INDEX(Map_Stats!$K$2:$K$642,MATCH($F72&amp;"|"&amp;$H72,Map_Stats!$A$2:$A$642,0))),$O72))</f>
        <v>0.64</v>
      </c>
      <c r="Z72" s="10" t="n">
        <f aca="false">IF(OR($H72="",$P72=""),"",IFERROR(1/(1/INDEX(Map_Stats!$I$2:$I$642,MATCH($F72&amp;"|"&amp;$H72,Map_Stats!$A$2:$A$642,0))),$P72))</f>
        <v>0.613</v>
      </c>
      <c r="AA72" s="13" t="n">
        <f aca="false">IF(OR($H72="",Y72=""),"",IF($O72="",Y72,(X72*Y72+Config!$B$4*$O72)/(X72+Config!$B$4)))</f>
        <v>0.656666666666667</v>
      </c>
      <c r="AB72" s="10" t="n">
        <f aca="false">IF(Z72="","",(X72*Z72+Config!$B$4*$P72)/(X72+Config!$B$4))</f>
        <v>0.582583333333333</v>
      </c>
      <c r="AC72" s="17" t="n">
        <f aca="false">IF(OR(AA72="",$K72=""),"",AA72*$K72*($K72/Config!$B$10)^Config!$B$9)</f>
        <v>13.9016333333333</v>
      </c>
      <c r="AD72" s="17" t="n">
        <f aca="false">IF(OR(AC72="",AB72=""),"",AC72*AB72)</f>
        <v>8.09885988611111</v>
      </c>
      <c r="AE72" s="9" t="n">
        <f aca="false">IF($I72="",0,SUMIFS(Map_Stats!$F$2:$F$642,Map_Stats!$A$2:$A$642,$F72&amp;"|"&amp;$I72))</f>
        <v>4</v>
      </c>
      <c r="AF72" s="13" t="n">
        <f aca="false">IF($I72="","",IFERROR(1/(1/INDEX(Map_Stats!$K$2:$K$642,MATCH($F72&amp;"|"&amp;$I72,Map_Stats!$A$2:$A$642,0))),$O72))</f>
        <v>0.63</v>
      </c>
      <c r="AG72" s="10" t="n">
        <f aca="false">IF(OR($I72="",$P72=""),"",IFERROR(1/(1/INDEX(Map_Stats!$I$2:$I$642,MATCH($F72&amp;"|"&amp;$I72,Map_Stats!$A$2:$A$642,0))),$P72))</f>
        <v>0.604</v>
      </c>
      <c r="AH72" s="13" t="n">
        <f aca="false">IF(OR($I72="",AF72=""),"",IF($O72="",AF72,(AE72*AF72+Config!$B$4*$O72)/(AE72+Config!$B$4)))</f>
        <v>0.657777777777778</v>
      </c>
      <c r="AI72" s="10" t="n">
        <f aca="false">IF(AG72="","",(AE72*AG72+Config!$B$4*$P72)/(AE72+Config!$B$4))</f>
        <v>0.568444444444444</v>
      </c>
      <c r="AJ72" s="17" t="n">
        <f aca="false">IF(OR(AH72="",$L72=""),"",AH72*$L72*($L72/Config!$B$10)^Config!$B$9)</f>
        <v>14.1422222222222</v>
      </c>
      <c r="AK72" s="17" t="n">
        <f aca="false">IF(OR(AJ72="",AI72=""),"",AJ72*AI72)</f>
        <v>8.03906765432099</v>
      </c>
      <c r="AL72" s="17" t="n">
        <f aca="false">N(V72)+N(AC72)</f>
        <v>29.5543</v>
      </c>
      <c r="AM72" s="17" t="n">
        <f aca="false">AL72+N($M72)*N(AJ72)</f>
        <v>36.1049773333333</v>
      </c>
      <c r="AN72" s="17" t="n">
        <f aca="false">IF(W72="","",N(W72)+N(AD72))</f>
        <v>16.2225938861111</v>
      </c>
      <c r="AO72" s="17" t="n">
        <f aca="false">IF(AN72="","",AN72+N($M72)*N(AK72))</f>
        <v>19.9462900235926</v>
      </c>
      <c r="AP72" s="10" t="n">
        <f aca="false">IFERROR(AN72/AL72,"")</f>
        <v>0.548908073820429</v>
      </c>
      <c r="AQ72" s="0" t="str">
        <f aca="false">TRIM(IF($N72&lt;Config!$B$12,"thin sample ("&amp;$N72&amp;" maps) · ","")&amp;IF(AND($G72&lt;&gt;"",Q72=0),"M1 unplayed→overall KPR · ","")&amp;IF(AND($H72&lt;&gt;"",X72=0),"M2 unplayed→overall KPR · ","")&amp;IF($O72="","no PickFinder stats",""))</f>
        <v/>
      </c>
      <c r="AR72" s="0" t="str">
        <f aca="false">IF($C72=Board!$B$2,COUNTIFS($C$2:$C$105,Board!$B$2,$AL$2:$AL$105,"&gt;"&amp;$AL72)+COUNTIFS($C$1:$C71,Board!$B$2,$AL$1:$AL71,$AL72)+1,"")</f>
        <v/>
      </c>
      <c r="AS72" s="0" t="str">
        <f aca="false">IFERROR(IF($D72=INDEX(Matches!$AD$5:$AD$17,MATCH($C72,Matches!$A$5:$A$17,0)),"A",IF($D72=INDEX(Matches!$AE$5:$AE$17,MATCH($C72,Matches!$A$5:$A$17,0)),"B","")),"")</f>
        <v>B</v>
      </c>
      <c r="AT72" s="10" t="n">
        <f aca="false">IF($AS72="","",IFERROR(IF($AS72="A",INDEX(Matches!$AI$5:$AI$17,MATCH($C72,Matches!$A$5:$A$17,0)),INDEX(Matches!$AJ$5:$AJ$17,MATCH($C72,Matches!$A$5:$A$17,0))),""))</f>
        <v>0.512856397182864</v>
      </c>
      <c r="AU72" s="10" t="n">
        <f aca="false">IF($AS72="","",IFERROR(IF(INDEX(Matches!$AP$5:$AP$17,MATCH($C72,Matches!$A$5:$A$17,0))="","",IF($AS72="A",INDEX(Matches!$AP$5:$AP$17,MATCH($C72,Matches!$A$5:$A$17,0)),1-INDEX(Matches!$AP$5:$AP$17,MATCH($C72,Matches!$A$5:$A$17,0)))),""))</f>
        <v>0.460420810233476</v>
      </c>
      <c r="AV72" s="13" t="n">
        <f aca="false">IF(OR($AU72="",$AT72=""),1,((Config!$B$14*$AU72+Config!$B$15*(1-$AU72))/(Config!$B$14*$AT72+Config!$B$15*(1-$AT72)))^Config!$B$13)</f>
        <v>0.953674882147683</v>
      </c>
      <c r="AW72" s="10" t="n">
        <f aca="false">IF($AS72="","",IFERROR(IF(INDEX(Matches!$AV$5:$AV$17,MATCH($C72,Matches!$A$5:$A$17,0))="","",IF($AS72="A",INDEX(Matches!$AV$5:$AV$17,MATCH($C72,Matches!$A$5:$A$17,0)),1-INDEX(Matches!$AV$5:$AV$17,MATCH($C72,Matches!$A$5:$A$17,0)))),""))</f>
        <v>0.506044807124228</v>
      </c>
      <c r="AX72" s="13" t="n">
        <f aca="false">IF(OR($AW72="",$AT72=""),1,((Config!$B$14*$AW72+Config!$B$15*(1-$AW72))/(Config!$B$14*$AT72+Config!$B$15*(1-$AT72)))^Config!$B$13)</f>
        <v>0.993982184035957</v>
      </c>
      <c r="AY72" s="10" t="n">
        <f aca="false">IF($AS72="","",IFERROR(IF(INDEX(Matches!$BB$5:$BB$17,MATCH($C72,Matches!$A$5:$A$17,0))="","",IF($AS72="A",INDEX(Matches!$BB$5:$BB$17,MATCH($C72,Matches!$A$5:$A$17,0)),1-INDEX(Matches!$BB$5:$BB$17,MATCH($C72,Matches!$A$5:$A$17,0)))),""))</f>
        <v>0.518406731891536</v>
      </c>
      <c r="AZ72" s="13" t="n">
        <f aca="false">IF(OR($AY72="",$AT72=""),1,((Config!$B$14*$AY72+Config!$B$15*(1-$AY72))/(Config!$B$14*$AT72+Config!$B$15*(1-$AT72)))^Config!$B$13)</f>
        <v>1.00490353831163</v>
      </c>
      <c r="BA72" s="17" t="n">
        <f aca="false">IF(V72="","",V72*$AV72)</f>
        <v>14.9275550386303</v>
      </c>
      <c r="BB72" s="17" t="n">
        <f aca="false">IF(AC72="","",AC72*$AX72)</f>
        <v>13.8179758623337</v>
      </c>
      <c r="BC72" s="17" t="n">
        <f aca="false">IF(AJ72="","",AJ72*$AZ72)</f>
        <v>14.2115691507004</v>
      </c>
      <c r="BD72" s="17" t="n">
        <f aca="false">N(BA72)+N(BB72)</f>
        <v>28.745530900964</v>
      </c>
      <c r="BE72" s="17" t="n">
        <f aca="false">BD72+N($M72)*N(BC72)</f>
        <v>35.3283297315685</v>
      </c>
      <c r="BF72" s="17" t="n">
        <f aca="false">IF(W72="","",W72*$AV72)</f>
        <v>7.74740106504912</v>
      </c>
      <c r="BG72" s="17" t="n">
        <f aca="false">IF(AD72="","",AD72*$AX72)</f>
        <v>8.05012243779792</v>
      </c>
      <c r="BH72" s="17" t="n">
        <f aca="false">IF(AK72="","",AK72*$AZ72)</f>
        <v>8.07848753055372</v>
      </c>
      <c r="BI72" s="17" t="n">
        <f aca="false">IF(BF72="","",N(BF72)+N(BG72))</f>
        <v>15.797523502847</v>
      </c>
      <c r="BJ72" s="17" t="n">
        <f aca="false">IF(BI72="","",BI72+N($M72)*N(BH72))</f>
        <v>19.5394789269995</v>
      </c>
      <c r="BK72" s="13" t="n">
        <f aca="false">IFERROR(BD72/AL72,1)</f>
        <v>0.972634469466846</v>
      </c>
    </row>
    <row r="73" customFormat="false" ht="15" hidden="false" customHeight="false" outlineLevel="0" collapsed="false">
      <c r="A73" s="0" t="s">
        <v>1048</v>
      </c>
      <c r="B73" s="0" t="s">
        <v>775</v>
      </c>
      <c r="C73" s="0" t="s">
        <v>826</v>
      </c>
      <c r="D73" s="0" t="s">
        <v>828</v>
      </c>
      <c r="E73" s="0" t="s">
        <v>1047</v>
      </c>
      <c r="F73" s="0" t="s">
        <v>1238</v>
      </c>
      <c r="G73" s="0" t="str">
        <f aca="false">IFERROR(IF(INDEX(Matches!$W$5:$W$17,MATCH($C73,Matches!$A$5:$A$17,0))="","",INDEX(Matches!$W$5:$W$17,MATCH($C73,Matches!$A$5:$A$17,0))),"")</f>
        <v>Mirage</v>
      </c>
      <c r="H73" s="0" t="str">
        <f aca="false">IFERROR(IF(INDEX(Matches!$X$5:$X$17,MATCH($C73,Matches!$A$5:$A$17,0))="","",INDEX(Matches!$X$5:$X$17,MATCH($C73,Matches!$A$5:$A$17,0))),"")</f>
        <v>Inferno</v>
      </c>
      <c r="I73" s="0" t="str">
        <f aca="false">IFERROR(IF(INDEX(Matches!$Y$5:$Y$17,MATCH($C73,Matches!$A$5:$A$17,0))="","",INDEX(Matches!$Y$5:$Y$17,MATCH($C73,Matches!$A$5:$A$17,0))),"")</f>
        <v>Ancient</v>
      </c>
      <c r="J73" s="11" t="n">
        <f aca="false">IFERROR(IF(INDEX(Matches!$Z$5:$Z$17,MATCH($C73,Matches!$A$5:$A$17,0))="","",INDEX(Matches!$Z$5:$Z$17,MATCH($C73,Matches!$A$5:$A$17,0))),"")</f>
        <v>21.2</v>
      </c>
      <c r="K73" s="11" t="n">
        <f aca="false">IFERROR(IF(INDEX(Matches!$AA$5:$AA$17,MATCH($C73,Matches!$A$5:$A$17,0))="","",INDEX(Matches!$AA$5:$AA$17,MATCH($C73,Matches!$A$5:$A$17,0))),"")</f>
        <v>21.17</v>
      </c>
      <c r="L73" s="11" t="n">
        <f aca="false">IFERROR(IF(INDEX(Matches!$AB$5:$AB$17,MATCH($C73,Matches!$A$5:$A$17,0))="","",INDEX(Matches!$AB$5:$AB$17,MATCH($C73,Matches!$A$5:$A$17,0))),"")</f>
        <v>21.5</v>
      </c>
      <c r="M73" s="10" t="n">
        <f aca="false">IFERROR(IF(INDEX(Matches!$AC$5:$AC$17,MATCH($C73,Matches!$A$5:$A$17,0))="","",INDEX(Matches!$AC$5:$AC$17,MATCH($C73,Matches!$A$5:$A$17,0))),"")</f>
        <v>0.4632</v>
      </c>
      <c r="N73" s="9" t="n">
        <f aca="false">IFERROR(INDEX(Players!$F$2:$F$105,MATCH($F73,Players!$A$2:$A$105,0)),0)</f>
        <v>26</v>
      </c>
      <c r="O73" s="13" t="n">
        <f aca="false">IFERROR(1/(1/INDEX(Players!$H$2:$H$105,MATCH($F73,Players!$A$2:$A$105,0))),"")</f>
        <v>0.71</v>
      </c>
      <c r="P73" s="10" t="n">
        <f aca="false">IFERROR(1/(1/INDEX(Players!$I$2:$I$105,MATCH($F73,Players!$A$2:$A$105,0))),"")</f>
        <v>0.554</v>
      </c>
      <c r="Q73" s="9" t="n">
        <f aca="false">IF($G73="",0,SUMIFS(Map_Stats!$F$2:$F$642,Map_Stats!$A$2:$A$642,$F73&amp;"|"&amp;$G73))</f>
        <v>7</v>
      </c>
      <c r="R73" s="13" t="n">
        <f aca="false">IF($G73="","",IFERROR(1/(1/INDEX(Map_Stats!$K$2:$K$642,MATCH($F73&amp;"|"&amp;$G73,Map_Stats!$A$2:$A$642,0))),$O73))</f>
        <v>0.71</v>
      </c>
      <c r="S73" s="10" t="n">
        <f aca="false">IF(OR($G73="",$P73=""),"",IFERROR(1/(1/INDEX(Map_Stats!$I$2:$I$642,MATCH($F73&amp;"|"&amp;$G73,Map_Stats!$A$2:$A$642,0))),$P73))</f>
        <v>0.598</v>
      </c>
      <c r="T73" s="13" t="n">
        <f aca="false">IF(OR($G73="",R73=""),"",IF($O73="",R73,(Q73*R73+Config!$B$4*$O73)/(Q73+Config!$B$4)))</f>
        <v>0.71</v>
      </c>
      <c r="U73" s="10" t="n">
        <f aca="false">IF(S73="","",(Q73*S73+Config!$B$4*$P73)/(Q73+Config!$B$4))</f>
        <v>0.579666666666667</v>
      </c>
      <c r="V73" s="17" t="n">
        <f aca="false">IF(OR(T73="",$J73=""),"",T73*$J73*($J73/Config!$B$10)^Config!$B$9)</f>
        <v>15.052</v>
      </c>
      <c r="W73" s="17" t="n">
        <f aca="false">IF(OR(V73="",U73=""),"",V73*U73)</f>
        <v>8.72514266666667</v>
      </c>
      <c r="X73" s="9" t="n">
        <f aca="false">IF($H73="",0,SUMIFS(Map_Stats!$F$2:$F$642,Map_Stats!$A$2:$A$642,$F73&amp;"|"&amp;$H73))</f>
        <v>2</v>
      </c>
      <c r="Y73" s="13" t="n">
        <f aca="false">IF($H73="","",IFERROR(1/(1/INDEX(Map_Stats!$K$2:$K$642,MATCH($F73&amp;"|"&amp;$H73,Map_Stats!$A$2:$A$642,0))),$O73))</f>
        <v>0.84</v>
      </c>
      <c r="Z73" s="10" t="n">
        <f aca="false">IF(OR($H73="",$P73=""),"",IFERROR(1/(1/INDEX(Map_Stats!$I$2:$I$642,MATCH($F73&amp;"|"&amp;$H73,Map_Stats!$A$2:$A$642,0))),$P73))</f>
        <v>0.632</v>
      </c>
      <c r="AA73" s="13" t="n">
        <f aca="false">IF(OR($H73="",Y73=""),"",IF($O73="",Y73,(X73*Y73+Config!$B$4*$O73)/(X73+Config!$B$4)))</f>
        <v>0.747142857142857</v>
      </c>
      <c r="AB73" s="10" t="n">
        <f aca="false">IF(Z73="","",(X73*Z73+Config!$B$4*$P73)/(X73+Config!$B$4))</f>
        <v>0.576285714285714</v>
      </c>
      <c r="AC73" s="17" t="n">
        <f aca="false">IF(OR(AA73="",$K73=""),"",AA73*$K73*($K73/Config!$B$10)^Config!$B$9)</f>
        <v>15.8170142857143</v>
      </c>
      <c r="AD73" s="17" t="n">
        <f aca="false">IF(OR(AC73="",AB73=""),"",AC73*AB73)</f>
        <v>9.1151193755102</v>
      </c>
      <c r="AE73" s="9" t="n">
        <f aca="false">IF($I73="",0,SUMIFS(Map_Stats!$F$2:$F$642,Map_Stats!$A$2:$A$642,$F73&amp;"|"&amp;$I73))</f>
        <v>1</v>
      </c>
      <c r="AF73" s="13" t="n">
        <f aca="false">IF($I73="","",IFERROR(1/(1/INDEX(Map_Stats!$K$2:$K$642,MATCH($F73&amp;"|"&amp;$I73,Map_Stats!$A$2:$A$642,0))),$O73))</f>
        <v>0.57</v>
      </c>
      <c r="AG73" s="10" t="n">
        <f aca="false">IF(OR($I73="",$P73=""),"",IFERROR(1/(1/INDEX(Map_Stats!$I$2:$I$642,MATCH($F73&amp;"|"&amp;$I73,Map_Stats!$A$2:$A$642,0))),$P73))</f>
        <v>0.385</v>
      </c>
      <c r="AH73" s="13" t="n">
        <f aca="false">IF(OR($I73="",AF73=""),"",IF($O73="",AF73,(AE73*AF73+Config!$B$4*$O73)/(AE73+Config!$B$4)))</f>
        <v>0.686666666666667</v>
      </c>
      <c r="AI73" s="10" t="n">
        <f aca="false">IF(AG73="","",(AE73*AG73+Config!$B$4*$P73)/(AE73+Config!$B$4))</f>
        <v>0.525833333333333</v>
      </c>
      <c r="AJ73" s="17" t="n">
        <f aca="false">IF(OR(AH73="",$L73=""),"",AH73*$L73*($L73/Config!$B$10)^Config!$B$9)</f>
        <v>14.7633333333333</v>
      </c>
      <c r="AK73" s="17" t="n">
        <f aca="false">IF(OR(AJ73="",AI73=""),"",AJ73*AI73)</f>
        <v>7.76305277777778</v>
      </c>
      <c r="AL73" s="17" t="n">
        <f aca="false">N(V73)+N(AC73)</f>
        <v>30.8690142857143</v>
      </c>
      <c r="AM73" s="17" t="n">
        <f aca="false">AL73+N($M73)*N(AJ73)</f>
        <v>37.7073902857143</v>
      </c>
      <c r="AN73" s="17" t="n">
        <f aca="false">IF(W73="","",N(W73)+N(AD73))</f>
        <v>17.8402620421769</v>
      </c>
      <c r="AO73" s="17" t="n">
        <f aca="false">IF(AN73="","",AN73+N($M73)*N(AK73))</f>
        <v>21.4361080888435</v>
      </c>
      <c r="AP73" s="10" t="n">
        <f aca="false">IFERROR(AN73/AL73,"")</f>
        <v>0.577934296089042</v>
      </c>
      <c r="AQ73" s="0" t="str">
        <f aca="false">TRIM(IF($N73&lt;Config!$B$12,"thin sample ("&amp;$N73&amp;" maps) · ","")&amp;IF(AND($G73&lt;&gt;"",Q73=0),"M1 unplayed→overall KPR · ","")&amp;IF(AND($H73&lt;&gt;"",X73=0),"M2 unplayed→overall KPR · ","")&amp;IF($O73="","no PickFinder stats",""))</f>
        <v/>
      </c>
      <c r="AR73" s="0" t="str">
        <f aca="false">IF($C73=Board!$B$2,COUNTIFS($C$2:$C$105,Board!$B$2,$AL$2:$AL$105,"&gt;"&amp;$AL73)+COUNTIFS($C$1:$C72,Board!$B$2,$AL$1:$AL72,$AL73)+1,"")</f>
        <v/>
      </c>
      <c r="AS73" s="0" t="str">
        <f aca="false">IFERROR(IF($D73=INDEX(Matches!$AD$5:$AD$17,MATCH($C73,Matches!$A$5:$A$17,0)),"A",IF($D73=INDEX(Matches!$AE$5:$AE$17,MATCH($C73,Matches!$A$5:$A$17,0)),"B","")),"")</f>
        <v>A</v>
      </c>
      <c r="AT73" s="10" t="n">
        <f aca="false">IF($AS73="","",IFERROR(IF($AS73="A",INDEX(Matches!$AI$5:$AI$17,MATCH($C73,Matches!$A$5:$A$17,0)),INDEX(Matches!$AJ$5:$AJ$17,MATCH($C73,Matches!$A$5:$A$17,0))),""))</f>
        <v>0.495030037569649</v>
      </c>
      <c r="AU73" s="10" t="n">
        <f aca="false">IF($AS73="","",IFERROR(IF(INDEX(Matches!$AP$5:$AP$17,MATCH($C73,Matches!$A$5:$A$17,0))="","",IF($AS73="A",INDEX(Matches!$AP$5:$AP$17,MATCH($C73,Matches!$A$5:$A$17,0)),1-INDEX(Matches!$AP$5:$AP$17,MATCH($C73,Matches!$A$5:$A$17,0)))),""))</f>
        <v>0.539579189766524</v>
      </c>
      <c r="AV73" s="13" t="n">
        <f aca="false">IF(OR($AU73="",$AT73=""),1,((Config!$B$14*$AU73+Config!$B$15*(1-$AU73))/(Config!$B$14*$AT73+Config!$B$15*(1-$AT73)))^Config!$B$13)</f>
        <v>1.03998747477994</v>
      </c>
      <c r="AW73" s="10" t="n">
        <f aca="false">IF($AS73="","",IFERROR(IF(INDEX(Matches!$AV$5:$AV$17,MATCH($C73,Matches!$A$5:$A$17,0))="","",IF($AS73="A",INDEX(Matches!$AV$5:$AV$17,MATCH($C73,Matches!$A$5:$A$17,0)),1-INDEX(Matches!$AV$5:$AV$17,MATCH($C73,Matches!$A$5:$A$17,0)))),""))</f>
        <v>0.493955192875772</v>
      </c>
      <c r="AX73" s="13" t="n">
        <f aca="false">IF(OR($AW73="",$AT73=""),1,((Config!$B$14*$AW73+Config!$B$15*(1-$AW73))/(Config!$B$14*$AT73+Config!$B$15*(1-$AT73)))^Config!$B$13)</f>
        <v>0.999035215644536</v>
      </c>
      <c r="AY73" s="10" t="n">
        <f aca="false">IF($AS73="","",IFERROR(IF(INDEX(Matches!$BB$5:$BB$17,MATCH($C73,Matches!$A$5:$A$17,0))="","",IF($AS73="A",INDEX(Matches!$BB$5:$BB$17,MATCH($C73,Matches!$A$5:$A$17,0)),1-INDEX(Matches!$BB$5:$BB$17,MATCH($C73,Matches!$A$5:$A$17,0)))),""))</f>
        <v>0.481593268108464</v>
      </c>
      <c r="AZ73" s="13" t="n">
        <f aca="false">IF(OR($AY73="",$AT73=""),1,((Config!$B$14*$AY73+Config!$B$15*(1-$AY73))/(Config!$B$14*$AT73+Config!$B$15*(1-$AT73)))^Config!$B$13)</f>
        <v>0.9879391087494</v>
      </c>
      <c r="BA73" s="17" t="n">
        <f aca="false">IF(V73="","",V73*$AV73)</f>
        <v>15.6538914703876</v>
      </c>
      <c r="BB73" s="17" t="n">
        <f aca="false">IF(AC73="","",AC73*$AX73)</f>
        <v>15.8017542777813</v>
      </c>
      <c r="BC73" s="17" t="n">
        <f aca="false">IF(AJ73="","",AJ73*$AZ73)</f>
        <v>14.5852743755036</v>
      </c>
      <c r="BD73" s="17" t="n">
        <f aca="false">N(BA73)+N(BB73)</f>
        <v>31.4556457481689</v>
      </c>
      <c r="BE73" s="17" t="n">
        <f aca="false">BD73+N($M73)*N(BC73)</f>
        <v>38.2115448389022</v>
      </c>
      <c r="BF73" s="17" t="n">
        <f aca="false">IF(W73="","",W73*$AV73)</f>
        <v>9.07403908900136</v>
      </c>
      <c r="BG73" s="17" t="n">
        <f aca="false">IF(AD73="","",AD73*$AX73)</f>
        <v>9.10632525093852</v>
      </c>
      <c r="BH73" s="17" t="n">
        <f aca="false">IF(AK73="","",AK73*$AZ73)</f>
        <v>7.66942344245233</v>
      </c>
      <c r="BI73" s="17" t="n">
        <f aca="false">IF(BF73="","",N(BF73)+N(BG73))</f>
        <v>18.1803643399399</v>
      </c>
      <c r="BJ73" s="17" t="n">
        <f aca="false">IF(BI73="","",BI73+N($M73)*N(BH73))</f>
        <v>21.7328412784838</v>
      </c>
      <c r="BK73" s="13" t="n">
        <f aca="false">IFERROR(BD73/AL73,1)</f>
        <v>1.0190038935816</v>
      </c>
    </row>
    <row r="74" customFormat="false" ht="15" hidden="false" customHeight="false" outlineLevel="0" collapsed="false">
      <c r="A74" s="0" t="s">
        <v>1050</v>
      </c>
      <c r="B74" s="0" t="s">
        <v>775</v>
      </c>
      <c r="C74" s="0" t="s">
        <v>826</v>
      </c>
      <c r="D74" s="0" t="s">
        <v>828</v>
      </c>
      <c r="E74" s="0" t="s">
        <v>1049</v>
      </c>
      <c r="F74" s="0" t="s">
        <v>1239</v>
      </c>
      <c r="G74" s="0" t="str">
        <f aca="false">IFERROR(IF(INDEX(Matches!$W$5:$W$17,MATCH($C74,Matches!$A$5:$A$17,0))="","",INDEX(Matches!$W$5:$W$17,MATCH($C74,Matches!$A$5:$A$17,0))),"")</f>
        <v>Mirage</v>
      </c>
      <c r="H74" s="0" t="str">
        <f aca="false">IFERROR(IF(INDEX(Matches!$X$5:$X$17,MATCH($C74,Matches!$A$5:$A$17,0))="","",INDEX(Matches!$X$5:$X$17,MATCH($C74,Matches!$A$5:$A$17,0))),"")</f>
        <v>Inferno</v>
      </c>
      <c r="I74" s="0" t="str">
        <f aca="false">IFERROR(IF(INDEX(Matches!$Y$5:$Y$17,MATCH($C74,Matches!$A$5:$A$17,0))="","",INDEX(Matches!$Y$5:$Y$17,MATCH($C74,Matches!$A$5:$A$17,0))),"")</f>
        <v>Ancient</v>
      </c>
      <c r="J74" s="11" t="n">
        <f aca="false">IFERROR(IF(INDEX(Matches!$Z$5:$Z$17,MATCH($C74,Matches!$A$5:$A$17,0))="","",INDEX(Matches!$Z$5:$Z$17,MATCH($C74,Matches!$A$5:$A$17,0))),"")</f>
        <v>21.2</v>
      </c>
      <c r="K74" s="11" t="n">
        <f aca="false">IFERROR(IF(INDEX(Matches!$AA$5:$AA$17,MATCH($C74,Matches!$A$5:$A$17,0))="","",INDEX(Matches!$AA$5:$AA$17,MATCH($C74,Matches!$A$5:$A$17,0))),"")</f>
        <v>21.17</v>
      </c>
      <c r="L74" s="11" t="n">
        <f aca="false">IFERROR(IF(INDEX(Matches!$AB$5:$AB$17,MATCH($C74,Matches!$A$5:$A$17,0))="","",INDEX(Matches!$AB$5:$AB$17,MATCH($C74,Matches!$A$5:$A$17,0))),"")</f>
        <v>21.5</v>
      </c>
      <c r="M74" s="10" t="n">
        <f aca="false">IFERROR(IF(INDEX(Matches!$AC$5:$AC$17,MATCH($C74,Matches!$A$5:$A$17,0))="","",INDEX(Matches!$AC$5:$AC$17,MATCH($C74,Matches!$A$5:$A$17,0))),"")</f>
        <v>0.4632</v>
      </c>
      <c r="N74" s="9" t="n">
        <f aca="false">IFERROR(INDEX(Players!$F$2:$F$105,MATCH($F74,Players!$A$2:$A$105,0)),0)</f>
        <v>26</v>
      </c>
      <c r="O74" s="13" t="n">
        <f aca="false">IFERROR(1/(1/INDEX(Players!$H$2:$H$105,MATCH($F74,Players!$A$2:$A$105,0))),"")</f>
        <v>0.72</v>
      </c>
      <c r="P74" s="10" t="n">
        <f aca="false">IFERROR(1/(1/INDEX(Players!$I$2:$I$105,MATCH($F74,Players!$A$2:$A$105,0))),"")</f>
        <v>0.534</v>
      </c>
      <c r="Q74" s="9" t="n">
        <f aca="false">IF($G74="",0,SUMIFS(Map_Stats!$F$2:$F$642,Map_Stats!$A$2:$A$642,$F74&amp;"|"&amp;$G74))</f>
        <v>7</v>
      </c>
      <c r="R74" s="13" t="n">
        <f aca="false">IF($G74="","",IFERROR(1/(1/INDEX(Map_Stats!$K$2:$K$642,MATCH($F74&amp;"|"&amp;$G74,Map_Stats!$A$2:$A$642,0))),$O74))</f>
        <v>0.78</v>
      </c>
      <c r="S74" s="10" t="n">
        <f aca="false">IF(OR($G74="",$P74=""),"",IFERROR(1/(1/INDEX(Map_Stats!$I$2:$I$642,MATCH($F74&amp;"|"&amp;$G74,Map_Stats!$A$2:$A$642,0))),$P74))</f>
        <v>0.487</v>
      </c>
      <c r="T74" s="13" t="n">
        <f aca="false">IF(OR($G74="",R74=""),"",IF($O74="",R74,(Q74*R74+Config!$B$4*$O74)/(Q74+Config!$B$4)))</f>
        <v>0.755</v>
      </c>
      <c r="U74" s="10" t="n">
        <f aca="false">IF(S74="","",(Q74*S74+Config!$B$4*$P74)/(Q74+Config!$B$4))</f>
        <v>0.506583333333333</v>
      </c>
      <c r="V74" s="17" t="n">
        <f aca="false">IF(OR(T74="",$J74=""),"",T74*$J74*($J74/Config!$B$10)^Config!$B$9)</f>
        <v>16.006</v>
      </c>
      <c r="W74" s="17" t="n">
        <f aca="false">IF(OR(V74="",U74=""),"",V74*U74)</f>
        <v>8.10837283333333</v>
      </c>
      <c r="X74" s="9" t="n">
        <f aca="false">IF($H74="",0,SUMIFS(Map_Stats!$F$2:$F$642,Map_Stats!$A$2:$A$642,$F74&amp;"|"&amp;$H74))</f>
        <v>2</v>
      </c>
      <c r="Y74" s="13" t="n">
        <f aca="false">IF($H74="","",IFERROR(1/(1/INDEX(Map_Stats!$K$2:$K$642,MATCH($F74&amp;"|"&amp;$H74,Map_Stats!$A$2:$A$642,0))),$O74))</f>
        <v>0.89</v>
      </c>
      <c r="Z74" s="10" t="n">
        <f aca="false">IF(OR($H74="",$P74=""),"",IFERROR(1/(1/INDEX(Map_Stats!$I$2:$I$642,MATCH($F74&amp;"|"&amp;$H74,Map_Stats!$A$2:$A$642,0))),$P74))</f>
        <v>0.475</v>
      </c>
      <c r="AA74" s="13" t="n">
        <f aca="false">IF(OR($H74="",Y74=""),"",IF($O74="",Y74,(X74*Y74+Config!$B$4*$O74)/(X74+Config!$B$4)))</f>
        <v>0.768571428571429</v>
      </c>
      <c r="AB74" s="10" t="n">
        <f aca="false">IF(Z74="","",(X74*Z74+Config!$B$4*$P74)/(X74+Config!$B$4))</f>
        <v>0.517142857142857</v>
      </c>
      <c r="AC74" s="17" t="n">
        <f aca="false">IF(OR(AA74="",$K74=""),"",AA74*$K74*($K74/Config!$B$10)^Config!$B$9)</f>
        <v>16.2706571428571</v>
      </c>
      <c r="AD74" s="17" t="n">
        <f aca="false">IF(OR(AC74="",AB74=""),"",AC74*AB74)</f>
        <v>8.41425412244898</v>
      </c>
      <c r="AE74" s="9" t="n">
        <f aca="false">IF($I74="",0,SUMIFS(Map_Stats!$F$2:$F$642,Map_Stats!$A$2:$A$642,$F74&amp;"|"&amp;$I74))</f>
        <v>1</v>
      </c>
      <c r="AF74" s="13" t="n">
        <f aca="false">IF($I74="","",IFERROR(1/(1/INDEX(Map_Stats!$K$2:$K$642,MATCH($F74&amp;"|"&amp;$I74,Map_Stats!$A$2:$A$642,0))),$O74))</f>
        <v>0.7</v>
      </c>
      <c r="AG74" s="10" t="n">
        <f aca="false">IF(OR($I74="",$P74=""),"",IFERROR(1/(1/INDEX(Map_Stats!$I$2:$I$642,MATCH($F74&amp;"|"&amp;$I74,Map_Stats!$A$2:$A$642,0))),$P74))</f>
        <v>0.563</v>
      </c>
      <c r="AH74" s="13" t="n">
        <f aca="false">IF(OR($I74="",AF74=""),"",IF($O74="",AF74,(AE74*AF74+Config!$B$4*$O74)/(AE74+Config!$B$4)))</f>
        <v>0.716666666666667</v>
      </c>
      <c r="AI74" s="10" t="n">
        <f aca="false">IF(AG74="","",(AE74*AG74+Config!$B$4*$P74)/(AE74+Config!$B$4))</f>
        <v>0.538833333333333</v>
      </c>
      <c r="AJ74" s="17" t="n">
        <f aca="false">IF(OR(AH74="",$L74=""),"",AH74*$L74*($L74/Config!$B$10)^Config!$B$9)</f>
        <v>15.4083333333333</v>
      </c>
      <c r="AK74" s="17" t="n">
        <f aca="false">IF(OR(AJ74="",AI74=""),"",AJ74*AI74)</f>
        <v>8.30252361111111</v>
      </c>
      <c r="AL74" s="17" t="n">
        <f aca="false">N(V74)+N(AC74)</f>
        <v>32.2766571428571</v>
      </c>
      <c r="AM74" s="17" t="n">
        <f aca="false">AL74+N($M74)*N(AJ74)</f>
        <v>39.4137971428571</v>
      </c>
      <c r="AN74" s="17" t="n">
        <f aca="false">IF(W74="","",N(W74)+N(AD74))</f>
        <v>16.5226269557823</v>
      </c>
      <c r="AO74" s="17" t="n">
        <f aca="false">IF(AN74="","",AN74+N($M74)*N(AK74))</f>
        <v>20.368355892449</v>
      </c>
      <c r="AP74" s="10" t="n">
        <f aca="false">IFERROR(AN74/AL74,"")</f>
        <v>0.511906387413443</v>
      </c>
      <c r="AQ74" s="0" t="str">
        <f aca="false">TRIM(IF($N74&lt;Config!$B$12,"thin sample ("&amp;$N74&amp;" maps) · ","")&amp;IF(AND($G74&lt;&gt;"",Q74=0),"M1 unplayed→overall KPR · ","")&amp;IF(AND($H74&lt;&gt;"",X74=0),"M2 unplayed→overall KPR · ","")&amp;IF($O74="","no PickFinder stats",""))</f>
        <v/>
      </c>
      <c r="AR74" s="0" t="str">
        <f aca="false">IF($C74=Board!$B$2,COUNTIFS($C$2:$C$105,Board!$B$2,$AL$2:$AL$105,"&gt;"&amp;$AL74)+COUNTIFS($C$1:$C73,Board!$B$2,$AL$1:$AL73,$AL74)+1,"")</f>
        <v/>
      </c>
      <c r="AS74" s="0" t="str">
        <f aca="false">IFERROR(IF($D74=INDEX(Matches!$AD$5:$AD$17,MATCH($C74,Matches!$A$5:$A$17,0)),"A",IF($D74=INDEX(Matches!$AE$5:$AE$17,MATCH($C74,Matches!$A$5:$A$17,0)),"B","")),"")</f>
        <v>A</v>
      </c>
      <c r="AT74" s="10" t="n">
        <f aca="false">IF($AS74="","",IFERROR(IF($AS74="A",INDEX(Matches!$AI$5:$AI$17,MATCH($C74,Matches!$A$5:$A$17,0)),INDEX(Matches!$AJ$5:$AJ$17,MATCH($C74,Matches!$A$5:$A$17,0))),""))</f>
        <v>0.495030037569649</v>
      </c>
      <c r="AU74" s="10" t="n">
        <f aca="false">IF($AS74="","",IFERROR(IF(INDEX(Matches!$AP$5:$AP$17,MATCH($C74,Matches!$A$5:$A$17,0))="","",IF($AS74="A",INDEX(Matches!$AP$5:$AP$17,MATCH($C74,Matches!$A$5:$A$17,0)),1-INDEX(Matches!$AP$5:$AP$17,MATCH($C74,Matches!$A$5:$A$17,0)))),""))</f>
        <v>0.539579189766524</v>
      </c>
      <c r="AV74" s="13" t="n">
        <f aca="false">IF(OR($AU74="",$AT74=""),1,((Config!$B$14*$AU74+Config!$B$15*(1-$AU74))/(Config!$B$14*$AT74+Config!$B$15*(1-$AT74)))^Config!$B$13)</f>
        <v>1.03998747477994</v>
      </c>
      <c r="AW74" s="10" t="n">
        <f aca="false">IF($AS74="","",IFERROR(IF(INDEX(Matches!$AV$5:$AV$17,MATCH($C74,Matches!$A$5:$A$17,0))="","",IF($AS74="A",INDEX(Matches!$AV$5:$AV$17,MATCH($C74,Matches!$A$5:$A$17,0)),1-INDEX(Matches!$AV$5:$AV$17,MATCH($C74,Matches!$A$5:$A$17,0)))),""))</f>
        <v>0.493955192875772</v>
      </c>
      <c r="AX74" s="13" t="n">
        <f aca="false">IF(OR($AW74="",$AT74=""),1,((Config!$B$14*$AW74+Config!$B$15*(1-$AW74))/(Config!$B$14*$AT74+Config!$B$15*(1-$AT74)))^Config!$B$13)</f>
        <v>0.999035215644536</v>
      </c>
      <c r="AY74" s="10" t="n">
        <f aca="false">IF($AS74="","",IFERROR(IF(INDEX(Matches!$BB$5:$BB$17,MATCH($C74,Matches!$A$5:$A$17,0))="","",IF($AS74="A",INDEX(Matches!$BB$5:$BB$17,MATCH($C74,Matches!$A$5:$A$17,0)),1-INDEX(Matches!$BB$5:$BB$17,MATCH($C74,Matches!$A$5:$A$17,0)))),""))</f>
        <v>0.481593268108464</v>
      </c>
      <c r="AZ74" s="13" t="n">
        <f aca="false">IF(OR($AY74="",$AT74=""),1,((Config!$B$14*$AY74+Config!$B$15*(1-$AY74))/(Config!$B$14*$AT74+Config!$B$15*(1-$AT74)))^Config!$B$13)</f>
        <v>0.9879391087494</v>
      </c>
      <c r="BA74" s="17" t="n">
        <f aca="false">IF(V74="","",V74*$AV74)</f>
        <v>16.6460395213277</v>
      </c>
      <c r="BB74" s="17" t="n">
        <f aca="false">IF(AC74="","",AC74*$AX74)</f>
        <v>16.2549594673926</v>
      </c>
      <c r="BC74" s="17" t="n">
        <f aca="false">IF(AJ74="","",AJ74*$AZ74)</f>
        <v>15.222495100647</v>
      </c>
      <c r="BD74" s="17" t="n">
        <f aca="false">N(BA74)+N(BB74)</f>
        <v>32.9009989887203</v>
      </c>
      <c r="BE74" s="17" t="n">
        <f aca="false">BD74+N($M74)*N(BC74)</f>
        <v>39.95205871934</v>
      </c>
      <c r="BF74" s="17" t="n">
        <f aca="false">IF(W74="","",W74*$AV74)</f>
        <v>8.43260618751258</v>
      </c>
      <c r="BG74" s="17" t="n">
        <f aca="false">IF(AD74="","",AD74*$AX74)</f>
        <v>8.40613618170874</v>
      </c>
      <c r="BH74" s="17" t="n">
        <f aca="false">IF(AK74="","",AK74*$AZ74)</f>
        <v>8.20238777673196</v>
      </c>
      <c r="BI74" s="17" t="n">
        <f aca="false">IF(BF74="","",N(BF74)+N(BG74))</f>
        <v>16.8387423692213</v>
      </c>
      <c r="BJ74" s="17" t="n">
        <f aca="false">IF(BI74="","",BI74+N($M74)*N(BH74))</f>
        <v>20.6380883874036</v>
      </c>
      <c r="BK74" s="13" t="n">
        <f aca="false">IFERROR(BD74/AL74,1)</f>
        <v>1.01934344821088</v>
      </c>
    </row>
    <row r="75" customFormat="false" ht="15" hidden="false" customHeight="false" outlineLevel="0" collapsed="false">
      <c r="A75" s="0" t="s">
        <v>1052</v>
      </c>
      <c r="B75" s="0" t="s">
        <v>775</v>
      </c>
      <c r="C75" s="0" t="s">
        <v>826</v>
      </c>
      <c r="D75" s="0" t="s">
        <v>828</v>
      </c>
      <c r="E75" s="0" t="s">
        <v>1051</v>
      </c>
      <c r="F75" s="0" t="s">
        <v>1240</v>
      </c>
      <c r="G75" s="0" t="str">
        <f aca="false">IFERROR(IF(INDEX(Matches!$W$5:$W$17,MATCH($C75,Matches!$A$5:$A$17,0))="","",INDEX(Matches!$W$5:$W$17,MATCH($C75,Matches!$A$5:$A$17,0))),"")</f>
        <v>Mirage</v>
      </c>
      <c r="H75" s="0" t="str">
        <f aca="false">IFERROR(IF(INDEX(Matches!$X$5:$X$17,MATCH($C75,Matches!$A$5:$A$17,0))="","",INDEX(Matches!$X$5:$X$17,MATCH($C75,Matches!$A$5:$A$17,0))),"")</f>
        <v>Inferno</v>
      </c>
      <c r="I75" s="0" t="str">
        <f aca="false">IFERROR(IF(INDEX(Matches!$Y$5:$Y$17,MATCH($C75,Matches!$A$5:$A$17,0))="","",INDEX(Matches!$Y$5:$Y$17,MATCH($C75,Matches!$A$5:$A$17,0))),"")</f>
        <v>Ancient</v>
      </c>
      <c r="J75" s="11" t="n">
        <f aca="false">IFERROR(IF(INDEX(Matches!$Z$5:$Z$17,MATCH($C75,Matches!$A$5:$A$17,0))="","",INDEX(Matches!$Z$5:$Z$17,MATCH($C75,Matches!$A$5:$A$17,0))),"")</f>
        <v>21.2</v>
      </c>
      <c r="K75" s="11" t="n">
        <f aca="false">IFERROR(IF(INDEX(Matches!$AA$5:$AA$17,MATCH($C75,Matches!$A$5:$A$17,0))="","",INDEX(Matches!$AA$5:$AA$17,MATCH($C75,Matches!$A$5:$A$17,0))),"")</f>
        <v>21.17</v>
      </c>
      <c r="L75" s="11" t="n">
        <f aca="false">IFERROR(IF(INDEX(Matches!$AB$5:$AB$17,MATCH($C75,Matches!$A$5:$A$17,0))="","",INDEX(Matches!$AB$5:$AB$17,MATCH($C75,Matches!$A$5:$A$17,0))),"")</f>
        <v>21.5</v>
      </c>
      <c r="M75" s="10" t="n">
        <f aca="false">IFERROR(IF(INDEX(Matches!$AC$5:$AC$17,MATCH($C75,Matches!$A$5:$A$17,0))="","",INDEX(Matches!$AC$5:$AC$17,MATCH($C75,Matches!$A$5:$A$17,0))),"")</f>
        <v>0.4632</v>
      </c>
      <c r="N75" s="9" t="n">
        <f aca="false">IFERROR(INDEX(Players!$F$2:$F$105,MATCH($F75,Players!$A$2:$A$105,0)),0)</f>
        <v>26</v>
      </c>
      <c r="O75" s="13" t="n">
        <f aca="false">IFERROR(1/(1/INDEX(Players!$H$2:$H$105,MATCH($F75,Players!$A$2:$A$105,0))),"")</f>
        <v>0.78</v>
      </c>
      <c r="P75" s="10" t="n">
        <f aca="false">IFERROR(1/(1/INDEX(Players!$I$2:$I$105,MATCH($F75,Players!$A$2:$A$105,0))),"")</f>
        <v>0.331</v>
      </c>
      <c r="Q75" s="9" t="n">
        <f aca="false">IF($G75="",0,SUMIFS(Map_Stats!$F$2:$F$642,Map_Stats!$A$2:$A$642,$F75&amp;"|"&amp;$G75))</f>
        <v>7</v>
      </c>
      <c r="R75" s="13" t="n">
        <f aca="false">IF($G75="","",IFERROR(1/(1/INDEX(Map_Stats!$K$2:$K$642,MATCH($F75&amp;"|"&amp;$G75,Map_Stats!$A$2:$A$642,0))),$O75))</f>
        <v>0.86</v>
      </c>
      <c r="S75" s="10" t="n">
        <f aca="false">IF(OR($G75="",$P75=""),"",IFERROR(1/(1/INDEX(Map_Stats!$I$2:$I$642,MATCH($F75&amp;"|"&amp;$G75,Map_Stats!$A$2:$A$642,0))),$P75))</f>
        <v>0.331</v>
      </c>
      <c r="T75" s="13" t="n">
        <f aca="false">IF(OR($G75="",R75=""),"",IF($O75="",R75,(Q75*R75+Config!$B$4*$O75)/(Q75+Config!$B$4)))</f>
        <v>0.826666666666667</v>
      </c>
      <c r="U75" s="10" t="n">
        <f aca="false">IF(S75="","",(Q75*S75+Config!$B$4*$P75)/(Q75+Config!$B$4))</f>
        <v>0.331</v>
      </c>
      <c r="V75" s="17" t="n">
        <f aca="false">IF(OR(T75="",$J75=""),"",T75*$J75*($J75/Config!$B$10)^Config!$B$9)</f>
        <v>17.5253333333333</v>
      </c>
      <c r="W75" s="17" t="n">
        <f aca="false">IF(OR(V75="",U75=""),"",V75*U75)</f>
        <v>5.80088533333333</v>
      </c>
      <c r="X75" s="9" t="n">
        <f aca="false">IF($H75="",0,SUMIFS(Map_Stats!$F$2:$F$642,Map_Stats!$A$2:$A$642,$F75&amp;"|"&amp;$H75))</f>
        <v>2</v>
      </c>
      <c r="Y75" s="13" t="n">
        <f aca="false">IF($H75="","",IFERROR(1/(1/INDEX(Map_Stats!$K$2:$K$642,MATCH($F75&amp;"|"&amp;$H75,Map_Stats!$A$2:$A$642,0))),$O75))</f>
        <v>0.84</v>
      </c>
      <c r="Z75" s="10" t="n">
        <f aca="false">IF(OR($H75="",$P75=""),"",IFERROR(1/(1/INDEX(Map_Stats!$I$2:$I$642,MATCH($F75&amp;"|"&amp;$H75,Map_Stats!$A$2:$A$642,0))),$P75))</f>
        <v>0.316</v>
      </c>
      <c r="AA75" s="13" t="n">
        <f aca="false">IF(OR($H75="",Y75=""),"",IF($O75="",Y75,(X75*Y75+Config!$B$4*$O75)/(X75+Config!$B$4)))</f>
        <v>0.797142857142857</v>
      </c>
      <c r="AB75" s="10" t="n">
        <f aca="false">IF(Z75="","",(X75*Z75+Config!$B$4*$P75)/(X75+Config!$B$4))</f>
        <v>0.326714285714286</v>
      </c>
      <c r="AC75" s="17" t="n">
        <f aca="false">IF(OR(AA75="",$K75=""),"",AA75*$K75*($K75/Config!$B$10)^Config!$B$9)</f>
        <v>16.8755142857143</v>
      </c>
      <c r="AD75" s="17" t="n">
        <f aca="false">IF(OR(AC75="",AB75=""),"",AC75*AB75)</f>
        <v>5.51347159591837</v>
      </c>
      <c r="AE75" s="9" t="n">
        <f aca="false">IF($I75="",0,SUMIFS(Map_Stats!$F$2:$F$642,Map_Stats!$A$2:$A$642,$F75&amp;"|"&amp;$I75))</f>
        <v>1</v>
      </c>
      <c r="AF75" s="13" t="n">
        <f aca="false">IF($I75="","",IFERROR(1/(1/INDEX(Map_Stats!$K$2:$K$642,MATCH($F75&amp;"|"&amp;$I75,Map_Stats!$A$2:$A$642,0))),$O75))</f>
        <v>0.78</v>
      </c>
      <c r="AG75" s="10" t="n">
        <f aca="false">IF(OR($I75="",$P75=""),"",IFERROR(1/(1/INDEX(Map_Stats!$I$2:$I$642,MATCH($F75&amp;"|"&amp;$I75,Map_Stats!$A$2:$A$642,0))),$P75))</f>
        <v>0.167</v>
      </c>
      <c r="AH75" s="13" t="n">
        <f aca="false">IF(OR($I75="",AF75=""),"",IF($O75="",AF75,(AE75*AF75+Config!$B$4*$O75)/(AE75+Config!$B$4)))</f>
        <v>0.78</v>
      </c>
      <c r="AI75" s="10" t="n">
        <f aca="false">IF(AG75="","",(AE75*AG75+Config!$B$4*$P75)/(AE75+Config!$B$4))</f>
        <v>0.303666666666667</v>
      </c>
      <c r="AJ75" s="17" t="n">
        <f aca="false">IF(OR(AH75="",$L75=""),"",AH75*$L75*($L75/Config!$B$10)^Config!$B$9)</f>
        <v>16.77</v>
      </c>
      <c r="AK75" s="17" t="n">
        <f aca="false">IF(OR(AJ75="",AI75=""),"",AJ75*AI75)</f>
        <v>5.09249</v>
      </c>
      <c r="AL75" s="17" t="n">
        <f aca="false">N(V75)+N(AC75)</f>
        <v>34.4008476190476</v>
      </c>
      <c r="AM75" s="17" t="n">
        <f aca="false">AL75+N($M75)*N(AJ75)</f>
        <v>42.1687116190476</v>
      </c>
      <c r="AN75" s="17" t="n">
        <f aca="false">IF(W75="","",N(W75)+N(AD75))</f>
        <v>11.3143569292517</v>
      </c>
      <c r="AO75" s="17" t="n">
        <f aca="false">IF(AN75="","",AN75+N($M75)*N(AK75))</f>
        <v>13.6731982972517</v>
      </c>
      <c r="AP75" s="10" t="n">
        <f aca="false">IFERROR(AN75/AL75,"")</f>
        <v>0.328897620621039</v>
      </c>
      <c r="AQ75" s="0" t="str">
        <f aca="false">TRIM(IF($N75&lt;Config!$B$12,"thin sample ("&amp;$N75&amp;" maps) · ","")&amp;IF(AND($G75&lt;&gt;"",Q75=0),"M1 unplayed→overall KPR · ","")&amp;IF(AND($H75&lt;&gt;"",X75=0),"M2 unplayed→overall KPR · ","")&amp;IF($O75="","no PickFinder stats",""))</f>
        <v/>
      </c>
      <c r="AR75" s="0" t="str">
        <f aca="false">IF($C75=Board!$B$2,COUNTIFS($C$2:$C$105,Board!$B$2,$AL$2:$AL$105,"&gt;"&amp;$AL75)+COUNTIFS($C$1:$C74,Board!$B$2,$AL$1:$AL74,$AL75)+1,"")</f>
        <v/>
      </c>
      <c r="AS75" s="0" t="str">
        <f aca="false">IFERROR(IF($D75=INDEX(Matches!$AD$5:$AD$17,MATCH($C75,Matches!$A$5:$A$17,0)),"A",IF($D75=INDEX(Matches!$AE$5:$AE$17,MATCH($C75,Matches!$A$5:$A$17,0)),"B","")),"")</f>
        <v>A</v>
      </c>
      <c r="AT75" s="10" t="n">
        <f aca="false">IF($AS75="","",IFERROR(IF($AS75="A",INDEX(Matches!$AI$5:$AI$17,MATCH($C75,Matches!$A$5:$A$17,0)),INDEX(Matches!$AJ$5:$AJ$17,MATCH($C75,Matches!$A$5:$A$17,0))),""))</f>
        <v>0.495030037569649</v>
      </c>
      <c r="AU75" s="10" t="n">
        <f aca="false">IF($AS75="","",IFERROR(IF(INDEX(Matches!$AP$5:$AP$17,MATCH($C75,Matches!$A$5:$A$17,0))="","",IF($AS75="A",INDEX(Matches!$AP$5:$AP$17,MATCH($C75,Matches!$A$5:$A$17,0)),1-INDEX(Matches!$AP$5:$AP$17,MATCH($C75,Matches!$A$5:$A$17,0)))),""))</f>
        <v>0.539579189766524</v>
      </c>
      <c r="AV75" s="13" t="n">
        <f aca="false">IF(OR($AU75="",$AT75=""),1,((Config!$B$14*$AU75+Config!$B$15*(1-$AU75))/(Config!$B$14*$AT75+Config!$B$15*(1-$AT75)))^Config!$B$13)</f>
        <v>1.03998747477994</v>
      </c>
      <c r="AW75" s="10" t="n">
        <f aca="false">IF($AS75="","",IFERROR(IF(INDEX(Matches!$AV$5:$AV$17,MATCH($C75,Matches!$A$5:$A$17,0))="","",IF($AS75="A",INDEX(Matches!$AV$5:$AV$17,MATCH($C75,Matches!$A$5:$A$17,0)),1-INDEX(Matches!$AV$5:$AV$17,MATCH($C75,Matches!$A$5:$A$17,0)))),""))</f>
        <v>0.493955192875772</v>
      </c>
      <c r="AX75" s="13" t="n">
        <f aca="false">IF(OR($AW75="",$AT75=""),1,((Config!$B$14*$AW75+Config!$B$15*(1-$AW75))/(Config!$B$14*$AT75+Config!$B$15*(1-$AT75)))^Config!$B$13)</f>
        <v>0.999035215644536</v>
      </c>
      <c r="AY75" s="10" t="n">
        <f aca="false">IF($AS75="","",IFERROR(IF(INDEX(Matches!$BB$5:$BB$17,MATCH($C75,Matches!$A$5:$A$17,0))="","",IF($AS75="A",INDEX(Matches!$BB$5:$BB$17,MATCH($C75,Matches!$A$5:$A$17,0)),1-INDEX(Matches!$BB$5:$BB$17,MATCH($C75,Matches!$A$5:$A$17,0)))),""))</f>
        <v>0.481593268108464</v>
      </c>
      <c r="AZ75" s="13" t="n">
        <f aca="false">IF(OR($AY75="",$AT75=""),1,((Config!$B$14*$AY75+Config!$B$15*(1-$AY75))/(Config!$B$14*$AT75+Config!$B$15*(1-$AT75)))^Config!$B$13)</f>
        <v>0.9879391087494</v>
      </c>
      <c r="BA75" s="17" t="n">
        <f aca="false">IF(V75="","",V75*$AV75)</f>
        <v>18.22612715801</v>
      </c>
      <c r="BB75" s="17" t="n">
        <f aca="false">IF(AC75="","",AC75*$AX75)</f>
        <v>16.859233053541</v>
      </c>
      <c r="BC75" s="17" t="n">
        <f aca="false">IF(AJ75="","",AJ75*$AZ75)</f>
        <v>16.5677388537274</v>
      </c>
      <c r="BD75" s="17" t="n">
        <f aca="false">N(BA75)+N(BB75)</f>
        <v>35.085360211551</v>
      </c>
      <c r="BE75" s="17" t="n">
        <f aca="false">BD75+N($M75)*N(BC75)</f>
        <v>42.7595368485976</v>
      </c>
      <c r="BF75" s="17" t="n">
        <f aca="false">IF(W75="","",W75*$AV75)</f>
        <v>6.03284808930131</v>
      </c>
      <c r="BG75" s="17" t="n">
        <f aca="false">IF(AD75="","",AD75*$AX75)</f>
        <v>5.50815228477833</v>
      </c>
      <c r="BH75" s="17" t="n">
        <f aca="false">IF(AK75="","",AK75*$AZ75)</f>
        <v>5.03107003191523</v>
      </c>
      <c r="BI75" s="17" t="n">
        <f aca="false">IF(BF75="","",N(BF75)+N(BG75))</f>
        <v>11.5410003740796</v>
      </c>
      <c r="BJ75" s="17" t="n">
        <f aca="false">IF(BI75="","",BI75+N($M75)*N(BH75))</f>
        <v>13.8713920128628</v>
      </c>
      <c r="BK75" s="13" t="n">
        <f aca="false">IFERROR(BD75/AL75,1)</f>
        <v>1.01989813158337</v>
      </c>
    </row>
    <row r="76" customFormat="false" ht="15" hidden="false" customHeight="false" outlineLevel="0" collapsed="false">
      <c r="A76" s="0" t="s">
        <v>1054</v>
      </c>
      <c r="B76" s="0" t="s">
        <v>775</v>
      </c>
      <c r="C76" s="0" t="s">
        <v>826</v>
      </c>
      <c r="D76" s="0" t="s">
        <v>828</v>
      </c>
      <c r="E76" s="0" t="s">
        <v>1053</v>
      </c>
      <c r="F76" s="0" t="s">
        <v>1241</v>
      </c>
      <c r="G76" s="0" t="str">
        <f aca="false">IFERROR(IF(INDEX(Matches!$W$5:$W$17,MATCH($C76,Matches!$A$5:$A$17,0))="","",INDEX(Matches!$W$5:$W$17,MATCH($C76,Matches!$A$5:$A$17,0))),"")</f>
        <v>Mirage</v>
      </c>
      <c r="H76" s="0" t="str">
        <f aca="false">IFERROR(IF(INDEX(Matches!$X$5:$X$17,MATCH($C76,Matches!$A$5:$A$17,0))="","",INDEX(Matches!$X$5:$X$17,MATCH($C76,Matches!$A$5:$A$17,0))),"")</f>
        <v>Inferno</v>
      </c>
      <c r="I76" s="0" t="str">
        <f aca="false">IFERROR(IF(INDEX(Matches!$Y$5:$Y$17,MATCH($C76,Matches!$A$5:$A$17,0))="","",INDEX(Matches!$Y$5:$Y$17,MATCH($C76,Matches!$A$5:$A$17,0))),"")</f>
        <v>Ancient</v>
      </c>
      <c r="J76" s="11" t="n">
        <f aca="false">IFERROR(IF(INDEX(Matches!$Z$5:$Z$17,MATCH($C76,Matches!$A$5:$A$17,0))="","",INDEX(Matches!$Z$5:$Z$17,MATCH($C76,Matches!$A$5:$A$17,0))),"")</f>
        <v>21.2</v>
      </c>
      <c r="K76" s="11" t="n">
        <f aca="false">IFERROR(IF(INDEX(Matches!$AA$5:$AA$17,MATCH($C76,Matches!$A$5:$A$17,0))="","",INDEX(Matches!$AA$5:$AA$17,MATCH($C76,Matches!$A$5:$A$17,0))),"")</f>
        <v>21.17</v>
      </c>
      <c r="L76" s="11" t="n">
        <f aca="false">IFERROR(IF(INDEX(Matches!$AB$5:$AB$17,MATCH($C76,Matches!$A$5:$A$17,0))="","",INDEX(Matches!$AB$5:$AB$17,MATCH($C76,Matches!$A$5:$A$17,0))),"")</f>
        <v>21.5</v>
      </c>
      <c r="M76" s="10" t="n">
        <f aca="false">IFERROR(IF(INDEX(Matches!$AC$5:$AC$17,MATCH($C76,Matches!$A$5:$A$17,0))="","",INDEX(Matches!$AC$5:$AC$17,MATCH($C76,Matches!$A$5:$A$17,0))),"")</f>
        <v>0.4632</v>
      </c>
      <c r="N76" s="9" t="n">
        <f aca="false">IFERROR(INDEX(Players!$F$2:$F$105,MATCH($F76,Players!$A$2:$A$105,0)),0)</f>
        <v>26</v>
      </c>
      <c r="O76" s="13" t="n">
        <f aca="false">IFERROR(1/(1/INDEX(Players!$H$2:$H$105,MATCH($F76,Players!$A$2:$A$105,0))),"")</f>
        <v>0.57</v>
      </c>
      <c r="P76" s="10" t="n">
        <f aca="false">IFERROR(1/(1/INDEX(Players!$I$2:$I$105,MATCH($F76,Players!$A$2:$A$105,0))),"")</f>
        <v>0.55</v>
      </c>
      <c r="Q76" s="9" t="n">
        <f aca="false">IF($G76="",0,SUMIFS(Map_Stats!$F$2:$F$642,Map_Stats!$A$2:$A$642,$F76&amp;"|"&amp;$G76))</f>
        <v>7</v>
      </c>
      <c r="R76" s="13" t="n">
        <f aca="false">IF($G76="","",IFERROR(1/(1/INDEX(Map_Stats!$K$2:$K$642,MATCH($F76&amp;"|"&amp;$G76,Map_Stats!$A$2:$A$642,0))),$O76))</f>
        <v>0.67</v>
      </c>
      <c r="S76" s="10" t="n">
        <f aca="false">IF(OR($G76="",$P76=""),"",IFERROR(1/(1/INDEX(Map_Stats!$I$2:$I$642,MATCH($F76&amp;"|"&amp;$G76,Map_Stats!$A$2:$A$642,0))),$P76))</f>
        <v>0.552</v>
      </c>
      <c r="T76" s="13" t="n">
        <f aca="false">IF(OR($G76="",R76=""),"",IF($O76="",R76,(Q76*R76+Config!$B$4*$O76)/(Q76+Config!$B$4)))</f>
        <v>0.628333333333333</v>
      </c>
      <c r="U76" s="10" t="n">
        <f aca="false">IF(S76="","",(Q76*S76+Config!$B$4*$P76)/(Q76+Config!$B$4))</f>
        <v>0.551166666666667</v>
      </c>
      <c r="V76" s="17" t="n">
        <f aca="false">IF(OR(T76="",$J76=""),"",T76*$J76*($J76/Config!$B$10)^Config!$B$9)</f>
        <v>13.3206666666667</v>
      </c>
      <c r="W76" s="17" t="n">
        <f aca="false">IF(OR(V76="",U76=""),"",V76*U76)</f>
        <v>7.34190744444445</v>
      </c>
      <c r="X76" s="9" t="n">
        <f aca="false">IF($H76="",0,SUMIFS(Map_Stats!$F$2:$F$642,Map_Stats!$A$2:$A$642,$F76&amp;"|"&amp;$H76))</f>
        <v>2</v>
      </c>
      <c r="Y76" s="13" t="n">
        <f aca="false">IF($H76="","",IFERROR(1/(1/INDEX(Map_Stats!$K$2:$K$642,MATCH($F76&amp;"|"&amp;$H76,Map_Stats!$A$2:$A$642,0))),$O76))</f>
        <v>0.51</v>
      </c>
      <c r="Z76" s="10" t="n">
        <f aca="false">IF(OR($H76="",$P76=""),"",IFERROR(1/(1/INDEX(Map_Stats!$I$2:$I$642,MATCH($F76&amp;"|"&amp;$H76,Map_Stats!$A$2:$A$642,0))),$P76))</f>
        <v>0.696</v>
      </c>
      <c r="AA76" s="13" t="n">
        <f aca="false">IF(OR($H76="",Y76=""),"",IF($O76="",Y76,(X76*Y76+Config!$B$4*$O76)/(X76+Config!$B$4)))</f>
        <v>0.552857142857143</v>
      </c>
      <c r="AB76" s="10" t="n">
        <f aca="false">IF(Z76="","",(X76*Z76+Config!$B$4*$P76)/(X76+Config!$B$4))</f>
        <v>0.591714285714286</v>
      </c>
      <c r="AC76" s="17" t="n">
        <f aca="false">IF(OR(AA76="",$K76=""),"",AA76*$K76*($K76/Config!$B$10)^Config!$B$9)</f>
        <v>11.7039857142857</v>
      </c>
      <c r="AD76" s="17" t="n">
        <f aca="false">IF(OR(AC76="",AB76=""),"",AC76*AB76)</f>
        <v>6.92541554693877</v>
      </c>
      <c r="AE76" s="9" t="n">
        <f aca="false">IF($I76="",0,SUMIFS(Map_Stats!$F$2:$F$642,Map_Stats!$A$2:$A$642,$F76&amp;"|"&amp;$I76))</f>
        <v>1</v>
      </c>
      <c r="AF76" s="13" t="n">
        <f aca="false">IF($I76="","",IFERROR(1/(1/INDEX(Map_Stats!$K$2:$K$642,MATCH($F76&amp;"|"&amp;$I76,Map_Stats!$A$2:$A$642,0))),$O76))</f>
        <v>0.48</v>
      </c>
      <c r="AG76" s="10" t="n">
        <f aca="false">IF(OR($I76="",$P76=""),"",IFERROR(1/(1/INDEX(Map_Stats!$I$2:$I$642,MATCH($F76&amp;"|"&amp;$I76,Map_Stats!$A$2:$A$642,0))),$P76))</f>
        <v>0.455</v>
      </c>
      <c r="AH76" s="13" t="n">
        <f aca="false">IF(OR($I76="",AF76=""),"",IF($O76="",AF76,(AE76*AF76+Config!$B$4*$O76)/(AE76+Config!$B$4)))</f>
        <v>0.555</v>
      </c>
      <c r="AI76" s="10" t="n">
        <f aca="false">IF(AG76="","",(AE76*AG76+Config!$B$4*$P76)/(AE76+Config!$B$4))</f>
        <v>0.534166666666667</v>
      </c>
      <c r="AJ76" s="17" t="n">
        <f aca="false">IF(OR(AH76="",$L76=""),"",AH76*$L76*($L76/Config!$B$10)^Config!$B$9)</f>
        <v>11.9325</v>
      </c>
      <c r="AK76" s="17" t="n">
        <f aca="false">IF(OR(AJ76="",AI76=""),"",AJ76*AI76)</f>
        <v>6.37394375</v>
      </c>
      <c r="AL76" s="17" t="n">
        <f aca="false">N(V76)+N(AC76)</f>
        <v>25.0246523809524</v>
      </c>
      <c r="AM76" s="17" t="n">
        <f aca="false">AL76+N($M76)*N(AJ76)</f>
        <v>30.5517863809524</v>
      </c>
      <c r="AN76" s="17" t="n">
        <f aca="false">IF(W76="","",N(W76)+N(AD76))</f>
        <v>14.2673229913832</v>
      </c>
      <c r="AO76" s="17" t="n">
        <f aca="false">IF(AN76="","",AN76+N($M76)*N(AK76))</f>
        <v>17.2197337363832</v>
      </c>
      <c r="AP76" s="10" t="n">
        <f aca="false">IFERROR(AN76/AL76,"")</f>
        <v>0.570130716470725</v>
      </c>
      <c r="AQ76" s="0" t="str">
        <f aca="false">TRIM(IF($N76&lt;Config!$B$12,"thin sample ("&amp;$N76&amp;" maps) · ","")&amp;IF(AND($G76&lt;&gt;"",Q76=0),"M1 unplayed→overall KPR · ","")&amp;IF(AND($H76&lt;&gt;"",X76=0),"M2 unplayed→overall KPR · ","")&amp;IF($O76="","no PickFinder stats",""))</f>
        <v/>
      </c>
      <c r="AR76" s="0" t="str">
        <f aca="false">IF($C76=Board!$B$2,COUNTIFS($C$2:$C$105,Board!$B$2,$AL$2:$AL$105,"&gt;"&amp;$AL76)+COUNTIFS($C$1:$C75,Board!$B$2,$AL$1:$AL75,$AL76)+1,"")</f>
        <v/>
      </c>
      <c r="AS76" s="0" t="str">
        <f aca="false">IFERROR(IF($D76=INDEX(Matches!$AD$5:$AD$17,MATCH($C76,Matches!$A$5:$A$17,0)),"A",IF($D76=INDEX(Matches!$AE$5:$AE$17,MATCH($C76,Matches!$A$5:$A$17,0)),"B","")),"")</f>
        <v>A</v>
      </c>
      <c r="AT76" s="10" t="n">
        <f aca="false">IF($AS76="","",IFERROR(IF($AS76="A",INDEX(Matches!$AI$5:$AI$17,MATCH($C76,Matches!$A$5:$A$17,0)),INDEX(Matches!$AJ$5:$AJ$17,MATCH($C76,Matches!$A$5:$A$17,0))),""))</f>
        <v>0.495030037569649</v>
      </c>
      <c r="AU76" s="10" t="n">
        <f aca="false">IF($AS76="","",IFERROR(IF(INDEX(Matches!$AP$5:$AP$17,MATCH($C76,Matches!$A$5:$A$17,0))="","",IF($AS76="A",INDEX(Matches!$AP$5:$AP$17,MATCH($C76,Matches!$A$5:$A$17,0)),1-INDEX(Matches!$AP$5:$AP$17,MATCH($C76,Matches!$A$5:$A$17,0)))),""))</f>
        <v>0.539579189766524</v>
      </c>
      <c r="AV76" s="13" t="n">
        <f aca="false">IF(OR($AU76="",$AT76=""),1,((Config!$B$14*$AU76+Config!$B$15*(1-$AU76))/(Config!$B$14*$AT76+Config!$B$15*(1-$AT76)))^Config!$B$13)</f>
        <v>1.03998747477994</v>
      </c>
      <c r="AW76" s="10" t="n">
        <f aca="false">IF($AS76="","",IFERROR(IF(INDEX(Matches!$AV$5:$AV$17,MATCH($C76,Matches!$A$5:$A$17,0))="","",IF($AS76="A",INDEX(Matches!$AV$5:$AV$17,MATCH($C76,Matches!$A$5:$A$17,0)),1-INDEX(Matches!$AV$5:$AV$17,MATCH($C76,Matches!$A$5:$A$17,0)))),""))</f>
        <v>0.493955192875772</v>
      </c>
      <c r="AX76" s="13" t="n">
        <f aca="false">IF(OR($AW76="",$AT76=""),1,((Config!$B$14*$AW76+Config!$B$15*(1-$AW76))/(Config!$B$14*$AT76+Config!$B$15*(1-$AT76)))^Config!$B$13)</f>
        <v>0.999035215644536</v>
      </c>
      <c r="AY76" s="10" t="n">
        <f aca="false">IF($AS76="","",IFERROR(IF(INDEX(Matches!$BB$5:$BB$17,MATCH($C76,Matches!$A$5:$A$17,0))="","",IF($AS76="A",INDEX(Matches!$BB$5:$BB$17,MATCH($C76,Matches!$A$5:$A$17,0)),1-INDEX(Matches!$BB$5:$BB$17,MATCH($C76,Matches!$A$5:$A$17,0)))),""))</f>
        <v>0.481593268108464</v>
      </c>
      <c r="AZ76" s="13" t="n">
        <f aca="false">IF(OR($AY76="",$AT76=""),1,((Config!$B$14*$AY76+Config!$B$15*(1-$AY76))/(Config!$B$14*$AT76+Config!$B$15*(1-$AT76)))^Config!$B$13)</f>
        <v>0.9879391087494</v>
      </c>
      <c r="BA76" s="17" t="n">
        <f aca="false">IF(V76="","",V76*$AV76)</f>
        <v>13.853326489052</v>
      </c>
      <c r="BB76" s="17" t="n">
        <f aca="false">IF(AC76="","",AC76*$AX76)</f>
        <v>11.692693891972</v>
      </c>
      <c r="BC76" s="17" t="n">
        <f aca="false">IF(AJ76="","",AJ76*$AZ76)</f>
        <v>11.7885834151522</v>
      </c>
      <c r="BD76" s="17" t="n">
        <f aca="false">N(BA76)+N(BB76)</f>
        <v>25.5460203810239</v>
      </c>
      <c r="BE76" s="17" t="n">
        <f aca="false">BD76+N($M76)*N(BC76)</f>
        <v>31.0064922189225</v>
      </c>
      <c r="BF76" s="17" t="n">
        <f aca="false">IF(W76="","",W76*$AV76)</f>
        <v>7.6354917832158</v>
      </c>
      <c r="BG76" s="17" t="n">
        <f aca="false">IF(AD76="","",AD76*$AX76)</f>
        <v>6.918734014364</v>
      </c>
      <c r="BH76" s="17" t="n">
        <f aca="false">IF(AK76="","",AK76*$AZ76)</f>
        <v>6.29706830759381</v>
      </c>
      <c r="BI76" s="17" t="n">
        <f aca="false">IF(BF76="","",N(BF76)+N(BG76))</f>
        <v>14.5542257975798</v>
      </c>
      <c r="BJ76" s="17" t="n">
        <f aca="false">IF(BI76="","",BI76+N($M76)*N(BH76))</f>
        <v>17.4710278376573</v>
      </c>
      <c r="BK76" s="13" t="n">
        <f aca="false">IFERROR(BD76/AL76,1)</f>
        <v>1.02083417552159</v>
      </c>
    </row>
    <row r="77" customFormat="false" ht="15" hidden="false" customHeight="false" outlineLevel="0" collapsed="false">
      <c r="A77" s="0" t="s">
        <v>1056</v>
      </c>
      <c r="B77" s="0" t="s">
        <v>775</v>
      </c>
      <c r="C77" s="0" t="s">
        <v>785</v>
      </c>
      <c r="D77" s="0" t="s">
        <v>791</v>
      </c>
      <c r="E77" s="0" t="s">
        <v>1055</v>
      </c>
      <c r="F77" s="0" t="s">
        <v>1242</v>
      </c>
      <c r="G77" s="0" t="str">
        <f aca="false">IFERROR(IF(INDEX(Matches!$W$5:$W$17,MATCH($C77,Matches!$A$5:$A$17,0))="","",INDEX(Matches!$W$5:$W$17,MATCH($C77,Matches!$A$5:$A$17,0))),"")</f>
        <v>Ancient</v>
      </c>
      <c r="H77" s="0" t="str">
        <f aca="false">IFERROR(IF(INDEX(Matches!$X$5:$X$17,MATCH($C77,Matches!$A$5:$A$17,0))="","",INDEX(Matches!$X$5:$X$17,MATCH($C77,Matches!$A$5:$A$17,0))),"")</f>
        <v>Dust2</v>
      </c>
      <c r="I77" s="0" t="str">
        <f aca="false">IFERROR(IF(INDEX(Matches!$Y$5:$Y$17,MATCH($C77,Matches!$A$5:$A$17,0))="","",INDEX(Matches!$Y$5:$Y$17,MATCH($C77,Matches!$A$5:$A$17,0))),"")</f>
        <v>Inferno</v>
      </c>
      <c r="J77" s="11" t="n">
        <f aca="false">IFERROR(IF(INDEX(Matches!$Z$5:$Z$17,MATCH($C77,Matches!$A$5:$A$17,0))="","",INDEX(Matches!$Z$5:$Z$17,MATCH($C77,Matches!$A$5:$A$17,0))),"")</f>
        <v>21.5</v>
      </c>
      <c r="K77" s="11" t="n">
        <f aca="false">IFERROR(IF(INDEX(Matches!$AA$5:$AA$17,MATCH($C77,Matches!$A$5:$A$17,0))="","",INDEX(Matches!$AA$5:$AA$17,MATCH($C77,Matches!$A$5:$A$17,0))),"")</f>
        <v>21.36</v>
      </c>
      <c r="L77" s="11" t="n">
        <f aca="false">IFERROR(IF(INDEX(Matches!$AB$5:$AB$17,MATCH($C77,Matches!$A$5:$A$17,0))="","",INDEX(Matches!$AB$5:$AB$17,MATCH($C77,Matches!$A$5:$A$17,0))),"")</f>
        <v>21.42</v>
      </c>
      <c r="M77" s="10" t="n">
        <f aca="false">IFERROR(IF(INDEX(Matches!$AC$5:$AC$17,MATCH($C77,Matches!$A$5:$A$17,0))="","",INDEX(Matches!$AC$5:$AC$17,MATCH($C77,Matches!$A$5:$A$17,0))),"")</f>
        <v>0.4973</v>
      </c>
      <c r="N77" s="9" t="n">
        <f aca="false">IFERROR(INDEX(Players!$F$2:$F$105,MATCH($F77,Players!$A$2:$A$105,0)),0)</f>
        <v>34</v>
      </c>
      <c r="O77" s="13" t="n">
        <f aca="false">IFERROR(1/(1/INDEX(Players!$H$2:$H$105,MATCH($F77,Players!$A$2:$A$105,0))),"")</f>
        <v>0.57</v>
      </c>
      <c r="P77" s="10" t="n">
        <f aca="false">IFERROR(1/(1/INDEX(Players!$I$2:$I$105,MATCH($F77,Players!$A$2:$A$105,0))),"")</f>
        <v>0.586</v>
      </c>
      <c r="Q77" s="9" t="n">
        <f aca="false">IF($G77="",0,SUMIFS(Map_Stats!$F$2:$F$642,Map_Stats!$A$2:$A$642,$F77&amp;"|"&amp;$G77))</f>
        <v>7</v>
      </c>
      <c r="R77" s="13" t="n">
        <f aca="false">IF($G77="","",IFERROR(1/(1/INDEX(Map_Stats!$K$2:$K$642,MATCH($F77&amp;"|"&amp;$G77,Map_Stats!$A$2:$A$642,0))),$O77))</f>
        <v>0.65</v>
      </c>
      <c r="S77" s="10" t="n">
        <f aca="false">IF(OR($G77="",$P77=""),"",IFERROR(1/(1/INDEX(Map_Stats!$I$2:$I$642,MATCH($F77&amp;"|"&amp;$G77,Map_Stats!$A$2:$A$642,0))),$P77))</f>
        <v>0.61</v>
      </c>
      <c r="T77" s="13" t="n">
        <f aca="false">IF(OR($G77="",R77=""),"",IF($O77="",R77,(Q77*R77+Config!$B$4*$O77)/(Q77+Config!$B$4)))</f>
        <v>0.616666666666667</v>
      </c>
      <c r="U77" s="10" t="n">
        <f aca="false">IF(S77="","",(Q77*S77+Config!$B$4*$P77)/(Q77+Config!$B$4))</f>
        <v>0.6</v>
      </c>
      <c r="V77" s="17" t="n">
        <f aca="false">IF(OR(T77="",$J77=""),"",T77*$J77*($J77/Config!$B$10)^Config!$B$9)</f>
        <v>13.2583333333333</v>
      </c>
      <c r="W77" s="17" t="n">
        <f aca="false">IF(OR(V77="",U77=""),"",V77*U77)</f>
        <v>7.955</v>
      </c>
      <c r="X77" s="9" t="n">
        <f aca="false">IF($H77="",0,SUMIFS(Map_Stats!$F$2:$F$642,Map_Stats!$A$2:$A$642,$F77&amp;"|"&amp;$H77))</f>
        <v>6</v>
      </c>
      <c r="Y77" s="13" t="n">
        <f aca="false">IF($H77="","",IFERROR(1/(1/INDEX(Map_Stats!$K$2:$K$642,MATCH($F77&amp;"|"&amp;$H77,Map_Stats!$A$2:$A$642,0))),$O77))</f>
        <v>0.65</v>
      </c>
      <c r="Z77" s="10" t="n">
        <f aca="false">IF(OR($H77="",$P77=""),"",IFERROR(1/(1/INDEX(Map_Stats!$I$2:$I$642,MATCH($F77&amp;"|"&amp;$H77,Map_Stats!$A$2:$A$642,0))),$P77))</f>
        <v>0.573</v>
      </c>
      <c r="AA77" s="13" t="n">
        <f aca="false">IF(OR($H77="",Y77=""),"",IF($O77="",Y77,(X77*Y77+Config!$B$4*$O77)/(X77+Config!$B$4)))</f>
        <v>0.613636363636364</v>
      </c>
      <c r="AB77" s="10" t="n">
        <f aca="false">IF(Z77="","",(X77*Z77+Config!$B$4*$P77)/(X77+Config!$B$4))</f>
        <v>0.578909090909091</v>
      </c>
      <c r="AC77" s="17" t="n">
        <f aca="false">IF(OR(AA77="",$K77=""),"",AA77*$K77*($K77/Config!$B$10)^Config!$B$9)</f>
        <v>13.1072727272727</v>
      </c>
      <c r="AD77" s="17" t="n">
        <f aca="false">IF(OR(AC77="",AB77=""),"",AC77*AB77)</f>
        <v>7.58791933884297</v>
      </c>
      <c r="AE77" s="9" t="n">
        <f aca="false">IF($I77="",0,SUMIFS(Map_Stats!$F$2:$F$642,Map_Stats!$A$2:$A$642,$F77&amp;"|"&amp;$I77))</f>
        <v>13</v>
      </c>
      <c r="AF77" s="13" t="n">
        <f aca="false">IF($I77="","",IFERROR(1/(1/INDEX(Map_Stats!$K$2:$K$642,MATCH($F77&amp;"|"&amp;$I77,Map_Stats!$A$2:$A$642,0))),$O77))</f>
        <v>0.52</v>
      </c>
      <c r="AG77" s="10" t="n">
        <f aca="false">IF(OR($I77="",$P77=""),"",IFERROR(1/(1/INDEX(Map_Stats!$I$2:$I$642,MATCH($F77&amp;"|"&amp;$I77,Map_Stats!$A$2:$A$642,0))),$P77))</f>
        <v>0.586</v>
      </c>
      <c r="AH77" s="13" t="n">
        <f aca="false">IF(OR($I77="",AF77=""),"",IF($O77="",AF77,(AE77*AF77+Config!$B$4*$O77)/(AE77+Config!$B$4)))</f>
        <v>0.533888888888889</v>
      </c>
      <c r="AI77" s="10" t="n">
        <f aca="false">IF(AG77="","",(AE77*AG77+Config!$B$4*$P77)/(AE77+Config!$B$4))</f>
        <v>0.586</v>
      </c>
      <c r="AJ77" s="17" t="n">
        <f aca="false">IF(OR(AH77="",$L77=""),"",AH77*$L77*($L77/Config!$B$10)^Config!$B$9)</f>
        <v>11.4359</v>
      </c>
      <c r="AK77" s="17" t="n">
        <f aca="false">IF(OR(AJ77="",AI77=""),"",AJ77*AI77)</f>
        <v>6.7014374</v>
      </c>
      <c r="AL77" s="17" t="n">
        <f aca="false">N(V77)+N(AC77)</f>
        <v>26.3656060606061</v>
      </c>
      <c r="AM77" s="17" t="n">
        <f aca="false">AL77+N($M77)*N(AJ77)</f>
        <v>32.0526791306061</v>
      </c>
      <c r="AN77" s="17" t="n">
        <f aca="false">IF(W77="","",N(W77)+N(AD77))</f>
        <v>15.542919338843</v>
      </c>
      <c r="AO77" s="17" t="n">
        <f aca="false">IF(AN77="","",AN77+N($M77)*N(AK77))</f>
        <v>18.875544157863</v>
      </c>
      <c r="AP77" s="10" t="n">
        <f aca="false">IFERROR(AN77/AL77,"")</f>
        <v>0.589514965182852</v>
      </c>
      <c r="AQ77" s="0" t="str">
        <f aca="false">TRIM(IF($N77&lt;Config!$B$12,"thin sample ("&amp;$N77&amp;" maps) · ","")&amp;IF(AND($G77&lt;&gt;"",Q77=0),"M1 unplayed→overall KPR · ","")&amp;IF(AND($H77&lt;&gt;"",X77=0),"M2 unplayed→overall KPR · ","")&amp;IF($O77="","no PickFinder stats",""))</f>
        <v/>
      </c>
      <c r="AR77" s="0" t="str">
        <f aca="false">IF($C77=Board!$B$2,COUNTIFS($C$2:$C$105,Board!$B$2,$AL$2:$AL$105,"&gt;"&amp;$AL77)+COUNTIFS($C$1:$C76,Board!$B$2,$AL$1:$AL76,$AL77)+1,"")</f>
        <v/>
      </c>
      <c r="AS77" s="0" t="str">
        <f aca="false">IFERROR(IF($D77=INDEX(Matches!$AD$5:$AD$17,MATCH($C77,Matches!$A$5:$A$17,0)),"A",IF($D77=INDEX(Matches!$AE$5:$AE$17,MATCH($C77,Matches!$A$5:$A$17,0)),"B","")),"")</f>
        <v>B</v>
      </c>
      <c r="AT77" s="10" t="n">
        <f aca="false">IF($AS77="","",IFERROR(IF($AS77="A",INDEX(Matches!$AI$5:$AI$17,MATCH($C77,Matches!$A$5:$A$17,0)),INDEX(Matches!$AJ$5:$AJ$17,MATCH($C77,Matches!$A$5:$A$17,0))),""))</f>
        <v>0.428553676690707</v>
      </c>
      <c r="AU77" s="10" t="n">
        <f aca="false">IF($AS77="","",IFERROR(IF(INDEX(Matches!$AP$5:$AP$17,MATCH($C77,Matches!$A$5:$A$17,0))="","",IF($AS77="A",INDEX(Matches!$AP$5:$AP$17,MATCH($C77,Matches!$A$5:$A$17,0)),1-INDEX(Matches!$AP$5:$AP$17,MATCH($C77,Matches!$A$5:$A$17,0)))),""))</f>
        <v>0.487687377421903</v>
      </c>
      <c r="AV77" s="13" t="n">
        <f aca="false">IF(OR($AU77="",$AT77=""),1,((Config!$B$14*$AU77+Config!$B$15*(1-$AU77))/(Config!$B$14*$AT77+Config!$B$15*(1-$AT77)))^Config!$B$13)</f>
        <v>1.0564467617325</v>
      </c>
      <c r="AW77" s="10" t="n">
        <f aca="false">IF($AS77="","",IFERROR(IF(INDEX(Matches!$AV$5:$AV$17,MATCH($C77,Matches!$A$5:$A$17,0))="","",IF($AS77="A",INDEX(Matches!$AV$5:$AV$17,MATCH($C77,Matches!$A$5:$A$17,0)),1-INDEX(Matches!$AV$5:$AV$17,MATCH($C77,Matches!$A$5:$A$17,0)))),""))</f>
        <v>0.507366317756529</v>
      </c>
      <c r="AX77" s="13" t="n">
        <f aca="false">IF(OR($AW77="",$AT77=""),1,((Config!$B$14*$AW77+Config!$B$15*(1-$AW77))/(Config!$B$14*$AT77+Config!$B$15*(1-$AT77)))^Config!$B$13)</f>
        <v>1.07523152308654</v>
      </c>
      <c r="AY77" s="10" t="n">
        <f aca="false">IF($AS77="","",IFERROR(IF(INDEX(Matches!$BB$5:$BB$17,MATCH($C77,Matches!$A$5:$A$17,0))="","",IF($AS77="A",INDEX(Matches!$BB$5:$BB$17,MATCH($C77,Matches!$A$5:$A$17,0)),1-INDEX(Matches!$BB$5:$BB$17,MATCH($C77,Matches!$A$5:$A$17,0)))),""))</f>
        <v>0.477576987448466</v>
      </c>
      <c r="AZ77" s="13" t="n">
        <f aca="false">IF(OR($AY77="",$AT77=""),1,((Config!$B$14*$AY77+Config!$B$15*(1-$AY77))/(Config!$B$14*$AT77+Config!$B$15*(1-$AT77)))^Config!$B$13)</f>
        <v>1.04679577140386</v>
      </c>
      <c r="BA77" s="17" t="n">
        <f aca="false">IF(V77="","",V77*$AV77)</f>
        <v>14.00672331597</v>
      </c>
      <c r="BB77" s="17" t="n">
        <f aca="false">IF(AC77="","",AC77*$AX77)</f>
        <v>14.0933528180561</v>
      </c>
      <c r="BC77" s="17" t="n">
        <f aca="false">IF(AJ77="","",AJ77*$AZ77)</f>
        <v>11.9710517621974</v>
      </c>
      <c r="BD77" s="17" t="n">
        <f aca="false">N(BA77)+N(BB77)</f>
        <v>28.1000761340261</v>
      </c>
      <c r="BE77" s="17" t="n">
        <f aca="false">BD77+N($M77)*N(BC77)</f>
        <v>34.0532801753669</v>
      </c>
      <c r="BF77" s="17" t="n">
        <f aca="false">IF(W77="","",W77*$AV77)</f>
        <v>8.40403398958201</v>
      </c>
      <c r="BG77" s="17" t="n">
        <f aca="false">IF(AD77="","",AD77*$AX77)</f>
        <v>8.15877006776191</v>
      </c>
      <c r="BH77" s="17" t="n">
        <f aca="false">IF(AK77="","",AK77*$AZ77)</f>
        <v>7.01503633264768</v>
      </c>
      <c r="BI77" s="17" t="n">
        <f aca="false">IF(BF77="","",N(BF77)+N(BG77))</f>
        <v>16.5628040573439</v>
      </c>
      <c r="BJ77" s="17" t="n">
        <f aca="false">IF(BI77="","",BI77+N($M77)*N(BH77))</f>
        <v>20.0513816255696</v>
      </c>
      <c r="BK77" s="13" t="n">
        <f aca="false">IFERROR(BD77/AL77,1)</f>
        <v>1.06578532916835</v>
      </c>
    </row>
    <row r="78" customFormat="false" ht="15" hidden="false" customHeight="false" outlineLevel="0" collapsed="false">
      <c r="A78" s="0" t="s">
        <v>1058</v>
      </c>
      <c r="B78" s="0" t="s">
        <v>775</v>
      </c>
      <c r="C78" s="0" t="s">
        <v>785</v>
      </c>
      <c r="D78" s="0" t="s">
        <v>791</v>
      </c>
      <c r="E78" s="0" t="s">
        <v>1057</v>
      </c>
      <c r="F78" s="0" t="s">
        <v>1243</v>
      </c>
      <c r="G78" s="0" t="str">
        <f aca="false">IFERROR(IF(INDEX(Matches!$W$5:$W$17,MATCH($C78,Matches!$A$5:$A$17,0))="","",INDEX(Matches!$W$5:$W$17,MATCH($C78,Matches!$A$5:$A$17,0))),"")</f>
        <v>Ancient</v>
      </c>
      <c r="H78" s="0" t="str">
        <f aca="false">IFERROR(IF(INDEX(Matches!$X$5:$X$17,MATCH($C78,Matches!$A$5:$A$17,0))="","",INDEX(Matches!$X$5:$X$17,MATCH($C78,Matches!$A$5:$A$17,0))),"")</f>
        <v>Dust2</v>
      </c>
      <c r="I78" s="0" t="str">
        <f aca="false">IFERROR(IF(INDEX(Matches!$Y$5:$Y$17,MATCH($C78,Matches!$A$5:$A$17,0))="","",INDEX(Matches!$Y$5:$Y$17,MATCH($C78,Matches!$A$5:$A$17,0))),"")</f>
        <v>Inferno</v>
      </c>
      <c r="J78" s="11" t="n">
        <f aca="false">IFERROR(IF(INDEX(Matches!$Z$5:$Z$17,MATCH($C78,Matches!$A$5:$A$17,0))="","",INDEX(Matches!$Z$5:$Z$17,MATCH($C78,Matches!$A$5:$A$17,0))),"")</f>
        <v>21.5</v>
      </c>
      <c r="K78" s="11" t="n">
        <f aca="false">IFERROR(IF(INDEX(Matches!$AA$5:$AA$17,MATCH($C78,Matches!$A$5:$A$17,0))="","",INDEX(Matches!$AA$5:$AA$17,MATCH($C78,Matches!$A$5:$A$17,0))),"")</f>
        <v>21.36</v>
      </c>
      <c r="L78" s="11" t="n">
        <f aca="false">IFERROR(IF(INDEX(Matches!$AB$5:$AB$17,MATCH($C78,Matches!$A$5:$A$17,0))="","",INDEX(Matches!$AB$5:$AB$17,MATCH($C78,Matches!$A$5:$A$17,0))),"")</f>
        <v>21.42</v>
      </c>
      <c r="M78" s="10" t="n">
        <f aca="false">IFERROR(IF(INDEX(Matches!$AC$5:$AC$17,MATCH($C78,Matches!$A$5:$A$17,0))="","",INDEX(Matches!$AC$5:$AC$17,MATCH($C78,Matches!$A$5:$A$17,0))),"")</f>
        <v>0.4973</v>
      </c>
      <c r="N78" s="9" t="n">
        <f aca="false">IFERROR(INDEX(Players!$F$2:$F$105,MATCH($F78,Players!$A$2:$A$105,0)),0)</f>
        <v>33</v>
      </c>
      <c r="O78" s="13" t="n">
        <f aca="false">IFERROR(1/(1/INDEX(Players!$H$2:$H$105,MATCH($F78,Players!$A$2:$A$105,0))),"")</f>
        <v>0.7</v>
      </c>
      <c r="P78" s="10" t="n">
        <f aca="false">IFERROR(1/(1/INDEX(Players!$I$2:$I$105,MATCH($F78,Players!$A$2:$A$105,0))),"")</f>
        <v>0.594</v>
      </c>
      <c r="Q78" s="9" t="n">
        <f aca="false">IF($G78="",0,SUMIFS(Map_Stats!$F$2:$F$642,Map_Stats!$A$2:$A$642,$F78&amp;"|"&amp;$G78))</f>
        <v>6</v>
      </c>
      <c r="R78" s="13" t="n">
        <f aca="false">IF($G78="","",IFERROR(1/(1/INDEX(Map_Stats!$K$2:$K$642,MATCH($F78&amp;"|"&amp;$G78,Map_Stats!$A$2:$A$642,0))),$O78))</f>
        <v>0.69</v>
      </c>
      <c r="S78" s="10" t="n">
        <f aca="false">IF(OR($G78="",$P78=""),"",IFERROR(1/(1/INDEX(Map_Stats!$I$2:$I$642,MATCH($F78&amp;"|"&amp;$G78,Map_Stats!$A$2:$A$642,0))),$P78))</f>
        <v>0.538</v>
      </c>
      <c r="T78" s="13" t="n">
        <f aca="false">IF(OR($G78="",R78=""),"",IF($O78="",R78,(Q78*R78+Config!$B$4*$O78)/(Q78+Config!$B$4)))</f>
        <v>0.694545454545455</v>
      </c>
      <c r="U78" s="10" t="n">
        <f aca="false">IF(S78="","",(Q78*S78+Config!$B$4*$P78)/(Q78+Config!$B$4))</f>
        <v>0.563454545454545</v>
      </c>
      <c r="V78" s="17" t="n">
        <f aca="false">IF(OR(T78="",$J78=""),"",T78*$J78*($J78/Config!$B$10)^Config!$B$9)</f>
        <v>14.9327272727273</v>
      </c>
      <c r="W78" s="17" t="n">
        <f aca="false">IF(OR(V78="",U78=""),"",V78*U78)</f>
        <v>8.41391305785124</v>
      </c>
      <c r="X78" s="9" t="n">
        <f aca="false">IF($H78="",0,SUMIFS(Map_Stats!$F$2:$F$642,Map_Stats!$A$2:$A$642,$F78&amp;"|"&amp;$H78))</f>
        <v>7</v>
      </c>
      <c r="Y78" s="13" t="n">
        <f aca="false">IF($H78="","",IFERROR(1/(1/INDEX(Map_Stats!$K$2:$K$642,MATCH($F78&amp;"|"&amp;$H78,Map_Stats!$A$2:$A$642,0))),$O78))</f>
        <v>0.71</v>
      </c>
      <c r="Z78" s="10" t="n">
        <f aca="false">IF(OR($H78="",$P78=""),"",IFERROR(1/(1/INDEX(Map_Stats!$I$2:$I$642,MATCH($F78&amp;"|"&amp;$H78,Map_Stats!$A$2:$A$642,0))),$P78))</f>
        <v>0.611</v>
      </c>
      <c r="AA78" s="13" t="n">
        <f aca="false">IF(OR($H78="",Y78=""),"",IF($O78="",Y78,(X78*Y78+Config!$B$4*$O78)/(X78+Config!$B$4)))</f>
        <v>0.705833333333333</v>
      </c>
      <c r="AB78" s="10" t="n">
        <f aca="false">IF(Z78="","",(X78*Z78+Config!$B$4*$P78)/(X78+Config!$B$4))</f>
        <v>0.603916666666667</v>
      </c>
      <c r="AC78" s="17" t="n">
        <f aca="false">IF(OR(AA78="",$K78=""),"",AA78*$K78*($K78/Config!$B$10)^Config!$B$9)</f>
        <v>15.0766</v>
      </c>
      <c r="AD78" s="17" t="n">
        <f aca="false">IF(OR(AC78="",AB78=""),"",AC78*AB78)</f>
        <v>9.10501001666667</v>
      </c>
      <c r="AE78" s="9" t="n">
        <f aca="false">IF($I78="",0,SUMIFS(Map_Stats!$F$2:$F$642,Map_Stats!$A$2:$A$642,$F78&amp;"|"&amp;$I78))</f>
        <v>12</v>
      </c>
      <c r="AF78" s="13" t="n">
        <f aca="false">IF($I78="","",IFERROR(1/(1/INDEX(Map_Stats!$K$2:$K$642,MATCH($F78&amp;"|"&amp;$I78,Map_Stats!$A$2:$A$642,0))),$O78))</f>
        <v>0.63</v>
      </c>
      <c r="AG78" s="10" t="n">
        <f aca="false">IF(OR($I78="",$P78=""),"",IFERROR(1/(1/INDEX(Map_Stats!$I$2:$I$642,MATCH($F78&amp;"|"&amp;$I78,Map_Stats!$A$2:$A$642,0))),$P78))</f>
        <v>0.616</v>
      </c>
      <c r="AH78" s="13" t="n">
        <f aca="false">IF(OR($I78="",AF78=""),"",IF($O78="",AF78,(AE78*AF78+Config!$B$4*$O78)/(AE78+Config!$B$4)))</f>
        <v>0.650588235294118</v>
      </c>
      <c r="AI78" s="10" t="n">
        <f aca="false">IF(AG78="","",(AE78*AG78+Config!$B$4*$P78)/(AE78+Config!$B$4))</f>
        <v>0.609529411764706</v>
      </c>
      <c r="AJ78" s="17" t="n">
        <f aca="false">IF(OR(AH78="",$L78=""),"",AH78*$L78*($L78/Config!$B$10)^Config!$B$9)</f>
        <v>13.9356</v>
      </c>
      <c r="AK78" s="17" t="n">
        <f aca="false">IF(OR(AJ78="",AI78=""),"",AJ78*AI78)</f>
        <v>8.49415807058823</v>
      </c>
      <c r="AL78" s="17" t="n">
        <f aca="false">N(V78)+N(AC78)</f>
        <v>30.0093272727273</v>
      </c>
      <c r="AM78" s="17" t="n">
        <f aca="false">AL78+N($M78)*N(AJ78)</f>
        <v>36.9395011527273</v>
      </c>
      <c r="AN78" s="17" t="n">
        <f aca="false">IF(W78="","",N(W78)+N(AD78))</f>
        <v>17.5189230745179</v>
      </c>
      <c r="AO78" s="17" t="n">
        <f aca="false">IF(AN78="","",AN78+N($M78)*N(AK78))</f>
        <v>21.7430678830214</v>
      </c>
      <c r="AP78" s="10" t="n">
        <f aca="false">IFERROR(AN78/AL78,"")</f>
        <v>0.583782599166735</v>
      </c>
      <c r="AQ78" s="0" t="str">
        <f aca="false">TRIM(IF($N78&lt;Config!$B$12,"thin sample ("&amp;$N78&amp;" maps) · ","")&amp;IF(AND($G78&lt;&gt;"",Q78=0),"M1 unplayed→overall KPR · ","")&amp;IF(AND($H78&lt;&gt;"",X78=0),"M2 unplayed→overall KPR · ","")&amp;IF($O78="","no PickFinder stats",""))</f>
        <v/>
      </c>
      <c r="AR78" s="0" t="str">
        <f aca="false">IF($C78=Board!$B$2,COUNTIFS($C$2:$C$105,Board!$B$2,$AL$2:$AL$105,"&gt;"&amp;$AL78)+COUNTIFS($C$1:$C77,Board!$B$2,$AL$1:$AL77,$AL78)+1,"")</f>
        <v/>
      </c>
      <c r="AS78" s="0" t="str">
        <f aca="false">IFERROR(IF($D78=INDEX(Matches!$AD$5:$AD$17,MATCH($C78,Matches!$A$5:$A$17,0)),"A",IF($D78=INDEX(Matches!$AE$5:$AE$17,MATCH($C78,Matches!$A$5:$A$17,0)),"B","")),"")</f>
        <v>B</v>
      </c>
      <c r="AT78" s="10" t="n">
        <f aca="false">IF($AS78="","",IFERROR(IF($AS78="A",INDEX(Matches!$AI$5:$AI$17,MATCH($C78,Matches!$A$5:$A$17,0)),INDEX(Matches!$AJ$5:$AJ$17,MATCH($C78,Matches!$A$5:$A$17,0))),""))</f>
        <v>0.428553676690707</v>
      </c>
      <c r="AU78" s="10" t="n">
        <f aca="false">IF($AS78="","",IFERROR(IF(INDEX(Matches!$AP$5:$AP$17,MATCH($C78,Matches!$A$5:$A$17,0))="","",IF($AS78="A",INDEX(Matches!$AP$5:$AP$17,MATCH($C78,Matches!$A$5:$A$17,0)),1-INDEX(Matches!$AP$5:$AP$17,MATCH($C78,Matches!$A$5:$A$17,0)))),""))</f>
        <v>0.487687377421903</v>
      </c>
      <c r="AV78" s="13" t="n">
        <f aca="false">IF(OR($AU78="",$AT78=""),1,((Config!$B$14*$AU78+Config!$B$15*(1-$AU78))/(Config!$B$14*$AT78+Config!$B$15*(1-$AT78)))^Config!$B$13)</f>
        <v>1.0564467617325</v>
      </c>
      <c r="AW78" s="10" t="n">
        <f aca="false">IF($AS78="","",IFERROR(IF(INDEX(Matches!$AV$5:$AV$17,MATCH($C78,Matches!$A$5:$A$17,0))="","",IF($AS78="A",INDEX(Matches!$AV$5:$AV$17,MATCH($C78,Matches!$A$5:$A$17,0)),1-INDEX(Matches!$AV$5:$AV$17,MATCH($C78,Matches!$A$5:$A$17,0)))),""))</f>
        <v>0.507366317756529</v>
      </c>
      <c r="AX78" s="13" t="n">
        <f aca="false">IF(OR($AW78="",$AT78=""),1,((Config!$B$14*$AW78+Config!$B$15*(1-$AW78))/(Config!$B$14*$AT78+Config!$B$15*(1-$AT78)))^Config!$B$13)</f>
        <v>1.07523152308654</v>
      </c>
      <c r="AY78" s="10" t="n">
        <f aca="false">IF($AS78="","",IFERROR(IF(INDEX(Matches!$BB$5:$BB$17,MATCH($C78,Matches!$A$5:$A$17,0))="","",IF($AS78="A",INDEX(Matches!$BB$5:$BB$17,MATCH($C78,Matches!$A$5:$A$17,0)),1-INDEX(Matches!$BB$5:$BB$17,MATCH($C78,Matches!$A$5:$A$17,0)))),""))</f>
        <v>0.477576987448466</v>
      </c>
      <c r="AZ78" s="13" t="n">
        <f aca="false">IF(OR($AY78="",$AT78=""),1,((Config!$B$14*$AY78+Config!$B$15*(1-$AY78))/(Config!$B$14*$AT78+Config!$B$15*(1-$AT78)))^Config!$B$13)</f>
        <v>1.04679577140386</v>
      </c>
      <c r="BA78" s="17" t="n">
        <f aca="false">IF(V78="","",V78*$AV78)</f>
        <v>15.7756313711073</v>
      </c>
      <c r="BB78" s="17" t="n">
        <f aca="false">IF(AC78="","",AC78*$AX78)</f>
        <v>16.2108355809665</v>
      </c>
      <c r="BC78" s="17" t="n">
        <f aca="false">IF(AJ78="","",AJ78*$AZ78)</f>
        <v>14.5877271519756</v>
      </c>
      <c r="BD78" s="17" t="n">
        <f aca="false">N(BA78)+N(BB78)</f>
        <v>31.9864669520737</v>
      </c>
      <c r="BE78" s="17" t="n">
        <f aca="false">BD78+N($M78)*N(BC78)</f>
        <v>39.2409436647512</v>
      </c>
      <c r="BF78" s="17" t="n">
        <f aca="false">IF(W78="","",W78*$AV78)</f>
        <v>8.88885120346571</v>
      </c>
      <c r="BG78" s="17" t="n">
        <f aca="false">IF(AD78="","",AD78*$AX78)</f>
        <v>9.78999378793866</v>
      </c>
      <c r="BH78" s="17" t="n">
        <f aca="false">IF(AK78="","",AK78*$AZ78)</f>
        <v>8.89164874992774</v>
      </c>
      <c r="BI78" s="17" t="n">
        <f aca="false">IF(BF78="","",N(BF78)+N(BG78))</f>
        <v>18.6788449914044</v>
      </c>
      <c r="BJ78" s="17" t="n">
        <f aca="false">IF(BI78="","",BI78+N($M78)*N(BH78))</f>
        <v>23.1006619147434</v>
      </c>
      <c r="BK78" s="13" t="n">
        <f aca="false">IFERROR(BD78/AL78,1)</f>
        <v>1.0658841719902</v>
      </c>
    </row>
    <row r="79" customFormat="false" ht="15" hidden="false" customHeight="false" outlineLevel="0" collapsed="false">
      <c r="A79" s="0" t="s">
        <v>1060</v>
      </c>
      <c r="B79" s="0" t="s">
        <v>775</v>
      </c>
      <c r="C79" s="0" t="s">
        <v>785</v>
      </c>
      <c r="D79" s="0" t="s">
        <v>791</v>
      </c>
      <c r="E79" s="0" t="s">
        <v>1059</v>
      </c>
      <c r="F79" s="0" t="s">
        <v>1244</v>
      </c>
      <c r="G79" s="0" t="str">
        <f aca="false">IFERROR(IF(INDEX(Matches!$W$5:$W$17,MATCH($C79,Matches!$A$5:$A$17,0))="","",INDEX(Matches!$W$5:$W$17,MATCH($C79,Matches!$A$5:$A$17,0))),"")</f>
        <v>Ancient</v>
      </c>
      <c r="H79" s="0" t="str">
        <f aca="false">IFERROR(IF(INDEX(Matches!$X$5:$X$17,MATCH($C79,Matches!$A$5:$A$17,0))="","",INDEX(Matches!$X$5:$X$17,MATCH($C79,Matches!$A$5:$A$17,0))),"")</f>
        <v>Dust2</v>
      </c>
      <c r="I79" s="0" t="str">
        <f aca="false">IFERROR(IF(INDEX(Matches!$Y$5:$Y$17,MATCH($C79,Matches!$A$5:$A$17,0))="","",INDEX(Matches!$Y$5:$Y$17,MATCH($C79,Matches!$A$5:$A$17,0))),"")</f>
        <v>Inferno</v>
      </c>
      <c r="J79" s="11" t="n">
        <f aca="false">IFERROR(IF(INDEX(Matches!$Z$5:$Z$17,MATCH($C79,Matches!$A$5:$A$17,0))="","",INDEX(Matches!$Z$5:$Z$17,MATCH($C79,Matches!$A$5:$A$17,0))),"")</f>
        <v>21.5</v>
      </c>
      <c r="K79" s="11" t="n">
        <f aca="false">IFERROR(IF(INDEX(Matches!$AA$5:$AA$17,MATCH($C79,Matches!$A$5:$A$17,0))="","",INDEX(Matches!$AA$5:$AA$17,MATCH($C79,Matches!$A$5:$A$17,0))),"")</f>
        <v>21.36</v>
      </c>
      <c r="L79" s="11" t="n">
        <f aca="false">IFERROR(IF(INDEX(Matches!$AB$5:$AB$17,MATCH($C79,Matches!$A$5:$A$17,0))="","",INDEX(Matches!$AB$5:$AB$17,MATCH($C79,Matches!$A$5:$A$17,0))),"")</f>
        <v>21.42</v>
      </c>
      <c r="M79" s="10" t="n">
        <f aca="false">IFERROR(IF(INDEX(Matches!$AC$5:$AC$17,MATCH($C79,Matches!$A$5:$A$17,0))="","",INDEX(Matches!$AC$5:$AC$17,MATCH($C79,Matches!$A$5:$A$17,0))),"")</f>
        <v>0.4973</v>
      </c>
      <c r="N79" s="9" t="n">
        <f aca="false">IFERROR(INDEX(Players!$F$2:$F$105,MATCH($F79,Players!$A$2:$A$105,0)),0)</f>
        <v>33</v>
      </c>
      <c r="O79" s="13" t="n">
        <f aca="false">IFERROR(1/(1/INDEX(Players!$H$2:$H$105,MATCH($F79,Players!$A$2:$A$105,0))),"")</f>
        <v>0.78</v>
      </c>
      <c r="P79" s="10" t="n">
        <f aca="false">IFERROR(1/(1/INDEX(Players!$I$2:$I$105,MATCH($F79,Players!$A$2:$A$105,0))),"")</f>
        <v>0.324</v>
      </c>
      <c r="Q79" s="9" t="n">
        <f aca="false">IF($G79="",0,SUMIFS(Map_Stats!$F$2:$F$642,Map_Stats!$A$2:$A$642,$F79&amp;"|"&amp;$G79))</f>
        <v>6</v>
      </c>
      <c r="R79" s="13" t="n">
        <f aca="false">IF($G79="","",IFERROR(1/(1/INDEX(Map_Stats!$K$2:$K$642,MATCH($F79&amp;"|"&amp;$G79,Map_Stats!$A$2:$A$642,0))),$O79))</f>
        <v>0.72</v>
      </c>
      <c r="S79" s="10" t="n">
        <f aca="false">IF(OR($G79="",$P79=""),"",IFERROR(1/(1/INDEX(Map_Stats!$I$2:$I$642,MATCH($F79&amp;"|"&amp;$G79,Map_Stats!$A$2:$A$642,0))),$P79))</f>
        <v>0.31</v>
      </c>
      <c r="T79" s="13" t="n">
        <f aca="false">IF(OR($G79="",R79=""),"",IF($O79="",R79,(Q79*R79+Config!$B$4*$O79)/(Q79+Config!$B$4)))</f>
        <v>0.747272727272727</v>
      </c>
      <c r="U79" s="10" t="n">
        <f aca="false">IF(S79="","",(Q79*S79+Config!$B$4*$P79)/(Q79+Config!$B$4))</f>
        <v>0.316363636363636</v>
      </c>
      <c r="V79" s="17" t="n">
        <f aca="false">IF(OR(T79="",$J79=""),"",T79*$J79*($J79/Config!$B$10)^Config!$B$9)</f>
        <v>16.0663636363636</v>
      </c>
      <c r="W79" s="17" t="n">
        <f aca="false">IF(OR(V79="",U79=""),"",V79*U79)</f>
        <v>5.0828132231405</v>
      </c>
      <c r="X79" s="9" t="n">
        <f aca="false">IF($H79="",0,SUMIFS(Map_Stats!$F$2:$F$642,Map_Stats!$A$2:$A$642,$F79&amp;"|"&amp;$H79))</f>
        <v>7</v>
      </c>
      <c r="Y79" s="13" t="n">
        <f aca="false">IF($H79="","",IFERROR(1/(1/INDEX(Map_Stats!$K$2:$K$642,MATCH($F79&amp;"|"&amp;$H79,Map_Stats!$A$2:$A$642,0))),$O79))</f>
        <v>0.68</v>
      </c>
      <c r="Z79" s="10" t="n">
        <f aca="false">IF(OR($H79="",$P79=""),"",IFERROR(1/(1/INDEX(Map_Stats!$I$2:$I$642,MATCH($F79&amp;"|"&amp;$H79,Map_Stats!$A$2:$A$642,0))),$P79))</f>
        <v>0.343</v>
      </c>
      <c r="AA79" s="13" t="n">
        <f aca="false">IF(OR($H79="",Y79=""),"",IF($O79="",Y79,(X79*Y79+Config!$B$4*$O79)/(X79+Config!$B$4)))</f>
        <v>0.721666666666667</v>
      </c>
      <c r="AB79" s="10" t="n">
        <f aca="false">IF(Z79="","",(X79*Z79+Config!$B$4*$P79)/(X79+Config!$B$4))</f>
        <v>0.335083333333333</v>
      </c>
      <c r="AC79" s="17" t="n">
        <f aca="false">IF(OR(AA79="",$K79=""),"",AA79*$K79*($K79/Config!$B$10)^Config!$B$9)</f>
        <v>15.4148</v>
      </c>
      <c r="AD79" s="17" t="n">
        <f aca="false">IF(OR(AC79="",AB79=""),"",AC79*AB79)</f>
        <v>5.16524256666667</v>
      </c>
      <c r="AE79" s="9" t="n">
        <f aca="false">IF($I79="",0,SUMIFS(Map_Stats!$F$2:$F$642,Map_Stats!$A$2:$A$642,$F79&amp;"|"&amp;$I79))</f>
        <v>10</v>
      </c>
      <c r="AF79" s="13" t="n">
        <f aca="false">IF($I79="","",IFERROR(1/(1/INDEX(Map_Stats!$K$2:$K$642,MATCH($F79&amp;"|"&amp;$I79,Map_Stats!$A$2:$A$642,0))),$O79))</f>
        <v>0.87</v>
      </c>
      <c r="AG79" s="10" t="n">
        <f aca="false">IF(OR($I79="",$P79=""),"",IFERROR(1/(1/INDEX(Map_Stats!$I$2:$I$642,MATCH($F79&amp;"|"&amp;$I79,Map_Stats!$A$2:$A$642,0))),$P79))</f>
        <v>0.366</v>
      </c>
      <c r="AH79" s="13" t="n">
        <f aca="false">IF(OR($I79="",AF79=""),"",IF($O79="",AF79,(AE79*AF79+Config!$B$4*$O79)/(AE79+Config!$B$4)))</f>
        <v>0.84</v>
      </c>
      <c r="AI79" s="10" t="n">
        <f aca="false">IF(AG79="","",(AE79*AG79+Config!$B$4*$P79)/(AE79+Config!$B$4))</f>
        <v>0.352</v>
      </c>
      <c r="AJ79" s="17" t="n">
        <f aca="false">IF(OR(AH79="",$L79=""),"",AH79*$L79*($L79/Config!$B$10)^Config!$B$9)</f>
        <v>17.9928</v>
      </c>
      <c r="AK79" s="17" t="n">
        <f aca="false">IF(OR(AJ79="",AI79=""),"",AJ79*AI79)</f>
        <v>6.3334656</v>
      </c>
      <c r="AL79" s="17" t="n">
        <f aca="false">N(V79)+N(AC79)</f>
        <v>31.4811636363636</v>
      </c>
      <c r="AM79" s="17" t="n">
        <f aca="false">AL79+N($M79)*N(AJ79)</f>
        <v>40.4289830763636</v>
      </c>
      <c r="AN79" s="17" t="n">
        <f aca="false">IF(W79="","",N(W79)+N(AD79))</f>
        <v>10.2480557898072</v>
      </c>
      <c r="AO79" s="17" t="n">
        <f aca="false">IF(AN79="","",AN79+N($M79)*N(AK79))</f>
        <v>13.3976882326872</v>
      </c>
      <c r="AP79" s="10" t="n">
        <f aca="false">IFERROR(AN79/AL79,"")</f>
        <v>0.325529764661231</v>
      </c>
      <c r="AQ79" s="0" t="str">
        <f aca="false">TRIM(IF($N79&lt;Config!$B$12,"thin sample ("&amp;$N79&amp;" maps) · ","")&amp;IF(AND($G79&lt;&gt;"",Q79=0),"M1 unplayed→overall KPR · ","")&amp;IF(AND($H79&lt;&gt;"",X79=0),"M2 unplayed→overall KPR · ","")&amp;IF($O79="","no PickFinder stats",""))</f>
        <v/>
      </c>
      <c r="AR79" s="0" t="str">
        <f aca="false">IF($C79=Board!$B$2,COUNTIFS($C$2:$C$105,Board!$B$2,$AL$2:$AL$105,"&gt;"&amp;$AL79)+COUNTIFS($C$1:$C78,Board!$B$2,$AL$1:$AL78,$AL79)+1,"")</f>
        <v/>
      </c>
      <c r="AS79" s="0" t="str">
        <f aca="false">IFERROR(IF($D79=INDEX(Matches!$AD$5:$AD$17,MATCH($C79,Matches!$A$5:$A$17,0)),"A",IF($D79=INDEX(Matches!$AE$5:$AE$17,MATCH($C79,Matches!$A$5:$A$17,0)),"B","")),"")</f>
        <v>B</v>
      </c>
      <c r="AT79" s="10" t="n">
        <f aca="false">IF($AS79="","",IFERROR(IF($AS79="A",INDEX(Matches!$AI$5:$AI$17,MATCH($C79,Matches!$A$5:$A$17,0)),INDEX(Matches!$AJ$5:$AJ$17,MATCH($C79,Matches!$A$5:$A$17,0))),""))</f>
        <v>0.428553676690707</v>
      </c>
      <c r="AU79" s="10" t="n">
        <f aca="false">IF($AS79="","",IFERROR(IF(INDEX(Matches!$AP$5:$AP$17,MATCH($C79,Matches!$A$5:$A$17,0))="","",IF($AS79="A",INDEX(Matches!$AP$5:$AP$17,MATCH($C79,Matches!$A$5:$A$17,0)),1-INDEX(Matches!$AP$5:$AP$17,MATCH($C79,Matches!$A$5:$A$17,0)))),""))</f>
        <v>0.487687377421903</v>
      </c>
      <c r="AV79" s="13" t="n">
        <f aca="false">IF(OR($AU79="",$AT79=""),1,((Config!$B$14*$AU79+Config!$B$15*(1-$AU79))/(Config!$B$14*$AT79+Config!$B$15*(1-$AT79)))^Config!$B$13)</f>
        <v>1.0564467617325</v>
      </c>
      <c r="AW79" s="10" t="n">
        <f aca="false">IF($AS79="","",IFERROR(IF(INDEX(Matches!$AV$5:$AV$17,MATCH($C79,Matches!$A$5:$A$17,0))="","",IF($AS79="A",INDEX(Matches!$AV$5:$AV$17,MATCH($C79,Matches!$A$5:$A$17,0)),1-INDEX(Matches!$AV$5:$AV$17,MATCH($C79,Matches!$A$5:$A$17,0)))),""))</f>
        <v>0.507366317756529</v>
      </c>
      <c r="AX79" s="13" t="n">
        <f aca="false">IF(OR($AW79="",$AT79=""),1,((Config!$B$14*$AW79+Config!$B$15*(1-$AW79))/(Config!$B$14*$AT79+Config!$B$15*(1-$AT79)))^Config!$B$13)</f>
        <v>1.07523152308654</v>
      </c>
      <c r="AY79" s="10" t="n">
        <f aca="false">IF($AS79="","",IFERROR(IF(INDEX(Matches!$BB$5:$BB$17,MATCH($C79,Matches!$A$5:$A$17,0))="","",IF($AS79="A",INDEX(Matches!$BB$5:$BB$17,MATCH($C79,Matches!$A$5:$A$17,0)),1-INDEX(Matches!$BB$5:$BB$17,MATCH($C79,Matches!$A$5:$A$17,0)))),""))</f>
        <v>0.477576987448466</v>
      </c>
      <c r="AZ79" s="13" t="n">
        <f aca="false">IF(OR($AY79="",$AT79=""),1,((Config!$B$14*$AY79+Config!$B$15*(1-$AY79))/(Config!$B$14*$AT79+Config!$B$15*(1-$AT79)))^Config!$B$13)</f>
        <v>1.04679577140386</v>
      </c>
      <c r="BA79" s="17" t="n">
        <f aca="false">IF(V79="","",V79*$AV79)</f>
        <v>16.9732578364531</v>
      </c>
      <c r="BB79" s="17" t="n">
        <f aca="false">IF(AC79="","",AC79*$AX79)</f>
        <v>16.5744788820743</v>
      </c>
      <c r="BC79" s="17" t="n">
        <f aca="false">IF(AJ79="","",AJ79*$AZ79)</f>
        <v>18.8347869557154</v>
      </c>
      <c r="BD79" s="17" t="n">
        <f aca="false">N(BA79)+N(BB79)</f>
        <v>33.5477367185274</v>
      </c>
      <c r="BE79" s="17" t="n">
        <f aca="false">BD79+N($M79)*N(BC79)</f>
        <v>42.9142762716047</v>
      </c>
      <c r="BF79" s="17" t="n">
        <f aca="false">IF(W79="","",W79*$AV79)</f>
        <v>5.36972157007789</v>
      </c>
      <c r="BG79" s="17" t="n">
        <f aca="false">IF(AD79="","",AD79*$AX79)</f>
        <v>5.55383163206841</v>
      </c>
      <c r="BH79" s="17" t="n">
        <f aca="false">IF(AK79="","",AK79*$AZ79)</f>
        <v>6.62984500841182</v>
      </c>
      <c r="BI79" s="17" t="n">
        <f aca="false">IF(BF79="","",N(BF79)+N(BG79))</f>
        <v>10.9235532021463</v>
      </c>
      <c r="BJ79" s="17" t="n">
        <f aca="false">IF(BI79="","",BI79+N($M79)*N(BH79))</f>
        <v>14.2205751248295</v>
      </c>
      <c r="BK79" s="13" t="n">
        <f aca="false">IFERROR(BD79/AL79,1)</f>
        <v>1.06564474890556</v>
      </c>
    </row>
    <row r="80" customFormat="false" ht="15" hidden="false" customHeight="false" outlineLevel="0" collapsed="false">
      <c r="A80" s="0" t="s">
        <v>1062</v>
      </c>
      <c r="B80" s="0" t="s">
        <v>775</v>
      </c>
      <c r="C80" s="0" t="s">
        <v>785</v>
      </c>
      <c r="D80" s="0" t="s">
        <v>791</v>
      </c>
      <c r="E80" s="0" t="s">
        <v>1061</v>
      </c>
      <c r="F80" s="0" t="s">
        <v>1245</v>
      </c>
      <c r="G80" s="0" t="str">
        <f aca="false">IFERROR(IF(INDEX(Matches!$W$5:$W$17,MATCH($C80,Matches!$A$5:$A$17,0))="","",INDEX(Matches!$W$5:$W$17,MATCH($C80,Matches!$A$5:$A$17,0))),"")</f>
        <v>Ancient</v>
      </c>
      <c r="H80" s="0" t="str">
        <f aca="false">IFERROR(IF(INDEX(Matches!$X$5:$X$17,MATCH($C80,Matches!$A$5:$A$17,0))="","",INDEX(Matches!$X$5:$X$17,MATCH($C80,Matches!$A$5:$A$17,0))),"")</f>
        <v>Dust2</v>
      </c>
      <c r="I80" s="0" t="str">
        <f aca="false">IFERROR(IF(INDEX(Matches!$Y$5:$Y$17,MATCH($C80,Matches!$A$5:$A$17,0))="","",INDEX(Matches!$Y$5:$Y$17,MATCH($C80,Matches!$A$5:$A$17,0))),"")</f>
        <v>Inferno</v>
      </c>
      <c r="J80" s="11" t="n">
        <f aca="false">IFERROR(IF(INDEX(Matches!$Z$5:$Z$17,MATCH($C80,Matches!$A$5:$A$17,0))="","",INDEX(Matches!$Z$5:$Z$17,MATCH($C80,Matches!$A$5:$A$17,0))),"")</f>
        <v>21.5</v>
      </c>
      <c r="K80" s="11" t="n">
        <f aca="false">IFERROR(IF(INDEX(Matches!$AA$5:$AA$17,MATCH($C80,Matches!$A$5:$A$17,0))="","",INDEX(Matches!$AA$5:$AA$17,MATCH($C80,Matches!$A$5:$A$17,0))),"")</f>
        <v>21.36</v>
      </c>
      <c r="L80" s="11" t="n">
        <f aca="false">IFERROR(IF(INDEX(Matches!$AB$5:$AB$17,MATCH($C80,Matches!$A$5:$A$17,0))="","",INDEX(Matches!$AB$5:$AB$17,MATCH($C80,Matches!$A$5:$A$17,0))),"")</f>
        <v>21.42</v>
      </c>
      <c r="M80" s="10" t="n">
        <f aca="false">IFERROR(IF(INDEX(Matches!$AC$5:$AC$17,MATCH($C80,Matches!$A$5:$A$17,0))="","",INDEX(Matches!$AC$5:$AC$17,MATCH($C80,Matches!$A$5:$A$17,0))),"")</f>
        <v>0.4973</v>
      </c>
      <c r="N80" s="9" t="n">
        <f aca="false">IFERROR(INDEX(Players!$F$2:$F$105,MATCH($F80,Players!$A$2:$A$105,0)),0)</f>
        <v>34</v>
      </c>
      <c r="O80" s="13" t="n">
        <f aca="false">IFERROR(1/(1/INDEX(Players!$H$2:$H$105,MATCH($F80,Players!$A$2:$A$105,0))),"")</f>
        <v>0.57</v>
      </c>
      <c r="P80" s="10" t="n">
        <f aca="false">IFERROR(1/(1/INDEX(Players!$I$2:$I$105,MATCH($F80,Players!$A$2:$A$105,0))),"")</f>
        <v>0.501</v>
      </c>
      <c r="Q80" s="9" t="n">
        <f aca="false">IF($G80="",0,SUMIFS(Map_Stats!$F$2:$F$642,Map_Stats!$A$2:$A$642,$F80&amp;"|"&amp;$G80))</f>
        <v>7</v>
      </c>
      <c r="R80" s="13" t="n">
        <f aca="false">IF($G80="","",IFERROR(1/(1/INDEX(Map_Stats!$K$2:$K$642,MATCH($F80&amp;"|"&amp;$G80,Map_Stats!$A$2:$A$642,0))),$O80))</f>
        <v>0.64</v>
      </c>
      <c r="S80" s="10" t="n">
        <f aca="false">IF(OR($G80="",$P80=""),"",IFERROR(1/(1/INDEX(Map_Stats!$I$2:$I$642,MATCH($F80&amp;"|"&amp;$G80,Map_Stats!$A$2:$A$642,0))),$P80))</f>
        <v>0.449</v>
      </c>
      <c r="T80" s="13" t="n">
        <f aca="false">IF(OR($G80="",R80=""),"",IF($O80="",R80,(Q80*R80+Config!$B$4*$O80)/(Q80+Config!$B$4)))</f>
        <v>0.610833333333333</v>
      </c>
      <c r="U80" s="10" t="n">
        <f aca="false">IF(S80="","",(Q80*S80+Config!$B$4*$P80)/(Q80+Config!$B$4))</f>
        <v>0.470666666666667</v>
      </c>
      <c r="V80" s="17" t="n">
        <f aca="false">IF(OR(T80="",$J80=""),"",T80*$J80*($J80/Config!$B$10)^Config!$B$9)</f>
        <v>13.1329166666667</v>
      </c>
      <c r="W80" s="17" t="n">
        <f aca="false">IF(OR(V80="",U80=""),"",V80*U80)</f>
        <v>6.18122611111111</v>
      </c>
      <c r="X80" s="9" t="n">
        <f aca="false">IF($H80="",0,SUMIFS(Map_Stats!$F$2:$F$642,Map_Stats!$A$2:$A$642,$F80&amp;"|"&amp;$H80))</f>
        <v>6</v>
      </c>
      <c r="Y80" s="13" t="n">
        <f aca="false">IF($H80="","",IFERROR(1/(1/INDEX(Map_Stats!$K$2:$K$642,MATCH($F80&amp;"|"&amp;$H80,Map_Stats!$A$2:$A$642,0))),$O80))</f>
        <v>0.52</v>
      </c>
      <c r="Z80" s="10" t="n">
        <f aca="false">IF(OR($H80="",$P80=""),"",IFERROR(1/(1/INDEX(Map_Stats!$I$2:$I$642,MATCH($F80&amp;"|"&amp;$H80,Map_Stats!$A$2:$A$642,0))),$P80))</f>
        <v>0.606</v>
      </c>
      <c r="AA80" s="13" t="n">
        <f aca="false">IF(OR($H80="",Y80=""),"",IF($O80="",Y80,(X80*Y80+Config!$B$4*$O80)/(X80+Config!$B$4)))</f>
        <v>0.542727272727273</v>
      </c>
      <c r="AB80" s="10" t="n">
        <f aca="false">IF(Z80="","",(X80*Z80+Config!$B$4*$P80)/(X80+Config!$B$4))</f>
        <v>0.558272727272727</v>
      </c>
      <c r="AC80" s="17" t="n">
        <f aca="false">IF(OR(AA80="",$K80=""),"",AA80*$K80*($K80/Config!$B$10)^Config!$B$9)</f>
        <v>11.5926545454545</v>
      </c>
      <c r="AD80" s="17" t="n">
        <f aca="false">IF(OR(AC80="",AB80=""),"",AC80*AB80)</f>
        <v>6.47186286942149</v>
      </c>
      <c r="AE80" s="9" t="n">
        <f aca="false">IF($I80="",0,SUMIFS(Map_Stats!$F$2:$F$642,Map_Stats!$A$2:$A$642,$F80&amp;"|"&amp;$I80))</f>
        <v>13</v>
      </c>
      <c r="AF80" s="13" t="n">
        <f aca="false">IF($I80="","",IFERROR(1/(1/INDEX(Map_Stats!$K$2:$K$642,MATCH($F80&amp;"|"&amp;$I80,Map_Stats!$A$2:$A$642,0))),$O80))</f>
        <v>0.57</v>
      </c>
      <c r="AG80" s="10" t="n">
        <f aca="false">IF(OR($I80="",$P80=""),"",IFERROR(1/(1/INDEX(Map_Stats!$I$2:$I$642,MATCH($F80&amp;"|"&amp;$I80,Map_Stats!$A$2:$A$642,0))),$P80))</f>
        <v>0.44</v>
      </c>
      <c r="AH80" s="13" t="n">
        <f aca="false">IF(OR($I80="",AF80=""),"",IF($O80="",AF80,(AE80*AF80+Config!$B$4*$O80)/(AE80+Config!$B$4)))</f>
        <v>0.57</v>
      </c>
      <c r="AI80" s="10" t="n">
        <f aca="false">IF(AG80="","",(AE80*AG80+Config!$B$4*$P80)/(AE80+Config!$B$4))</f>
        <v>0.456944444444444</v>
      </c>
      <c r="AJ80" s="17" t="n">
        <f aca="false">IF(OR(AH80="",$L80=""),"",AH80*$L80*($L80/Config!$B$10)^Config!$B$9)</f>
        <v>12.2094</v>
      </c>
      <c r="AK80" s="17" t="n">
        <f aca="false">IF(OR(AJ80="",AI80=""),"",AJ80*AI80)</f>
        <v>5.5790175</v>
      </c>
      <c r="AL80" s="17" t="n">
        <f aca="false">N(V80)+N(AC80)</f>
        <v>24.7255712121212</v>
      </c>
      <c r="AM80" s="17" t="n">
        <f aca="false">AL80+N($M80)*N(AJ80)</f>
        <v>30.7973058321212</v>
      </c>
      <c r="AN80" s="17" t="n">
        <f aca="false">IF(W80="","",N(W80)+N(AD80))</f>
        <v>12.6530889805326</v>
      </c>
      <c r="AO80" s="17" t="n">
        <f aca="false">IF(AN80="","",AN80+N($M80)*N(AK80))</f>
        <v>15.4275343832826</v>
      </c>
      <c r="AP80" s="10" t="n">
        <f aca="false">IFERROR(AN80/AL80,"")</f>
        <v>0.511741017911436</v>
      </c>
      <c r="AQ80" s="0" t="str">
        <f aca="false">TRIM(IF($N80&lt;Config!$B$12,"thin sample ("&amp;$N80&amp;" maps) · ","")&amp;IF(AND($G80&lt;&gt;"",Q80=0),"M1 unplayed→overall KPR · ","")&amp;IF(AND($H80&lt;&gt;"",X80=0),"M2 unplayed→overall KPR · ","")&amp;IF($O80="","no PickFinder stats",""))</f>
        <v/>
      </c>
      <c r="AR80" s="0" t="str">
        <f aca="false">IF($C80=Board!$B$2,COUNTIFS($C$2:$C$105,Board!$B$2,$AL$2:$AL$105,"&gt;"&amp;$AL80)+COUNTIFS($C$1:$C79,Board!$B$2,$AL$1:$AL79,$AL80)+1,"")</f>
        <v/>
      </c>
      <c r="AS80" s="0" t="str">
        <f aca="false">IFERROR(IF($D80=INDEX(Matches!$AD$5:$AD$17,MATCH($C80,Matches!$A$5:$A$17,0)),"A",IF($D80=INDEX(Matches!$AE$5:$AE$17,MATCH($C80,Matches!$A$5:$A$17,0)),"B","")),"")</f>
        <v>B</v>
      </c>
      <c r="AT80" s="10" t="n">
        <f aca="false">IF($AS80="","",IFERROR(IF($AS80="A",INDEX(Matches!$AI$5:$AI$17,MATCH($C80,Matches!$A$5:$A$17,0)),INDEX(Matches!$AJ$5:$AJ$17,MATCH($C80,Matches!$A$5:$A$17,0))),""))</f>
        <v>0.428553676690707</v>
      </c>
      <c r="AU80" s="10" t="n">
        <f aca="false">IF($AS80="","",IFERROR(IF(INDEX(Matches!$AP$5:$AP$17,MATCH($C80,Matches!$A$5:$A$17,0))="","",IF($AS80="A",INDEX(Matches!$AP$5:$AP$17,MATCH($C80,Matches!$A$5:$A$17,0)),1-INDEX(Matches!$AP$5:$AP$17,MATCH($C80,Matches!$A$5:$A$17,0)))),""))</f>
        <v>0.487687377421903</v>
      </c>
      <c r="AV80" s="13" t="n">
        <f aca="false">IF(OR($AU80="",$AT80=""),1,((Config!$B$14*$AU80+Config!$B$15*(1-$AU80))/(Config!$B$14*$AT80+Config!$B$15*(1-$AT80)))^Config!$B$13)</f>
        <v>1.0564467617325</v>
      </c>
      <c r="AW80" s="10" t="n">
        <f aca="false">IF($AS80="","",IFERROR(IF(INDEX(Matches!$AV$5:$AV$17,MATCH($C80,Matches!$A$5:$A$17,0))="","",IF($AS80="A",INDEX(Matches!$AV$5:$AV$17,MATCH($C80,Matches!$A$5:$A$17,0)),1-INDEX(Matches!$AV$5:$AV$17,MATCH($C80,Matches!$A$5:$A$17,0)))),""))</f>
        <v>0.507366317756529</v>
      </c>
      <c r="AX80" s="13" t="n">
        <f aca="false">IF(OR($AW80="",$AT80=""),1,((Config!$B$14*$AW80+Config!$B$15*(1-$AW80))/(Config!$B$14*$AT80+Config!$B$15*(1-$AT80)))^Config!$B$13)</f>
        <v>1.07523152308654</v>
      </c>
      <c r="AY80" s="10" t="n">
        <f aca="false">IF($AS80="","",IFERROR(IF(INDEX(Matches!$BB$5:$BB$17,MATCH($C80,Matches!$A$5:$A$17,0))="","",IF($AS80="A",INDEX(Matches!$BB$5:$BB$17,MATCH($C80,Matches!$A$5:$A$17,0)),1-INDEX(Matches!$BB$5:$BB$17,MATCH($C80,Matches!$A$5:$A$17,0)))),""))</f>
        <v>0.477576987448466</v>
      </c>
      <c r="AZ80" s="13" t="n">
        <f aca="false">IF(OR($AY80="",$AT80=""),1,((Config!$B$14*$AY80+Config!$B$15*(1-$AY80))/(Config!$B$14*$AT80+Config!$B$15*(1-$AT80)))^Config!$B$13)</f>
        <v>1.04679577140386</v>
      </c>
      <c r="BA80" s="17" t="n">
        <f aca="false">IF(V80="","",V80*$AV80)</f>
        <v>13.8742272846027</v>
      </c>
      <c r="BB80" s="17" t="n">
        <f aca="false">IF(AC80="","",AC80*$AX80)</f>
        <v>12.4647876035251</v>
      </c>
      <c r="BC80" s="17" t="n">
        <f aca="false">IF(AJ80="","",AJ80*$AZ80)</f>
        <v>12.7807482913783</v>
      </c>
      <c r="BD80" s="17" t="n">
        <f aca="false">N(BA80)+N(BB80)</f>
        <v>26.3390148881279</v>
      </c>
      <c r="BE80" s="17" t="n">
        <f aca="false">BD80+N($M80)*N(BC80)</f>
        <v>32.6948810134303</v>
      </c>
      <c r="BF80" s="17" t="n">
        <f aca="false">IF(W80="","",W80*$AV80)</f>
        <v>6.53013630861969</v>
      </c>
      <c r="BG80" s="17" t="n">
        <f aca="false">IF(AD80="","",AD80*$AX80)</f>
        <v>6.95875097029526</v>
      </c>
      <c r="BH80" s="17" t="n">
        <f aca="false">IF(AK80="","",AK80*$AZ80)</f>
        <v>5.84009192758814</v>
      </c>
      <c r="BI80" s="17" t="n">
        <f aca="false">IF(BF80="","",N(BF80)+N(BG80))</f>
        <v>13.4888872789149</v>
      </c>
      <c r="BJ80" s="17" t="n">
        <f aca="false">IF(BI80="","",BI80+N($M80)*N(BH80))</f>
        <v>16.3931649945045</v>
      </c>
      <c r="BK80" s="13" t="n">
        <f aca="false">IFERROR(BD80/AL80,1)</f>
        <v>1.06525405064113</v>
      </c>
    </row>
    <row r="81" customFormat="false" ht="15" hidden="false" customHeight="false" outlineLevel="0" collapsed="false">
      <c r="A81" s="0" t="s">
        <v>1064</v>
      </c>
      <c r="B81" s="0" t="s">
        <v>775</v>
      </c>
      <c r="C81" s="0" t="s">
        <v>785</v>
      </c>
      <c r="D81" s="0" t="s">
        <v>791</v>
      </c>
      <c r="E81" s="0" t="s">
        <v>1063</v>
      </c>
      <c r="F81" s="0" t="s">
        <v>1246</v>
      </c>
      <c r="G81" s="0" t="str">
        <f aca="false">IFERROR(IF(INDEX(Matches!$W$5:$W$17,MATCH($C81,Matches!$A$5:$A$17,0))="","",INDEX(Matches!$W$5:$W$17,MATCH($C81,Matches!$A$5:$A$17,0))),"")</f>
        <v>Ancient</v>
      </c>
      <c r="H81" s="0" t="str">
        <f aca="false">IFERROR(IF(INDEX(Matches!$X$5:$X$17,MATCH($C81,Matches!$A$5:$A$17,0))="","",INDEX(Matches!$X$5:$X$17,MATCH($C81,Matches!$A$5:$A$17,0))),"")</f>
        <v>Dust2</v>
      </c>
      <c r="I81" s="0" t="str">
        <f aca="false">IFERROR(IF(INDEX(Matches!$Y$5:$Y$17,MATCH($C81,Matches!$A$5:$A$17,0))="","",INDEX(Matches!$Y$5:$Y$17,MATCH($C81,Matches!$A$5:$A$17,0))),"")</f>
        <v>Inferno</v>
      </c>
      <c r="J81" s="11" t="n">
        <f aca="false">IFERROR(IF(INDEX(Matches!$Z$5:$Z$17,MATCH($C81,Matches!$A$5:$A$17,0))="","",INDEX(Matches!$Z$5:$Z$17,MATCH($C81,Matches!$A$5:$A$17,0))),"")</f>
        <v>21.5</v>
      </c>
      <c r="K81" s="11" t="n">
        <f aca="false">IFERROR(IF(INDEX(Matches!$AA$5:$AA$17,MATCH($C81,Matches!$A$5:$A$17,0))="","",INDEX(Matches!$AA$5:$AA$17,MATCH($C81,Matches!$A$5:$A$17,0))),"")</f>
        <v>21.36</v>
      </c>
      <c r="L81" s="11" t="n">
        <f aca="false">IFERROR(IF(INDEX(Matches!$AB$5:$AB$17,MATCH($C81,Matches!$A$5:$A$17,0))="","",INDEX(Matches!$AB$5:$AB$17,MATCH($C81,Matches!$A$5:$A$17,0))),"")</f>
        <v>21.42</v>
      </c>
      <c r="M81" s="10" t="n">
        <f aca="false">IFERROR(IF(INDEX(Matches!$AC$5:$AC$17,MATCH($C81,Matches!$A$5:$A$17,0))="","",INDEX(Matches!$AC$5:$AC$17,MATCH($C81,Matches!$A$5:$A$17,0))),"")</f>
        <v>0.4973</v>
      </c>
      <c r="N81" s="9" t="n">
        <f aca="false">IFERROR(INDEX(Players!$F$2:$F$105,MATCH($F81,Players!$A$2:$A$105,0)),0)</f>
        <v>34</v>
      </c>
      <c r="O81" s="13" t="n">
        <f aca="false">IFERROR(1/(1/INDEX(Players!$H$2:$H$105,MATCH($F81,Players!$A$2:$A$105,0))),"")</f>
        <v>0.55</v>
      </c>
      <c r="P81" s="10" t="n">
        <f aca="false">IFERROR(1/(1/INDEX(Players!$I$2:$I$105,MATCH($F81,Players!$A$2:$A$105,0))),"")</f>
        <v>0.614</v>
      </c>
      <c r="Q81" s="9" t="n">
        <f aca="false">IF($G81="",0,SUMIFS(Map_Stats!$F$2:$F$642,Map_Stats!$A$2:$A$642,$F81&amp;"|"&amp;$G81))</f>
        <v>7</v>
      </c>
      <c r="R81" s="13" t="n">
        <f aca="false">IF($G81="","",IFERROR(1/(1/INDEX(Map_Stats!$K$2:$K$642,MATCH($F81&amp;"|"&amp;$G81,Map_Stats!$A$2:$A$642,0))),$O81))</f>
        <v>0.57</v>
      </c>
      <c r="S81" s="10" t="n">
        <f aca="false">IF(OR($G81="",$P81=""),"",IFERROR(1/(1/INDEX(Map_Stats!$I$2:$I$642,MATCH($F81&amp;"|"&amp;$G81,Map_Stats!$A$2:$A$642,0))),$P81))</f>
        <v>0.659</v>
      </c>
      <c r="T81" s="13" t="n">
        <f aca="false">IF(OR($G81="",R81=""),"",IF($O81="",R81,(Q81*R81+Config!$B$4*$O81)/(Q81+Config!$B$4)))</f>
        <v>0.561666666666667</v>
      </c>
      <c r="U81" s="10" t="n">
        <f aca="false">IF(S81="","",(Q81*S81+Config!$B$4*$P81)/(Q81+Config!$B$4))</f>
        <v>0.64025</v>
      </c>
      <c r="V81" s="17" t="n">
        <f aca="false">IF(OR(T81="",$J81=""),"",T81*$J81*($J81/Config!$B$10)^Config!$B$9)</f>
        <v>12.0758333333333</v>
      </c>
      <c r="W81" s="17" t="n">
        <f aca="false">IF(OR(V81="",U81=""),"",V81*U81)</f>
        <v>7.73155229166667</v>
      </c>
      <c r="X81" s="9" t="n">
        <f aca="false">IF($H81="",0,SUMIFS(Map_Stats!$F$2:$F$642,Map_Stats!$A$2:$A$642,$F81&amp;"|"&amp;$H81))</f>
        <v>6</v>
      </c>
      <c r="Y81" s="13" t="n">
        <f aca="false">IF($H81="","",IFERROR(1/(1/INDEX(Map_Stats!$K$2:$K$642,MATCH($F81&amp;"|"&amp;$H81,Map_Stats!$A$2:$A$642,0))),$O81))</f>
        <v>0.49</v>
      </c>
      <c r="Z81" s="10" t="n">
        <f aca="false">IF(OR($H81="",$P81=""),"",IFERROR(1/(1/INDEX(Map_Stats!$I$2:$I$642,MATCH($F81&amp;"|"&amp;$H81,Map_Stats!$A$2:$A$642,0))),$P81))</f>
        <v>0.582</v>
      </c>
      <c r="AA81" s="13" t="n">
        <f aca="false">IF(OR($H81="",Y81=""),"",IF($O81="",Y81,(X81*Y81+Config!$B$4*$O81)/(X81+Config!$B$4)))</f>
        <v>0.517272727272727</v>
      </c>
      <c r="AB81" s="10" t="n">
        <f aca="false">IF(Z81="","",(X81*Z81+Config!$B$4*$P81)/(X81+Config!$B$4))</f>
        <v>0.596545454545455</v>
      </c>
      <c r="AC81" s="17" t="n">
        <f aca="false">IF(OR(AA81="",$K81=""),"",AA81*$K81*($K81/Config!$B$10)^Config!$B$9)</f>
        <v>11.0489454545455</v>
      </c>
      <c r="AD81" s="17" t="n">
        <f aca="false">IF(OR(AC81="",AB81=""),"",AC81*AB81)</f>
        <v>6.59119818842975</v>
      </c>
      <c r="AE81" s="9" t="n">
        <f aca="false">IF($I81="",0,SUMIFS(Map_Stats!$F$2:$F$642,Map_Stats!$A$2:$A$642,$F81&amp;"|"&amp;$I81))</f>
        <v>13</v>
      </c>
      <c r="AF81" s="13" t="n">
        <f aca="false">IF($I81="","",IFERROR(1/(1/INDEX(Map_Stats!$K$2:$K$642,MATCH($F81&amp;"|"&amp;$I81,Map_Stats!$A$2:$A$642,0))),$O81))</f>
        <v>0.55</v>
      </c>
      <c r="AG81" s="10" t="n">
        <f aca="false">IF(OR($I81="",$P81=""),"",IFERROR(1/(1/INDEX(Map_Stats!$I$2:$I$642,MATCH($F81&amp;"|"&amp;$I81,Map_Stats!$A$2:$A$642,0))),$P81))</f>
        <v>0.602</v>
      </c>
      <c r="AH81" s="13" t="n">
        <f aca="false">IF(OR($I81="",AF81=""),"",IF($O81="",AF81,(AE81*AF81+Config!$B$4*$O81)/(AE81+Config!$B$4)))</f>
        <v>0.55</v>
      </c>
      <c r="AI81" s="10" t="n">
        <f aca="false">IF(AG81="","",(AE81*AG81+Config!$B$4*$P81)/(AE81+Config!$B$4))</f>
        <v>0.605333333333333</v>
      </c>
      <c r="AJ81" s="17" t="n">
        <f aca="false">IF(OR(AH81="",$L81=""),"",AH81*$L81*($L81/Config!$B$10)^Config!$B$9)</f>
        <v>11.781</v>
      </c>
      <c r="AK81" s="17" t="n">
        <f aca="false">IF(OR(AJ81="",AI81=""),"",AJ81*AI81)</f>
        <v>7.131432</v>
      </c>
      <c r="AL81" s="17" t="n">
        <f aca="false">N(V81)+N(AC81)</f>
        <v>23.1247787878788</v>
      </c>
      <c r="AM81" s="17" t="n">
        <f aca="false">AL81+N($M81)*N(AJ81)</f>
        <v>28.9834700878788</v>
      </c>
      <c r="AN81" s="17" t="n">
        <f aca="false">IF(W81="","",N(W81)+N(AD81))</f>
        <v>14.3227504800964</v>
      </c>
      <c r="AO81" s="17" t="n">
        <f aca="false">IF(AN81="","",AN81+N($M81)*N(AK81))</f>
        <v>17.8692116136964</v>
      </c>
      <c r="AP81" s="10" t="n">
        <f aca="false">IFERROR(AN81/AL81,"")</f>
        <v>0.619368107754783</v>
      </c>
      <c r="AQ81" s="0" t="str">
        <f aca="false">TRIM(IF($N81&lt;Config!$B$12,"thin sample ("&amp;$N81&amp;" maps) · ","")&amp;IF(AND($G81&lt;&gt;"",Q81=0),"M1 unplayed→overall KPR · ","")&amp;IF(AND($H81&lt;&gt;"",X81=0),"M2 unplayed→overall KPR · ","")&amp;IF($O81="","no PickFinder stats",""))</f>
        <v/>
      </c>
      <c r="AR81" s="0" t="str">
        <f aca="false">IF($C81=Board!$B$2,COUNTIFS($C$2:$C$105,Board!$B$2,$AL$2:$AL$105,"&gt;"&amp;$AL81)+COUNTIFS($C$1:$C80,Board!$B$2,$AL$1:$AL80,$AL81)+1,"")</f>
        <v/>
      </c>
      <c r="AS81" s="0" t="str">
        <f aca="false">IFERROR(IF($D81=INDEX(Matches!$AD$5:$AD$17,MATCH($C81,Matches!$A$5:$A$17,0)),"A",IF($D81=INDEX(Matches!$AE$5:$AE$17,MATCH($C81,Matches!$A$5:$A$17,0)),"B","")),"")</f>
        <v>B</v>
      </c>
      <c r="AT81" s="10" t="n">
        <f aca="false">IF($AS81="","",IFERROR(IF($AS81="A",INDEX(Matches!$AI$5:$AI$17,MATCH($C81,Matches!$A$5:$A$17,0)),INDEX(Matches!$AJ$5:$AJ$17,MATCH($C81,Matches!$A$5:$A$17,0))),""))</f>
        <v>0.428553676690707</v>
      </c>
      <c r="AU81" s="10" t="n">
        <f aca="false">IF($AS81="","",IFERROR(IF(INDEX(Matches!$AP$5:$AP$17,MATCH($C81,Matches!$A$5:$A$17,0))="","",IF($AS81="A",INDEX(Matches!$AP$5:$AP$17,MATCH($C81,Matches!$A$5:$A$17,0)),1-INDEX(Matches!$AP$5:$AP$17,MATCH($C81,Matches!$A$5:$A$17,0)))),""))</f>
        <v>0.487687377421903</v>
      </c>
      <c r="AV81" s="13" t="n">
        <f aca="false">IF(OR($AU81="",$AT81=""),1,((Config!$B$14*$AU81+Config!$B$15*(1-$AU81))/(Config!$B$14*$AT81+Config!$B$15*(1-$AT81)))^Config!$B$13)</f>
        <v>1.0564467617325</v>
      </c>
      <c r="AW81" s="10" t="n">
        <f aca="false">IF($AS81="","",IFERROR(IF(INDEX(Matches!$AV$5:$AV$17,MATCH($C81,Matches!$A$5:$A$17,0))="","",IF($AS81="A",INDEX(Matches!$AV$5:$AV$17,MATCH($C81,Matches!$A$5:$A$17,0)),1-INDEX(Matches!$AV$5:$AV$17,MATCH($C81,Matches!$A$5:$A$17,0)))),""))</f>
        <v>0.507366317756529</v>
      </c>
      <c r="AX81" s="13" t="n">
        <f aca="false">IF(OR($AW81="",$AT81=""),1,((Config!$B$14*$AW81+Config!$B$15*(1-$AW81))/(Config!$B$14*$AT81+Config!$B$15*(1-$AT81)))^Config!$B$13)</f>
        <v>1.07523152308654</v>
      </c>
      <c r="AY81" s="10" t="n">
        <f aca="false">IF($AS81="","",IFERROR(IF(INDEX(Matches!$BB$5:$BB$17,MATCH($C81,Matches!$A$5:$A$17,0))="","",IF($AS81="A",INDEX(Matches!$BB$5:$BB$17,MATCH($C81,Matches!$A$5:$A$17,0)),1-INDEX(Matches!$BB$5:$BB$17,MATCH($C81,Matches!$A$5:$A$17,0)))),""))</f>
        <v>0.477576987448466</v>
      </c>
      <c r="AZ81" s="13" t="n">
        <f aca="false">IF(OR($AY81="",$AT81=""),1,((Config!$B$14*$AY81+Config!$B$15*(1-$AY81))/(Config!$B$14*$AT81+Config!$B$15*(1-$AT81)))^Config!$B$13)</f>
        <v>1.04679577140386</v>
      </c>
      <c r="BA81" s="17" t="n">
        <f aca="false">IF(V81="","",V81*$AV81)</f>
        <v>12.7574750202213</v>
      </c>
      <c r="BB81" s="17" t="n">
        <f aca="false">IF(AC81="","",AC81*$AX81)</f>
        <v>11.880174449591</v>
      </c>
      <c r="BC81" s="17" t="n">
        <f aca="false">IF(AJ81="","",AJ81*$AZ81)</f>
        <v>12.3323009829089</v>
      </c>
      <c r="BD81" s="17" t="n">
        <f aca="false">N(BA81)+N(BB81)</f>
        <v>24.6376494698123</v>
      </c>
      <c r="BE81" s="17" t="n">
        <f aca="false">BD81+N($M81)*N(BC81)</f>
        <v>30.7705027486129</v>
      </c>
      <c r="BF81" s="17" t="n">
        <f aca="false">IF(W81="","",W81*$AV81)</f>
        <v>8.16797338169672</v>
      </c>
      <c r="BG81" s="17" t="n">
        <f aca="false">IF(AD81="","",AD81*$AX81)</f>
        <v>7.08706406711054</v>
      </c>
      <c r="BH81" s="17" t="n">
        <f aca="false">IF(AK81="","",AK81*$AZ81)</f>
        <v>7.46515286165418</v>
      </c>
      <c r="BI81" s="17" t="n">
        <f aca="false">IF(BF81="","",N(BF81)+N(BG81))</f>
        <v>15.2550374488073</v>
      </c>
      <c r="BJ81" s="17" t="n">
        <f aca="false">IF(BI81="","",BI81+N($M81)*N(BH81))</f>
        <v>18.9674579669079</v>
      </c>
      <c r="BK81" s="13" t="n">
        <f aca="false">IFERROR(BD81/AL81,1)</f>
        <v>1.06542206071725</v>
      </c>
    </row>
    <row r="82" customFormat="false" ht="15" hidden="false" customHeight="false" outlineLevel="0" collapsed="false">
      <c r="A82" s="0" t="s">
        <v>1066</v>
      </c>
      <c r="B82" s="0" t="s">
        <v>775</v>
      </c>
      <c r="C82" s="0" t="s">
        <v>785</v>
      </c>
      <c r="D82" s="0" t="s">
        <v>790</v>
      </c>
      <c r="E82" s="0" t="s">
        <v>1065</v>
      </c>
      <c r="F82" s="0" t="s">
        <v>1247</v>
      </c>
      <c r="G82" s="0" t="str">
        <f aca="false">IFERROR(IF(INDEX(Matches!$W$5:$W$17,MATCH($C82,Matches!$A$5:$A$17,0))="","",INDEX(Matches!$W$5:$W$17,MATCH($C82,Matches!$A$5:$A$17,0))),"")</f>
        <v>Ancient</v>
      </c>
      <c r="H82" s="0" t="str">
        <f aca="false">IFERROR(IF(INDEX(Matches!$X$5:$X$17,MATCH($C82,Matches!$A$5:$A$17,0))="","",INDEX(Matches!$X$5:$X$17,MATCH($C82,Matches!$A$5:$A$17,0))),"")</f>
        <v>Dust2</v>
      </c>
      <c r="I82" s="0" t="str">
        <f aca="false">IFERROR(IF(INDEX(Matches!$Y$5:$Y$17,MATCH($C82,Matches!$A$5:$A$17,0))="","",INDEX(Matches!$Y$5:$Y$17,MATCH($C82,Matches!$A$5:$A$17,0))),"")</f>
        <v>Inferno</v>
      </c>
      <c r="J82" s="11" t="n">
        <f aca="false">IFERROR(IF(INDEX(Matches!$Z$5:$Z$17,MATCH($C82,Matches!$A$5:$A$17,0))="","",INDEX(Matches!$Z$5:$Z$17,MATCH($C82,Matches!$A$5:$A$17,0))),"")</f>
        <v>21.5</v>
      </c>
      <c r="K82" s="11" t="n">
        <f aca="false">IFERROR(IF(INDEX(Matches!$AA$5:$AA$17,MATCH($C82,Matches!$A$5:$A$17,0))="","",INDEX(Matches!$AA$5:$AA$17,MATCH($C82,Matches!$A$5:$A$17,0))),"")</f>
        <v>21.36</v>
      </c>
      <c r="L82" s="11" t="n">
        <f aca="false">IFERROR(IF(INDEX(Matches!$AB$5:$AB$17,MATCH($C82,Matches!$A$5:$A$17,0))="","",INDEX(Matches!$AB$5:$AB$17,MATCH($C82,Matches!$A$5:$A$17,0))),"")</f>
        <v>21.42</v>
      </c>
      <c r="M82" s="10" t="n">
        <f aca="false">IFERROR(IF(INDEX(Matches!$AC$5:$AC$17,MATCH($C82,Matches!$A$5:$A$17,0))="","",INDEX(Matches!$AC$5:$AC$17,MATCH($C82,Matches!$A$5:$A$17,0))),"")</f>
        <v>0.4973</v>
      </c>
      <c r="N82" s="9" t="n">
        <f aca="false">IFERROR(INDEX(Players!$F$2:$F$105,MATCH($F82,Players!$A$2:$A$105,0)),0)</f>
        <v>34</v>
      </c>
      <c r="O82" s="13" t="n">
        <f aca="false">IFERROR(1/(1/INDEX(Players!$H$2:$H$105,MATCH($F82,Players!$A$2:$A$105,0))),"")</f>
        <v>0.67</v>
      </c>
      <c r="P82" s="10" t="n">
        <f aca="false">IFERROR(1/(1/INDEX(Players!$I$2:$I$105,MATCH($F82,Players!$A$2:$A$105,0))),"")</f>
        <v>0.462</v>
      </c>
      <c r="Q82" s="9" t="n">
        <f aca="false">IF($G82="",0,SUMIFS(Map_Stats!$F$2:$F$642,Map_Stats!$A$2:$A$642,$F82&amp;"|"&amp;$G82))</f>
        <v>6</v>
      </c>
      <c r="R82" s="13" t="n">
        <f aca="false">IF($G82="","",IFERROR(1/(1/INDEX(Map_Stats!$K$2:$K$642,MATCH($F82&amp;"|"&amp;$G82,Map_Stats!$A$2:$A$642,0))),$O82))</f>
        <v>0.64</v>
      </c>
      <c r="S82" s="10" t="n">
        <f aca="false">IF(OR($G82="",$P82=""),"",IFERROR(1/(1/INDEX(Map_Stats!$I$2:$I$642,MATCH($F82&amp;"|"&amp;$G82,Map_Stats!$A$2:$A$642,0))),$P82))</f>
        <v>0.46</v>
      </c>
      <c r="T82" s="13" t="n">
        <f aca="false">IF(OR($G82="",R82=""),"",IF($O82="",R82,(Q82*R82+Config!$B$4*$O82)/(Q82+Config!$B$4)))</f>
        <v>0.653636363636364</v>
      </c>
      <c r="U82" s="10" t="n">
        <f aca="false">IF(S82="","",(Q82*S82+Config!$B$4*$P82)/(Q82+Config!$B$4))</f>
        <v>0.460909090909091</v>
      </c>
      <c r="V82" s="17" t="n">
        <f aca="false">IF(OR(T82="",$J82=""),"",T82*$J82*($J82/Config!$B$10)^Config!$B$9)</f>
        <v>14.0531818181818</v>
      </c>
      <c r="W82" s="17" t="n">
        <f aca="false">IF(OR(V82="",U82=""),"",V82*U82)</f>
        <v>6.47723925619835</v>
      </c>
      <c r="X82" s="9" t="n">
        <f aca="false">IF($H82="",0,SUMIFS(Map_Stats!$F$2:$F$642,Map_Stats!$A$2:$A$642,$F82&amp;"|"&amp;$H82))</f>
        <v>7</v>
      </c>
      <c r="Y82" s="13" t="n">
        <f aca="false">IF($H82="","",IFERROR(1/(1/INDEX(Map_Stats!$K$2:$K$642,MATCH($F82&amp;"|"&amp;$H82,Map_Stats!$A$2:$A$642,0))),$O82))</f>
        <v>0.76</v>
      </c>
      <c r="Z82" s="10" t="n">
        <f aca="false">IF(OR($H82="",$P82=""),"",IFERROR(1/(1/INDEX(Map_Stats!$I$2:$I$642,MATCH($F82&amp;"|"&amp;$H82,Map_Stats!$A$2:$A$642,0))),$P82))</f>
        <v>0.431</v>
      </c>
      <c r="AA82" s="13" t="n">
        <f aca="false">IF(OR($H82="",Y82=""),"",IF($O82="",Y82,(X82*Y82+Config!$B$4*$O82)/(X82+Config!$B$4)))</f>
        <v>0.7225</v>
      </c>
      <c r="AB82" s="10" t="n">
        <f aca="false">IF(Z82="","",(X82*Z82+Config!$B$4*$P82)/(X82+Config!$B$4))</f>
        <v>0.443916666666667</v>
      </c>
      <c r="AC82" s="17" t="n">
        <f aca="false">IF(OR(AA82="",$K82=""),"",AA82*$K82*($K82/Config!$B$10)^Config!$B$9)</f>
        <v>15.4326</v>
      </c>
      <c r="AD82" s="17" t="n">
        <f aca="false">IF(OR(AC82="",AB82=""),"",AC82*AB82)</f>
        <v>6.85078835</v>
      </c>
      <c r="AE82" s="9" t="n">
        <f aca="false">IF($I82="",0,SUMIFS(Map_Stats!$F$2:$F$642,Map_Stats!$A$2:$A$642,$F82&amp;"|"&amp;$I82))</f>
        <v>0</v>
      </c>
      <c r="AF82" s="13" t="n">
        <f aca="false">IF($I82="","",IFERROR(1/(1/INDEX(Map_Stats!$K$2:$K$642,MATCH($F82&amp;"|"&amp;$I82,Map_Stats!$A$2:$A$642,0))),$O82))</f>
        <v>0.67</v>
      </c>
      <c r="AG82" s="10" t="n">
        <f aca="false">IF(OR($I82="",$P82=""),"",IFERROR(1/(1/INDEX(Map_Stats!$I$2:$I$642,MATCH($F82&amp;"|"&amp;$I82,Map_Stats!$A$2:$A$642,0))),$P82))</f>
        <v>0.462</v>
      </c>
      <c r="AH82" s="13" t="n">
        <f aca="false">IF(OR($I82="",AF82=""),"",IF($O82="",AF82,(AE82*AF82+Config!$B$4*$O82)/(AE82+Config!$B$4)))</f>
        <v>0.67</v>
      </c>
      <c r="AI82" s="10" t="n">
        <f aca="false">IF(AG82="","",(AE82*AG82+Config!$B$4*$P82)/(AE82+Config!$B$4))</f>
        <v>0.462</v>
      </c>
      <c r="AJ82" s="17" t="n">
        <f aca="false">IF(OR(AH82="",$L82=""),"",AH82*$L82*($L82/Config!$B$10)^Config!$B$9)</f>
        <v>14.3514</v>
      </c>
      <c r="AK82" s="17" t="n">
        <f aca="false">IF(OR(AJ82="",AI82=""),"",AJ82*AI82)</f>
        <v>6.6303468</v>
      </c>
      <c r="AL82" s="17" t="n">
        <f aca="false">N(V82)+N(AC82)</f>
        <v>29.4857818181818</v>
      </c>
      <c r="AM82" s="17" t="n">
        <f aca="false">AL82+N($M82)*N(AJ82)</f>
        <v>36.6227330381818</v>
      </c>
      <c r="AN82" s="17" t="n">
        <f aca="false">IF(W82="","",N(W82)+N(AD82))</f>
        <v>13.3280276061983</v>
      </c>
      <c r="AO82" s="17" t="n">
        <f aca="false">IF(AN82="","",AN82+N($M82)*N(AK82))</f>
        <v>16.6252990698384</v>
      </c>
      <c r="AP82" s="10" t="n">
        <f aca="false">IFERROR(AN82/AL82,"")</f>
        <v>0.452015404861332</v>
      </c>
      <c r="AQ82" s="0" t="str">
        <f aca="false">TRIM(IF($N82&lt;Config!$B$12,"thin sample ("&amp;$N82&amp;" maps) · ","")&amp;IF(AND($G82&lt;&gt;"",Q82=0),"M1 unplayed→overall KPR · ","")&amp;IF(AND($H82&lt;&gt;"",X82=0),"M2 unplayed→overall KPR · ","")&amp;IF($O82="","no PickFinder stats",""))</f>
        <v/>
      </c>
      <c r="AR82" s="0" t="str">
        <f aca="false">IF($C82=Board!$B$2,COUNTIFS($C$2:$C$105,Board!$B$2,$AL$2:$AL$105,"&gt;"&amp;$AL82)+COUNTIFS($C$1:$C81,Board!$B$2,$AL$1:$AL81,$AL82)+1,"")</f>
        <v/>
      </c>
      <c r="AS82" s="0" t="str">
        <f aca="false">IFERROR(IF($D82=INDEX(Matches!$AD$5:$AD$17,MATCH($C82,Matches!$A$5:$A$17,0)),"A",IF($D82=INDEX(Matches!$AE$5:$AE$17,MATCH($C82,Matches!$A$5:$A$17,0)),"B","")),"")</f>
        <v>A</v>
      </c>
      <c r="AT82" s="10" t="n">
        <f aca="false">IF($AS82="","",IFERROR(IF($AS82="A",INDEX(Matches!$AI$5:$AI$17,MATCH($C82,Matches!$A$5:$A$17,0)),INDEX(Matches!$AJ$5:$AJ$17,MATCH($C82,Matches!$A$5:$A$17,0))),""))</f>
        <v>0.515944432361897</v>
      </c>
      <c r="AU82" s="10" t="n">
        <f aca="false">IF($AS82="","",IFERROR(IF(INDEX(Matches!$AP$5:$AP$17,MATCH($C82,Matches!$A$5:$A$17,0))="","",IF($AS82="A",INDEX(Matches!$AP$5:$AP$17,MATCH($C82,Matches!$A$5:$A$17,0)),1-INDEX(Matches!$AP$5:$AP$17,MATCH($C82,Matches!$A$5:$A$17,0)))),""))</f>
        <v>0.512312622578097</v>
      </c>
      <c r="AV82" s="13" t="n">
        <f aca="false">IF(OR($AU82="",$AT82=""),1,((Config!$B$14*$AU82+Config!$B$15*(1-$AU82))/(Config!$B$14*$AT82+Config!$B$15*(1-$AT82)))^Config!$B$13)</f>
        <v>0.99680014518226</v>
      </c>
      <c r="AW82" s="10" t="n">
        <f aca="false">IF($AS82="","",IFERROR(IF(INDEX(Matches!$AV$5:$AV$17,MATCH($C82,Matches!$A$5:$A$17,0))="","",IF($AS82="A",INDEX(Matches!$AV$5:$AV$17,MATCH($C82,Matches!$A$5:$A$17,0)),1-INDEX(Matches!$AV$5:$AV$17,MATCH($C82,Matches!$A$5:$A$17,0)))),""))</f>
        <v>0.492633682243471</v>
      </c>
      <c r="AX82" s="13" t="n">
        <f aca="false">IF(OR($AW82="",$AT82=""),1,((Config!$B$14*$AW82+Config!$B$15*(1-$AW82))/(Config!$B$14*$AT82+Config!$B$15*(1-$AT82)))^Config!$B$13)</f>
        <v>0.979461750336069</v>
      </c>
      <c r="AY82" s="10" t="n">
        <f aca="false">IF($AS82="","",IFERROR(IF(INDEX(Matches!$BB$5:$BB$17,MATCH($C82,Matches!$A$5:$A$17,0))="","",IF($AS82="A",INDEX(Matches!$BB$5:$BB$17,MATCH($C82,Matches!$A$5:$A$17,0)),1-INDEX(Matches!$BB$5:$BB$17,MATCH($C82,Matches!$A$5:$A$17,0)))),""))</f>
        <v>0.522423012551534</v>
      </c>
      <c r="AZ82" s="13" t="n">
        <f aca="false">IF(OR($AY82="",$AT82=""),1,((Config!$B$14*$AY82+Config!$B$15*(1-$AY82))/(Config!$B$14*$AT82+Config!$B$15*(1-$AT82)))^Config!$B$13)</f>
        <v>1.00570804014142</v>
      </c>
      <c r="BA82" s="17" t="n">
        <f aca="false">IF(V82="","",V82*$AV82)</f>
        <v>14.0082136766363</v>
      </c>
      <c r="BB82" s="17" t="n">
        <f aca="false">IF(AC82="","",AC82*$AX82)</f>
        <v>15.1156414082364</v>
      </c>
      <c r="BC82" s="17" t="n">
        <f aca="false">IF(AJ82="","",AJ82*$AZ82)</f>
        <v>14.4333183672856</v>
      </c>
      <c r="BD82" s="17" t="n">
        <f aca="false">N(BA82)+N(BB82)</f>
        <v>29.1238550848728</v>
      </c>
      <c r="BE82" s="17" t="n">
        <f aca="false">BD82+N($M82)*N(BC82)</f>
        <v>36.3015443089239</v>
      </c>
      <c r="BF82" s="17" t="n">
        <f aca="false">IF(W82="","",W82*$AV82)</f>
        <v>6.45651303095875</v>
      </c>
      <c r="BG82" s="17" t="n">
        <f aca="false">IF(AD82="","",AD82*$AX82)</f>
        <v>6.71008514847295</v>
      </c>
      <c r="BH82" s="17" t="n">
        <f aca="false">IF(AK82="","",AK82*$AZ82)</f>
        <v>6.66819308568594</v>
      </c>
      <c r="BI82" s="17" t="n">
        <f aca="false">IF(BF82="","",N(BF82)+N(BG82))</f>
        <v>13.1665981794317</v>
      </c>
      <c r="BJ82" s="17" t="n">
        <f aca="false">IF(BI82="","",BI82+N($M82)*N(BH82))</f>
        <v>16.4826906009433</v>
      </c>
      <c r="BK82" s="13" t="n">
        <f aca="false">IFERROR(BD82/AL82,1)</f>
        <v>0.987725381150115</v>
      </c>
    </row>
    <row r="83" customFormat="false" ht="15" hidden="false" customHeight="false" outlineLevel="0" collapsed="false">
      <c r="A83" s="0" t="s">
        <v>1069</v>
      </c>
      <c r="B83" s="0" t="s">
        <v>775</v>
      </c>
      <c r="C83" s="0" t="s">
        <v>785</v>
      </c>
      <c r="D83" s="0" t="s">
        <v>790</v>
      </c>
      <c r="E83" s="0" t="s">
        <v>1067</v>
      </c>
      <c r="F83" s="0" t="s">
        <v>1248</v>
      </c>
      <c r="G83" s="0" t="str">
        <f aca="false">IFERROR(IF(INDEX(Matches!$W$5:$W$17,MATCH($C83,Matches!$A$5:$A$17,0))="","",INDEX(Matches!$W$5:$W$17,MATCH($C83,Matches!$A$5:$A$17,0))),"")</f>
        <v>Ancient</v>
      </c>
      <c r="H83" s="0" t="str">
        <f aca="false">IFERROR(IF(INDEX(Matches!$X$5:$X$17,MATCH($C83,Matches!$A$5:$A$17,0))="","",INDEX(Matches!$X$5:$X$17,MATCH($C83,Matches!$A$5:$A$17,0))),"")</f>
        <v>Dust2</v>
      </c>
      <c r="I83" s="0" t="str">
        <f aca="false">IFERROR(IF(INDEX(Matches!$Y$5:$Y$17,MATCH($C83,Matches!$A$5:$A$17,0))="","",INDEX(Matches!$Y$5:$Y$17,MATCH($C83,Matches!$A$5:$A$17,0))),"")</f>
        <v>Inferno</v>
      </c>
      <c r="J83" s="11" t="n">
        <f aca="false">IFERROR(IF(INDEX(Matches!$Z$5:$Z$17,MATCH($C83,Matches!$A$5:$A$17,0))="","",INDEX(Matches!$Z$5:$Z$17,MATCH($C83,Matches!$A$5:$A$17,0))),"")</f>
        <v>21.5</v>
      </c>
      <c r="K83" s="11" t="n">
        <f aca="false">IFERROR(IF(INDEX(Matches!$AA$5:$AA$17,MATCH($C83,Matches!$A$5:$A$17,0))="","",INDEX(Matches!$AA$5:$AA$17,MATCH($C83,Matches!$A$5:$A$17,0))),"")</f>
        <v>21.36</v>
      </c>
      <c r="L83" s="11" t="n">
        <f aca="false">IFERROR(IF(INDEX(Matches!$AB$5:$AB$17,MATCH($C83,Matches!$A$5:$A$17,0))="","",INDEX(Matches!$AB$5:$AB$17,MATCH($C83,Matches!$A$5:$A$17,0))),"")</f>
        <v>21.42</v>
      </c>
      <c r="M83" s="10" t="n">
        <f aca="false">IFERROR(IF(INDEX(Matches!$AC$5:$AC$17,MATCH($C83,Matches!$A$5:$A$17,0))="","",INDEX(Matches!$AC$5:$AC$17,MATCH($C83,Matches!$A$5:$A$17,0))),"")</f>
        <v>0.4973</v>
      </c>
      <c r="N83" s="9" t="n">
        <f aca="false">IFERROR(INDEX(Players!$F$2:$F$105,MATCH($F83,Players!$A$2:$A$105,0)),0)</f>
        <v>33</v>
      </c>
      <c r="O83" s="13" t="n">
        <f aca="false">IFERROR(1/(1/INDEX(Players!$H$2:$H$105,MATCH($F83,Players!$A$2:$A$105,0))),"")</f>
        <v>0.76</v>
      </c>
      <c r="P83" s="10" t="n">
        <f aca="false">IFERROR(1/(1/INDEX(Players!$I$2:$I$105,MATCH($F83,Players!$A$2:$A$105,0))),"")</f>
        <v>0.5</v>
      </c>
      <c r="Q83" s="9" t="n">
        <f aca="false">IF($G83="",0,SUMIFS(Map_Stats!$F$2:$F$642,Map_Stats!$A$2:$A$642,$F83&amp;"|"&amp;$G83))</f>
        <v>6</v>
      </c>
      <c r="R83" s="13" t="n">
        <f aca="false">IF($G83="","",IFERROR(1/(1/INDEX(Map_Stats!$K$2:$K$642,MATCH($F83&amp;"|"&amp;$G83,Map_Stats!$A$2:$A$642,0))),$O83))</f>
        <v>0.75</v>
      </c>
      <c r="S83" s="10" t="n">
        <f aca="false">IF(OR($G83="",$P83=""),"",IFERROR(1/(1/INDEX(Map_Stats!$I$2:$I$642,MATCH($F83&amp;"|"&amp;$G83,Map_Stats!$A$2:$A$642,0))),$P83))</f>
        <v>0.495</v>
      </c>
      <c r="T83" s="13" t="n">
        <f aca="false">IF(OR($G83="",R83=""),"",IF($O83="",R83,(Q83*R83+Config!$B$4*$O83)/(Q83+Config!$B$4)))</f>
        <v>0.754545454545454</v>
      </c>
      <c r="U83" s="10" t="n">
        <f aca="false">IF(S83="","",(Q83*S83+Config!$B$4*$P83)/(Q83+Config!$B$4))</f>
        <v>0.497272727272727</v>
      </c>
      <c r="V83" s="17" t="n">
        <f aca="false">IF(OR(T83="",$J83=""),"",T83*$J83*($J83/Config!$B$10)^Config!$B$9)</f>
        <v>16.2227272727273</v>
      </c>
      <c r="W83" s="17" t="n">
        <f aca="false">IF(OR(V83="",U83=""),"",V83*U83)</f>
        <v>8.06711983471074</v>
      </c>
      <c r="X83" s="9" t="n">
        <f aca="false">IF($H83="",0,SUMIFS(Map_Stats!$F$2:$F$642,Map_Stats!$A$2:$A$642,$F83&amp;"|"&amp;$H83))</f>
        <v>6</v>
      </c>
      <c r="Y83" s="13" t="n">
        <f aca="false">IF($H83="","",IFERROR(1/(1/INDEX(Map_Stats!$K$2:$K$642,MATCH($F83&amp;"|"&amp;$H83,Map_Stats!$A$2:$A$642,0))),$O83))</f>
        <v>0.86</v>
      </c>
      <c r="Z83" s="10" t="n">
        <f aca="false">IF(OR($H83="",$P83=""),"",IFERROR(1/(1/INDEX(Map_Stats!$I$2:$I$642,MATCH($F83&amp;"|"&amp;$H83,Map_Stats!$A$2:$A$642,0))),$P83))</f>
        <v>0.537</v>
      </c>
      <c r="AA83" s="13" t="n">
        <f aca="false">IF(OR($H83="",Y83=""),"",IF($O83="",Y83,(X83*Y83+Config!$B$4*$O83)/(X83+Config!$B$4)))</f>
        <v>0.814545454545455</v>
      </c>
      <c r="AB83" s="10" t="n">
        <f aca="false">IF(Z83="","",(X83*Z83+Config!$B$4*$P83)/(X83+Config!$B$4))</f>
        <v>0.520181818181818</v>
      </c>
      <c r="AC83" s="17" t="n">
        <f aca="false">IF(OR(AA83="",$K83=""),"",AA83*$K83*($K83/Config!$B$10)^Config!$B$9)</f>
        <v>17.3986909090909</v>
      </c>
      <c r="AD83" s="17" t="n">
        <f aca="false">IF(OR(AC83="",AB83=""),"",AC83*AB83)</f>
        <v>9.05048267107438</v>
      </c>
      <c r="AE83" s="9" t="n">
        <f aca="false">IF($I83="",0,SUMIFS(Map_Stats!$F$2:$F$642,Map_Stats!$A$2:$A$642,$F83&amp;"|"&amp;$I83))</f>
        <v>0</v>
      </c>
      <c r="AF83" s="13" t="n">
        <f aca="false">IF($I83="","",IFERROR(1/(1/INDEX(Map_Stats!$K$2:$K$642,MATCH($F83&amp;"|"&amp;$I83,Map_Stats!$A$2:$A$642,0))),$O83))</f>
        <v>0.76</v>
      </c>
      <c r="AG83" s="10" t="n">
        <f aca="false">IF(OR($I83="",$P83=""),"",IFERROR(1/(1/INDEX(Map_Stats!$I$2:$I$642,MATCH($F83&amp;"|"&amp;$I83,Map_Stats!$A$2:$A$642,0))),$P83))</f>
        <v>0.5</v>
      </c>
      <c r="AH83" s="13" t="n">
        <f aca="false">IF(OR($I83="",AF83=""),"",IF($O83="",AF83,(AE83*AF83+Config!$B$4*$O83)/(AE83+Config!$B$4)))</f>
        <v>0.76</v>
      </c>
      <c r="AI83" s="10" t="n">
        <f aca="false">IF(AG83="","",(AE83*AG83+Config!$B$4*$P83)/(AE83+Config!$B$4))</f>
        <v>0.5</v>
      </c>
      <c r="AJ83" s="17" t="n">
        <f aca="false">IF(OR(AH83="",$L83=""),"",AH83*$L83*($L83/Config!$B$10)^Config!$B$9)</f>
        <v>16.2792</v>
      </c>
      <c r="AK83" s="17" t="n">
        <f aca="false">IF(OR(AJ83="",AI83=""),"",AJ83*AI83)</f>
        <v>8.1396</v>
      </c>
      <c r="AL83" s="17" t="n">
        <f aca="false">N(V83)+N(AC83)</f>
        <v>33.6214181818182</v>
      </c>
      <c r="AM83" s="17" t="n">
        <f aca="false">AL83+N($M83)*N(AJ83)</f>
        <v>41.7170643418182</v>
      </c>
      <c r="AN83" s="17" t="n">
        <f aca="false">IF(W83="","",N(W83)+N(AD83))</f>
        <v>17.1176025057851</v>
      </c>
      <c r="AO83" s="17" t="n">
        <f aca="false">IF(AN83="","",AN83+N($M83)*N(AK83))</f>
        <v>21.1654255857851</v>
      </c>
      <c r="AP83" s="10" t="n">
        <f aca="false">IFERROR(AN83/AL83,"")</f>
        <v>0.509127914034334</v>
      </c>
      <c r="AQ83" s="0" t="str">
        <f aca="false">TRIM(IF($N83&lt;Config!$B$12,"thin sample ("&amp;$N83&amp;" maps) · ","")&amp;IF(AND($G83&lt;&gt;"",Q83=0),"M1 unplayed→overall KPR · ","")&amp;IF(AND($H83&lt;&gt;"",X83=0),"M2 unplayed→overall KPR · ","")&amp;IF($O83="","no PickFinder stats",""))</f>
        <v/>
      </c>
      <c r="AR83" s="0" t="str">
        <f aca="false">IF($C83=Board!$B$2,COUNTIFS($C$2:$C$105,Board!$B$2,$AL$2:$AL$105,"&gt;"&amp;$AL83)+COUNTIFS($C$1:$C82,Board!$B$2,$AL$1:$AL82,$AL83)+1,"")</f>
        <v/>
      </c>
      <c r="AS83" s="0" t="str">
        <f aca="false">IFERROR(IF($D83=INDEX(Matches!$AD$5:$AD$17,MATCH($C83,Matches!$A$5:$A$17,0)),"A",IF($D83=INDEX(Matches!$AE$5:$AE$17,MATCH($C83,Matches!$A$5:$A$17,0)),"B","")),"")</f>
        <v>A</v>
      </c>
      <c r="AT83" s="10" t="n">
        <f aca="false">IF($AS83="","",IFERROR(IF($AS83="A",INDEX(Matches!$AI$5:$AI$17,MATCH($C83,Matches!$A$5:$A$17,0)),INDEX(Matches!$AJ$5:$AJ$17,MATCH($C83,Matches!$A$5:$A$17,0))),""))</f>
        <v>0.515944432361897</v>
      </c>
      <c r="AU83" s="10" t="n">
        <f aca="false">IF($AS83="","",IFERROR(IF(INDEX(Matches!$AP$5:$AP$17,MATCH($C83,Matches!$A$5:$A$17,0))="","",IF($AS83="A",INDEX(Matches!$AP$5:$AP$17,MATCH($C83,Matches!$A$5:$A$17,0)),1-INDEX(Matches!$AP$5:$AP$17,MATCH($C83,Matches!$A$5:$A$17,0)))),""))</f>
        <v>0.512312622578097</v>
      </c>
      <c r="AV83" s="13" t="n">
        <f aca="false">IF(OR($AU83="",$AT83=""),1,((Config!$B$14*$AU83+Config!$B$15*(1-$AU83))/(Config!$B$14*$AT83+Config!$B$15*(1-$AT83)))^Config!$B$13)</f>
        <v>0.99680014518226</v>
      </c>
      <c r="AW83" s="10" t="n">
        <f aca="false">IF($AS83="","",IFERROR(IF(INDEX(Matches!$AV$5:$AV$17,MATCH($C83,Matches!$A$5:$A$17,0))="","",IF($AS83="A",INDEX(Matches!$AV$5:$AV$17,MATCH($C83,Matches!$A$5:$A$17,0)),1-INDEX(Matches!$AV$5:$AV$17,MATCH($C83,Matches!$A$5:$A$17,0)))),""))</f>
        <v>0.492633682243471</v>
      </c>
      <c r="AX83" s="13" t="n">
        <f aca="false">IF(OR($AW83="",$AT83=""),1,((Config!$B$14*$AW83+Config!$B$15*(1-$AW83))/(Config!$B$14*$AT83+Config!$B$15*(1-$AT83)))^Config!$B$13)</f>
        <v>0.979461750336069</v>
      </c>
      <c r="AY83" s="10" t="n">
        <f aca="false">IF($AS83="","",IFERROR(IF(INDEX(Matches!$BB$5:$BB$17,MATCH($C83,Matches!$A$5:$A$17,0))="","",IF($AS83="A",INDEX(Matches!$BB$5:$BB$17,MATCH($C83,Matches!$A$5:$A$17,0)),1-INDEX(Matches!$BB$5:$BB$17,MATCH($C83,Matches!$A$5:$A$17,0)))),""))</f>
        <v>0.522423012551534</v>
      </c>
      <c r="AZ83" s="13" t="n">
        <f aca="false">IF(OR($AY83="",$AT83=""),1,((Config!$B$14*$AY83+Config!$B$15*(1-$AY83))/(Config!$B$14*$AT83+Config!$B$15*(1-$AT83)))^Config!$B$13)</f>
        <v>1.00570804014142</v>
      </c>
      <c r="BA83" s="17" t="n">
        <f aca="false">IF(V83="","",V83*$AV83)</f>
        <v>16.1708169007068</v>
      </c>
      <c r="BB83" s="17" t="n">
        <f aca="false">IF(AC83="","",AC83*$AX83)</f>
        <v>17.0413522513744</v>
      </c>
      <c r="BC83" s="17" t="n">
        <f aca="false">IF(AJ83="","",AJ83*$AZ83)</f>
        <v>16.3721223270702</v>
      </c>
      <c r="BD83" s="17" t="n">
        <f aca="false">N(BA83)+N(BB83)</f>
        <v>33.2121691520812</v>
      </c>
      <c r="BE83" s="17" t="n">
        <f aca="false">BD83+N($M83)*N(BC83)</f>
        <v>41.3540255853332</v>
      </c>
      <c r="BF83" s="17" t="n">
        <f aca="false">IF(W83="","",W83*$AV83)</f>
        <v>8.04130622244236</v>
      </c>
      <c r="BG83" s="17" t="n">
        <f aca="false">IF(AD83="","",AD83*$AX83)</f>
        <v>8.86460159839678</v>
      </c>
      <c r="BH83" s="17" t="n">
        <f aca="false">IF(AK83="","",AK83*$AZ83)</f>
        <v>8.1860611635351</v>
      </c>
      <c r="BI83" s="17" t="n">
        <f aca="false">IF(BF83="","",N(BF83)+N(BG83))</f>
        <v>16.9059078208391</v>
      </c>
      <c r="BJ83" s="17" t="n">
        <f aca="false">IF(BI83="","",BI83+N($M83)*N(BH83))</f>
        <v>20.9768360374651</v>
      </c>
      <c r="BK83" s="13" t="n">
        <f aca="false">IFERROR(BD83/AL83,1)</f>
        <v>0.987827728517463</v>
      </c>
    </row>
    <row r="84" customFormat="false" ht="15" hidden="false" customHeight="false" outlineLevel="0" collapsed="false">
      <c r="A84" s="0" t="s">
        <v>1072</v>
      </c>
      <c r="B84" s="0" t="s">
        <v>775</v>
      </c>
      <c r="C84" s="0" t="s">
        <v>785</v>
      </c>
      <c r="D84" s="0" t="s">
        <v>790</v>
      </c>
      <c r="E84" s="0" t="s">
        <v>1071</v>
      </c>
      <c r="F84" s="0" t="s">
        <v>1249</v>
      </c>
      <c r="G84" s="0" t="str">
        <f aca="false">IFERROR(IF(INDEX(Matches!$W$5:$W$17,MATCH($C84,Matches!$A$5:$A$17,0))="","",INDEX(Matches!$W$5:$W$17,MATCH($C84,Matches!$A$5:$A$17,0))),"")</f>
        <v>Ancient</v>
      </c>
      <c r="H84" s="0" t="str">
        <f aca="false">IFERROR(IF(INDEX(Matches!$X$5:$X$17,MATCH($C84,Matches!$A$5:$A$17,0))="","",INDEX(Matches!$X$5:$X$17,MATCH($C84,Matches!$A$5:$A$17,0))),"")</f>
        <v>Dust2</v>
      </c>
      <c r="I84" s="0" t="str">
        <f aca="false">IFERROR(IF(INDEX(Matches!$Y$5:$Y$17,MATCH($C84,Matches!$A$5:$A$17,0))="","",INDEX(Matches!$Y$5:$Y$17,MATCH($C84,Matches!$A$5:$A$17,0))),"")</f>
        <v>Inferno</v>
      </c>
      <c r="J84" s="11" t="n">
        <f aca="false">IFERROR(IF(INDEX(Matches!$Z$5:$Z$17,MATCH($C84,Matches!$A$5:$A$17,0))="","",INDEX(Matches!$Z$5:$Z$17,MATCH($C84,Matches!$A$5:$A$17,0))),"")</f>
        <v>21.5</v>
      </c>
      <c r="K84" s="11" t="n">
        <f aca="false">IFERROR(IF(INDEX(Matches!$AA$5:$AA$17,MATCH($C84,Matches!$A$5:$A$17,0))="","",INDEX(Matches!$AA$5:$AA$17,MATCH($C84,Matches!$A$5:$A$17,0))),"")</f>
        <v>21.36</v>
      </c>
      <c r="L84" s="11" t="n">
        <f aca="false">IFERROR(IF(INDEX(Matches!$AB$5:$AB$17,MATCH($C84,Matches!$A$5:$A$17,0))="","",INDEX(Matches!$AB$5:$AB$17,MATCH($C84,Matches!$A$5:$A$17,0))),"")</f>
        <v>21.42</v>
      </c>
      <c r="M84" s="10" t="n">
        <f aca="false">IFERROR(IF(INDEX(Matches!$AC$5:$AC$17,MATCH($C84,Matches!$A$5:$A$17,0))="","",INDEX(Matches!$AC$5:$AC$17,MATCH($C84,Matches!$A$5:$A$17,0))),"")</f>
        <v>0.4973</v>
      </c>
      <c r="N84" s="9" t="n">
        <f aca="false">IFERROR(INDEX(Players!$F$2:$F$105,MATCH($F84,Players!$A$2:$A$105,0)),0)</f>
        <v>34</v>
      </c>
      <c r="O84" s="13" t="n">
        <f aca="false">IFERROR(1/(1/INDEX(Players!$H$2:$H$105,MATCH($F84,Players!$A$2:$A$105,0))),"")</f>
        <v>0.64</v>
      </c>
      <c r="P84" s="10" t="n">
        <f aca="false">IFERROR(1/(1/INDEX(Players!$I$2:$I$105,MATCH($F84,Players!$A$2:$A$105,0))),"")</f>
        <v>0.602</v>
      </c>
      <c r="Q84" s="9" t="n">
        <f aca="false">IF($G84="",0,SUMIFS(Map_Stats!$F$2:$F$642,Map_Stats!$A$2:$A$642,$F84&amp;"|"&amp;$G84))</f>
        <v>6</v>
      </c>
      <c r="R84" s="13" t="n">
        <f aca="false">IF($G84="","",IFERROR(1/(1/INDEX(Map_Stats!$K$2:$K$642,MATCH($F84&amp;"|"&amp;$G84,Map_Stats!$A$2:$A$642,0))),$O84))</f>
        <v>0.65</v>
      </c>
      <c r="S84" s="10" t="n">
        <f aca="false">IF(OR($G84="",$P84=""),"",IFERROR(1/(1/INDEX(Map_Stats!$I$2:$I$642,MATCH($F84&amp;"|"&amp;$G84,Map_Stats!$A$2:$A$642,0))),$P84))</f>
        <v>0.591</v>
      </c>
      <c r="T84" s="13" t="n">
        <f aca="false">IF(OR($G84="",R84=""),"",IF($O84="",R84,(Q84*R84+Config!$B$4*$O84)/(Q84+Config!$B$4)))</f>
        <v>0.645454545454546</v>
      </c>
      <c r="U84" s="10" t="n">
        <f aca="false">IF(S84="","",(Q84*S84+Config!$B$4*$P84)/(Q84+Config!$B$4))</f>
        <v>0.596</v>
      </c>
      <c r="V84" s="17" t="n">
        <f aca="false">IF(OR(T84="",$J84=""),"",T84*$J84*($J84/Config!$B$10)^Config!$B$9)</f>
        <v>13.8772727272727</v>
      </c>
      <c r="W84" s="17" t="n">
        <f aca="false">IF(OR(V84="",U84=""),"",V84*U84)</f>
        <v>8.27085454545455</v>
      </c>
      <c r="X84" s="9" t="n">
        <f aca="false">IF($H84="",0,SUMIFS(Map_Stats!$F$2:$F$642,Map_Stats!$A$2:$A$642,$F84&amp;"|"&amp;$H84))</f>
        <v>7</v>
      </c>
      <c r="Y84" s="13" t="n">
        <f aca="false">IF($H84="","",IFERROR(1/(1/INDEX(Map_Stats!$K$2:$K$642,MATCH($F84&amp;"|"&amp;$H84,Map_Stats!$A$2:$A$642,0))),$O84))</f>
        <v>0.63</v>
      </c>
      <c r="Z84" s="10" t="n">
        <f aca="false">IF(OR($H84="",$P84=""),"",IFERROR(1/(1/INDEX(Map_Stats!$I$2:$I$642,MATCH($F84&amp;"|"&amp;$H84,Map_Stats!$A$2:$A$642,0))),$P84))</f>
        <v>0.617</v>
      </c>
      <c r="AA84" s="13" t="n">
        <f aca="false">IF(OR($H84="",Y84=""),"",IF($O84="",Y84,(X84*Y84+Config!$B$4*$O84)/(X84+Config!$B$4)))</f>
        <v>0.634166666666667</v>
      </c>
      <c r="AB84" s="10" t="n">
        <f aca="false">IF(Z84="","",(X84*Z84+Config!$B$4*$P84)/(X84+Config!$B$4))</f>
        <v>0.61075</v>
      </c>
      <c r="AC84" s="17" t="n">
        <f aca="false">IF(OR(AA84="",$K84=""),"",AA84*$K84*($K84/Config!$B$10)^Config!$B$9)</f>
        <v>13.5458</v>
      </c>
      <c r="AD84" s="17" t="n">
        <f aca="false">IF(OR(AC84="",AB84=""),"",AC84*AB84)</f>
        <v>8.27309735</v>
      </c>
      <c r="AE84" s="9" t="n">
        <f aca="false">IF($I84="",0,SUMIFS(Map_Stats!$F$2:$F$642,Map_Stats!$A$2:$A$642,$F84&amp;"|"&amp;$I84))</f>
        <v>0</v>
      </c>
      <c r="AF84" s="13" t="n">
        <f aca="false">IF($I84="","",IFERROR(1/(1/INDEX(Map_Stats!$K$2:$K$642,MATCH($F84&amp;"|"&amp;$I84,Map_Stats!$A$2:$A$642,0))),$O84))</f>
        <v>0.64</v>
      </c>
      <c r="AG84" s="10" t="n">
        <f aca="false">IF(OR($I84="",$P84=""),"",IFERROR(1/(1/INDEX(Map_Stats!$I$2:$I$642,MATCH($F84&amp;"|"&amp;$I84,Map_Stats!$A$2:$A$642,0))),$P84))</f>
        <v>0.602</v>
      </c>
      <c r="AH84" s="13" t="n">
        <f aca="false">IF(OR($I84="",AF84=""),"",IF($O84="",AF84,(AE84*AF84+Config!$B$4*$O84)/(AE84+Config!$B$4)))</f>
        <v>0.64</v>
      </c>
      <c r="AI84" s="10" t="n">
        <f aca="false">IF(AG84="","",(AE84*AG84+Config!$B$4*$P84)/(AE84+Config!$B$4))</f>
        <v>0.602</v>
      </c>
      <c r="AJ84" s="17" t="n">
        <f aca="false">IF(OR(AH84="",$L84=""),"",AH84*$L84*($L84/Config!$B$10)^Config!$B$9)</f>
        <v>13.7088</v>
      </c>
      <c r="AK84" s="17" t="n">
        <f aca="false">IF(OR(AJ84="",AI84=""),"",AJ84*AI84)</f>
        <v>8.2526976</v>
      </c>
      <c r="AL84" s="17" t="n">
        <f aca="false">N(V84)+N(AC84)</f>
        <v>27.4230727272727</v>
      </c>
      <c r="AM84" s="17" t="n">
        <f aca="false">AL84+N($M84)*N(AJ84)</f>
        <v>34.2404589672727</v>
      </c>
      <c r="AN84" s="17" t="n">
        <f aca="false">IF(W84="","",N(W84)+N(AD84))</f>
        <v>16.5439518954545</v>
      </c>
      <c r="AO84" s="17" t="n">
        <f aca="false">IF(AN84="","",AN84+N($M84)*N(AK84))</f>
        <v>20.6480184119345</v>
      </c>
      <c r="AP84" s="10" t="n">
        <f aca="false">IFERROR(AN84/AL84,"")</f>
        <v>0.60328585567296</v>
      </c>
      <c r="AQ84" s="0" t="str">
        <f aca="false">TRIM(IF($N84&lt;Config!$B$12,"thin sample ("&amp;$N84&amp;" maps) · ","")&amp;IF(AND($G84&lt;&gt;"",Q84=0),"M1 unplayed→overall KPR · ","")&amp;IF(AND($H84&lt;&gt;"",X84=0),"M2 unplayed→overall KPR · ","")&amp;IF($O84="","no PickFinder stats",""))</f>
        <v/>
      </c>
      <c r="AR84" s="0" t="str">
        <f aca="false">IF($C84=Board!$B$2,COUNTIFS($C$2:$C$105,Board!$B$2,$AL$2:$AL$105,"&gt;"&amp;$AL84)+COUNTIFS($C$1:$C83,Board!$B$2,$AL$1:$AL83,$AL84)+1,"")</f>
        <v/>
      </c>
      <c r="AS84" s="0" t="str">
        <f aca="false">IFERROR(IF($D84=INDEX(Matches!$AD$5:$AD$17,MATCH($C84,Matches!$A$5:$A$17,0)),"A",IF($D84=INDEX(Matches!$AE$5:$AE$17,MATCH($C84,Matches!$A$5:$A$17,0)),"B","")),"")</f>
        <v>A</v>
      </c>
      <c r="AT84" s="10" t="n">
        <f aca="false">IF($AS84="","",IFERROR(IF($AS84="A",INDEX(Matches!$AI$5:$AI$17,MATCH($C84,Matches!$A$5:$A$17,0)),INDEX(Matches!$AJ$5:$AJ$17,MATCH($C84,Matches!$A$5:$A$17,0))),""))</f>
        <v>0.515944432361897</v>
      </c>
      <c r="AU84" s="10" t="n">
        <f aca="false">IF($AS84="","",IFERROR(IF(INDEX(Matches!$AP$5:$AP$17,MATCH($C84,Matches!$A$5:$A$17,0))="","",IF($AS84="A",INDEX(Matches!$AP$5:$AP$17,MATCH($C84,Matches!$A$5:$A$17,0)),1-INDEX(Matches!$AP$5:$AP$17,MATCH($C84,Matches!$A$5:$A$17,0)))),""))</f>
        <v>0.512312622578097</v>
      </c>
      <c r="AV84" s="13" t="n">
        <f aca="false">IF(OR($AU84="",$AT84=""),1,((Config!$B$14*$AU84+Config!$B$15*(1-$AU84))/(Config!$B$14*$AT84+Config!$B$15*(1-$AT84)))^Config!$B$13)</f>
        <v>0.99680014518226</v>
      </c>
      <c r="AW84" s="10" t="n">
        <f aca="false">IF($AS84="","",IFERROR(IF(INDEX(Matches!$AV$5:$AV$17,MATCH($C84,Matches!$A$5:$A$17,0))="","",IF($AS84="A",INDEX(Matches!$AV$5:$AV$17,MATCH($C84,Matches!$A$5:$A$17,0)),1-INDEX(Matches!$AV$5:$AV$17,MATCH($C84,Matches!$A$5:$A$17,0)))),""))</f>
        <v>0.492633682243471</v>
      </c>
      <c r="AX84" s="13" t="n">
        <f aca="false">IF(OR($AW84="",$AT84=""),1,((Config!$B$14*$AW84+Config!$B$15*(1-$AW84))/(Config!$B$14*$AT84+Config!$B$15*(1-$AT84)))^Config!$B$13)</f>
        <v>0.979461750336069</v>
      </c>
      <c r="AY84" s="10" t="n">
        <f aca="false">IF($AS84="","",IFERROR(IF(INDEX(Matches!$BB$5:$BB$17,MATCH($C84,Matches!$A$5:$A$17,0))="","",IF($AS84="A",INDEX(Matches!$BB$5:$BB$17,MATCH($C84,Matches!$A$5:$A$17,0)),1-INDEX(Matches!$BB$5:$BB$17,MATCH($C84,Matches!$A$5:$A$17,0)))),""))</f>
        <v>0.522423012551534</v>
      </c>
      <c r="AZ84" s="13" t="n">
        <f aca="false">IF(OR($AY84="",$AT84=""),1,((Config!$B$14*$AY84+Config!$B$15*(1-$AY84))/(Config!$B$14*$AT84+Config!$B$15*(1-$AT84)))^Config!$B$13)</f>
        <v>1.00570804014142</v>
      </c>
      <c r="BA84" s="17" t="n">
        <f aca="false">IF(V84="","",V84*$AV84)</f>
        <v>13.8328674692793</v>
      </c>
      <c r="BB84" s="17" t="n">
        <f aca="false">IF(AC84="","",AC84*$AX84)</f>
        <v>13.2675929777023</v>
      </c>
      <c r="BC84" s="17" t="n">
        <f aca="false">IF(AJ84="","",AJ84*$AZ84)</f>
        <v>13.7870503806907</v>
      </c>
      <c r="BD84" s="17" t="n">
        <f aca="false">N(BA84)+N(BB84)</f>
        <v>27.1004604469816</v>
      </c>
      <c r="BE84" s="17" t="n">
        <f aca="false">BD84+N($M84)*N(BC84)</f>
        <v>33.9567606012991</v>
      </c>
      <c r="BF84" s="17" t="n">
        <f aca="false">IF(W84="","",W84*$AV84)</f>
        <v>8.24438901169045</v>
      </c>
      <c r="BG84" s="17" t="n">
        <f aca="false">IF(AD84="","",AD84*$AX84)</f>
        <v>8.1031824111317</v>
      </c>
      <c r="BH84" s="17" t="n">
        <f aca="false">IF(AK84="","",AK84*$AZ84)</f>
        <v>8.2998043291758</v>
      </c>
      <c r="BI84" s="17" t="n">
        <f aca="false">IF(BF84="","",N(BF84)+N(BG84))</f>
        <v>16.3475714228221</v>
      </c>
      <c r="BJ84" s="17" t="n">
        <f aca="false">IF(BI84="","",BI84+N($M84)*N(BH84))</f>
        <v>20.4750641157213</v>
      </c>
      <c r="BK84" s="13" t="n">
        <f aca="false">IFERROR(BD84/AL84,1)</f>
        <v>0.988235735524623</v>
      </c>
    </row>
    <row r="85" customFormat="false" ht="15" hidden="false" customHeight="false" outlineLevel="0" collapsed="false">
      <c r="A85" s="0" t="s">
        <v>1074</v>
      </c>
      <c r="B85" s="0" t="s">
        <v>775</v>
      </c>
      <c r="C85" s="0" t="s">
        <v>785</v>
      </c>
      <c r="D85" s="0" t="s">
        <v>790</v>
      </c>
      <c r="E85" s="0" t="s">
        <v>1073</v>
      </c>
      <c r="F85" s="0" t="s">
        <v>1250</v>
      </c>
      <c r="G85" s="0" t="str">
        <f aca="false">IFERROR(IF(INDEX(Matches!$W$5:$W$17,MATCH($C85,Matches!$A$5:$A$17,0))="","",INDEX(Matches!$W$5:$W$17,MATCH($C85,Matches!$A$5:$A$17,0))),"")</f>
        <v>Ancient</v>
      </c>
      <c r="H85" s="0" t="str">
        <f aca="false">IFERROR(IF(INDEX(Matches!$X$5:$X$17,MATCH($C85,Matches!$A$5:$A$17,0))="","",INDEX(Matches!$X$5:$X$17,MATCH($C85,Matches!$A$5:$A$17,0))),"")</f>
        <v>Dust2</v>
      </c>
      <c r="I85" s="0" t="str">
        <f aca="false">IFERROR(IF(INDEX(Matches!$Y$5:$Y$17,MATCH($C85,Matches!$A$5:$A$17,0))="","",INDEX(Matches!$Y$5:$Y$17,MATCH($C85,Matches!$A$5:$A$17,0))),"")</f>
        <v>Inferno</v>
      </c>
      <c r="J85" s="11" t="n">
        <f aca="false">IFERROR(IF(INDEX(Matches!$Z$5:$Z$17,MATCH($C85,Matches!$A$5:$A$17,0))="","",INDEX(Matches!$Z$5:$Z$17,MATCH($C85,Matches!$A$5:$A$17,0))),"")</f>
        <v>21.5</v>
      </c>
      <c r="K85" s="11" t="n">
        <f aca="false">IFERROR(IF(INDEX(Matches!$AA$5:$AA$17,MATCH($C85,Matches!$A$5:$A$17,0))="","",INDEX(Matches!$AA$5:$AA$17,MATCH($C85,Matches!$A$5:$A$17,0))),"")</f>
        <v>21.36</v>
      </c>
      <c r="L85" s="11" t="n">
        <f aca="false">IFERROR(IF(INDEX(Matches!$AB$5:$AB$17,MATCH($C85,Matches!$A$5:$A$17,0))="","",INDEX(Matches!$AB$5:$AB$17,MATCH($C85,Matches!$A$5:$A$17,0))),"")</f>
        <v>21.42</v>
      </c>
      <c r="M85" s="10" t="n">
        <f aca="false">IFERROR(IF(INDEX(Matches!$AC$5:$AC$17,MATCH($C85,Matches!$A$5:$A$17,0))="","",INDEX(Matches!$AC$5:$AC$17,MATCH($C85,Matches!$A$5:$A$17,0))),"")</f>
        <v>0.4973</v>
      </c>
      <c r="N85" s="9" t="n">
        <f aca="false">IFERROR(INDEX(Players!$F$2:$F$105,MATCH($F85,Players!$A$2:$A$105,0)),0)</f>
        <v>34</v>
      </c>
      <c r="O85" s="13" t="n">
        <f aca="false">IFERROR(1/(1/INDEX(Players!$H$2:$H$105,MATCH($F85,Players!$A$2:$A$105,0))),"")</f>
        <v>0.72</v>
      </c>
      <c r="P85" s="10" t="n">
        <f aca="false">IFERROR(1/(1/INDEX(Players!$I$2:$I$105,MATCH($F85,Players!$A$2:$A$105,0))),"")</f>
        <v>0.588</v>
      </c>
      <c r="Q85" s="9" t="n">
        <f aca="false">IF($G85="",0,SUMIFS(Map_Stats!$F$2:$F$642,Map_Stats!$A$2:$A$642,$F85&amp;"|"&amp;$G85))</f>
        <v>6</v>
      </c>
      <c r="R85" s="13" t="n">
        <f aca="false">IF($G85="","",IFERROR(1/(1/INDEX(Map_Stats!$K$2:$K$642,MATCH($F85&amp;"|"&amp;$G85,Map_Stats!$A$2:$A$642,0))),$O85))</f>
        <v>0.82</v>
      </c>
      <c r="S85" s="10" t="n">
        <f aca="false">IF(OR($G85="",$P85=""),"",IFERROR(1/(1/INDEX(Map_Stats!$I$2:$I$642,MATCH($F85&amp;"|"&amp;$G85,Map_Stats!$A$2:$A$642,0))),$P85))</f>
        <v>0.559</v>
      </c>
      <c r="T85" s="13" t="n">
        <f aca="false">IF(OR($G85="",R85=""),"",IF($O85="",R85,(Q85*R85+Config!$B$4*$O85)/(Q85+Config!$B$4)))</f>
        <v>0.774545454545455</v>
      </c>
      <c r="U85" s="10" t="n">
        <f aca="false">IF(S85="","",(Q85*S85+Config!$B$4*$P85)/(Q85+Config!$B$4))</f>
        <v>0.572181818181818</v>
      </c>
      <c r="V85" s="17" t="n">
        <f aca="false">IF(OR(T85="",$J85=""),"",T85*$J85*($J85/Config!$B$10)^Config!$B$9)</f>
        <v>16.6527272727273</v>
      </c>
      <c r="W85" s="17" t="n">
        <f aca="false">IF(OR(V85="",U85=""),"",V85*U85)</f>
        <v>9.52838776859504</v>
      </c>
      <c r="X85" s="9" t="n">
        <f aca="false">IF($H85="",0,SUMIFS(Map_Stats!$F$2:$F$642,Map_Stats!$A$2:$A$642,$F85&amp;"|"&amp;$H85))</f>
        <v>7</v>
      </c>
      <c r="Y85" s="13" t="n">
        <f aca="false">IF($H85="","",IFERROR(1/(1/INDEX(Map_Stats!$K$2:$K$642,MATCH($F85&amp;"|"&amp;$H85,Map_Stats!$A$2:$A$642,0))),$O85))</f>
        <v>0.55</v>
      </c>
      <c r="Z85" s="10" t="n">
        <f aca="false">IF(OR($H85="",$P85=""),"",IFERROR(1/(1/INDEX(Map_Stats!$I$2:$I$642,MATCH($F85&amp;"|"&amp;$H85,Map_Stats!$A$2:$A$642,0))),$P85))</f>
        <v>0.596</v>
      </c>
      <c r="AA85" s="13" t="n">
        <f aca="false">IF(OR($H85="",Y85=""),"",IF($O85="",Y85,(X85*Y85+Config!$B$4*$O85)/(X85+Config!$B$4)))</f>
        <v>0.620833333333333</v>
      </c>
      <c r="AB85" s="10" t="n">
        <f aca="false">IF(Z85="","",(X85*Z85+Config!$B$4*$P85)/(X85+Config!$B$4))</f>
        <v>0.592666666666667</v>
      </c>
      <c r="AC85" s="17" t="n">
        <f aca="false">IF(OR(AA85="",$K85=""),"",AA85*$K85*($K85/Config!$B$10)^Config!$B$9)</f>
        <v>13.261</v>
      </c>
      <c r="AD85" s="17" t="n">
        <f aca="false">IF(OR(AC85="",AB85=""),"",AC85*AB85)</f>
        <v>7.85935266666667</v>
      </c>
      <c r="AE85" s="9" t="n">
        <f aca="false">IF($I85="",0,SUMIFS(Map_Stats!$F$2:$F$642,Map_Stats!$A$2:$A$642,$F85&amp;"|"&amp;$I85))</f>
        <v>0</v>
      </c>
      <c r="AF85" s="13" t="n">
        <f aca="false">IF($I85="","",IFERROR(1/(1/INDEX(Map_Stats!$K$2:$K$642,MATCH($F85&amp;"|"&amp;$I85,Map_Stats!$A$2:$A$642,0))),$O85))</f>
        <v>0.72</v>
      </c>
      <c r="AG85" s="10" t="n">
        <f aca="false">IF(OR($I85="",$P85=""),"",IFERROR(1/(1/INDEX(Map_Stats!$I$2:$I$642,MATCH($F85&amp;"|"&amp;$I85,Map_Stats!$A$2:$A$642,0))),$P85))</f>
        <v>0.588</v>
      </c>
      <c r="AH85" s="13" t="n">
        <f aca="false">IF(OR($I85="",AF85=""),"",IF($O85="",AF85,(AE85*AF85+Config!$B$4*$O85)/(AE85+Config!$B$4)))</f>
        <v>0.72</v>
      </c>
      <c r="AI85" s="10" t="n">
        <f aca="false">IF(AG85="","",(AE85*AG85+Config!$B$4*$P85)/(AE85+Config!$B$4))</f>
        <v>0.588</v>
      </c>
      <c r="AJ85" s="17" t="n">
        <f aca="false">IF(OR(AH85="",$L85=""),"",AH85*$L85*($L85/Config!$B$10)^Config!$B$9)</f>
        <v>15.4224</v>
      </c>
      <c r="AK85" s="17" t="n">
        <f aca="false">IF(OR(AJ85="",AI85=""),"",AJ85*AI85)</f>
        <v>9.0683712</v>
      </c>
      <c r="AL85" s="17" t="n">
        <f aca="false">N(V85)+N(AC85)</f>
        <v>29.9137272727273</v>
      </c>
      <c r="AM85" s="17" t="n">
        <f aca="false">AL85+N($M85)*N(AJ85)</f>
        <v>37.5832867927273</v>
      </c>
      <c r="AN85" s="17" t="n">
        <f aca="false">IF(W85="","",N(W85)+N(AD85))</f>
        <v>17.3877404352617</v>
      </c>
      <c r="AO85" s="17" t="n">
        <f aca="false">IF(AN85="","",AN85+N($M85)*N(AK85))</f>
        <v>21.8974414330217</v>
      </c>
      <c r="AP85" s="10" t="n">
        <f aca="false">IFERROR(AN85/AL85,"")</f>
        <v>0.581262919085123</v>
      </c>
      <c r="AQ85" s="0" t="str">
        <f aca="false">TRIM(IF($N85&lt;Config!$B$12,"thin sample ("&amp;$N85&amp;" maps) · ","")&amp;IF(AND($G85&lt;&gt;"",Q85=0),"M1 unplayed→overall KPR · ","")&amp;IF(AND($H85&lt;&gt;"",X85=0),"M2 unplayed→overall KPR · ","")&amp;IF($O85="","no PickFinder stats",""))</f>
        <v/>
      </c>
      <c r="AR85" s="0" t="str">
        <f aca="false">IF($C85=Board!$B$2,COUNTIFS($C$2:$C$105,Board!$B$2,$AL$2:$AL$105,"&gt;"&amp;$AL85)+COUNTIFS($C$1:$C84,Board!$B$2,$AL$1:$AL84,$AL85)+1,"")</f>
        <v/>
      </c>
      <c r="AS85" s="0" t="str">
        <f aca="false">IFERROR(IF($D85=INDEX(Matches!$AD$5:$AD$17,MATCH($C85,Matches!$A$5:$A$17,0)),"A",IF($D85=INDEX(Matches!$AE$5:$AE$17,MATCH($C85,Matches!$A$5:$A$17,0)),"B","")),"")</f>
        <v>A</v>
      </c>
      <c r="AT85" s="10" t="n">
        <f aca="false">IF($AS85="","",IFERROR(IF($AS85="A",INDEX(Matches!$AI$5:$AI$17,MATCH($C85,Matches!$A$5:$A$17,0)),INDEX(Matches!$AJ$5:$AJ$17,MATCH($C85,Matches!$A$5:$A$17,0))),""))</f>
        <v>0.515944432361897</v>
      </c>
      <c r="AU85" s="10" t="n">
        <f aca="false">IF($AS85="","",IFERROR(IF(INDEX(Matches!$AP$5:$AP$17,MATCH($C85,Matches!$A$5:$A$17,0))="","",IF($AS85="A",INDEX(Matches!$AP$5:$AP$17,MATCH($C85,Matches!$A$5:$A$17,0)),1-INDEX(Matches!$AP$5:$AP$17,MATCH($C85,Matches!$A$5:$A$17,0)))),""))</f>
        <v>0.512312622578097</v>
      </c>
      <c r="AV85" s="13" t="n">
        <f aca="false">IF(OR($AU85="",$AT85=""),1,((Config!$B$14*$AU85+Config!$B$15*(1-$AU85))/(Config!$B$14*$AT85+Config!$B$15*(1-$AT85)))^Config!$B$13)</f>
        <v>0.99680014518226</v>
      </c>
      <c r="AW85" s="10" t="n">
        <f aca="false">IF($AS85="","",IFERROR(IF(INDEX(Matches!$AV$5:$AV$17,MATCH($C85,Matches!$A$5:$A$17,0))="","",IF($AS85="A",INDEX(Matches!$AV$5:$AV$17,MATCH($C85,Matches!$A$5:$A$17,0)),1-INDEX(Matches!$AV$5:$AV$17,MATCH($C85,Matches!$A$5:$A$17,0)))),""))</f>
        <v>0.492633682243471</v>
      </c>
      <c r="AX85" s="13" t="n">
        <f aca="false">IF(OR($AW85="",$AT85=""),1,((Config!$B$14*$AW85+Config!$B$15*(1-$AW85))/(Config!$B$14*$AT85+Config!$B$15*(1-$AT85)))^Config!$B$13)</f>
        <v>0.979461750336069</v>
      </c>
      <c r="AY85" s="10" t="n">
        <f aca="false">IF($AS85="","",IFERROR(IF(INDEX(Matches!$BB$5:$BB$17,MATCH($C85,Matches!$A$5:$A$17,0))="","",IF($AS85="A",INDEX(Matches!$BB$5:$BB$17,MATCH($C85,Matches!$A$5:$A$17,0)),1-INDEX(Matches!$BB$5:$BB$17,MATCH($C85,Matches!$A$5:$A$17,0)))),""))</f>
        <v>0.522423012551534</v>
      </c>
      <c r="AZ85" s="13" t="n">
        <f aca="false">IF(OR($AY85="",$AT85=""),1,((Config!$B$14*$AY85+Config!$B$15*(1-$AY85))/(Config!$B$14*$AT85+Config!$B$15*(1-$AT85)))^Config!$B$13)</f>
        <v>1.00570804014142</v>
      </c>
      <c r="BA85" s="17" t="n">
        <f aca="false">IF(V85="","",V85*$AV85)</f>
        <v>16.5994409631351</v>
      </c>
      <c r="BB85" s="17" t="n">
        <f aca="false">IF(AC85="","",AC85*$AX85)</f>
        <v>12.9886422712066</v>
      </c>
      <c r="BC85" s="17" t="n">
        <f aca="false">IF(AJ85="","",AJ85*$AZ85)</f>
        <v>15.510431678277</v>
      </c>
      <c r="BD85" s="17" t="n">
        <f aca="false">N(BA85)+N(BB85)</f>
        <v>29.5880832343417</v>
      </c>
      <c r="BE85" s="17" t="n">
        <f aca="false">BD85+N($M85)*N(BC85)</f>
        <v>37.3014209079489</v>
      </c>
      <c r="BF85" s="17" t="n">
        <f aca="false">IF(W85="","",W85*$AV85)</f>
        <v>9.49789831108841</v>
      </c>
      <c r="BG85" s="17" t="n">
        <f aca="false">IF(AD85="","",AD85*$AX85)</f>
        <v>7.69793531940179</v>
      </c>
      <c r="BH85" s="17" t="n">
        <f aca="false">IF(AK85="","",AK85*$AZ85)</f>
        <v>9.12013382682689</v>
      </c>
      <c r="BI85" s="17" t="n">
        <f aca="false">IF(BF85="","",N(BF85)+N(BG85))</f>
        <v>17.1958336304902</v>
      </c>
      <c r="BJ85" s="17" t="n">
        <f aca="false">IF(BI85="","",BI85+N($M85)*N(BH85))</f>
        <v>21.7312761825712</v>
      </c>
      <c r="BK85" s="13" t="n">
        <f aca="false">IFERROR(BD85/AL85,1)</f>
        <v>0.989113892915564</v>
      </c>
    </row>
    <row r="86" customFormat="false" ht="15" hidden="false" customHeight="false" outlineLevel="0" collapsed="false">
      <c r="A86" s="0" t="s">
        <v>1076</v>
      </c>
      <c r="B86" s="0" t="s">
        <v>775</v>
      </c>
      <c r="C86" s="0" t="s">
        <v>785</v>
      </c>
      <c r="D86" s="0" t="s">
        <v>790</v>
      </c>
      <c r="E86" s="0" t="s">
        <v>1075</v>
      </c>
      <c r="F86" s="0" t="s">
        <v>1251</v>
      </c>
      <c r="G86" s="0" t="str">
        <f aca="false">IFERROR(IF(INDEX(Matches!$W$5:$W$17,MATCH($C86,Matches!$A$5:$A$17,0))="","",INDEX(Matches!$W$5:$W$17,MATCH($C86,Matches!$A$5:$A$17,0))),"")</f>
        <v>Ancient</v>
      </c>
      <c r="H86" s="0" t="str">
        <f aca="false">IFERROR(IF(INDEX(Matches!$X$5:$X$17,MATCH($C86,Matches!$A$5:$A$17,0))="","",INDEX(Matches!$X$5:$X$17,MATCH($C86,Matches!$A$5:$A$17,0))),"")</f>
        <v>Dust2</v>
      </c>
      <c r="I86" s="0" t="str">
        <f aca="false">IFERROR(IF(INDEX(Matches!$Y$5:$Y$17,MATCH($C86,Matches!$A$5:$A$17,0))="","",INDEX(Matches!$Y$5:$Y$17,MATCH($C86,Matches!$A$5:$A$17,0))),"")</f>
        <v>Inferno</v>
      </c>
      <c r="J86" s="11" t="n">
        <f aca="false">IFERROR(IF(INDEX(Matches!$Z$5:$Z$17,MATCH($C86,Matches!$A$5:$A$17,0))="","",INDEX(Matches!$Z$5:$Z$17,MATCH($C86,Matches!$A$5:$A$17,0))),"")</f>
        <v>21.5</v>
      </c>
      <c r="K86" s="11" t="n">
        <f aca="false">IFERROR(IF(INDEX(Matches!$AA$5:$AA$17,MATCH($C86,Matches!$A$5:$A$17,0))="","",INDEX(Matches!$AA$5:$AA$17,MATCH($C86,Matches!$A$5:$A$17,0))),"")</f>
        <v>21.36</v>
      </c>
      <c r="L86" s="11" t="n">
        <f aca="false">IFERROR(IF(INDEX(Matches!$AB$5:$AB$17,MATCH($C86,Matches!$A$5:$A$17,0))="","",INDEX(Matches!$AB$5:$AB$17,MATCH($C86,Matches!$A$5:$A$17,0))),"")</f>
        <v>21.42</v>
      </c>
      <c r="M86" s="10" t="n">
        <f aca="false">IFERROR(IF(INDEX(Matches!$AC$5:$AC$17,MATCH($C86,Matches!$A$5:$A$17,0))="","",INDEX(Matches!$AC$5:$AC$17,MATCH($C86,Matches!$A$5:$A$17,0))),"")</f>
        <v>0.4973</v>
      </c>
      <c r="N86" s="9" t="n">
        <f aca="false">IFERROR(INDEX(Players!$F$2:$F$105,MATCH($F86,Players!$A$2:$A$105,0)),0)</f>
        <v>34</v>
      </c>
      <c r="O86" s="13" t="n">
        <f aca="false">IFERROR(1/(1/INDEX(Players!$H$2:$H$105,MATCH($F86,Players!$A$2:$A$105,0))),"")</f>
        <v>0.75</v>
      </c>
      <c r="P86" s="10" t="n">
        <f aca="false">IFERROR(1/(1/INDEX(Players!$I$2:$I$105,MATCH($F86,Players!$A$2:$A$105,0))),"")</f>
        <v>0.31</v>
      </c>
      <c r="Q86" s="9" t="n">
        <f aca="false">IF($G86="",0,SUMIFS(Map_Stats!$F$2:$F$642,Map_Stats!$A$2:$A$642,$F86&amp;"|"&amp;$G86))</f>
        <v>6</v>
      </c>
      <c r="R86" s="13" t="n">
        <f aca="false">IF($G86="","",IFERROR(1/(1/INDEX(Map_Stats!$K$2:$K$642,MATCH($F86&amp;"|"&amp;$G86,Map_Stats!$A$2:$A$642,0))),$O86))</f>
        <v>0.8</v>
      </c>
      <c r="S86" s="10" t="n">
        <f aca="false">IF(OR($G86="",$P86=""),"",IFERROR(1/(1/INDEX(Map_Stats!$I$2:$I$642,MATCH($F86&amp;"|"&amp;$G86,Map_Stats!$A$2:$A$642,0))),$P86))</f>
        <v>0.3</v>
      </c>
      <c r="T86" s="13" t="n">
        <f aca="false">IF(OR($G86="",R86=""),"",IF($O86="",R86,(Q86*R86+Config!$B$4*$O86)/(Q86+Config!$B$4)))</f>
        <v>0.777272727272727</v>
      </c>
      <c r="U86" s="10" t="n">
        <f aca="false">IF(S86="","",(Q86*S86+Config!$B$4*$P86)/(Q86+Config!$B$4))</f>
        <v>0.304545454545455</v>
      </c>
      <c r="V86" s="17" t="n">
        <f aca="false">IF(OR(T86="",$J86=""),"",T86*$J86*($J86/Config!$B$10)^Config!$B$9)</f>
        <v>16.7113636363636</v>
      </c>
      <c r="W86" s="17" t="n">
        <f aca="false">IF(OR(V86="",U86=""),"",V86*U86)</f>
        <v>5.08936983471074</v>
      </c>
      <c r="X86" s="9" t="n">
        <f aca="false">IF($H86="",0,SUMIFS(Map_Stats!$F$2:$F$642,Map_Stats!$A$2:$A$642,$F86&amp;"|"&amp;$H86))</f>
        <v>7</v>
      </c>
      <c r="Y86" s="13" t="n">
        <f aca="false">IF($H86="","",IFERROR(1/(1/INDEX(Map_Stats!$K$2:$K$642,MATCH($F86&amp;"|"&amp;$H86,Map_Stats!$A$2:$A$642,0))),$O86))</f>
        <v>0.81</v>
      </c>
      <c r="Z86" s="10" t="n">
        <f aca="false">IF(OR($H86="",$P86=""),"",IFERROR(1/(1/INDEX(Map_Stats!$I$2:$I$642,MATCH($F86&amp;"|"&amp;$H86,Map_Stats!$A$2:$A$642,0))),$P86))</f>
        <v>0.313</v>
      </c>
      <c r="AA86" s="13" t="n">
        <f aca="false">IF(OR($H86="",Y86=""),"",IF($O86="",Y86,(X86*Y86+Config!$B$4*$O86)/(X86+Config!$B$4)))</f>
        <v>0.785</v>
      </c>
      <c r="AB86" s="10" t="n">
        <f aca="false">IF(Z86="","",(X86*Z86+Config!$B$4*$P86)/(X86+Config!$B$4))</f>
        <v>0.31175</v>
      </c>
      <c r="AC86" s="17" t="n">
        <f aca="false">IF(OR(AA86="",$K86=""),"",AA86*$K86*($K86/Config!$B$10)^Config!$B$9)</f>
        <v>16.7676</v>
      </c>
      <c r="AD86" s="17" t="n">
        <f aca="false">IF(OR(AC86="",AB86=""),"",AC86*AB86)</f>
        <v>5.2272993</v>
      </c>
      <c r="AE86" s="9" t="n">
        <f aca="false">IF($I86="",0,SUMIFS(Map_Stats!$F$2:$F$642,Map_Stats!$A$2:$A$642,$F86&amp;"|"&amp;$I86))</f>
        <v>0</v>
      </c>
      <c r="AF86" s="13" t="n">
        <f aca="false">IF($I86="","",IFERROR(1/(1/INDEX(Map_Stats!$K$2:$K$642,MATCH($F86&amp;"|"&amp;$I86,Map_Stats!$A$2:$A$642,0))),$O86))</f>
        <v>0.75</v>
      </c>
      <c r="AG86" s="10" t="n">
        <f aca="false">IF(OR($I86="",$P86=""),"",IFERROR(1/(1/INDEX(Map_Stats!$I$2:$I$642,MATCH($F86&amp;"|"&amp;$I86,Map_Stats!$A$2:$A$642,0))),$P86))</f>
        <v>0.31</v>
      </c>
      <c r="AH86" s="13" t="n">
        <f aca="false">IF(OR($I86="",AF86=""),"",IF($O86="",AF86,(AE86*AF86+Config!$B$4*$O86)/(AE86+Config!$B$4)))</f>
        <v>0.75</v>
      </c>
      <c r="AI86" s="10" t="n">
        <f aca="false">IF(AG86="","",(AE86*AG86+Config!$B$4*$P86)/(AE86+Config!$B$4))</f>
        <v>0.31</v>
      </c>
      <c r="AJ86" s="17" t="n">
        <f aca="false">IF(OR(AH86="",$L86=""),"",AH86*$L86*($L86/Config!$B$10)^Config!$B$9)</f>
        <v>16.065</v>
      </c>
      <c r="AK86" s="17" t="n">
        <f aca="false">IF(OR(AJ86="",AI86=""),"",AJ86*AI86)</f>
        <v>4.98015</v>
      </c>
      <c r="AL86" s="17" t="n">
        <f aca="false">N(V86)+N(AC86)</f>
        <v>33.4789636363636</v>
      </c>
      <c r="AM86" s="17" t="n">
        <f aca="false">AL86+N($M86)*N(AJ86)</f>
        <v>41.4680881363636</v>
      </c>
      <c r="AN86" s="17" t="n">
        <f aca="false">IF(W86="","",N(W86)+N(AD86))</f>
        <v>10.3166691347107</v>
      </c>
      <c r="AO86" s="17" t="n">
        <f aca="false">IF(AN86="","",AN86+N($M86)*N(AK86))</f>
        <v>12.7932977297107</v>
      </c>
      <c r="AP86" s="10" t="n">
        <f aca="false">IFERROR(AN86/AL86,"")</f>
        <v>0.308153778198354</v>
      </c>
      <c r="AQ86" s="0" t="str">
        <f aca="false">TRIM(IF($N86&lt;Config!$B$12,"thin sample ("&amp;$N86&amp;" maps) · ","")&amp;IF(AND($G86&lt;&gt;"",Q86=0),"M1 unplayed→overall KPR · ","")&amp;IF(AND($H86&lt;&gt;"",X86=0),"M2 unplayed→overall KPR · ","")&amp;IF($O86="","no PickFinder stats",""))</f>
        <v/>
      </c>
      <c r="AR86" s="0" t="str">
        <f aca="false">IF($C86=Board!$B$2,COUNTIFS($C$2:$C$105,Board!$B$2,$AL$2:$AL$105,"&gt;"&amp;$AL86)+COUNTIFS($C$1:$C85,Board!$B$2,$AL$1:$AL85,$AL86)+1,"")</f>
        <v/>
      </c>
      <c r="AS86" s="0" t="str">
        <f aca="false">IFERROR(IF($D86=INDEX(Matches!$AD$5:$AD$17,MATCH($C86,Matches!$A$5:$A$17,0)),"A",IF($D86=INDEX(Matches!$AE$5:$AE$17,MATCH($C86,Matches!$A$5:$A$17,0)),"B","")),"")</f>
        <v>A</v>
      </c>
      <c r="AT86" s="10" t="n">
        <f aca="false">IF($AS86="","",IFERROR(IF($AS86="A",INDEX(Matches!$AI$5:$AI$17,MATCH($C86,Matches!$A$5:$A$17,0)),INDEX(Matches!$AJ$5:$AJ$17,MATCH($C86,Matches!$A$5:$A$17,0))),""))</f>
        <v>0.515944432361897</v>
      </c>
      <c r="AU86" s="10" t="n">
        <f aca="false">IF($AS86="","",IFERROR(IF(INDEX(Matches!$AP$5:$AP$17,MATCH($C86,Matches!$A$5:$A$17,0))="","",IF($AS86="A",INDEX(Matches!$AP$5:$AP$17,MATCH($C86,Matches!$A$5:$A$17,0)),1-INDEX(Matches!$AP$5:$AP$17,MATCH($C86,Matches!$A$5:$A$17,0)))),""))</f>
        <v>0.512312622578097</v>
      </c>
      <c r="AV86" s="13" t="n">
        <f aca="false">IF(OR($AU86="",$AT86=""),1,((Config!$B$14*$AU86+Config!$B$15*(1-$AU86))/(Config!$B$14*$AT86+Config!$B$15*(1-$AT86)))^Config!$B$13)</f>
        <v>0.99680014518226</v>
      </c>
      <c r="AW86" s="10" t="n">
        <f aca="false">IF($AS86="","",IFERROR(IF(INDEX(Matches!$AV$5:$AV$17,MATCH($C86,Matches!$A$5:$A$17,0))="","",IF($AS86="A",INDEX(Matches!$AV$5:$AV$17,MATCH($C86,Matches!$A$5:$A$17,0)),1-INDEX(Matches!$AV$5:$AV$17,MATCH($C86,Matches!$A$5:$A$17,0)))),""))</f>
        <v>0.492633682243471</v>
      </c>
      <c r="AX86" s="13" t="n">
        <f aca="false">IF(OR($AW86="",$AT86=""),1,((Config!$B$14*$AW86+Config!$B$15*(1-$AW86))/(Config!$B$14*$AT86+Config!$B$15*(1-$AT86)))^Config!$B$13)</f>
        <v>0.979461750336069</v>
      </c>
      <c r="AY86" s="10" t="n">
        <f aca="false">IF($AS86="","",IFERROR(IF(INDEX(Matches!$BB$5:$BB$17,MATCH($C86,Matches!$A$5:$A$17,0))="","",IF($AS86="A",INDEX(Matches!$BB$5:$BB$17,MATCH($C86,Matches!$A$5:$A$17,0)),1-INDEX(Matches!$BB$5:$BB$17,MATCH($C86,Matches!$A$5:$A$17,0)))),""))</f>
        <v>0.522423012551534</v>
      </c>
      <c r="AZ86" s="13" t="n">
        <f aca="false">IF(OR($AY86="",$AT86=""),1,((Config!$B$14*$AY86+Config!$B$15*(1-$AY86))/(Config!$B$14*$AT86+Config!$B$15*(1-$AT86)))^Config!$B$13)</f>
        <v>1.00570804014142</v>
      </c>
      <c r="BA86" s="17" t="n">
        <f aca="false">IF(V86="","",V86*$AV86)</f>
        <v>16.6578896989208</v>
      </c>
      <c r="BB86" s="17" t="n">
        <f aca="false">IF(AC86="","",AC86*$AX86)</f>
        <v>16.4232228449351</v>
      </c>
      <c r="BC86" s="17" t="n">
        <f aca="false">IF(AJ86="","",AJ86*$AZ86)</f>
        <v>16.1566996648719</v>
      </c>
      <c r="BD86" s="17" t="n">
        <f aca="false">N(BA86)+N(BB86)</f>
        <v>33.0811125438559</v>
      </c>
      <c r="BE86" s="17" t="n">
        <f aca="false">BD86+N($M86)*N(BC86)</f>
        <v>41.1158392871967</v>
      </c>
      <c r="BF86" s="17" t="n">
        <f aca="false">IF(W86="","",W86*$AV86)</f>
        <v>5.07308459012588</v>
      </c>
      <c r="BG86" s="17" t="n">
        <f aca="false">IF(AD86="","",AD86*$AX86)</f>
        <v>5.11993972190851</v>
      </c>
      <c r="BH86" s="17" t="n">
        <f aca="false">IF(AK86="","",AK86*$AZ86)</f>
        <v>5.00857689611029</v>
      </c>
      <c r="BI86" s="17" t="n">
        <f aca="false">IF(BF86="","",N(BF86)+N(BG86))</f>
        <v>10.1930243120344</v>
      </c>
      <c r="BJ86" s="17" t="n">
        <f aca="false">IF(BI86="","",BI86+N($M86)*N(BH86))</f>
        <v>12.68378960247</v>
      </c>
      <c r="BK86" s="13" t="n">
        <f aca="false">IFERROR(BD86/AL86,1)</f>
        <v>0.98811638565551</v>
      </c>
    </row>
    <row r="87" customFormat="false" ht="15" hidden="false" customHeight="false" outlineLevel="0" collapsed="false">
      <c r="A87" s="0" t="s">
        <v>1078</v>
      </c>
      <c r="B87" s="0" t="s">
        <v>775</v>
      </c>
      <c r="C87" s="0" t="s">
        <v>830</v>
      </c>
      <c r="D87" s="0" t="s">
        <v>833</v>
      </c>
      <c r="E87" s="0" t="s">
        <v>1077</v>
      </c>
      <c r="F87" s="0" t="s">
        <v>1252</v>
      </c>
      <c r="G87" s="0" t="str">
        <f aca="false">IFERROR(IF(INDEX(Matches!$W$5:$W$17,MATCH($C87,Matches!$A$5:$A$17,0))="","",INDEX(Matches!$W$5:$W$17,MATCH($C87,Matches!$A$5:$A$17,0))),"")</f>
        <v>Cache</v>
      </c>
      <c r="H87" s="0" t="str">
        <f aca="false">IFERROR(IF(INDEX(Matches!$X$5:$X$17,MATCH($C87,Matches!$A$5:$A$17,0))="","",INDEX(Matches!$X$5:$X$17,MATCH($C87,Matches!$A$5:$A$17,0))),"")</f>
        <v>Nuke</v>
      </c>
      <c r="I87" s="0" t="str">
        <f aca="false">IFERROR(IF(INDEX(Matches!$Y$5:$Y$17,MATCH($C87,Matches!$A$5:$A$17,0))="","",INDEX(Matches!$Y$5:$Y$17,MATCH($C87,Matches!$A$5:$A$17,0))),"")</f>
        <v>Ancient</v>
      </c>
      <c r="J87" s="11" t="n">
        <f aca="false">IFERROR(IF(INDEX(Matches!$Z$5:$Z$17,MATCH($C87,Matches!$A$5:$A$17,0))="","",INDEX(Matches!$Z$5:$Z$17,MATCH($C87,Matches!$A$5:$A$17,0))),"")</f>
        <v>21.2</v>
      </c>
      <c r="K87" s="11" t="n">
        <f aca="false">IFERROR(IF(INDEX(Matches!$AA$5:$AA$17,MATCH($C87,Matches!$A$5:$A$17,0))="","",INDEX(Matches!$AA$5:$AA$17,MATCH($C87,Matches!$A$5:$A$17,0))),"")</f>
        <v>21.07</v>
      </c>
      <c r="L87" s="11" t="n">
        <f aca="false">IFERROR(IF(INDEX(Matches!$AB$5:$AB$17,MATCH($C87,Matches!$A$5:$A$17,0))="","",INDEX(Matches!$AB$5:$AB$17,MATCH($C87,Matches!$A$5:$A$17,0))),"")</f>
        <v>21.5</v>
      </c>
      <c r="M87" s="10" t="n">
        <f aca="false">IFERROR(IF(INDEX(Matches!$AC$5:$AC$17,MATCH($C87,Matches!$A$5:$A$17,0))="","",INDEX(Matches!$AC$5:$AC$17,MATCH($C87,Matches!$A$5:$A$17,0))),"")</f>
        <v>0.4545</v>
      </c>
      <c r="N87" s="9" t="n">
        <f aca="false">IFERROR(INDEX(Players!$F$2:$F$105,MATCH($F87,Players!$A$2:$A$105,0)),0)</f>
        <v>22</v>
      </c>
      <c r="O87" s="13" t="n">
        <f aca="false">IFERROR(1/(1/INDEX(Players!$H$2:$H$105,MATCH($F87,Players!$A$2:$A$105,0))),"")</f>
        <v>0.72</v>
      </c>
      <c r="P87" s="10" t="n">
        <f aca="false">IFERROR(1/(1/INDEX(Players!$I$2:$I$105,MATCH($F87,Players!$A$2:$A$105,0))),"")</f>
        <v>0.494</v>
      </c>
      <c r="Q87" s="9" t="n">
        <f aca="false">IF($G87="",0,SUMIFS(Map_Stats!$F$2:$F$642,Map_Stats!$A$2:$A$642,$F87&amp;"|"&amp;$G87))</f>
        <v>4</v>
      </c>
      <c r="R87" s="13" t="n">
        <f aca="false">IF($G87="","",IFERROR(1/(1/INDEX(Map_Stats!$K$2:$K$642,MATCH($F87&amp;"|"&amp;$G87,Map_Stats!$A$2:$A$642,0))),$O87))</f>
        <v>0.81</v>
      </c>
      <c r="S87" s="10" t="n">
        <f aca="false">IF(OR($G87="",$P87=""),"",IFERROR(1/(1/INDEX(Map_Stats!$I$2:$I$642,MATCH($F87&amp;"|"&amp;$G87,Map_Stats!$A$2:$A$642,0))),$P87))</f>
        <v>0.432</v>
      </c>
      <c r="T87" s="13" t="n">
        <f aca="false">IF(OR($G87="",R87=""),"",IF($O87="",R87,(Q87*R87+Config!$B$4*$O87)/(Q87+Config!$B$4)))</f>
        <v>0.76</v>
      </c>
      <c r="U87" s="10" t="n">
        <f aca="false">IF(S87="","",(Q87*S87+Config!$B$4*$P87)/(Q87+Config!$B$4))</f>
        <v>0.466444444444445</v>
      </c>
      <c r="V87" s="17" t="n">
        <f aca="false">IF(OR(T87="",$J87=""),"",T87*$J87*($J87/Config!$B$10)^Config!$B$9)</f>
        <v>16.112</v>
      </c>
      <c r="W87" s="17" t="n">
        <f aca="false">IF(OR(V87="",U87=""),"",V87*U87)</f>
        <v>7.51535288888889</v>
      </c>
      <c r="X87" s="9" t="n">
        <f aca="false">IF($H87="",0,SUMIFS(Map_Stats!$F$2:$F$642,Map_Stats!$A$2:$A$642,$F87&amp;"|"&amp;$H87))</f>
        <v>4</v>
      </c>
      <c r="Y87" s="13" t="n">
        <f aca="false">IF($H87="","",IFERROR(1/(1/INDEX(Map_Stats!$K$2:$K$642,MATCH($F87&amp;"|"&amp;$H87,Map_Stats!$A$2:$A$642,0))),$O87))</f>
        <v>0.83</v>
      </c>
      <c r="Z87" s="10" t="n">
        <f aca="false">IF(OR($H87="",$P87=""),"",IFERROR(1/(1/INDEX(Map_Stats!$I$2:$I$642,MATCH($F87&amp;"|"&amp;$H87,Map_Stats!$A$2:$A$642,0))),$P87))</f>
        <v>0.579</v>
      </c>
      <c r="AA87" s="13" t="n">
        <f aca="false">IF(OR($H87="",Y87=""),"",IF($O87="",Y87,(X87*Y87+Config!$B$4*$O87)/(X87+Config!$B$4)))</f>
        <v>0.768888888888889</v>
      </c>
      <c r="AB87" s="10" t="n">
        <f aca="false">IF(Z87="","",(X87*Z87+Config!$B$4*$P87)/(X87+Config!$B$4))</f>
        <v>0.531777777777778</v>
      </c>
      <c r="AC87" s="17" t="n">
        <f aca="false">IF(OR(AA87="",$K87=""),"",AA87*$K87*($K87/Config!$B$10)^Config!$B$9)</f>
        <v>16.2004888888889</v>
      </c>
      <c r="AD87" s="17" t="n">
        <f aca="false">IF(OR(AC87="",AB87=""),"",AC87*AB87)</f>
        <v>8.61505998024691</v>
      </c>
      <c r="AE87" s="9" t="n">
        <f aca="false">IF($I87="",0,SUMIFS(Map_Stats!$F$2:$F$642,Map_Stats!$A$2:$A$642,$F87&amp;"|"&amp;$I87))</f>
        <v>4</v>
      </c>
      <c r="AF87" s="13" t="n">
        <f aca="false">IF($I87="","",IFERROR(1/(1/INDEX(Map_Stats!$K$2:$K$642,MATCH($F87&amp;"|"&amp;$I87,Map_Stats!$A$2:$A$642,0))),$O87))</f>
        <v>0.73</v>
      </c>
      <c r="AG87" s="10" t="n">
        <f aca="false">IF(OR($I87="",$P87=""),"",IFERROR(1/(1/INDEX(Map_Stats!$I$2:$I$642,MATCH($F87&amp;"|"&amp;$I87,Map_Stats!$A$2:$A$642,0))),$P87))</f>
        <v>0.5</v>
      </c>
      <c r="AH87" s="13" t="n">
        <f aca="false">IF(OR($I87="",AF87=""),"",IF($O87="",AF87,(AE87*AF87+Config!$B$4*$O87)/(AE87+Config!$B$4)))</f>
        <v>0.724444444444444</v>
      </c>
      <c r="AI87" s="10" t="n">
        <f aca="false">IF(AG87="","",(AE87*AG87+Config!$B$4*$P87)/(AE87+Config!$B$4))</f>
        <v>0.496666666666667</v>
      </c>
      <c r="AJ87" s="17" t="n">
        <f aca="false">IF(OR(AH87="",$L87=""),"",AH87*$L87*($L87/Config!$B$10)^Config!$B$9)</f>
        <v>15.5755555555556</v>
      </c>
      <c r="AK87" s="17" t="n">
        <f aca="false">IF(OR(AJ87="",AI87=""),"",AJ87*AI87)</f>
        <v>7.73585925925926</v>
      </c>
      <c r="AL87" s="17" t="n">
        <f aca="false">N(V87)+N(AC87)</f>
        <v>32.3124888888889</v>
      </c>
      <c r="AM87" s="17" t="n">
        <f aca="false">AL87+N($M87)*N(AJ87)</f>
        <v>39.3915788888889</v>
      </c>
      <c r="AN87" s="17" t="n">
        <f aca="false">IF(W87="","",N(W87)+N(AD87))</f>
        <v>16.1304128691358</v>
      </c>
      <c r="AO87" s="17" t="n">
        <f aca="false">IF(AN87="","",AN87+N($M87)*N(AK87))</f>
        <v>19.6463609024691</v>
      </c>
      <c r="AP87" s="10" t="n">
        <f aca="false">IFERROR(AN87/AL87,"")</f>
        <v>0.499200569928319</v>
      </c>
      <c r="AQ87" s="0" t="str">
        <f aca="false">TRIM(IF($N87&lt;Config!$B$12,"thin sample ("&amp;$N87&amp;" maps) · ","")&amp;IF(AND($G87&lt;&gt;"",Q87=0),"M1 unplayed→overall KPR · ","")&amp;IF(AND($H87&lt;&gt;"",X87=0),"M2 unplayed→overall KPR · ","")&amp;IF($O87="","no PickFinder stats",""))</f>
        <v/>
      </c>
      <c r="AR87" s="0" t="str">
        <f aca="false">IF($C87=Board!$B$2,COUNTIFS($C$2:$C$105,Board!$B$2,$AL$2:$AL$105,"&gt;"&amp;$AL87)+COUNTIFS($C$1:$C86,Board!$B$2,$AL$1:$AL86,$AL87)+1,"")</f>
        <v/>
      </c>
      <c r="AS87" s="0" t="str">
        <f aca="false">IFERROR(IF($D87=INDEX(Matches!$AD$5:$AD$17,MATCH($C87,Matches!$A$5:$A$17,0)),"A",IF($D87=INDEX(Matches!$AE$5:$AE$17,MATCH($C87,Matches!$A$5:$A$17,0)),"B","")),"")</f>
        <v>A</v>
      </c>
      <c r="AT87" s="10" t="n">
        <f aca="false">IF($AS87="","",IFERROR(IF($AS87="A",INDEX(Matches!$AI$5:$AI$17,MATCH($C87,Matches!$A$5:$A$17,0)),INDEX(Matches!$AJ$5:$AJ$17,MATCH($C87,Matches!$A$5:$A$17,0))),""))</f>
        <v>0.520867653467907</v>
      </c>
      <c r="AU87" s="10" t="n">
        <f aca="false">IF($AS87="","",IFERROR(IF(INDEX(Matches!$AP$5:$AP$17,MATCH($C87,Matches!$A$5:$A$17,0))="","",IF($AS87="A",INDEX(Matches!$AP$5:$AP$17,MATCH($C87,Matches!$A$5:$A$17,0)),1-INDEX(Matches!$AP$5:$AP$17,MATCH($C87,Matches!$A$5:$A$17,0)))),""))</f>
        <v>0.485881880725451</v>
      </c>
      <c r="AV87" s="13" t="n">
        <f aca="false">IF(OR($AU87="",$AT87=""),1,((Config!$B$14*$AU87+Config!$B$15*(1-$AU87))/(Config!$B$14*$AT87+Config!$B$15*(1-$AT87)))^Config!$B$13)</f>
        <v>0.969308444595842</v>
      </c>
      <c r="AW87" s="10" t="n">
        <f aca="false">IF($AS87="","",IFERROR(IF(INDEX(Matches!$AV$5:$AV$17,MATCH($C87,Matches!$A$5:$A$17,0))="","",IF($AS87="A",INDEX(Matches!$AV$5:$AV$17,MATCH($C87,Matches!$A$5:$A$17,0)),1-INDEX(Matches!$AV$5:$AV$17,MATCH($C87,Matches!$A$5:$A$17,0)))),""))</f>
        <v>0.444838385124031</v>
      </c>
      <c r="AX87" s="13" t="n">
        <f aca="false">IF(OR($AW87="",$AT87=""),1,((Config!$B$14*$AW87+Config!$B$15*(1-$AW87))/(Config!$B$14*$AT87+Config!$B$15*(1-$AT87)))^Config!$B$13)</f>
        <v>0.93330270224725</v>
      </c>
      <c r="AY87" s="10" t="n">
        <f aca="false">IF($AS87="","",IFERROR(IF(INDEX(Matches!$BB$5:$BB$17,MATCH($C87,Matches!$A$5:$A$17,0))="","",IF($AS87="A",INDEX(Matches!$BB$5:$BB$17,MATCH($C87,Matches!$A$5:$A$17,0)),1-INDEX(Matches!$BB$5:$BB$17,MATCH($C87,Matches!$A$5:$A$17,0)))),""))</f>
        <v>0.47687346114196</v>
      </c>
      <c r="AZ87" s="13" t="n">
        <f aca="false">IF(OR($AY87="",$AT87=""),1,((Config!$B$14*$AY87+Config!$B$15*(1-$AY87))/(Config!$B$14*$AT87+Config!$B$15*(1-$AT87)))^Config!$B$13)</f>
        <v>0.961405734806183</v>
      </c>
      <c r="BA87" s="17" t="n">
        <f aca="false">IF(V87="","",V87*$AV87)</f>
        <v>15.6174976593282</v>
      </c>
      <c r="BB87" s="17" t="n">
        <f aca="false">IF(AC87="","",AC87*$AX87)</f>
        <v>15.1199600577265</v>
      </c>
      <c r="BC87" s="17" t="n">
        <f aca="false">IF(AJ87="","",AJ87*$AZ87)</f>
        <v>14.9744284339034</v>
      </c>
      <c r="BD87" s="17" t="n">
        <f aca="false">N(BA87)+N(BB87)</f>
        <v>30.7374577170548</v>
      </c>
      <c r="BE87" s="17" t="n">
        <f aca="false">BD87+N($M87)*N(BC87)</f>
        <v>37.5433354402639</v>
      </c>
      <c r="BF87" s="17" t="n">
        <f aca="false">IF(W87="","",W87*$AV87)</f>
        <v>7.28469501931776</v>
      </c>
      <c r="BG87" s="17" t="n">
        <f aca="false">IF(AD87="","",AD87*$AX87)</f>
        <v>8.04045875958658</v>
      </c>
      <c r="BH87" s="17" t="n">
        <f aca="false">IF(AK87="","",AK87*$AZ87)</f>
        <v>7.43729945550536</v>
      </c>
      <c r="BI87" s="17" t="n">
        <f aca="false">IF(BF87="","",N(BF87)+N(BG87))</f>
        <v>15.3251537789043</v>
      </c>
      <c r="BJ87" s="17" t="n">
        <f aca="false">IF(BI87="","",BI87+N($M87)*N(BH87))</f>
        <v>18.7054063814315</v>
      </c>
      <c r="BK87" s="13" t="n">
        <f aca="false">IFERROR(BD87/AL87,1)</f>
        <v>0.951256271924763</v>
      </c>
    </row>
    <row r="88" customFormat="false" ht="15" hidden="false" customHeight="false" outlineLevel="0" collapsed="false">
      <c r="A88" s="0" t="s">
        <v>1080</v>
      </c>
      <c r="B88" s="0" t="s">
        <v>775</v>
      </c>
      <c r="C88" s="0" t="s">
        <v>830</v>
      </c>
      <c r="D88" s="0" t="s">
        <v>833</v>
      </c>
      <c r="E88" s="0" t="s">
        <v>1079</v>
      </c>
      <c r="F88" s="0" t="s">
        <v>1253</v>
      </c>
      <c r="G88" s="0" t="str">
        <f aca="false">IFERROR(IF(INDEX(Matches!$W$5:$W$17,MATCH($C88,Matches!$A$5:$A$17,0))="","",INDEX(Matches!$W$5:$W$17,MATCH($C88,Matches!$A$5:$A$17,0))),"")</f>
        <v>Cache</v>
      </c>
      <c r="H88" s="0" t="str">
        <f aca="false">IFERROR(IF(INDEX(Matches!$X$5:$X$17,MATCH($C88,Matches!$A$5:$A$17,0))="","",INDEX(Matches!$X$5:$X$17,MATCH($C88,Matches!$A$5:$A$17,0))),"")</f>
        <v>Nuke</v>
      </c>
      <c r="I88" s="0" t="str">
        <f aca="false">IFERROR(IF(INDEX(Matches!$Y$5:$Y$17,MATCH($C88,Matches!$A$5:$A$17,0))="","",INDEX(Matches!$Y$5:$Y$17,MATCH($C88,Matches!$A$5:$A$17,0))),"")</f>
        <v>Ancient</v>
      </c>
      <c r="J88" s="11" t="n">
        <f aca="false">IFERROR(IF(INDEX(Matches!$Z$5:$Z$17,MATCH($C88,Matches!$A$5:$A$17,0))="","",INDEX(Matches!$Z$5:$Z$17,MATCH($C88,Matches!$A$5:$A$17,0))),"")</f>
        <v>21.2</v>
      </c>
      <c r="K88" s="11" t="n">
        <f aca="false">IFERROR(IF(INDEX(Matches!$AA$5:$AA$17,MATCH($C88,Matches!$A$5:$A$17,0))="","",INDEX(Matches!$AA$5:$AA$17,MATCH($C88,Matches!$A$5:$A$17,0))),"")</f>
        <v>21.07</v>
      </c>
      <c r="L88" s="11" t="n">
        <f aca="false">IFERROR(IF(INDEX(Matches!$AB$5:$AB$17,MATCH($C88,Matches!$A$5:$A$17,0))="","",INDEX(Matches!$AB$5:$AB$17,MATCH($C88,Matches!$A$5:$A$17,0))),"")</f>
        <v>21.5</v>
      </c>
      <c r="M88" s="10" t="n">
        <f aca="false">IFERROR(IF(INDEX(Matches!$AC$5:$AC$17,MATCH($C88,Matches!$A$5:$A$17,0))="","",INDEX(Matches!$AC$5:$AC$17,MATCH($C88,Matches!$A$5:$A$17,0))),"")</f>
        <v>0.4545</v>
      </c>
      <c r="N88" s="9" t="n">
        <f aca="false">IFERROR(INDEX(Players!$F$2:$F$105,MATCH($F88,Players!$A$2:$A$105,0)),0)</f>
        <v>22</v>
      </c>
      <c r="O88" s="13" t="n">
        <f aca="false">IFERROR(1/(1/INDEX(Players!$H$2:$H$105,MATCH($F88,Players!$A$2:$A$105,0))),"")</f>
        <v>0.74</v>
      </c>
      <c r="P88" s="10" t="n">
        <f aca="false">IFERROR(1/(1/INDEX(Players!$I$2:$I$105,MATCH($F88,Players!$A$2:$A$105,0))),"")</f>
        <v>0.477</v>
      </c>
      <c r="Q88" s="9" t="n">
        <f aca="false">IF($G88="",0,SUMIFS(Map_Stats!$F$2:$F$642,Map_Stats!$A$2:$A$642,$F88&amp;"|"&amp;$G88))</f>
        <v>4</v>
      </c>
      <c r="R88" s="13" t="n">
        <f aca="false">IF($G88="","",IFERROR(1/(1/INDEX(Map_Stats!$K$2:$K$642,MATCH($F88&amp;"|"&amp;$G88,Map_Stats!$A$2:$A$642,0))),$O88))</f>
        <v>0.87</v>
      </c>
      <c r="S88" s="10" t="n">
        <f aca="false">IF(OR($G88="",$P88=""),"",IFERROR(1/(1/INDEX(Map_Stats!$I$2:$I$642,MATCH($F88&amp;"|"&amp;$G88,Map_Stats!$A$2:$A$642,0))),$P88))</f>
        <v>0.506</v>
      </c>
      <c r="T88" s="13" t="n">
        <f aca="false">IF(OR($G88="",R88=""),"",IF($O88="",R88,(Q88*R88+Config!$B$4*$O88)/(Q88+Config!$B$4)))</f>
        <v>0.797777777777778</v>
      </c>
      <c r="U88" s="10" t="n">
        <f aca="false">IF(S88="","",(Q88*S88+Config!$B$4*$P88)/(Q88+Config!$B$4))</f>
        <v>0.489888888888889</v>
      </c>
      <c r="V88" s="17" t="n">
        <f aca="false">IF(OR(T88="",$J88=""),"",T88*$J88*($J88/Config!$B$10)^Config!$B$9)</f>
        <v>16.9128888888889</v>
      </c>
      <c r="W88" s="17" t="n">
        <f aca="false">IF(OR(V88="",U88=""),"",V88*U88)</f>
        <v>8.28543634567901</v>
      </c>
      <c r="X88" s="9" t="n">
        <f aca="false">IF($H88="",0,SUMIFS(Map_Stats!$F$2:$F$642,Map_Stats!$A$2:$A$642,$F88&amp;"|"&amp;$H88))</f>
        <v>4</v>
      </c>
      <c r="Y88" s="13" t="n">
        <f aca="false">IF($H88="","",IFERROR(1/(1/INDEX(Map_Stats!$K$2:$K$642,MATCH($F88&amp;"|"&amp;$H88,Map_Stats!$A$2:$A$642,0))),$O88))</f>
        <v>0.48</v>
      </c>
      <c r="Z88" s="10" t="n">
        <f aca="false">IF(OR($H88="",$P88=""),"",IFERROR(1/(1/INDEX(Map_Stats!$I$2:$I$642,MATCH($F88&amp;"|"&amp;$H88,Map_Stats!$A$2:$A$642,0))),$P88))</f>
        <v>0.614</v>
      </c>
      <c r="AA88" s="13" t="n">
        <f aca="false">IF(OR($H88="",Y88=""),"",IF($O88="",Y88,(X88*Y88+Config!$B$4*$O88)/(X88+Config!$B$4)))</f>
        <v>0.624444444444445</v>
      </c>
      <c r="AB88" s="10" t="n">
        <f aca="false">IF(Z88="","",(X88*Z88+Config!$B$4*$P88)/(X88+Config!$B$4))</f>
        <v>0.537888888888889</v>
      </c>
      <c r="AC88" s="17" t="n">
        <f aca="false">IF(OR(AA88="",$K88=""),"",AA88*$K88*($K88/Config!$B$10)^Config!$B$9)</f>
        <v>13.1570444444444</v>
      </c>
      <c r="AD88" s="17" t="n">
        <f aca="false">IF(OR(AC88="",AB88=""),"",AC88*AB88)</f>
        <v>7.07702801728395</v>
      </c>
      <c r="AE88" s="9" t="n">
        <f aca="false">IF($I88="",0,SUMIFS(Map_Stats!$F$2:$F$642,Map_Stats!$A$2:$A$642,$F88&amp;"|"&amp;$I88))</f>
        <v>4</v>
      </c>
      <c r="AF88" s="13" t="n">
        <f aca="false">IF($I88="","",IFERROR(1/(1/INDEX(Map_Stats!$K$2:$K$642,MATCH($F88&amp;"|"&amp;$I88,Map_Stats!$A$2:$A$642,0))),$O88))</f>
        <v>0.79</v>
      </c>
      <c r="AG88" s="10" t="n">
        <f aca="false">IF(OR($I88="",$P88=""),"",IFERROR(1/(1/INDEX(Map_Stats!$I$2:$I$642,MATCH($F88&amp;"|"&amp;$I88,Map_Stats!$A$2:$A$642,0))),$P88))</f>
        <v>0.458</v>
      </c>
      <c r="AH88" s="13" t="n">
        <f aca="false">IF(OR($I88="",AF88=""),"",IF($O88="",AF88,(AE88*AF88+Config!$B$4*$O88)/(AE88+Config!$B$4)))</f>
        <v>0.762222222222222</v>
      </c>
      <c r="AI88" s="10" t="n">
        <f aca="false">IF(AG88="","",(AE88*AG88+Config!$B$4*$P88)/(AE88+Config!$B$4))</f>
        <v>0.468555555555556</v>
      </c>
      <c r="AJ88" s="17" t="n">
        <f aca="false">IF(OR(AH88="",$L88=""),"",AH88*$L88*($L88/Config!$B$10)^Config!$B$9)</f>
        <v>16.3877777777778</v>
      </c>
      <c r="AK88" s="17" t="n">
        <f aca="false">IF(OR(AJ88="",AI88=""),"",AJ88*AI88)</f>
        <v>7.67858432098766</v>
      </c>
      <c r="AL88" s="17" t="n">
        <f aca="false">N(V88)+N(AC88)</f>
        <v>30.0699333333333</v>
      </c>
      <c r="AM88" s="17" t="n">
        <f aca="false">AL88+N($M88)*N(AJ88)</f>
        <v>37.5181783333333</v>
      </c>
      <c r="AN88" s="17" t="n">
        <f aca="false">IF(W88="","",N(W88)+N(AD88))</f>
        <v>15.362464362963</v>
      </c>
      <c r="AO88" s="17" t="n">
        <f aca="false">IF(AN88="","",AN88+N($M88)*N(AK88))</f>
        <v>18.8523809368519</v>
      </c>
      <c r="AP88" s="10" t="n">
        <f aca="false">IFERROR(AN88/AL88,"")</f>
        <v>0.510891201276235</v>
      </c>
      <c r="AQ88" s="0" t="str">
        <f aca="false">TRIM(IF($N88&lt;Config!$B$12,"thin sample ("&amp;$N88&amp;" maps) · ","")&amp;IF(AND($G88&lt;&gt;"",Q88=0),"M1 unplayed→overall KPR · ","")&amp;IF(AND($H88&lt;&gt;"",X88=0),"M2 unplayed→overall KPR · ","")&amp;IF($O88="","no PickFinder stats",""))</f>
        <v/>
      </c>
      <c r="AR88" s="0" t="str">
        <f aca="false">IF($C88=Board!$B$2,COUNTIFS($C$2:$C$105,Board!$B$2,$AL$2:$AL$105,"&gt;"&amp;$AL88)+COUNTIFS($C$1:$C87,Board!$B$2,$AL$1:$AL87,$AL88)+1,"")</f>
        <v/>
      </c>
      <c r="AS88" s="0" t="str">
        <f aca="false">IFERROR(IF($D88=INDEX(Matches!$AD$5:$AD$17,MATCH($C88,Matches!$A$5:$A$17,0)),"A",IF($D88=INDEX(Matches!$AE$5:$AE$17,MATCH($C88,Matches!$A$5:$A$17,0)),"B","")),"")</f>
        <v>A</v>
      </c>
      <c r="AT88" s="10" t="n">
        <f aca="false">IF($AS88="","",IFERROR(IF($AS88="A",INDEX(Matches!$AI$5:$AI$17,MATCH($C88,Matches!$A$5:$A$17,0)),INDEX(Matches!$AJ$5:$AJ$17,MATCH($C88,Matches!$A$5:$A$17,0))),""))</f>
        <v>0.520867653467907</v>
      </c>
      <c r="AU88" s="10" t="n">
        <f aca="false">IF($AS88="","",IFERROR(IF(INDEX(Matches!$AP$5:$AP$17,MATCH($C88,Matches!$A$5:$A$17,0))="","",IF($AS88="A",INDEX(Matches!$AP$5:$AP$17,MATCH($C88,Matches!$A$5:$A$17,0)),1-INDEX(Matches!$AP$5:$AP$17,MATCH($C88,Matches!$A$5:$A$17,0)))),""))</f>
        <v>0.485881880725451</v>
      </c>
      <c r="AV88" s="13" t="n">
        <f aca="false">IF(OR($AU88="",$AT88=""),1,((Config!$B$14*$AU88+Config!$B$15*(1-$AU88))/(Config!$B$14*$AT88+Config!$B$15*(1-$AT88)))^Config!$B$13)</f>
        <v>0.969308444595842</v>
      </c>
      <c r="AW88" s="10" t="n">
        <f aca="false">IF($AS88="","",IFERROR(IF(INDEX(Matches!$AV$5:$AV$17,MATCH($C88,Matches!$A$5:$A$17,0))="","",IF($AS88="A",INDEX(Matches!$AV$5:$AV$17,MATCH($C88,Matches!$A$5:$A$17,0)),1-INDEX(Matches!$AV$5:$AV$17,MATCH($C88,Matches!$A$5:$A$17,0)))),""))</f>
        <v>0.444838385124031</v>
      </c>
      <c r="AX88" s="13" t="n">
        <f aca="false">IF(OR($AW88="",$AT88=""),1,((Config!$B$14*$AW88+Config!$B$15*(1-$AW88))/(Config!$B$14*$AT88+Config!$B$15*(1-$AT88)))^Config!$B$13)</f>
        <v>0.93330270224725</v>
      </c>
      <c r="AY88" s="10" t="n">
        <f aca="false">IF($AS88="","",IFERROR(IF(INDEX(Matches!$BB$5:$BB$17,MATCH($C88,Matches!$A$5:$A$17,0))="","",IF($AS88="A",INDEX(Matches!$BB$5:$BB$17,MATCH($C88,Matches!$A$5:$A$17,0)),1-INDEX(Matches!$BB$5:$BB$17,MATCH($C88,Matches!$A$5:$A$17,0)))),""))</f>
        <v>0.47687346114196</v>
      </c>
      <c r="AZ88" s="13" t="n">
        <f aca="false">IF(OR($AY88="",$AT88=""),1,((Config!$B$14*$AY88+Config!$B$15*(1-$AY88))/(Config!$B$14*$AT88+Config!$B$15*(1-$AT88)))^Config!$B$13)</f>
        <v>0.961405734806183</v>
      </c>
      <c r="BA88" s="17" t="n">
        <f aca="false">IF(V88="","",V88*$AV88)</f>
        <v>16.3938060225112</v>
      </c>
      <c r="BB88" s="17" t="n">
        <f aca="false">IF(AC88="","",AC88*$AX88)</f>
        <v>12.2795051335872</v>
      </c>
      <c r="BC88" s="17" t="n">
        <f aca="false">IF(AJ88="","",AJ88*$AZ88)</f>
        <v>15.7553035362849</v>
      </c>
      <c r="BD88" s="17" t="n">
        <f aca="false">N(BA88)+N(BB88)</f>
        <v>28.6733111560984</v>
      </c>
      <c r="BE88" s="17" t="n">
        <f aca="false">BD88+N($M88)*N(BC88)</f>
        <v>35.8340966133398</v>
      </c>
      <c r="BF88" s="17" t="n">
        <f aca="false">IF(W88="","",W88*$AV88)</f>
        <v>8.03114341702798</v>
      </c>
      <c r="BG88" s="17" t="n">
        <f aca="false">IF(AD88="","",AD88*$AX88)</f>
        <v>6.60500937241061</v>
      </c>
      <c r="BH88" s="17" t="n">
        <f aca="false">IF(AK88="","",AK88*$AZ88)</f>
        <v>7.38223500139037</v>
      </c>
      <c r="BI88" s="17" t="n">
        <f aca="false">IF(BF88="","",N(BF88)+N(BG88))</f>
        <v>14.6361527894386</v>
      </c>
      <c r="BJ88" s="17" t="n">
        <f aca="false">IF(BI88="","",BI88+N($M88)*N(BH88))</f>
        <v>17.9913785975705</v>
      </c>
      <c r="BK88" s="13" t="n">
        <f aca="false">IFERROR(BD88/AL88,1)</f>
        <v>0.953554197751187</v>
      </c>
    </row>
    <row r="89" customFormat="false" ht="15" hidden="false" customHeight="false" outlineLevel="0" collapsed="false">
      <c r="A89" s="0" t="s">
        <v>1082</v>
      </c>
      <c r="B89" s="0" t="s">
        <v>775</v>
      </c>
      <c r="C89" s="0" t="s">
        <v>830</v>
      </c>
      <c r="D89" s="0" t="s">
        <v>833</v>
      </c>
      <c r="E89" s="0" t="s">
        <v>1081</v>
      </c>
      <c r="F89" s="0" t="s">
        <v>1254</v>
      </c>
      <c r="G89" s="0" t="str">
        <f aca="false">IFERROR(IF(INDEX(Matches!$W$5:$W$17,MATCH($C89,Matches!$A$5:$A$17,0))="","",INDEX(Matches!$W$5:$W$17,MATCH($C89,Matches!$A$5:$A$17,0))),"")</f>
        <v>Cache</v>
      </c>
      <c r="H89" s="0" t="str">
        <f aca="false">IFERROR(IF(INDEX(Matches!$X$5:$X$17,MATCH($C89,Matches!$A$5:$A$17,0))="","",INDEX(Matches!$X$5:$X$17,MATCH($C89,Matches!$A$5:$A$17,0))),"")</f>
        <v>Nuke</v>
      </c>
      <c r="I89" s="0" t="str">
        <f aca="false">IFERROR(IF(INDEX(Matches!$Y$5:$Y$17,MATCH($C89,Matches!$A$5:$A$17,0))="","",INDEX(Matches!$Y$5:$Y$17,MATCH($C89,Matches!$A$5:$A$17,0))),"")</f>
        <v>Ancient</v>
      </c>
      <c r="J89" s="11" t="n">
        <f aca="false">IFERROR(IF(INDEX(Matches!$Z$5:$Z$17,MATCH($C89,Matches!$A$5:$A$17,0))="","",INDEX(Matches!$Z$5:$Z$17,MATCH($C89,Matches!$A$5:$A$17,0))),"")</f>
        <v>21.2</v>
      </c>
      <c r="K89" s="11" t="n">
        <f aca="false">IFERROR(IF(INDEX(Matches!$AA$5:$AA$17,MATCH($C89,Matches!$A$5:$A$17,0))="","",INDEX(Matches!$AA$5:$AA$17,MATCH($C89,Matches!$A$5:$A$17,0))),"")</f>
        <v>21.07</v>
      </c>
      <c r="L89" s="11" t="n">
        <f aca="false">IFERROR(IF(INDEX(Matches!$AB$5:$AB$17,MATCH($C89,Matches!$A$5:$A$17,0))="","",INDEX(Matches!$AB$5:$AB$17,MATCH($C89,Matches!$A$5:$A$17,0))),"")</f>
        <v>21.5</v>
      </c>
      <c r="M89" s="10" t="n">
        <f aca="false">IFERROR(IF(INDEX(Matches!$AC$5:$AC$17,MATCH($C89,Matches!$A$5:$A$17,0))="","",INDEX(Matches!$AC$5:$AC$17,MATCH($C89,Matches!$A$5:$A$17,0))),"")</f>
        <v>0.4545</v>
      </c>
      <c r="N89" s="9" t="n">
        <f aca="false">IFERROR(INDEX(Players!$F$2:$F$105,MATCH($F89,Players!$A$2:$A$105,0)),0)</f>
        <v>22</v>
      </c>
      <c r="O89" s="13" t="n">
        <f aca="false">IFERROR(1/(1/INDEX(Players!$H$2:$H$105,MATCH($F89,Players!$A$2:$A$105,0))),"")</f>
        <v>0.58</v>
      </c>
      <c r="P89" s="10" t="n">
        <f aca="false">IFERROR(1/(1/INDEX(Players!$I$2:$I$105,MATCH($F89,Players!$A$2:$A$105,0))),"")</f>
        <v>0.512</v>
      </c>
      <c r="Q89" s="9" t="n">
        <f aca="false">IF($G89="",0,SUMIFS(Map_Stats!$F$2:$F$642,Map_Stats!$A$2:$A$642,$F89&amp;"|"&amp;$G89))</f>
        <v>4</v>
      </c>
      <c r="R89" s="13" t="n">
        <f aca="false">IF($G89="","",IFERROR(1/(1/INDEX(Map_Stats!$K$2:$K$642,MATCH($F89&amp;"|"&amp;$G89,Map_Stats!$A$2:$A$642,0))),$O89))</f>
        <v>0.66</v>
      </c>
      <c r="S89" s="10" t="n">
        <f aca="false">IF(OR($G89="",$P89=""),"",IFERROR(1/(1/INDEX(Map_Stats!$I$2:$I$642,MATCH($F89&amp;"|"&amp;$G89,Map_Stats!$A$2:$A$642,0))),$P89))</f>
        <v>0.5</v>
      </c>
      <c r="T89" s="13" t="n">
        <f aca="false">IF(OR($G89="",R89=""),"",IF($O89="",R89,(Q89*R89+Config!$B$4*$O89)/(Q89+Config!$B$4)))</f>
        <v>0.615555555555556</v>
      </c>
      <c r="U89" s="10" t="n">
        <f aca="false">IF(S89="","",(Q89*S89+Config!$B$4*$P89)/(Q89+Config!$B$4))</f>
        <v>0.506666666666667</v>
      </c>
      <c r="V89" s="17" t="n">
        <f aca="false">IF(OR(T89="",$J89=""),"",T89*$J89*($J89/Config!$B$10)^Config!$B$9)</f>
        <v>13.0497777777778</v>
      </c>
      <c r="W89" s="17" t="n">
        <f aca="false">IF(OR(V89="",U89=""),"",V89*U89)</f>
        <v>6.61188740740741</v>
      </c>
      <c r="X89" s="9" t="n">
        <f aca="false">IF($H89="",0,SUMIFS(Map_Stats!$F$2:$F$642,Map_Stats!$A$2:$A$642,$F89&amp;"|"&amp;$H89))</f>
        <v>4</v>
      </c>
      <c r="Y89" s="13" t="n">
        <f aca="false">IF($H89="","",IFERROR(1/(1/INDEX(Map_Stats!$K$2:$K$642,MATCH($F89&amp;"|"&amp;$H89,Map_Stats!$A$2:$A$642,0))),$O89))</f>
        <v>0.54</v>
      </c>
      <c r="Z89" s="10" t="n">
        <f aca="false">IF(OR($H89="",$P89=""),"",IFERROR(1/(1/INDEX(Map_Stats!$I$2:$I$642,MATCH($F89&amp;"|"&amp;$H89,Map_Stats!$A$2:$A$642,0))),$P89))</f>
        <v>0.6</v>
      </c>
      <c r="AA89" s="13" t="n">
        <f aca="false">IF(OR($H89="",Y89=""),"",IF($O89="",Y89,(X89*Y89+Config!$B$4*$O89)/(X89+Config!$B$4)))</f>
        <v>0.562222222222222</v>
      </c>
      <c r="AB89" s="10" t="n">
        <f aca="false">IF(Z89="","",(X89*Z89+Config!$B$4*$P89)/(X89+Config!$B$4))</f>
        <v>0.551111111111111</v>
      </c>
      <c r="AC89" s="17" t="n">
        <f aca="false">IF(OR(AA89="",$K89=""),"",AA89*$K89*($K89/Config!$B$10)^Config!$B$9)</f>
        <v>11.8460222222222</v>
      </c>
      <c r="AD89" s="17" t="n">
        <f aca="false">IF(OR(AC89="",AB89=""),"",AC89*AB89)</f>
        <v>6.5284744691358</v>
      </c>
      <c r="AE89" s="9" t="n">
        <f aca="false">IF($I89="",0,SUMIFS(Map_Stats!$F$2:$F$642,Map_Stats!$A$2:$A$642,$F89&amp;"|"&amp;$I89))</f>
        <v>4</v>
      </c>
      <c r="AF89" s="13" t="n">
        <f aca="false">IF($I89="","",IFERROR(1/(1/INDEX(Map_Stats!$K$2:$K$642,MATCH($F89&amp;"|"&amp;$I89,Map_Stats!$A$2:$A$642,0))),$O89))</f>
        <v>0.41</v>
      </c>
      <c r="AG89" s="10" t="n">
        <f aca="false">IF(OR($I89="",$P89=""),"",IFERROR(1/(1/INDEX(Map_Stats!$I$2:$I$642,MATCH($F89&amp;"|"&amp;$I89,Map_Stats!$A$2:$A$642,0))),$P89))</f>
        <v>0.595</v>
      </c>
      <c r="AH89" s="13" t="n">
        <f aca="false">IF(OR($I89="",AF89=""),"",IF($O89="",AF89,(AE89*AF89+Config!$B$4*$O89)/(AE89+Config!$B$4)))</f>
        <v>0.504444444444445</v>
      </c>
      <c r="AI89" s="10" t="n">
        <f aca="false">IF(AG89="","",(AE89*AG89+Config!$B$4*$P89)/(AE89+Config!$B$4))</f>
        <v>0.548888888888889</v>
      </c>
      <c r="AJ89" s="17" t="n">
        <f aca="false">IF(OR(AH89="",$L89=""),"",AH89*$L89*($L89/Config!$B$10)^Config!$B$9)</f>
        <v>10.8455555555556</v>
      </c>
      <c r="AK89" s="17" t="n">
        <f aca="false">IF(OR(AJ89="",AI89=""),"",AJ89*AI89)</f>
        <v>5.95300493827161</v>
      </c>
      <c r="AL89" s="17" t="n">
        <f aca="false">N(V89)+N(AC89)</f>
        <v>24.8958</v>
      </c>
      <c r="AM89" s="17" t="n">
        <f aca="false">AL89+N($M89)*N(AJ89)</f>
        <v>29.825105</v>
      </c>
      <c r="AN89" s="17" t="n">
        <f aca="false">IF(W89="","",N(W89)+N(AD89))</f>
        <v>13.1403618765432</v>
      </c>
      <c r="AO89" s="17" t="n">
        <f aca="false">IF(AN89="","",AN89+N($M89)*N(AK89))</f>
        <v>15.8460026209877</v>
      </c>
      <c r="AP89" s="10" t="n">
        <f aca="false">IFERROR(AN89/AL89,"")</f>
        <v>0.527814405503869</v>
      </c>
      <c r="AQ89" s="0" t="str">
        <f aca="false">TRIM(IF($N89&lt;Config!$B$12,"thin sample ("&amp;$N89&amp;" maps) · ","")&amp;IF(AND($G89&lt;&gt;"",Q89=0),"M1 unplayed→overall KPR · ","")&amp;IF(AND($H89&lt;&gt;"",X89=0),"M2 unplayed→overall KPR · ","")&amp;IF($O89="","no PickFinder stats",""))</f>
        <v/>
      </c>
      <c r="AR89" s="0" t="str">
        <f aca="false">IF($C89=Board!$B$2,COUNTIFS($C$2:$C$105,Board!$B$2,$AL$2:$AL$105,"&gt;"&amp;$AL89)+COUNTIFS($C$1:$C88,Board!$B$2,$AL$1:$AL88,$AL89)+1,"")</f>
        <v/>
      </c>
      <c r="AS89" s="0" t="str">
        <f aca="false">IFERROR(IF($D89=INDEX(Matches!$AD$5:$AD$17,MATCH($C89,Matches!$A$5:$A$17,0)),"A",IF($D89=INDEX(Matches!$AE$5:$AE$17,MATCH($C89,Matches!$A$5:$A$17,0)),"B","")),"")</f>
        <v>A</v>
      </c>
      <c r="AT89" s="10" t="n">
        <f aca="false">IF($AS89="","",IFERROR(IF($AS89="A",INDEX(Matches!$AI$5:$AI$17,MATCH($C89,Matches!$A$5:$A$17,0)),INDEX(Matches!$AJ$5:$AJ$17,MATCH($C89,Matches!$A$5:$A$17,0))),""))</f>
        <v>0.520867653467907</v>
      </c>
      <c r="AU89" s="10" t="n">
        <f aca="false">IF($AS89="","",IFERROR(IF(INDEX(Matches!$AP$5:$AP$17,MATCH($C89,Matches!$A$5:$A$17,0))="","",IF($AS89="A",INDEX(Matches!$AP$5:$AP$17,MATCH($C89,Matches!$A$5:$A$17,0)),1-INDEX(Matches!$AP$5:$AP$17,MATCH($C89,Matches!$A$5:$A$17,0)))),""))</f>
        <v>0.485881880725451</v>
      </c>
      <c r="AV89" s="13" t="n">
        <f aca="false">IF(OR($AU89="",$AT89=""),1,((Config!$B$14*$AU89+Config!$B$15*(1-$AU89))/(Config!$B$14*$AT89+Config!$B$15*(1-$AT89)))^Config!$B$13)</f>
        <v>0.969308444595842</v>
      </c>
      <c r="AW89" s="10" t="n">
        <f aca="false">IF($AS89="","",IFERROR(IF(INDEX(Matches!$AV$5:$AV$17,MATCH($C89,Matches!$A$5:$A$17,0))="","",IF($AS89="A",INDEX(Matches!$AV$5:$AV$17,MATCH($C89,Matches!$A$5:$A$17,0)),1-INDEX(Matches!$AV$5:$AV$17,MATCH($C89,Matches!$A$5:$A$17,0)))),""))</f>
        <v>0.444838385124031</v>
      </c>
      <c r="AX89" s="13" t="n">
        <f aca="false">IF(OR($AW89="",$AT89=""),1,((Config!$B$14*$AW89+Config!$B$15*(1-$AW89))/(Config!$B$14*$AT89+Config!$B$15*(1-$AT89)))^Config!$B$13)</f>
        <v>0.93330270224725</v>
      </c>
      <c r="AY89" s="10" t="n">
        <f aca="false">IF($AS89="","",IFERROR(IF(INDEX(Matches!$BB$5:$BB$17,MATCH($C89,Matches!$A$5:$A$17,0))="","",IF($AS89="A",INDEX(Matches!$BB$5:$BB$17,MATCH($C89,Matches!$A$5:$A$17,0)),1-INDEX(Matches!$BB$5:$BB$17,MATCH($C89,Matches!$A$5:$A$17,0)))),""))</f>
        <v>0.47687346114196</v>
      </c>
      <c r="AZ89" s="13" t="n">
        <f aca="false">IF(OR($AY89="",$AT89=""),1,((Config!$B$14*$AY89+Config!$B$15*(1-$AY89))/(Config!$B$14*$AT89+Config!$B$15*(1-$AT89)))^Config!$B$13)</f>
        <v>0.961405734806183</v>
      </c>
      <c r="BA89" s="17" t="n">
        <f aca="false">IF(V89="","",V89*$AV89)</f>
        <v>12.6492598000992</v>
      </c>
      <c r="BB89" s="17" t="n">
        <f aca="false">IF(AC89="","",AC89*$AX89)</f>
        <v>11.055924550881</v>
      </c>
      <c r="BC89" s="17" t="n">
        <f aca="false">IF(AJ89="","",AJ89*$AZ89)</f>
        <v>10.4269793082702</v>
      </c>
      <c r="BD89" s="17" t="n">
        <f aca="false">N(BA89)+N(BB89)</f>
        <v>23.7051843509801</v>
      </c>
      <c r="BE89" s="17" t="n">
        <f aca="false">BD89+N($M89)*N(BC89)</f>
        <v>28.4442464465889</v>
      </c>
      <c r="BF89" s="17" t="n">
        <f aca="false">IF(W89="","",W89*$AV89)</f>
        <v>6.40895829871691</v>
      </c>
      <c r="BG89" s="17" t="n">
        <f aca="false">IF(AD89="","",AD89*$AX89)</f>
        <v>6.09304286359662</v>
      </c>
      <c r="BH89" s="17" t="n">
        <f aca="false">IF(AK89="","",AK89*$AZ89)</f>
        <v>5.72325308698385</v>
      </c>
      <c r="BI89" s="17" t="n">
        <f aca="false">IF(BF89="","",N(BF89)+N(BG89))</f>
        <v>12.5020011623135</v>
      </c>
      <c r="BJ89" s="17" t="n">
        <f aca="false">IF(BI89="","",BI89+N($M89)*N(BH89))</f>
        <v>15.1032196903477</v>
      </c>
      <c r="BK89" s="13" t="n">
        <f aca="false">IFERROR(BD89/AL89,1)</f>
        <v>0.952176043789721</v>
      </c>
    </row>
    <row r="90" customFormat="false" ht="15" hidden="false" customHeight="false" outlineLevel="0" collapsed="false">
      <c r="A90" s="0" t="s">
        <v>1084</v>
      </c>
      <c r="B90" s="0" t="s">
        <v>775</v>
      </c>
      <c r="C90" s="0" t="s">
        <v>830</v>
      </c>
      <c r="D90" s="0" t="s">
        <v>833</v>
      </c>
      <c r="E90" s="0" t="s">
        <v>1083</v>
      </c>
      <c r="F90" s="0" t="s">
        <v>1255</v>
      </c>
      <c r="G90" s="0" t="str">
        <f aca="false">IFERROR(IF(INDEX(Matches!$W$5:$W$17,MATCH($C90,Matches!$A$5:$A$17,0))="","",INDEX(Matches!$W$5:$W$17,MATCH($C90,Matches!$A$5:$A$17,0))),"")</f>
        <v>Cache</v>
      </c>
      <c r="H90" s="0" t="str">
        <f aca="false">IFERROR(IF(INDEX(Matches!$X$5:$X$17,MATCH($C90,Matches!$A$5:$A$17,0))="","",INDEX(Matches!$X$5:$X$17,MATCH($C90,Matches!$A$5:$A$17,0))),"")</f>
        <v>Nuke</v>
      </c>
      <c r="I90" s="0" t="str">
        <f aca="false">IFERROR(IF(INDEX(Matches!$Y$5:$Y$17,MATCH($C90,Matches!$A$5:$A$17,0))="","",INDEX(Matches!$Y$5:$Y$17,MATCH($C90,Matches!$A$5:$A$17,0))),"")</f>
        <v>Ancient</v>
      </c>
      <c r="J90" s="11" t="n">
        <f aca="false">IFERROR(IF(INDEX(Matches!$Z$5:$Z$17,MATCH($C90,Matches!$A$5:$A$17,0))="","",INDEX(Matches!$Z$5:$Z$17,MATCH($C90,Matches!$A$5:$A$17,0))),"")</f>
        <v>21.2</v>
      </c>
      <c r="K90" s="11" t="n">
        <f aca="false">IFERROR(IF(INDEX(Matches!$AA$5:$AA$17,MATCH($C90,Matches!$A$5:$A$17,0))="","",INDEX(Matches!$AA$5:$AA$17,MATCH($C90,Matches!$A$5:$A$17,0))),"")</f>
        <v>21.07</v>
      </c>
      <c r="L90" s="11" t="n">
        <f aca="false">IFERROR(IF(INDEX(Matches!$AB$5:$AB$17,MATCH($C90,Matches!$A$5:$A$17,0))="","",INDEX(Matches!$AB$5:$AB$17,MATCH($C90,Matches!$A$5:$A$17,0))),"")</f>
        <v>21.5</v>
      </c>
      <c r="M90" s="10" t="n">
        <f aca="false">IFERROR(IF(INDEX(Matches!$AC$5:$AC$17,MATCH($C90,Matches!$A$5:$A$17,0))="","",INDEX(Matches!$AC$5:$AC$17,MATCH($C90,Matches!$A$5:$A$17,0))),"")</f>
        <v>0.4545</v>
      </c>
      <c r="N90" s="9" t="n">
        <f aca="false">IFERROR(INDEX(Players!$F$2:$F$105,MATCH($F90,Players!$A$2:$A$105,0)),0)</f>
        <v>22</v>
      </c>
      <c r="O90" s="13" t="n">
        <f aca="false">IFERROR(1/(1/INDEX(Players!$H$2:$H$105,MATCH($F90,Players!$A$2:$A$105,0))),"")</f>
        <v>0.66</v>
      </c>
      <c r="P90" s="10" t="n">
        <f aca="false">IFERROR(1/(1/INDEX(Players!$I$2:$I$105,MATCH($F90,Players!$A$2:$A$105,0))),"")</f>
        <v>0.55</v>
      </c>
      <c r="Q90" s="9" t="n">
        <f aca="false">IF($G90="",0,SUMIFS(Map_Stats!$F$2:$F$642,Map_Stats!$A$2:$A$642,$F90&amp;"|"&amp;$G90))</f>
        <v>4</v>
      </c>
      <c r="R90" s="13" t="n">
        <f aca="false">IF($G90="","",IFERROR(1/(1/INDEX(Map_Stats!$K$2:$K$642,MATCH($F90&amp;"|"&amp;$G90,Map_Stats!$A$2:$A$642,0))),$O90))</f>
        <v>0.52</v>
      </c>
      <c r="S90" s="10" t="n">
        <f aca="false">IF(OR($G90="",$P90=""),"",IFERROR(1/(1/INDEX(Map_Stats!$I$2:$I$642,MATCH($F90&amp;"|"&amp;$G90,Map_Stats!$A$2:$A$642,0))),$P90))</f>
        <v>0.511</v>
      </c>
      <c r="T90" s="13" t="n">
        <f aca="false">IF(OR($G90="",R90=""),"",IF($O90="",R90,(Q90*R90+Config!$B$4*$O90)/(Q90+Config!$B$4)))</f>
        <v>0.597777777777778</v>
      </c>
      <c r="U90" s="10" t="n">
        <f aca="false">IF(S90="","",(Q90*S90+Config!$B$4*$P90)/(Q90+Config!$B$4))</f>
        <v>0.532666666666667</v>
      </c>
      <c r="V90" s="17" t="n">
        <f aca="false">IF(OR(T90="",$J90=""),"",T90*$J90*($J90/Config!$B$10)^Config!$B$9)</f>
        <v>12.6728888888889</v>
      </c>
      <c r="W90" s="17" t="n">
        <f aca="false">IF(OR(V90="",U90=""),"",V90*U90)</f>
        <v>6.75042548148148</v>
      </c>
      <c r="X90" s="9" t="n">
        <f aca="false">IF($H90="",0,SUMIFS(Map_Stats!$F$2:$F$642,Map_Stats!$A$2:$A$642,$F90&amp;"|"&amp;$H90))</f>
        <v>4</v>
      </c>
      <c r="Y90" s="13" t="n">
        <f aca="false">IF($H90="","",IFERROR(1/(1/INDEX(Map_Stats!$K$2:$K$642,MATCH($F90&amp;"|"&amp;$H90,Map_Stats!$A$2:$A$642,0))),$O90))</f>
        <v>0.61</v>
      </c>
      <c r="Z90" s="10" t="n">
        <f aca="false">IF(OR($H90="",$P90=""),"",IFERROR(1/(1/INDEX(Map_Stats!$I$2:$I$642,MATCH($F90&amp;"|"&amp;$H90,Map_Stats!$A$2:$A$642,0))),$P90))</f>
        <v>0.536</v>
      </c>
      <c r="AA90" s="13" t="n">
        <f aca="false">IF(OR($H90="",Y90=""),"",IF($O90="",Y90,(X90*Y90+Config!$B$4*$O90)/(X90+Config!$B$4)))</f>
        <v>0.637777777777778</v>
      </c>
      <c r="AB90" s="10" t="n">
        <f aca="false">IF(Z90="","",(X90*Z90+Config!$B$4*$P90)/(X90+Config!$B$4))</f>
        <v>0.543777777777778</v>
      </c>
      <c r="AC90" s="17" t="n">
        <f aca="false">IF(OR(AA90="",$K90=""),"",AA90*$K90*($K90/Config!$B$10)^Config!$B$9)</f>
        <v>13.4379777777778</v>
      </c>
      <c r="AD90" s="17" t="n">
        <f aca="false">IF(OR(AC90="",AB90=""),"",AC90*AB90)</f>
        <v>7.30727369382716</v>
      </c>
      <c r="AE90" s="9" t="n">
        <f aca="false">IF($I90="",0,SUMIFS(Map_Stats!$F$2:$F$642,Map_Stats!$A$2:$A$642,$F90&amp;"|"&amp;$I90))</f>
        <v>4</v>
      </c>
      <c r="AF90" s="13" t="n">
        <f aca="false">IF($I90="","",IFERROR(1/(1/INDEX(Map_Stats!$K$2:$K$642,MATCH($F90&amp;"|"&amp;$I90,Map_Stats!$A$2:$A$642,0))),$O90))</f>
        <v>0.81</v>
      </c>
      <c r="AG90" s="10" t="n">
        <f aca="false">IF(OR($I90="",$P90=""),"",IFERROR(1/(1/INDEX(Map_Stats!$I$2:$I$642,MATCH($F90&amp;"|"&amp;$I90,Map_Stats!$A$2:$A$642,0))),$P90))</f>
        <v>0.568</v>
      </c>
      <c r="AH90" s="13" t="n">
        <f aca="false">IF(OR($I90="",AF90=""),"",IF($O90="",AF90,(AE90*AF90+Config!$B$4*$O90)/(AE90+Config!$B$4)))</f>
        <v>0.726666666666667</v>
      </c>
      <c r="AI90" s="10" t="n">
        <f aca="false">IF(AG90="","",(AE90*AG90+Config!$B$4*$P90)/(AE90+Config!$B$4))</f>
        <v>0.558</v>
      </c>
      <c r="AJ90" s="17" t="n">
        <f aca="false">IF(OR(AH90="",$L90=""),"",AH90*$L90*($L90/Config!$B$10)^Config!$B$9)</f>
        <v>15.6233333333333</v>
      </c>
      <c r="AK90" s="17" t="n">
        <f aca="false">IF(OR(AJ90="",AI90=""),"",AJ90*AI90)</f>
        <v>8.71782</v>
      </c>
      <c r="AL90" s="17" t="n">
        <f aca="false">N(V90)+N(AC90)</f>
        <v>26.1108666666667</v>
      </c>
      <c r="AM90" s="17" t="n">
        <f aca="false">AL90+N($M90)*N(AJ90)</f>
        <v>33.2116716666667</v>
      </c>
      <c r="AN90" s="17" t="n">
        <f aca="false">IF(W90="","",N(W90)+N(AD90))</f>
        <v>14.0576991753086</v>
      </c>
      <c r="AO90" s="17" t="n">
        <f aca="false">IF(AN90="","",AN90+N($M90)*N(AK90))</f>
        <v>18.0199483653086</v>
      </c>
      <c r="AP90" s="10" t="n">
        <f aca="false">IFERROR(AN90/AL90,"")</f>
        <v>0.538385008616157</v>
      </c>
      <c r="AQ90" s="0" t="str">
        <f aca="false">TRIM(IF($N90&lt;Config!$B$12,"thin sample ("&amp;$N90&amp;" maps) · ","")&amp;IF(AND($G90&lt;&gt;"",Q90=0),"M1 unplayed→overall KPR · ","")&amp;IF(AND($H90&lt;&gt;"",X90=0),"M2 unplayed→overall KPR · ","")&amp;IF($O90="","no PickFinder stats",""))</f>
        <v/>
      </c>
      <c r="AR90" s="0" t="str">
        <f aca="false">IF($C90=Board!$B$2,COUNTIFS($C$2:$C$105,Board!$B$2,$AL$2:$AL$105,"&gt;"&amp;$AL90)+COUNTIFS($C$1:$C89,Board!$B$2,$AL$1:$AL89,$AL90)+1,"")</f>
        <v/>
      </c>
      <c r="AS90" s="0" t="str">
        <f aca="false">IFERROR(IF($D90=INDEX(Matches!$AD$5:$AD$17,MATCH($C90,Matches!$A$5:$A$17,0)),"A",IF($D90=INDEX(Matches!$AE$5:$AE$17,MATCH($C90,Matches!$A$5:$A$17,0)),"B","")),"")</f>
        <v>A</v>
      </c>
      <c r="AT90" s="10" t="n">
        <f aca="false">IF($AS90="","",IFERROR(IF($AS90="A",INDEX(Matches!$AI$5:$AI$17,MATCH($C90,Matches!$A$5:$A$17,0)),INDEX(Matches!$AJ$5:$AJ$17,MATCH($C90,Matches!$A$5:$A$17,0))),""))</f>
        <v>0.520867653467907</v>
      </c>
      <c r="AU90" s="10" t="n">
        <f aca="false">IF($AS90="","",IFERROR(IF(INDEX(Matches!$AP$5:$AP$17,MATCH($C90,Matches!$A$5:$A$17,0))="","",IF($AS90="A",INDEX(Matches!$AP$5:$AP$17,MATCH($C90,Matches!$A$5:$A$17,0)),1-INDEX(Matches!$AP$5:$AP$17,MATCH($C90,Matches!$A$5:$A$17,0)))),""))</f>
        <v>0.485881880725451</v>
      </c>
      <c r="AV90" s="13" t="n">
        <f aca="false">IF(OR($AU90="",$AT90=""),1,((Config!$B$14*$AU90+Config!$B$15*(1-$AU90))/(Config!$B$14*$AT90+Config!$B$15*(1-$AT90)))^Config!$B$13)</f>
        <v>0.969308444595842</v>
      </c>
      <c r="AW90" s="10" t="n">
        <f aca="false">IF($AS90="","",IFERROR(IF(INDEX(Matches!$AV$5:$AV$17,MATCH($C90,Matches!$A$5:$A$17,0))="","",IF($AS90="A",INDEX(Matches!$AV$5:$AV$17,MATCH($C90,Matches!$A$5:$A$17,0)),1-INDEX(Matches!$AV$5:$AV$17,MATCH($C90,Matches!$A$5:$A$17,0)))),""))</f>
        <v>0.444838385124031</v>
      </c>
      <c r="AX90" s="13" t="n">
        <f aca="false">IF(OR($AW90="",$AT90=""),1,((Config!$B$14*$AW90+Config!$B$15*(1-$AW90))/(Config!$B$14*$AT90+Config!$B$15*(1-$AT90)))^Config!$B$13)</f>
        <v>0.93330270224725</v>
      </c>
      <c r="AY90" s="10" t="n">
        <f aca="false">IF($AS90="","",IFERROR(IF(INDEX(Matches!$BB$5:$BB$17,MATCH($C90,Matches!$A$5:$A$17,0))="","",IF($AS90="A",INDEX(Matches!$BB$5:$BB$17,MATCH($C90,Matches!$A$5:$A$17,0)),1-INDEX(Matches!$BB$5:$BB$17,MATCH($C90,Matches!$A$5:$A$17,0)))),""))</f>
        <v>0.47687346114196</v>
      </c>
      <c r="AZ90" s="13" t="n">
        <f aca="false">IF(OR($AY90="",$AT90=""),1,((Config!$B$14*$AY90+Config!$B$15*(1-$AY90))/(Config!$B$14*$AT90+Config!$B$15*(1-$AT90)))^Config!$B$13)</f>
        <v>0.961405734806183</v>
      </c>
      <c r="BA90" s="17" t="n">
        <f aca="false">IF(V90="","",V90*$AV90)</f>
        <v>12.2839382174248</v>
      </c>
      <c r="BB90" s="17" t="n">
        <f aca="false">IF(AC90="","",AC90*$AX90)</f>
        <v>12.5417009727385</v>
      </c>
      <c r="BC90" s="17" t="n">
        <f aca="false">IF(AJ90="","",AJ90*$AZ90)</f>
        <v>15.0203622634553</v>
      </c>
      <c r="BD90" s="17" t="n">
        <f aca="false">N(BA90)+N(BB90)</f>
        <v>24.8256391901633</v>
      </c>
      <c r="BE90" s="17" t="n">
        <f aca="false">BD90+N($M90)*N(BC90)</f>
        <v>31.6523938389037</v>
      </c>
      <c r="BF90" s="17" t="n">
        <f aca="false">IF(W90="","",W90*$AV90)</f>
        <v>6.54324442381496</v>
      </c>
      <c r="BG90" s="17" t="n">
        <f aca="false">IF(AD90="","",AD90*$AX90)</f>
        <v>6.81989828450913</v>
      </c>
      <c r="BH90" s="17" t="n">
        <f aca="false">IF(AK90="","",AK90*$AZ90)</f>
        <v>8.38136214300804</v>
      </c>
      <c r="BI90" s="17" t="n">
        <f aca="false">IF(BF90="","",N(BF90)+N(BG90))</f>
        <v>13.3631427083241</v>
      </c>
      <c r="BJ90" s="17" t="n">
        <f aca="false">IF(BI90="","",BI90+N($M90)*N(BH90))</f>
        <v>17.1724718023212</v>
      </c>
      <c r="BK90" s="13" t="n">
        <f aca="false">IFERROR(BD90/AL90,1)</f>
        <v>0.95077806137534</v>
      </c>
    </row>
    <row r="91" customFormat="false" ht="15" hidden="false" customHeight="false" outlineLevel="0" collapsed="false">
      <c r="A91" s="0" t="s">
        <v>1086</v>
      </c>
      <c r="B91" s="0" t="s">
        <v>775</v>
      </c>
      <c r="C91" s="0" t="s">
        <v>830</v>
      </c>
      <c r="D91" s="0" t="s">
        <v>833</v>
      </c>
      <c r="E91" s="0" t="s">
        <v>1085</v>
      </c>
      <c r="F91" s="0" t="s">
        <v>1256</v>
      </c>
      <c r="G91" s="0" t="str">
        <f aca="false">IFERROR(IF(INDEX(Matches!$W$5:$W$17,MATCH($C91,Matches!$A$5:$A$17,0))="","",INDEX(Matches!$W$5:$W$17,MATCH($C91,Matches!$A$5:$A$17,0))),"")</f>
        <v>Cache</v>
      </c>
      <c r="H91" s="0" t="str">
        <f aca="false">IFERROR(IF(INDEX(Matches!$X$5:$X$17,MATCH($C91,Matches!$A$5:$A$17,0))="","",INDEX(Matches!$X$5:$X$17,MATCH($C91,Matches!$A$5:$A$17,0))),"")</f>
        <v>Nuke</v>
      </c>
      <c r="I91" s="0" t="str">
        <f aca="false">IFERROR(IF(INDEX(Matches!$Y$5:$Y$17,MATCH($C91,Matches!$A$5:$A$17,0))="","",INDEX(Matches!$Y$5:$Y$17,MATCH($C91,Matches!$A$5:$A$17,0))),"")</f>
        <v>Ancient</v>
      </c>
      <c r="J91" s="11" t="n">
        <f aca="false">IFERROR(IF(INDEX(Matches!$Z$5:$Z$17,MATCH($C91,Matches!$A$5:$A$17,0))="","",INDEX(Matches!$Z$5:$Z$17,MATCH($C91,Matches!$A$5:$A$17,0))),"")</f>
        <v>21.2</v>
      </c>
      <c r="K91" s="11" t="n">
        <f aca="false">IFERROR(IF(INDEX(Matches!$AA$5:$AA$17,MATCH($C91,Matches!$A$5:$A$17,0))="","",INDEX(Matches!$AA$5:$AA$17,MATCH($C91,Matches!$A$5:$A$17,0))),"")</f>
        <v>21.07</v>
      </c>
      <c r="L91" s="11" t="n">
        <f aca="false">IFERROR(IF(INDEX(Matches!$AB$5:$AB$17,MATCH($C91,Matches!$A$5:$A$17,0))="","",INDEX(Matches!$AB$5:$AB$17,MATCH($C91,Matches!$A$5:$A$17,0))),"")</f>
        <v>21.5</v>
      </c>
      <c r="M91" s="10" t="n">
        <f aca="false">IFERROR(IF(INDEX(Matches!$AC$5:$AC$17,MATCH($C91,Matches!$A$5:$A$17,0))="","",INDEX(Matches!$AC$5:$AC$17,MATCH($C91,Matches!$A$5:$A$17,0))),"")</f>
        <v>0.4545</v>
      </c>
      <c r="N91" s="9" t="n">
        <f aca="false">IFERROR(INDEX(Players!$F$2:$F$105,MATCH($F91,Players!$A$2:$A$105,0)),0)</f>
        <v>22</v>
      </c>
      <c r="O91" s="13" t="n">
        <f aca="false">IFERROR(1/(1/INDEX(Players!$H$2:$H$105,MATCH($F91,Players!$A$2:$A$105,0))),"")</f>
        <v>0.77</v>
      </c>
      <c r="P91" s="10" t="n">
        <f aca="false">IFERROR(1/(1/INDEX(Players!$I$2:$I$105,MATCH($F91,Players!$A$2:$A$105,0))),"")</f>
        <v>0.343</v>
      </c>
      <c r="Q91" s="9" t="n">
        <f aca="false">IF($G91="",0,SUMIFS(Map_Stats!$F$2:$F$642,Map_Stats!$A$2:$A$642,$F91&amp;"|"&amp;$G91))</f>
        <v>4</v>
      </c>
      <c r="R91" s="13" t="n">
        <f aca="false">IF($G91="","",IFERROR(1/(1/INDEX(Map_Stats!$K$2:$K$642,MATCH($F91&amp;"|"&amp;$G91,Map_Stats!$A$2:$A$642,0))),$O91))</f>
        <v>0.76</v>
      </c>
      <c r="S91" s="10" t="n">
        <f aca="false">IF(OR($G91="",$P91=""),"",IFERROR(1/(1/INDEX(Map_Stats!$I$2:$I$642,MATCH($F91&amp;"|"&amp;$G91,Map_Stats!$A$2:$A$642,0))),$P91))</f>
        <v>0.362</v>
      </c>
      <c r="T91" s="13" t="n">
        <f aca="false">IF(OR($G91="",R91=""),"",IF($O91="",R91,(Q91*R91+Config!$B$4*$O91)/(Q91+Config!$B$4)))</f>
        <v>0.765555555555556</v>
      </c>
      <c r="U91" s="10" t="n">
        <f aca="false">IF(S91="","",(Q91*S91+Config!$B$4*$P91)/(Q91+Config!$B$4))</f>
        <v>0.351444444444444</v>
      </c>
      <c r="V91" s="17" t="n">
        <f aca="false">IF(OR(T91="",$J91=""),"",T91*$J91*($J91/Config!$B$10)^Config!$B$9)</f>
        <v>16.2297777777778</v>
      </c>
      <c r="W91" s="17" t="n">
        <f aca="false">IF(OR(V91="",U91=""),"",V91*U91)</f>
        <v>5.7038652345679</v>
      </c>
      <c r="X91" s="9" t="n">
        <f aca="false">IF($H91="",0,SUMIFS(Map_Stats!$F$2:$F$642,Map_Stats!$A$2:$A$642,$F91&amp;"|"&amp;$H91))</f>
        <v>4</v>
      </c>
      <c r="Y91" s="13" t="n">
        <f aca="false">IF($H91="","",IFERROR(1/(1/INDEX(Map_Stats!$K$2:$K$642,MATCH($F91&amp;"|"&amp;$H91,Map_Stats!$A$2:$A$642,0))),$O91))</f>
        <v>0.72</v>
      </c>
      <c r="Z91" s="10" t="n">
        <f aca="false">IF(OR($H91="",$P91=""),"",IFERROR(1/(1/INDEX(Map_Stats!$I$2:$I$642,MATCH($F91&amp;"|"&amp;$H91,Map_Stats!$A$2:$A$642,0))),$P91))</f>
        <v>0.348</v>
      </c>
      <c r="AA91" s="13" t="n">
        <f aca="false">IF(OR($H91="",Y91=""),"",IF($O91="",Y91,(X91*Y91+Config!$B$4*$O91)/(X91+Config!$B$4)))</f>
        <v>0.747777777777778</v>
      </c>
      <c r="AB91" s="10" t="n">
        <f aca="false">IF(Z91="","",(X91*Z91+Config!$B$4*$P91)/(X91+Config!$B$4))</f>
        <v>0.345222222222222</v>
      </c>
      <c r="AC91" s="17" t="n">
        <f aca="false">IF(OR(AA91="",$K91=""),"",AA91*$K91*($K91/Config!$B$10)^Config!$B$9)</f>
        <v>15.7556777777778</v>
      </c>
      <c r="AD91" s="17" t="n">
        <f aca="false">IF(OR(AC91="",AB91=""),"",AC91*AB91)</f>
        <v>5.43921009506173</v>
      </c>
      <c r="AE91" s="9" t="n">
        <f aca="false">IF($I91="",0,SUMIFS(Map_Stats!$F$2:$F$642,Map_Stats!$A$2:$A$642,$F91&amp;"|"&amp;$I91))</f>
        <v>4</v>
      </c>
      <c r="AF91" s="13" t="n">
        <f aca="false">IF($I91="","",IFERROR(1/(1/INDEX(Map_Stats!$K$2:$K$642,MATCH($F91&amp;"|"&amp;$I91,Map_Stats!$A$2:$A$642,0))),$O91))</f>
        <v>0.77</v>
      </c>
      <c r="AG91" s="10" t="n">
        <f aca="false">IF(OR($I91="",$P91=""),"",IFERROR(1/(1/INDEX(Map_Stats!$I$2:$I$642,MATCH($F91&amp;"|"&amp;$I91,Map_Stats!$A$2:$A$642,0))),$P91))</f>
        <v>0.3</v>
      </c>
      <c r="AH91" s="13" t="n">
        <f aca="false">IF(OR($I91="",AF91=""),"",IF($O91="",AF91,(AE91*AF91+Config!$B$4*$O91)/(AE91+Config!$B$4)))</f>
        <v>0.77</v>
      </c>
      <c r="AI91" s="10" t="n">
        <f aca="false">IF(AG91="","",(AE91*AG91+Config!$B$4*$P91)/(AE91+Config!$B$4))</f>
        <v>0.323888888888889</v>
      </c>
      <c r="AJ91" s="17" t="n">
        <f aca="false">IF(OR(AH91="",$L91=""),"",AH91*$L91*($L91/Config!$B$10)^Config!$B$9)</f>
        <v>16.555</v>
      </c>
      <c r="AK91" s="17" t="n">
        <f aca="false">IF(OR(AJ91="",AI91=""),"",AJ91*AI91)</f>
        <v>5.36198055555556</v>
      </c>
      <c r="AL91" s="17" t="n">
        <f aca="false">N(V91)+N(AC91)</f>
        <v>31.9854555555556</v>
      </c>
      <c r="AM91" s="17" t="n">
        <f aca="false">AL91+N($M91)*N(AJ91)</f>
        <v>39.5097030555556</v>
      </c>
      <c r="AN91" s="17" t="n">
        <f aca="false">IF(W91="","",N(W91)+N(AD91))</f>
        <v>11.1430753296296</v>
      </c>
      <c r="AO91" s="17" t="n">
        <f aca="false">IF(AN91="","",AN91+N($M91)*N(AK91))</f>
        <v>13.5800954921296</v>
      </c>
      <c r="AP91" s="10" t="n">
        <f aca="false">IFERROR(AN91/AL91,"")</f>
        <v>0.348379447348349</v>
      </c>
      <c r="AQ91" s="0" t="str">
        <f aca="false">TRIM(IF($N91&lt;Config!$B$12,"thin sample ("&amp;$N91&amp;" maps) · ","")&amp;IF(AND($G91&lt;&gt;"",Q91=0),"M1 unplayed→overall KPR · ","")&amp;IF(AND($H91&lt;&gt;"",X91=0),"M2 unplayed→overall KPR · ","")&amp;IF($O91="","no PickFinder stats",""))</f>
        <v/>
      </c>
      <c r="AR91" s="0" t="str">
        <f aca="false">IF($C91=Board!$B$2,COUNTIFS($C$2:$C$105,Board!$B$2,$AL$2:$AL$105,"&gt;"&amp;$AL91)+COUNTIFS($C$1:$C90,Board!$B$2,$AL$1:$AL90,$AL91)+1,"")</f>
        <v/>
      </c>
      <c r="AS91" s="0" t="str">
        <f aca="false">IFERROR(IF($D91=INDEX(Matches!$AD$5:$AD$17,MATCH($C91,Matches!$A$5:$A$17,0)),"A",IF($D91=INDEX(Matches!$AE$5:$AE$17,MATCH($C91,Matches!$A$5:$A$17,0)),"B","")),"")</f>
        <v>A</v>
      </c>
      <c r="AT91" s="10" t="n">
        <f aca="false">IF($AS91="","",IFERROR(IF($AS91="A",INDEX(Matches!$AI$5:$AI$17,MATCH($C91,Matches!$A$5:$A$17,0)),INDEX(Matches!$AJ$5:$AJ$17,MATCH($C91,Matches!$A$5:$A$17,0))),""))</f>
        <v>0.520867653467907</v>
      </c>
      <c r="AU91" s="10" t="n">
        <f aca="false">IF($AS91="","",IFERROR(IF(INDEX(Matches!$AP$5:$AP$17,MATCH($C91,Matches!$A$5:$A$17,0))="","",IF($AS91="A",INDEX(Matches!$AP$5:$AP$17,MATCH($C91,Matches!$A$5:$A$17,0)),1-INDEX(Matches!$AP$5:$AP$17,MATCH($C91,Matches!$A$5:$A$17,0)))),""))</f>
        <v>0.485881880725451</v>
      </c>
      <c r="AV91" s="13" t="n">
        <f aca="false">IF(OR($AU91="",$AT91=""),1,((Config!$B$14*$AU91+Config!$B$15*(1-$AU91))/(Config!$B$14*$AT91+Config!$B$15*(1-$AT91)))^Config!$B$13)</f>
        <v>0.969308444595842</v>
      </c>
      <c r="AW91" s="10" t="n">
        <f aca="false">IF($AS91="","",IFERROR(IF(INDEX(Matches!$AV$5:$AV$17,MATCH($C91,Matches!$A$5:$A$17,0))="","",IF($AS91="A",INDEX(Matches!$AV$5:$AV$17,MATCH($C91,Matches!$A$5:$A$17,0)),1-INDEX(Matches!$AV$5:$AV$17,MATCH($C91,Matches!$A$5:$A$17,0)))),""))</f>
        <v>0.444838385124031</v>
      </c>
      <c r="AX91" s="13" t="n">
        <f aca="false">IF(OR($AW91="",$AT91=""),1,((Config!$B$14*$AW91+Config!$B$15*(1-$AW91))/(Config!$B$14*$AT91+Config!$B$15*(1-$AT91)))^Config!$B$13)</f>
        <v>0.93330270224725</v>
      </c>
      <c r="AY91" s="10" t="n">
        <f aca="false">IF($AS91="","",IFERROR(IF(INDEX(Matches!$BB$5:$BB$17,MATCH($C91,Matches!$A$5:$A$17,0))="","",IF($AS91="A",INDEX(Matches!$BB$5:$BB$17,MATCH($C91,Matches!$A$5:$A$17,0)),1-INDEX(Matches!$BB$5:$BB$17,MATCH($C91,Matches!$A$5:$A$17,0)))),""))</f>
        <v>0.47687346114196</v>
      </c>
      <c r="AZ91" s="13" t="n">
        <f aca="false">IF(OR($AY91="",$AT91=""),1,((Config!$B$14*$AY91+Config!$B$15*(1-$AY91))/(Config!$B$14*$AT91+Config!$B$15*(1-$AT91)))^Config!$B$13)</f>
        <v>0.961405734806183</v>
      </c>
      <c r="BA91" s="17" t="n">
        <f aca="false">IF(V91="","",V91*$AV91)</f>
        <v>15.7316606539139</v>
      </c>
      <c r="BB91" s="17" t="n">
        <f aca="false">IF(AC91="","",AC91*$AX91)</f>
        <v>14.7048166457369</v>
      </c>
      <c r="BC91" s="17" t="n">
        <f aca="false">IF(AJ91="","",AJ91*$AZ91)</f>
        <v>15.9160719397164</v>
      </c>
      <c r="BD91" s="17" t="n">
        <f aca="false">N(BA91)+N(BB91)</f>
        <v>30.4364772996509</v>
      </c>
      <c r="BE91" s="17" t="n">
        <f aca="false">BD91+N($M91)*N(BC91)</f>
        <v>37.670331996252</v>
      </c>
      <c r="BF91" s="17" t="n">
        <f aca="false">IF(W91="","",W91*$AV91)</f>
        <v>5.52880473870331</v>
      </c>
      <c r="BG91" s="17" t="n">
        <f aca="false">IF(AD91="","",AD91*$AX91)</f>
        <v>5.07642947981163</v>
      </c>
      <c r="BH91" s="17" t="n">
        <f aca="false">IF(AK91="","",AK91*$AZ91)</f>
        <v>5.15503885603035</v>
      </c>
      <c r="BI91" s="17" t="n">
        <f aca="false">IF(BF91="","",N(BF91)+N(BG91))</f>
        <v>10.6052342185149</v>
      </c>
      <c r="BJ91" s="17" t="n">
        <f aca="false">IF(BI91="","",BI91+N($M91)*N(BH91))</f>
        <v>12.9481993785807</v>
      </c>
      <c r="BK91" s="13" t="n">
        <f aca="false">IFERROR(BD91/AL91,1)</f>
        <v>0.95157241849458</v>
      </c>
    </row>
    <row r="92" customFormat="false" ht="15" hidden="false" customHeight="false" outlineLevel="0" collapsed="false">
      <c r="A92" s="0" t="s">
        <v>1088</v>
      </c>
      <c r="B92" s="0" t="s">
        <v>775</v>
      </c>
      <c r="C92" s="0" t="s">
        <v>830</v>
      </c>
      <c r="D92" s="0" t="s">
        <v>834</v>
      </c>
      <c r="E92" s="0" t="s">
        <v>1087</v>
      </c>
      <c r="F92" s="0" t="s">
        <v>1257</v>
      </c>
      <c r="G92" s="0" t="str">
        <f aca="false">IFERROR(IF(INDEX(Matches!$W$5:$W$17,MATCH($C92,Matches!$A$5:$A$17,0))="","",INDEX(Matches!$W$5:$W$17,MATCH($C92,Matches!$A$5:$A$17,0))),"")</f>
        <v>Cache</v>
      </c>
      <c r="H92" s="0" t="str">
        <f aca="false">IFERROR(IF(INDEX(Matches!$X$5:$X$17,MATCH($C92,Matches!$A$5:$A$17,0))="","",INDEX(Matches!$X$5:$X$17,MATCH($C92,Matches!$A$5:$A$17,0))),"")</f>
        <v>Nuke</v>
      </c>
      <c r="I92" s="0" t="str">
        <f aca="false">IFERROR(IF(INDEX(Matches!$Y$5:$Y$17,MATCH($C92,Matches!$A$5:$A$17,0))="","",INDEX(Matches!$Y$5:$Y$17,MATCH($C92,Matches!$A$5:$A$17,0))),"")</f>
        <v>Ancient</v>
      </c>
      <c r="J92" s="11" t="n">
        <f aca="false">IFERROR(IF(INDEX(Matches!$Z$5:$Z$17,MATCH($C92,Matches!$A$5:$A$17,0))="","",INDEX(Matches!$Z$5:$Z$17,MATCH($C92,Matches!$A$5:$A$17,0))),"")</f>
        <v>21.2</v>
      </c>
      <c r="K92" s="11" t="n">
        <f aca="false">IFERROR(IF(INDEX(Matches!$AA$5:$AA$17,MATCH($C92,Matches!$A$5:$A$17,0))="","",INDEX(Matches!$AA$5:$AA$17,MATCH($C92,Matches!$A$5:$A$17,0))),"")</f>
        <v>21.07</v>
      </c>
      <c r="L92" s="11" t="n">
        <f aca="false">IFERROR(IF(INDEX(Matches!$AB$5:$AB$17,MATCH($C92,Matches!$A$5:$A$17,0))="","",INDEX(Matches!$AB$5:$AB$17,MATCH($C92,Matches!$A$5:$A$17,0))),"")</f>
        <v>21.5</v>
      </c>
      <c r="M92" s="10" t="n">
        <f aca="false">IFERROR(IF(INDEX(Matches!$AC$5:$AC$17,MATCH($C92,Matches!$A$5:$A$17,0))="","",INDEX(Matches!$AC$5:$AC$17,MATCH($C92,Matches!$A$5:$A$17,0))),"")</f>
        <v>0.4545</v>
      </c>
      <c r="N92" s="9" t="n">
        <f aca="false">IFERROR(INDEX(Players!$F$2:$F$105,MATCH($F92,Players!$A$2:$A$105,0)),0)</f>
        <v>30</v>
      </c>
      <c r="O92" s="13" t="n">
        <f aca="false">IFERROR(1/(1/INDEX(Players!$H$2:$H$105,MATCH($F92,Players!$A$2:$A$105,0))),"")</f>
        <v>0.68</v>
      </c>
      <c r="P92" s="10" t="n">
        <f aca="false">IFERROR(1/(1/INDEX(Players!$I$2:$I$105,MATCH($F92,Players!$A$2:$A$105,0))),"")</f>
        <v>0.598</v>
      </c>
      <c r="Q92" s="9" t="n">
        <f aca="false">IF($G92="",0,SUMIFS(Map_Stats!$F$2:$F$642,Map_Stats!$A$2:$A$642,$F92&amp;"|"&amp;$G92))</f>
        <v>5</v>
      </c>
      <c r="R92" s="13" t="n">
        <f aca="false">IF($G92="","",IFERROR(1/(1/INDEX(Map_Stats!$K$2:$K$642,MATCH($F92&amp;"|"&amp;$G92,Map_Stats!$A$2:$A$642,0))),$O92))</f>
        <v>0.73</v>
      </c>
      <c r="S92" s="10" t="n">
        <f aca="false">IF(OR($G92="",$P92=""),"",IFERROR(1/(1/INDEX(Map_Stats!$I$2:$I$642,MATCH($F92&amp;"|"&amp;$G92,Map_Stats!$A$2:$A$642,0))),$P92))</f>
        <v>0.631</v>
      </c>
      <c r="T92" s="13" t="n">
        <f aca="false">IF(OR($G92="",R92=""),"",IF($O92="",R92,(Q92*R92+Config!$B$4*$O92)/(Q92+Config!$B$4)))</f>
        <v>0.705</v>
      </c>
      <c r="U92" s="10" t="n">
        <f aca="false">IF(S92="","",(Q92*S92+Config!$B$4*$P92)/(Q92+Config!$B$4))</f>
        <v>0.6145</v>
      </c>
      <c r="V92" s="17" t="n">
        <f aca="false">IF(OR(T92="",$J92=""),"",T92*$J92*($J92/Config!$B$10)^Config!$B$9)</f>
        <v>14.946</v>
      </c>
      <c r="W92" s="17" t="n">
        <f aca="false">IF(OR(V92="",U92=""),"",V92*U92)</f>
        <v>9.184317</v>
      </c>
      <c r="X92" s="9" t="n">
        <f aca="false">IF($H92="",0,SUMIFS(Map_Stats!$F$2:$F$642,Map_Stats!$A$2:$A$642,$F92&amp;"|"&amp;$H92))</f>
        <v>6</v>
      </c>
      <c r="Y92" s="13" t="n">
        <f aca="false">IF($H92="","",IFERROR(1/(1/INDEX(Map_Stats!$K$2:$K$642,MATCH($F92&amp;"|"&amp;$H92,Map_Stats!$A$2:$A$642,0))),$O92))</f>
        <v>0.64</v>
      </c>
      <c r="Z92" s="10" t="n">
        <f aca="false">IF(OR($H92="",$P92=""),"",IFERROR(1/(1/INDEX(Map_Stats!$I$2:$I$642,MATCH($F92&amp;"|"&amp;$H92,Map_Stats!$A$2:$A$642,0))),$P92))</f>
        <v>0.697</v>
      </c>
      <c r="AA92" s="13" t="n">
        <f aca="false">IF(OR($H92="",Y92=""),"",IF($O92="",Y92,(X92*Y92+Config!$B$4*$O92)/(X92+Config!$B$4)))</f>
        <v>0.658181818181818</v>
      </c>
      <c r="AB92" s="10" t="n">
        <f aca="false">IF(Z92="","",(X92*Z92+Config!$B$4*$P92)/(X92+Config!$B$4))</f>
        <v>0.652</v>
      </c>
      <c r="AC92" s="17" t="n">
        <f aca="false">IF(OR(AA92="",$K92=""),"",AA92*$K92*($K92/Config!$B$10)^Config!$B$9)</f>
        <v>13.8678909090909</v>
      </c>
      <c r="AD92" s="17" t="n">
        <f aca="false">IF(OR(AC92="",AB92=""),"",AC92*AB92)</f>
        <v>9.04186487272727</v>
      </c>
      <c r="AE92" s="9" t="n">
        <f aca="false">IF($I92="",0,SUMIFS(Map_Stats!$F$2:$F$642,Map_Stats!$A$2:$A$642,$F92&amp;"|"&amp;$I92))</f>
        <v>4</v>
      </c>
      <c r="AF92" s="13" t="n">
        <f aca="false">IF($I92="","",IFERROR(1/(1/INDEX(Map_Stats!$K$2:$K$642,MATCH($F92&amp;"|"&amp;$I92,Map_Stats!$A$2:$A$642,0))),$O92))</f>
        <v>0.61</v>
      </c>
      <c r="AG92" s="10" t="n">
        <f aca="false">IF(OR($I92="",$P92=""),"",IFERROR(1/(1/INDEX(Map_Stats!$I$2:$I$642,MATCH($F92&amp;"|"&amp;$I92,Map_Stats!$A$2:$A$642,0))),$P92))</f>
        <v>0.519</v>
      </c>
      <c r="AH92" s="13" t="n">
        <f aca="false">IF(OR($I92="",AF92=""),"",IF($O92="",AF92,(AE92*AF92+Config!$B$4*$O92)/(AE92+Config!$B$4)))</f>
        <v>0.648888888888889</v>
      </c>
      <c r="AI92" s="10" t="n">
        <f aca="false">IF(AG92="","",(AE92*AG92+Config!$B$4*$P92)/(AE92+Config!$B$4))</f>
        <v>0.562888888888889</v>
      </c>
      <c r="AJ92" s="17" t="n">
        <f aca="false">IF(OR(AH92="",$L92=""),"",AH92*$L92*($L92/Config!$B$10)^Config!$B$9)</f>
        <v>13.9511111111111</v>
      </c>
      <c r="AK92" s="17" t="n">
        <f aca="false">IF(OR(AJ92="",AI92=""),"",AJ92*AI92)</f>
        <v>7.85292543209877</v>
      </c>
      <c r="AL92" s="17" t="n">
        <f aca="false">N(V92)+N(AC92)</f>
        <v>28.8138909090909</v>
      </c>
      <c r="AM92" s="17" t="n">
        <f aca="false">AL92+N($M92)*N(AJ92)</f>
        <v>35.1546709090909</v>
      </c>
      <c r="AN92" s="17" t="n">
        <f aca="false">IF(W92="","",N(W92)+N(AD92))</f>
        <v>18.2261818727273</v>
      </c>
      <c r="AO92" s="17" t="n">
        <f aca="false">IF(AN92="","",AN92+N($M92)*N(AK92))</f>
        <v>21.7953364816162</v>
      </c>
      <c r="AP92" s="10" t="n">
        <f aca="false">IFERROR(AN92/AL92,"")</f>
        <v>0.632548444437153</v>
      </c>
      <c r="AQ92" s="0" t="str">
        <f aca="false">TRIM(IF($N92&lt;Config!$B$12,"thin sample ("&amp;$N92&amp;" maps) · ","")&amp;IF(AND($G92&lt;&gt;"",Q92=0),"M1 unplayed→overall KPR · ","")&amp;IF(AND($H92&lt;&gt;"",X92=0),"M2 unplayed→overall KPR · ","")&amp;IF($O92="","no PickFinder stats",""))</f>
        <v/>
      </c>
      <c r="AR92" s="0" t="str">
        <f aca="false">IF($C92=Board!$B$2,COUNTIFS($C$2:$C$105,Board!$B$2,$AL$2:$AL$105,"&gt;"&amp;$AL92)+COUNTIFS($C$1:$C91,Board!$B$2,$AL$1:$AL91,$AL92)+1,"")</f>
        <v/>
      </c>
      <c r="AS92" s="0" t="str">
        <f aca="false">IFERROR(IF($D92=INDEX(Matches!$AD$5:$AD$17,MATCH($C92,Matches!$A$5:$A$17,0)),"A",IF($D92=INDEX(Matches!$AE$5:$AE$17,MATCH($C92,Matches!$A$5:$A$17,0)),"B","")),"")</f>
        <v>B</v>
      </c>
      <c r="AT92" s="10" t="n">
        <f aca="false">IF($AS92="","",IFERROR(IF($AS92="A",INDEX(Matches!$AI$5:$AI$17,MATCH($C92,Matches!$A$5:$A$17,0)),INDEX(Matches!$AJ$5:$AJ$17,MATCH($C92,Matches!$A$5:$A$17,0))),""))</f>
        <v>0.515589163533086</v>
      </c>
      <c r="AU92" s="10" t="n">
        <f aca="false">IF($AS92="","",IFERROR(IF(INDEX(Matches!$AP$5:$AP$17,MATCH($C92,Matches!$A$5:$A$17,0))="","",IF($AS92="A",INDEX(Matches!$AP$5:$AP$17,MATCH($C92,Matches!$A$5:$A$17,0)),1-INDEX(Matches!$AP$5:$AP$17,MATCH($C92,Matches!$A$5:$A$17,0)))),""))</f>
        <v>0.514118119274549</v>
      </c>
      <c r="AV92" s="13" t="n">
        <f aca="false">IF(OR($AU92="",$AT92=""),1,((Config!$B$14*$AU92+Config!$B$15*(1-$AU92))/(Config!$B$14*$AT92+Config!$B$15*(1-$AT92)))^Config!$B$13)</f>
        <v>0.998703510866983</v>
      </c>
      <c r="AW92" s="10" t="n">
        <f aca="false">IF($AS92="","",IFERROR(IF(INDEX(Matches!$AV$5:$AV$17,MATCH($C92,Matches!$A$5:$A$17,0))="","",IF($AS92="A",INDEX(Matches!$AV$5:$AV$17,MATCH($C92,Matches!$A$5:$A$17,0)),1-INDEX(Matches!$AV$5:$AV$17,MATCH($C92,Matches!$A$5:$A$17,0)))),""))</f>
        <v>0.555161614875969</v>
      </c>
      <c r="AX92" s="13" t="n">
        <f aca="false">IF(OR($AW92="",$AT92=""),1,((Config!$B$14*$AW92+Config!$B$15*(1-$AW92))/(Config!$B$14*$AT92+Config!$B$15*(1-$AT92)))^Config!$B$13)</f>
        <v>1.03487675699432</v>
      </c>
      <c r="AY92" s="10" t="n">
        <f aca="false">IF($AS92="","",IFERROR(IF(INDEX(Matches!$BB$5:$BB$17,MATCH($C92,Matches!$A$5:$A$17,0))="","",IF($AS92="A",INDEX(Matches!$BB$5:$BB$17,MATCH($C92,Matches!$A$5:$A$17,0)),1-INDEX(Matches!$BB$5:$BB$17,MATCH($C92,Matches!$A$5:$A$17,0)))),""))</f>
        <v>0.52312653885804</v>
      </c>
      <c r="AZ92" s="13" t="n">
        <f aca="false">IF(OR($AY92="",$AT92=""),1,((Config!$B$14*$AY92+Config!$B$15*(1-$AY92))/(Config!$B$14*$AT92+Config!$B$15*(1-$AT92)))^Config!$B$13)</f>
        <v>1.00664298517435</v>
      </c>
      <c r="BA92" s="17" t="n">
        <f aca="false">IF(V92="","",V92*$AV92)</f>
        <v>14.9266226734179</v>
      </c>
      <c r="BB92" s="17" t="n">
        <f aca="false">IF(AC92="","",AC92*$AX92)</f>
        <v>14.351557970351</v>
      </c>
      <c r="BC92" s="17" t="n">
        <f aca="false">IF(AJ92="","",AJ92*$AZ92)</f>
        <v>14.0437881353879</v>
      </c>
      <c r="BD92" s="17" t="n">
        <f aca="false">N(BA92)+N(BB92)</f>
        <v>29.2781806437689</v>
      </c>
      <c r="BE92" s="17" t="n">
        <f aca="false">BD92+N($M92)*N(BC92)</f>
        <v>35.6610823513027</v>
      </c>
      <c r="BF92" s="17" t="n">
        <f aca="false">IF(W92="","",W92*$AV92)</f>
        <v>9.17240963281532</v>
      </c>
      <c r="BG92" s="17" t="n">
        <f aca="false">IF(AD92="","",AD92*$AX92)</f>
        <v>9.35721579666885</v>
      </c>
      <c r="BH92" s="17" t="n">
        <f aca="false">IF(AK92="","",AK92*$AZ92)</f>
        <v>7.90509229931946</v>
      </c>
      <c r="BI92" s="17" t="n">
        <f aca="false">IF(BF92="","",N(BF92)+N(BG92))</f>
        <v>18.5296254294842</v>
      </c>
      <c r="BJ92" s="17" t="n">
        <f aca="false">IF(BI92="","",BI92+N($M92)*N(BH92))</f>
        <v>22.1224898795249</v>
      </c>
      <c r="BK92" s="13" t="n">
        <f aca="false">IFERROR(BD92/AL92,1)</f>
        <v>1.01611339947607</v>
      </c>
    </row>
    <row r="93" customFormat="false" ht="15" hidden="false" customHeight="false" outlineLevel="0" collapsed="false">
      <c r="A93" s="0" t="s">
        <v>1090</v>
      </c>
      <c r="B93" s="0" t="s">
        <v>775</v>
      </c>
      <c r="C93" s="0" t="s">
        <v>830</v>
      </c>
      <c r="D93" s="0" t="s">
        <v>834</v>
      </c>
      <c r="E93" s="0" t="s">
        <v>1089</v>
      </c>
      <c r="F93" s="0" t="s">
        <v>1258</v>
      </c>
      <c r="G93" s="0" t="str">
        <f aca="false">IFERROR(IF(INDEX(Matches!$W$5:$W$17,MATCH($C93,Matches!$A$5:$A$17,0))="","",INDEX(Matches!$W$5:$W$17,MATCH($C93,Matches!$A$5:$A$17,0))),"")</f>
        <v>Cache</v>
      </c>
      <c r="H93" s="0" t="str">
        <f aca="false">IFERROR(IF(INDEX(Matches!$X$5:$X$17,MATCH($C93,Matches!$A$5:$A$17,0))="","",INDEX(Matches!$X$5:$X$17,MATCH($C93,Matches!$A$5:$A$17,0))),"")</f>
        <v>Nuke</v>
      </c>
      <c r="I93" s="0" t="str">
        <f aca="false">IFERROR(IF(INDEX(Matches!$Y$5:$Y$17,MATCH($C93,Matches!$A$5:$A$17,0))="","",INDEX(Matches!$Y$5:$Y$17,MATCH($C93,Matches!$A$5:$A$17,0))),"")</f>
        <v>Ancient</v>
      </c>
      <c r="J93" s="11" t="n">
        <f aca="false">IFERROR(IF(INDEX(Matches!$Z$5:$Z$17,MATCH($C93,Matches!$A$5:$A$17,0))="","",INDEX(Matches!$Z$5:$Z$17,MATCH($C93,Matches!$A$5:$A$17,0))),"")</f>
        <v>21.2</v>
      </c>
      <c r="K93" s="11" t="n">
        <f aca="false">IFERROR(IF(INDEX(Matches!$AA$5:$AA$17,MATCH($C93,Matches!$A$5:$A$17,0))="","",INDEX(Matches!$AA$5:$AA$17,MATCH($C93,Matches!$A$5:$A$17,0))),"")</f>
        <v>21.07</v>
      </c>
      <c r="L93" s="11" t="n">
        <f aca="false">IFERROR(IF(INDEX(Matches!$AB$5:$AB$17,MATCH($C93,Matches!$A$5:$A$17,0))="","",INDEX(Matches!$AB$5:$AB$17,MATCH($C93,Matches!$A$5:$A$17,0))),"")</f>
        <v>21.5</v>
      </c>
      <c r="M93" s="10" t="n">
        <f aca="false">IFERROR(IF(INDEX(Matches!$AC$5:$AC$17,MATCH($C93,Matches!$A$5:$A$17,0))="","",INDEX(Matches!$AC$5:$AC$17,MATCH($C93,Matches!$A$5:$A$17,0))),"")</f>
        <v>0.4545</v>
      </c>
      <c r="N93" s="9" t="n">
        <f aca="false">IFERROR(INDEX(Players!$F$2:$F$105,MATCH($F93,Players!$A$2:$A$105,0)),0)</f>
        <v>30</v>
      </c>
      <c r="O93" s="13" t="n">
        <f aca="false">IFERROR(1/(1/INDEX(Players!$H$2:$H$105,MATCH($F93,Players!$A$2:$A$105,0))),"")</f>
        <v>0.67</v>
      </c>
      <c r="P93" s="10" t="n">
        <f aca="false">IFERROR(1/(1/INDEX(Players!$I$2:$I$105,MATCH($F93,Players!$A$2:$A$105,0))),"")</f>
        <v>0.489</v>
      </c>
      <c r="Q93" s="9" t="n">
        <f aca="false">IF($G93="",0,SUMIFS(Map_Stats!$F$2:$F$642,Map_Stats!$A$2:$A$642,$F93&amp;"|"&amp;$G93))</f>
        <v>5</v>
      </c>
      <c r="R93" s="13" t="n">
        <f aca="false">IF($G93="","",IFERROR(1/(1/INDEX(Map_Stats!$K$2:$K$642,MATCH($F93&amp;"|"&amp;$G93,Map_Stats!$A$2:$A$642,0))),$O93))</f>
        <v>0.65</v>
      </c>
      <c r="S93" s="10" t="n">
        <f aca="false">IF(OR($G93="",$P93=""),"",IFERROR(1/(1/INDEX(Map_Stats!$I$2:$I$642,MATCH($F93&amp;"|"&amp;$G93,Map_Stats!$A$2:$A$642,0))),$P93))</f>
        <v>0.427</v>
      </c>
      <c r="T93" s="13" t="n">
        <f aca="false">IF(OR($G93="",R93=""),"",IF($O93="",R93,(Q93*R93+Config!$B$4*$O93)/(Q93+Config!$B$4)))</f>
        <v>0.66</v>
      </c>
      <c r="U93" s="10" t="n">
        <f aca="false">IF(S93="","",(Q93*S93+Config!$B$4*$P93)/(Q93+Config!$B$4))</f>
        <v>0.458</v>
      </c>
      <c r="V93" s="17" t="n">
        <f aca="false">IF(OR(T93="",$J93=""),"",T93*$J93*($J93/Config!$B$10)^Config!$B$9)</f>
        <v>13.992</v>
      </c>
      <c r="W93" s="17" t="n">
        <f aca="false">IF(OR(V93="",U93=""),"",V93*U93)</f>
        <v>6.408336</v>
      </c>
      <c r="X93" s="9" t="n">
        <f aca="false">IF($H93="",0,SUMIFS(Map_Stats!$F$2:$F$642,Map_Stats!$A$2:$A$642,$F93&amp;"|"&amp;$H93))</f>
        <v>6</v>
      </c>
      <c r="Y93" s="13" t="n">
        <f aca="false">IF($H93="","",IFERROR(1/(1/INDEX(Map_Stats!$K$2:$K$642,MATCH($F93&amp;"|"&amp;$H93,Map_Stats!$A$2:$A$642,0))),$O93))</f>
        <v>0.62</v>
      </c>
      <c r="Z93" s="10" t="n">
        <f aca="false">IF(OR($H93="",$P93=""),"",IFERROR(1/(1/INDEX(Map_Stats!$I$2:$I$642,MATCH($F93&amp;"|"&amp;$H93,Map_Stats!$A$2:$A$642,0))),$P93))</f>
        <v>0.548</v>
      </c>
      <c r="AA93" s="13" t="n">
        <f aca="false">IF(OR($H93="",Y93=""),"",IF($O93="",Y93,(X93*Y93+Config!$B$4*$O93)/(X93+Config!$B$4)))</f>
        <v>0.642727272727273</v>
      </c>
      <c r="AB93" s="10" t="n">
        <f aca="false">IF(Z93="","",(X93*Z93+Config!$B$4*$P93)/(X93+Config!$B$4))</f>
        <v>0.521181818181818</v>
      </c>
      <c r="AC93" s="17" t="n">
        <f aca="false">IF(OR(AA93="",$K93=""),"",AA93*$K93*($K93/Config!$B$10)^Config!$B$9)</f>
        <v>13.5422636363636</v>
      </c>
      <c r="AD93" s="17" t="n">
        <f aca="false">IF(OR(AC93="",AB93=""),"",AC93*AB93)</f>
        <v>7.05798158429752</v>
      </c>
      <c r="AE93" s="9" t="n">
        <f aca="false">IF($I93="",0,SUMIFS(Map_Stats!$F$2:$F$642,Map_Stats!$A$2:$A$642,$F93&amp;"|"&amp;$I93))</f>
        <v>4</v>
      </c>
      <c r="AF93" s="13" t="n">
        <f aca="false">IF($I93="","",IFERROR(1/(1/INDEX(Map_Stats!$K$2:$K$642,MATCH($F93&amp;"|"&amp;$I93,Map_Stats!$A$2:$A$642,0))),$O93))</f>
        <v>0.6</v>
      </c>
      <c r="AG93" s="10" t="n">
        <f aca="false">IF(OR($I93="",$P93=""),"",IFERROR(1/(1/INDEX(Map_Stats!$I$2:$I$642,MATCH($F93&amp;"|"&amp;$I93,Map_Stats!$A$2:$A$642,0))),$P93))</f>
        <v>0.451</v>
      </c>
      <c r="AH93" s="13" t="n">
        <f aca="false">IF(OR($I93="",AF93=""),"",IF($O93="",AF93,(AE93*AF93+Config!$B$4*$O93)/(AE93+Config!$B$4)))</f>
        <v>0.638888888888889</v>
      </c>
      <c r="AI93" s="10" t="n">
        <f aca="false">IF(AG93="","",(AE93*AG93+Config!$B$4*$P93)/(AE93+Config!$B$4))</f>
        <v>0.472111111111111</v>
      </c>
      <c r="AJ93" s="17" t="n">
        <f aca="false">IF(OR(AH93="",$L93=""),"",AH93*$L93*($L93/Config!$B$10)^Config!$B$9)</f>
        <v>13.7361111111111</v>
      </c>
      <c r="AK93" s="17" t="n">
        <f aca="false">IF(OR(AJ93="",AI93=""),"",AJ93*AI93)</f>
        <v>6.48497067901235</v>
      </c>
      <c r="AL93" s="17" t="n">
        <f aca="false">N(V93)+N(AC93)</f>
        <v>27.5342636363636</v>
      </c>
      <c r="AM93" s="17" t="n">
        <f aca="false">AL93+N($M93)*N(AJ93)</f>
        <v>33.7773261363636</v>
      </c>
      <c r="AN93" s="17" t="n">
        <f aca="false">IF(W93="","",N(W93)+N(AD93))</f>
        <v>13.4663175842975</v>
      </c>
      <c r="AO93" s="17" t="n">
        <f aca="false">IF(AN93="","",AN93+N($M93)*N(AK93))</f>
        <v>16.4137367579086</v>
      </c>
      <c r="AP93" s="10" t="n">
        <f aca="false">IFERROR(AN93/AL93,"")</f>
        <v>0.489074912703058</v>
      </c>
      <c r="AQ93" s="0" t="str">
        <f aca="false">TRIM(IF($N93&lt;Config!$B$12,"thin sample ("&amp;$N93&amp;" maps) · ","")&amp;IF(AND($G93&lt;&gt;"",Q93=0),"M1 unplayed→overall KPR · ","")&amp;IF(AND($H93&lt;&gt;"",X93=0),"M2 unplayed→overall KPR · ","")&amp;IF($O93="","no PickFinder stats",""))</f>
        <v/>
      </c>
      <c r="AR93" s="0" t="str">
        <f aca="false">IF($C93=Board!$B$2,COUNTIFS($C$2:$C$105,Board!$B$2,$AL$2:$AL$105,"&gt;"&amp;$AL93)+COUNTIFS($C$1:$C92,Board!$B$2,$AL$1:$AL92,$AL93)+1,"")</f>
        <v/>
      </c>
      <c r="AS93" s="0" t="str">
        <f aca="false">IFERROR(IF($D93=INDEX(Matches!$AD$5:$AD$17,MATCH($C93,Matches!$A$5:$A$17,0)),"A",IF($D93=INDEX(Matches!$AE$5:$AE$17,MATCH($C93,Matches!$A$5:$A$17,0)),"B","")),"")</f>
        <v>B</v>
      </c>
      <c r="AT93" s="10" t="n">
        <f aca="false">IF($AS93="","",IFERROR(IF($AS93="A",INDEX(Matches!$AI$5:$AI$17,MATCH($C93,Matches!$A$5:$A$17,0)),INDEX(Matches!$AJ$5:$AJ$17,MATCH($C93,Matches!$A$5:$A$17,0))),""))</f>
        <v>0.515589163533086</v>
      </c>
      <c r="AU93" s="10" t="n">
        <f aca="false">IF($AS93="","",IFERROR(IF(INDEX(Matches!$AP$5:$AP$17,MATCH($C93,Matches!$A$5:$A$17,0))="","",IF($AS93="A",INDEX(Matches!$AP$5:$AP$17,MATCH($C93,Matches!$A$5:$A$17,0)),1-INDEX(Matches!$AP$5:$AP$17,MATCH($C93,Matches!$A$5:$A$17,0)))),""))</f>
        <v>0.514118119274549</v>
      </c>
      <c r="AV93" s="13" t="n">
        <f aca="false">IF(OR($AU93="",$AT93=""),1,((Config!$B$14*$AU93+Config!$B$15*(1-$AU93))/(Config!$B$14*$AT93+Config!$B$15*(1-$AT93)))^Config!$B$13)</f>
        <v>0.998703510866983</v>
      </c>
      <c r="AW93" s="10" t="n">
        <f aca="false">IF($AS93="","",IFERROR(IF(INDEX(Matches!$AV$5:$AV$17,MATCH($C93,Matches!$A$5:$A$17,0))="","",IF($AS93="A",INDEX(Matches!$AV$5:$AV$17,MATCH($C93,Matches!$A$5:$A$17,0)),1-INDEX(Matches!$AV$5:$AV$17,MATCH($C93,Matches!$A$5:$A$17,0)))),""))</f>
        <v>0.555161614875969</v>
      </c>
      <c r="AX93" s="13" t="n">
        <f aca="false">IF(OR($AW93="",$AT93=""),1,((Config!$B$14*$AW93+Config!$B$15*(1-$AW93))/(Config!$B$14*$AT93+Config!$B$15*(1-$AT93)))^Config!$B$13)</f>
        <v>1.03487675699432</v>
      </c>
      <c r="AY93" s="10" t="n">
        <f aca="false">IF($AS93="","",IFERROR(IF(INDEX(Matches!$BB$5:$BB$17,MATCH($C93,Matches!$A$5:$A$17,0))="","",IF($AS93="A",INDEX(Matches!$BB$5:$BB$17,MATCH($C93,Matches!$A$5:$A$17,0)),1-INDEX(Matches!$BB$5:$BB$17,MATCH($C93,Matches!$A$5:$A$17,0)))),""))</f>
        <v>0.52312653885804</v>
      </c>
      <c r="AZ93" s="13" t="n">
        <f aca="false">IF(OR($AY93="",$AT93=""),1,((Config!$B$14*$AY93+Config!$B$15*(1-$AY93))/(Config!$B$14*$AT93+Config!$B$15*(1-$AT93)))^Config!$B$13)</f>
        <v>1.00664298517435</v>
      </c>
      <c r="BA93" s="17" t="n">
        <f aca="false">IF(V93="","",V93*$AV93)</f>
        <v>13.9738595240508</v>
      </c>
      <c r="BB93" s="17" t="n">
        <f aca="false">IF(AC93="","",AC93*$AX93)</f>
        <v>14.0145738743621</v>
      </c>
      <c r="BC93" s="17" t="n">
        <f aca="false">IF(AJ93="","",AJ93*$AZ93)</f>
        <v>13.8273598935754</v>
      </c>
      <c r="BD93" s="17" t="n">
        <f aca="false">N(BA93)+N(BB93)</f>
        <v>27.9884333984129</v>
      </c>
      <c r="BE93" s="17" t="n">
        <f aca="false">BD93+N($M93)*N(BC93)</f>
        <v>34.272968470043</v>
      </c>
      <c r="BF93" s="17" t="n">
        <f aca="false">IF(W93="","",W93*$AV93)</f>
        <v>6.40002766201528</v>
      </c>
      <c r="BG93" s="17" t="n">
        <f aca="false">IF(AD93="","",AD93*$AX93)</f>
        <v>7.30414109288344</v>
      </c>
      <c r="BH93" s="17" t="n">
        <f aca="false">IF(AK93="","",AK93*$AZ93)</f>
        <v>6.52805024308911</v>
      </c>
      <c r="BI93" s="17" t="n">
        <f aca="false">IF(BF93="","",N(BF93)+N(BG93))</f>
        <v>13.7041687548987</v>
      </c>
      <c r="BJ93" s="17" t="n">
        <f aca="false">IF(BI93="","",BI93+N($M93)*N(BH93))</f>
        <v>16.6711675903827</v>
      </c>
      <c r="BK93" s="13" t="n">
        <f aca="false">IFERROR(BD93/AL93,1)</f>
        <v>1.01649471248069</v>
      </c>
    </row>
    <row r="94" customFormat="false" ht="15" hidden="false" customHeight="false" outlineLevel="0" collapsed="false">
      <c r="A94" s="0" t="s">
        <v>1092</v>
      </c>
      <c r="B94" s="0" t="s">
        <v>775</v>
      </c>
      <c r="C94" s="0" t="s">
        <v>830</v>
      </c>
      <c r="D94" s="0" t="s">
        <v>834</v>
      </c>
      <c r="E94" s="0" t="s">
        <v>1091</v>
      </c>
      <c r="F94" s="0" t="s">
        <v>1259</v>
      </c>
      <c r="G94" s="0" t="str">
        <f aca="false">IFERROR(IF(INDEX(Matches!$W$5:$W$17,MATCH($C94,Matches!$A$5:$A$17,0))="","",INDEX(Matches!$W$5:$W$17,MATCH($C94,Matches!$A$5:$A$17,0))),"")</f>
        <v>Cache</v>
      </c>
      <c r="H94" s="0" t="str">
        <f aca="false">IFERROR(IF(INDEX(Matches!$X$5:$X$17,MATCH($C94,Matches!$A$5:$A$17,0))="","",INDEX(Matches!$X$5:$X$17,MATCH($C94,Matches!$A$5:$A$17,0))),"")</f>
        <v>Nuke</v>
      </c>
      <c r="I94" s="0" t="str">
        <f aca="false">IFERROR(IF(INDEX(Matches!$Y$5:$Y$17,MATCH($C94,Matches!$A$5:$A$17,0))="","",INDEX(Matches!$Y$5:$Y$17,MATCH($C94,Matches!$A$5:$A$17,0))),"")</f>
        <v>Ancient</v>
      </c>
      <c r="J94" s="11" t="n">
        <f aca="false">IFERROR(IF(INDEX(Matches!$Z$5:$Z$17,MATCH($C94,Matches!$A$5:$A$17,0))="","",INDEX(Matches!$Z$5:$Z$17,MATCH($C94,Matches!$A$5:$A$17,0))),"")</f>
        <v>21.2</v>
      </c>
      <c r="K94" s="11" t="n">
        <f aca="false">IFERROR(IF(INDEX(Matches!$AA$5:$AA$17,MATCH($C94,Matches!$A$5:$A$17,0))="","",INDEX(Matches!$AA$5:$AA$17,MATCH($C94,Matches!$A$5:$A$17,0))),"")</f>
        <v>21.07</v>
      </c>
      <c r="L94" s="11" t="n">
        <f aca="false">IFERROR(IF(INDEX(Matches!$AB$5:$AB$17,MATCH($C94,Matches!$A$5:$A$17,0))="","",INDEX(Matches!$AB$5:$AB$17,MATCH($C94,Matches!$A$5:$A$17,0))),"")</f>
        <v>21.5</v>
      </c>
      <c r="M94" s="10" t="n">
        <f aca="false">IFERROR(IF(INDEX(Matches!$AC$5:$AC$17,MATCH($C94,Matches!$A$5:$A$17,0))="","",INDEX(Matches!$AC$5:$AC$17,MATCH($C94,Matches!$A$5:$A$17,0))),"")</f>
        <v>0.4545</v>
      </c>
      <c r="N94" s="9" t="n">
        <f aca="false">IFERROR(INDEX(Players!$F$2:$F$105,MATCH($F94,Players!$A$2:$A$105,0)),0)</f>
        <v>30</v>
      </c>
      <c r="O94" s="13" t="n">
        <f aca="false">IFERROR(1/(1/INDEX(Players!$H$2:$H$105,MATCH($F94,Players!$A$2:$A$105,0))),"")</f>
        <v>0.66</v>
      </c>
      <c r="P94" s="10" t="n">
        <f aca="false">IFERROR(1/(1/INDEX(Players!$I$2:$I$105,MATCH($F94,Players!$A$2:$A$105,0))),"")</f>
        <v>0.319</v>
      </c>
      <c r="Q94" s="9" t="n">
        <f aca="false">IF($G94="",0,SUMIFS(Map_Stats!$F$2:$F$642,Map_Stats!$A$2:$A$642,$F94&amp;"|"&amp;$G94))</f>
        <v>5</v>
      </c>
      <c r="R94" s="13" t="n">
        <f aca="false">IF($G94="","",IFERROR(1/(1/INDEX(Map_Stats!$K$2:$K$642,MATCH($F94&amp;"|"&amp;$G94,Map_Stats!$A$2:$A$642,0))),$O94))</f>
        <v>0.49</v>
      </c>
      <c r="S94" s="10" t="n">
        <f aca="false">IF(OR($G94="",$P94=""),"",IFERROR(1/(1/INDEX(Map_Stats!$I$2:$I$642,MATCH($F94&amp;"|"&amp;$G94,Map_Stats!$A$2:$A$642,0))),$P94))</f>
        <v>0.179</v>
      </c>
      <c r="T94" s="13" t="n">
        <f aca="false">IF(OR($G94="",R94=""),"",IF($O94="",R94,(Q94*R94+Config!$B$4*$O94)/(Q94+Config!$B$4)))</f>
        <v>0.575</v>
      </c>
      <c r="U94" s="10" t="n">
        <f aca="false">IF(S94="","",(Q94*S94+Config!$B$4*$P94)/(Q94+Config!$B$4))</f>
        <v>0.249</v>
      </c>
      <c r="V94" s="17" t="n">
        <f aca="false">IF(OR(T94="",$J94=""),"",T94*$J94*($J94/Config!$B$10)^Config!$B$9)</f>
        <v>12.19</v>
      </c>
      <c r="W94" s="17" t="n">
        <f aca="false">IF(OR(V94="",U94=""),"",V94*U94)</f>
        <v>3.03531</v>
      </c>
      <c r="X94" s="9" t="n">
        <f aca="false">IF($H94="",0,SUMIFS(Map_Stats!$F$2:$F$642,Map_Stats!$A$2:$A$642,$F94&amp;"|"&amp;$H94))</f>
        <v>6</v>
      </c>
      <c r="Y94" s="13" t="n">
        <f aca="false">IF($H94="","",IFERROR(1/(1/INDEX(Map_Stats!$K$2:$K$642,MATCH($F94&amp;"|"&amp;$H94,Map_Stats!$A$2:$A$642,0))),$O94))</f>
        <v>0.55</v>
      </c>
      <c r="Z94" s="10" t="n">
        <f aca="false">IF(OR($H94="",$P94=""),"",IFERROR(1/(1/INDEX(Map_Stats!$I$2:$I$642,MATCH($F94&amp;"|"&amp;$H94,Map_Stats!$A$2:$A$642,0))),$P94))</f>
        <v>0.338</v>
      </c>
      <c r="AA94" s="13" t="n">
        <f aca="false">IF(OR($H94="",Y94=""),"",IF($O94="",Y94,(X94*Y94+Config!$B$4*$O94)/(X94+Config!$B$4)))</f>
        <v>0.6</v>
      </c>
      <c r="AB94" s="10" t="n">
        <f aca="false">IF(Z94="","",(X94*Z94+Config!$B$4*$P94)/(X94+Config!$B$4))</f>
        <v>0.329363636363636</v>
      </c>
      <c r="AC94" s="17" t="n">
        <f aca="false">IF(OR(AA94="",$K94=""),"",AA94*$K94*($K94/Config!$B$10)^Config!$B$9)</f>
        <v>12.642</v>
      </c>
      <c r="AD94" s="17" t="n">
        <f aca="false">IF(OR(AC94="",AB94=""),"",AC94*AB94)</f>
        <v>4.16381509090909</v>
      </c>
      <c r="AE94" s="9" t="n">
        <f aca="false">IF($I94="",0,SUMIFS(Map_Stats!$F$2:$F$642,Map_Stats!$A$2:$A$642,$F94&amp;"|"&amp;$I94))</f>
        <v>4</v>
      </c>
      <c r="AF94" s="13" t="n">
        <f aca="false">IF($I94="","",IFERROR(1/(1/INDEX(Map_Stats!$K$2:$K$642,MATCH($F94&amp;"|"&amp;$I94,Map_Stats!$A$2:$A$642,0))),$O94))</f>
        <v>0.89</v>
      </c>
      <c r="AG94" s="10" t="n">
        <f aca="false">IF(OR($I94="",$P94=""),"",IFERROR(1/(1/INDEX(Map_Stats!$I$2:$I$642,MATCH($F94&amp;"|"&amp;$I94,Map_Stats!$A$2:$A$642,0))),$P94))</f>
        <v>0.342</v>
      </c>
      <c r="AH94" s="13" t="n">
        <f aca="false">IF(OR($I94="",AF94=""),"",IF($O94="",AF94,(AE94*AF94+Config!$B$4*$O94)/(AE94+Config!$B$4)))</f>
        <v>0.762222222222222</v>
      </c>
      <c r="AI94" s="10" t="n">
        <f aca="false">IF(AG94="","",(AE94*AG94+Config!$B$4*$P94)/(AE94+Config!$B$4))</f>
        <v>0.329222222222222</v>
      </c>
      <c r="AJ94" s="17" t="n">
        <f aca="false">IF(OR(AH94="",$L94=""),"",AH94*$L94*($L94/Config!$B$10)^Config!$B$9)</f>
        <v>16.3877777777778</v>
      </c>
      <c r="AK94" s="17" t="n">
        <f aca="false">IF(OR(AJ94="",AI94=""),"",AJ94*AI94)</f>
        <v>5.39522061728395</v>
      </c>
      <c r="AL94" s="17" t="n">
        <f aca="false">N(V94)+N(AC94)</f>
        <v>24.832</v>
      </c>
      <c r="AM94" s="17" t="n">
        <f aca="false">AL94+N($M94)*N(AJ94)</f>
        <v>32.280245</v>
      </c>
      <c r="AN94" s="17" t="n">
        <f aca="false">IF(W94="","",N(W94)+N(AD94))</f>
        <v>7.19912509090909</v>
      </c>
      <c r="AO94" s="17" t="n">
        <f aca="false">IF(AN94="","",AN94+N($M94)*N(AK94))</f>
        <v>9.65125286146465</v>
      </c>
      <c r="AP94" s="10" t="n">
        <f aca="false">IFERROR(AN94/AL94,"")</f>
        <v>0.289913220477976</v>
      </c>
      <c r="AQ94" s="0" t="str">
        <f aca="false">TRIM(IF($N94&lt;Config!$B$12,"thin sample ("&amp;$N94&amp;" maps) · ","")&amp;IF(AND($G94&lt;&gt;"",Q94=0),"M1 unplayed→overall KPR · ","")&amp;IF(AND($H94&lt;&gt;"",X94=0),"M2 unplayed→overall KPR · ","")&amp;IF($O94="","no PickFinder stats",""))</f>
        <v/>
      </c>
      <c r="AR94" s="0" t="str">
        <f aca="false">IF($C94=Board!$B$2,COUNTIFS($C$2:$C$105,Board!$B$2,$AL$2:$AL$105,"&gt;"&amp;$AL94)+COUNTIFS($C$1:$C93,Board!$B$2,$AL$1:$AL93,$AL94)+1,"")</f>
        <v/>
      </c>
      <c r="AS94" s="0" t="str">
        <f aca="false">IFERROR(IF($D94=INDEX(Matches!$AD$5:$AD$17,MATCH($C94,Matches!$A$5:$A$17,0)),"A",IF($D94=INDEX(Matches!$AE$5:$AE$17,MATCH($C94,Matches!$A$5:$A$17,0)),"B","")),"")</f>
        <v>B</v>
      </c>
      <c r="AT94" s="10" t="n">
        <f aca="false">IF($AS94="","",IFERROR(IF($AS94="A",INDEX(Matches!$AI$5:$AI$17,MATCH($C94,Matches!$A$5:$A$17,0)),INDEX(Matches!$AJ$5:$AJ$17,MATCH($C94,Matches!$A$5:$A$17,0))),""))</f>
        <v>0.515589163533086</v>
      </c>
      <c r="AU94" s="10" t="n">
        <f aca="false">IF($AS94="","",IFERROR(IF(INDEX(Matches!$AP$5:$AP$17,MATCH($C94,Matches!$A$5:$A$17,0))="","",IF($AS94="A",INDEX(Matches!$AP$5:$AP$17,MATCH($C94,Matches!$A$5:$A$17,0)),1-INDEX(Matches!$AP$5:$AP$17,MATCH($C94,Matches!$A$5:$A$17,0)))),""))</f>
        <v>0.514118119274549</v>
      </c>
      <c r="AV94" s="13" t="n">
        <f aca="false">IF(OR($AU94="",$AT94=""),1,((Config!$B$14*$AU94+Config!$B$15*(1-$AU94))/(Config!$B$14*$AT94+Config!$B$15*(1-$AT94)))^Config!$B$13)</f>
        <v>0.998703510866983</v>
      </c>
      <c r="AW94" s="10" t="n">
        <f aca="false">IF($AS94="","",IFERROR(IF(INDEX(Matches!$AV$5:$AV$17,MATCH($C94,Matches!$A$5:$A$17,0))="","",IF($AS94="A",INDEX(Matches!$AV$5:$AV$17,MATCH($C94,Matches!$A$5:$A$17,0)),1-INDEX(Matches!$AV$5:$AV$17,MATCH($C94,Matches!$A$5:$A$17,0)))),""))</f>
        <v>0.555161614875969</v>
      </c>
      <c r="AX94" s="13" t="n">
        <f aca="false">IF(OR($AW94="",$AT94=""),1,((Config!$B$14*$AW94+Config!$B$15*(1-$AW94))/(Config!$B$14*$AT94+Config!$B$15*(1-$AT94)))^Config!$B$13)</f>
        <v>1.03487675699432</v>
      </c>
      <c r="AY94" s="10" t="n">
        <f aca="false">IF($AS94="","",IFERROR(IF(INDEX(Matches!$BB$5:$BB$17,MATCH($C94,Matches!$A$5:$A$17,0))="","",IF($AS94="A",INDEX(Matches!$BB$5:$BB$17,MATCH($C94,Matches!$A$5:$A$17,0)),1-INDEX(Matches!$BB$5:$BB$17,MATCH($C94,Matches!$A$5:$A$17,0)))),""))</f>
        <v>0.52312653885804</v>
      </c>
      <c r="AZ94" s="13" t="n">
        <f aca="false">IF(OR($AY94="",$AT94=""),1,((Config!$B$14*$AY94+Config!$B$15*(1-$AY94))/(Config!$B$14*$AT94+Config!$B$15*(1-$AT94)))^Config!$B$13)</f>
        <v>1.00664298517435</v>
      </c>
      <c r="BA94" s="17" t="n">
        <f aca="false">IF(V94="","",V94*$AV94)</f>
        <v>12.1741957974685</v>
      </c>
      <c r="BB94" s="17" t="n">
        <f aca="false">IF(AC94="","",AC94*$AX94)</f>
        <v>13.0829119619222</v>
      </c>
      <c r="BC94" s="17" t="n">
        <f aca="false">IF(AJ94="","",AJ94*$AZ94)</f>
        <v>16.4966415425961</v>
      </c>
      <c r="BD94" s="17" t="n">
        <f aca="false">N(BA94)+N(BB94)</f>
        <v>25.2571077593907</v>
      </c>
      <c r="BE94" s="17" t="n">
        <f aca="false">BD94+N($M94)*N(BC94)</f>
        <v>32.7548313405006</v>
      </c>
      <c r="BF94" s="17" t="n">
        <f aca="false">IF(W94="","",W94*$AV94)</f>
        <v>3.03137475356966</v>
      </c>
      <c r="BG94" s="17" t="n">
        <f aca="false">IF(AD94="","",AD94*$AX94)</f>
        <v>4.30903545800401</v>
      </c>
      <c r="BH94" s="17" t="n">
        <f aca="false">IF(AK94="","",AK94*$AZ94)</f>
        <v>5.43106098785691</v>
      </c>
      <c r="BI94" s="17" t="n">
        <f aca="false">IF(BF94="","",N(BF94)+N(BG94))</f>
        <v>7.34041021157367</v>
      </c>
      <c r="BJ94" s="17" t="n">
        <f aca="false">IF(BI94="","",BI94+N($M94)*N(BH94))</f>
        <v>9.80882743055463</v>
      </c>
      <c r="BK94" s="13" t="n">
        <f aca="false">IFERROR(BD94/AL94,1)</f>
        <v>1.01711935242392</v>
      </c>
    </row>
    <row r="95" customFormat="false" ht="15" hidden="false" customHeight="false" outlineLevel="0" collapsed="false">
      <c r="A95" s="0" t="s">
        <v>1094</v>
      </c>
      <c r="B95" s="0" t="s">
        <v>775</v>
      </c>
      <c r="C95" s="0" t="s">
        <v>830</v>
      </c>
      <c r="D95" s="0" t="s">
        <v>834</v>
      </c>
      <c r="E95" s="0" t="s">
        <v>1093</v>
      </c>
      <c r="F95" s="0" t="s">
        <v>1260</v>
      </c>
      <c r="G95" s="0" t="str">
        <f aca="false">IFERROR(IF(INDEX(Matches!$W$5:$W$17,MATCH($C95,Matches!$A$5:$A$17,0))="","",INDEX(Matches!$W$5:$W$17,MATCH($C95,Matches!$A$5:$A$17,0))),"")</f>
        <v>Cache</v>
      </c>
      <c r="H95" s="0" t="str">
        <f aca="false">IFERROR(IF(INDEX(Matches!$X$5:$X$17,MATCH($C95,Matches!$A$5:$A$17,0))="","",INDEX(Matches!$X$5:$X$17,MATCH($C95,Matches!$A$5:$A$17,0))),"")</f>
        <v>Nuke</v>
      </c>
      <c r="I95" s="0" t="str">
        <f aca="false">IFERROR(IF(INDEX(Matches!$Y$5:$Y$17,MATCH($C95,Matches!$A$5:$A$17,0))="","",INDEX(Matches!$Y$5:$Y$17,MATCH($C95,Matches!$A$5:$A$17,0))),"")</f>
        <v>Ancient</v>
      </c>
      <c r="J95" s="11" t="n">
        <f aca="false">IFERROR(IF(INDEX(Matches!$Z$5:$Z$17,MATCH($C95,Matches!$A$5:$A$17,0))="","",INDEX(Matches!$Z$5:$Z$17,MATCH($C95,Matches!$A$5:$A$17,0))),"")</f>
        <v>21.2</v>
      </c>
      <c r="K95" s="11" t="n">
        <f aca="false">IFERROR(IF(INDEX(Matches!$AA$5:$AA$17,MATCH($C95,Matches!$A$5:$A$17,0))="","",INDEX(Matches!$AA$5:$AA$17,MATCH($C95,Matches!$A$5:$A$17,0))),"")</f>
        <v>21.07</v>
      </c>
      <c r="L95" s="11" t="n">
        <f aca="false">IFERROR(IF(INDEX(Matches!$AB$5:$AB$17,MATCH($C95,Matches!$A$5:$A$17,0))="","",INDEX(Matches!$AB$5:$AB$17,MATCH($C95,Matches!$A$5:$A$17,0))),"")</f>
        <v>21.5</v>
      </c>
      <c r="M95" s="10" t="n">
        <f aca="false">IFERROR(IF(INDEX(Matches!$AC$5:$AC$17,MATCH($C95,Matches!$A$5:$A$17,0))="","",INDEX(Matches!$AC$5:$AC$17,MATCH($C95,Matches!$A$5:$A$17,0))),"")</f>
        <v>0.4545</v>
      </c>
      <c r="N95" s="9" t="n">
        <f aca="false">IFERROR(INDEX(Players!$F$2:$F$105,MATCH($F95,Players!$A$2:$A$105,0)),0)</f>
        <v>30</v>
      </c>
      <c r="O95" s="13" t="n">
        <f aca="false">IFERROR(1/(1/INDEX(Players!$H$2:$H$105,MATCH($F95,Players!$A$2:$A$105,0))),"")</f>
        <v>0.65</v>
      </c>
      <c r="P95" s="10" t="n">
        <f aca="false">IFERROR(1/(1/INDEX(Players!$I$2:$I$105,MATCH($F95,Players!$A$2:$A$105,0))),"")</f>
        <v>0.579</v>
      </c>
      <c r="Q95" s="9" t="n">
        <f aca="false">IF($G95="",0,SUMIFS(Map_Stats!$F$2:$F$642,Map_Stats!$A$2:$A$642,$F95&amp;"|"&amp;$G95))</f>
        <v>5</v>
      </c>
      <c r="R95" s="13" t="n">
        <f aca="false">IF($G95="","",IFERROR(1/(1/INDEX(Map_Stats!$K$2:$K$642,MATCH($F95&amp;"|"&amp;$G95,Map_Stats!$A$2:$A$642,0))),$O95))</f>
        <v>0.69</v>
      </c>
      <c r="S95" s="10" t="n">
        <f aca="false">IF(OR($G95="",$P95=""),"",IFERROR(1/(1/INDEX(Map_Stats!$I$2:$I$642,MATCH($F95&amp;"|"&amp;$G95,Map_Stats!$A$2:$A$642,0))),$P95))</f>
        <v>0.557</v>
      </c>
      <c r="T95" s="13" t="n">
        <f aca="false">IF(OR($G95="",R95=""),"",IF($O95="",R95,(Q95*R95+Config!$B$4*$O95)/(Q95+Config!$B$4)))</f>
        <v>0.67</v>
      </c>
      <c r="U95" s="10" t="n">
        <f aca="false">IF(S95="","",(Q95*S95+Config!$B$4*$P95)/(Q95+Config!$B$4))</f>
        <v>0.568</v>
      </c>
      <c r="V95" s="17" t="n">
        <f aca="false">IF(OR(T95="",$J95=""),"",T95*$J95*($J95/Config!$B$10)^Config!$B$9)</f>
        <v>14.204</v>
      </c>
      <c r="W95" s="17" t="n">
        <f aca="false">IF(OR(V95="",U95=""),"",V95*U95)</f>
        <v>8.067872</v>
      </c>
      <c r="X95" s="9" t="n">
        <f aca="false">IF($H95="",0,SUMIFS(Map_Stats!$F$2:$F$642,Map_Stats!$A$2:$A$642,$F95&amp;"|"&amp;$H95))</f>
        <v>6</v>
      </c>
      <c r="Y95" s="13" t="n">
        <f aca="false">IF($H95="","",IFERROR(1/(1/INDEX(Map_Stats!$K$2:$K$642,MATCH($F95&amp;"|"&amp;$H95,Map_Stats!$A$2:$A$642,0))),$O95))</f>
        <v>0.69</v>
      </c>
      <c r="Z95" s="10" t="n">
        <f aca="false">IF(OR($H95="",$P95=""),"",IFERROR(1/(1/INDEX(Map_Stats!$I$2:$I$642,MATCH($F95&amp;"|"&amp;$H95,Map_Stats!$A$2:$A$642,0))),$P95))</f>
        <v>0.568</v>
      </c>
      <c r="AA95" s="13" t="n">
        <f aca="false">IF(OR($H95="",Y95=""),"",IF($O95="",Y95,(X95*Y95+Config!$B$4*$O95)/(X95+Config!$B$4)))</f>
        <v>0.671818181818182</v>
      </c>
      <c r="AB95" s="10" t="n">
        <f aca="false">IF(Z95="","",(X95*Z95+Config!$B$4*$P95)/(X95+Config!$B$4))</f>
        <v>0.573</v>
      </c>
      <c r="AC95" s="17" t="n">
        <f aca="false">IF(OR(AA95="",$K95=""),"",AA95*$K95*($K95/Config!$B$10)^Config!$B$9)</f>
        <v>14.1552090909091</v>
      </c>
      <c r="AD95" s="17" t="n">
        <f aca="false">IF(OR(AC95="",AB95=""),"",AC95*AB95)</f>
        <v>8.11093480909091</v>
      </c>
      <c r="AE95" s="9" t="n">
        <f aca="false">IF($I95="",0,SUMIFS(Map_Stats!$F$2:$F$642,Map_Stats!$A$2:$A$642,$F95&amp;"|"&amp;$I95))</f>
        <v>4</v>
      </c>
      <c r="AF95" s="13" t="n">
        <f aca="false">IF($I95="","",IFERROR(1/(1/INDEX(Map_Stats!$K$2:$K$642,MATCH($F95&amp;"|"&amp;$I95,Map_Stats!$A$2:$A$642,0))),$O95))</f>
        <v>0.67</v>
      </c>
      <c r="AG95" s="10" t="n">
        <f aca="false">IF(OR($I95="",$P95=""),"",IFERROR(1/(1/INDEX(Map_Stats!$I$2:$I$642,MATCH($F95&amp;"|"&amp;$I95,Map_Stats!$A$2:$A$642,0))),$P95))</f>
        <v>0.579</v>
      </c>
      <c r="AH95" s="13" t="n">
        <f aca="false">IF(OR($I95="",AF95=""),"",IF($O95="",AF95,(AE95*AF95+Config!$B$4*$O95)/(AE95+Config!$B$4)))</f>
        <v>0.658888888888889</v>
      </c>
      <c r="AI95" s="10" t="n">
        <f aca="false">IF(AG95="","",(AE95*AG95+Config!$B$4*$P95)/(AE95+Config!$B$4))</f>
        <v>0.579</v>
      </c>
      <c r="AJ95" s="17" t="n">
        <f aca="false">IF(OR(AH95="",$L95=""),"",AH95*$L95*($L95/Config!$B$10)^Config!$B$9)</f>
        <v>14.1661111111111</v>
      </c>
      <c r="AK95" s="17" t="n">
        <f aca="false">IF(OR(AJ95="",AI95=""),"",AJ95*AI95)</f>
        <v>8.20217833333333</v>
      </c>
      <c r="AL95" s="17" t="n">
        <f aca="false">N(V95)+N(AC95)</f>
        <v>28.3592090909091</v>
      </c>
      <c r="AM95" s="17" t="n">
        <f aca="false">AL95+N($M95)*N(AJ95)</f>
        <v>34.7977065909091</v>
      </c>
      <c r="AN95" s="17" t="n">
        <f aca="false">IF(W95="","",N(W95)+N(AD95))</f>
        <v>16.1788068090909</v>
      </c>
      <c r="AO95" s="17" t="n">
        <f aca="false">IF(AN95="","",AN95+N($M95)*N(AK95))</f>
        <v>19.9066968615909</v>
      </c>
      <c r="AP95" s="10" t="n">
        <f aca="false">IFERROR(AN95/AL95,"")</f>
        <v>0.570495698847865</v>
      </c>
      <c r="AQ95" s="0" t="str">
        <f aca="false">TRIM(IF($N95&lt;Config!$B$12,"thin sample ("&amp;$N95&amp;" maps) · ","")&amp;IF(AND($G95&lt;&gt;"",Q95=0),"M1 unplayed→overall KPR · ","")&amp;IF(AND($H95&lt;&gt;"",X95=0),"M2 unplayed→overall KPR · ","")&amp;IF($O95="","no PickFinder stats",""))</f>
        <v/>
      </c>
      <c r="AR95" s="0" t="str">
        <f aca="false">IF($C95=Board!$B$2,COUNTIFS($C$2:$C$105,Board!$B$2,$AL$2:$AL$105,"&gt;"&amp;$AL95)+COUNTIFS($C$1:$C94,Board!$B$2,$AL$1:$AL94,$AL95)+1,"")</f>
        <v/>
      </c>
      <c r="AS95" s="0" t="str">
        <f aca="false">IFERROR(IF($D95=INDEX(Matches!$AD$5:$AD$17,MATCH($C95,Matches!$A$5:$A$17,0)),"A",IF($D95=INDEX(Matches!$AE$5:$AE$17,MATCH($C95,Matches!$A$5:$A$17,0)),"B","")),"")</f>
        <v>B</v>
      </c>
      <c r="AT95" s="10" t="n">
        <f aca="false">IF($AS95="","",IFERROR(IF($AS95="A",INDEX(Matches!$AI$5:$AI$17,MATCH($C95,Matches!$A$5:$A$17,0)),INDEX(Matches!$AJ$5:$AJ$17,MATCH($C95,Matches!$A$5:$A$17,0))),""))</f>
        <v>0.515589163533086</v>
      </c>
      <c r="AU95" s="10" t="n">
        <f aca="false">IF($AS95="","",IFERROR(IF(INDEX(Matches!$AP$5:$AP$17,MATCH($C95,Matches!$A$5:$A$17,0))="","",IF($AS95="A",INDEX(Matches!$AP$5:$AP$17,MATCH($C95,Matches!$A$5:$A$17,0)),1-INDEX(Matches!$AP$5:$AP$17,MATCH($C95,Matches!$A$5:$A$17,0)))),""))</f>
        <v>0.514118119274549</v>
      </c>
      <c r="AV95" s="13" t="n">
        <f aca="false">IF(OR($AU95="",$AT95=""),1,((Config!$B$14*$AU95+Config!$B$15*(1-$AU95))/(Config!$B$14*$AT95+Config!$B$15*(1-$AT95)))^Config!$B$13)</f>
        <v>0.998703510866983</v>
      </c>
      <c r="AW95" s="10" t="n">
        <f aca="false">IF($AS95="","",IFERROR(IF(INDEX(Matches!$AV$5:$AV$17,MATCH($C95,Matches!$A$5:$A$17,0))="","",IF($AS95="A",INDEX(Matches!$AV$5:$AV$17,MATCH($C95,Matches!$A$5:$A$17,0)),1-INDEX(Matches!$AV$5:$AV$17,MATCH($C95,Matches!$A$5:$A$17,0)))),""))</f>
        <v>0.555161614875969</v>
      </c>
      <c r="AX95" s="13" t="n">
        <f aca="false">IF(OR($AW95="",$AT95=""),1,((Config!$B$14*$AW95+Config!$B$15*(1-$AW95))/(Config!$B$14*$AT95+Config!$B$15*(1-$AT95)))^Config!$B$13)</f>
        <v>1.03487675699432</v>
      </c>
      <c r="AY95" s="10" t="n">
        <f aca="false">IF($AS95="","",IFERROR(IF(INDEX(Matches!$BB$5:$BB$17,MATCH($C95,Matches!$A$5:$A$17,0))="","",IF($AS95="A",INDEX(Matches!$BB$5:$BB$17,MATCH($C95,Matches!$A$5:$A$17,0)),1-INDEX(Matches!$BB$5:$BB$17,MATCH($C95,Matches!$A$5:$A$17,0)))),""))</f>
        <v>0.52312653885804</v>
      </c>
      <c r="AZ95" s="13" t="n">
        <f aca="false">IF(OR($AY95="",$AT95=""),1,((Config!$B$14*$AY95+Config!$B$15*(1-$AY95))/(Config!$B$14*$AT95+Config!$B$15*(1-$AT95)))^Config!$B$13)</f>
        <v>1.00664298517435</v>
      </c>
      <c r="BA95" s="17" t="n">
        <f aca="false">IF(V95="","",V95*$AV95)</f>
        <v>14.1855846683546</v>
      </c>
      <c r="BB95" s="17" t="n">
        <f aca="false">IF(AC95="","",AC95*$AX95)</f>
        <v>14.6488968785765</v>
      </c>
      <c r="BC95" s="17" t="n">
        <f aca="false">IF(AJ95="","",AJ95*$AZ95)</f>
        <v>14.2602163772004</v>
      </c>
      <c r="BD95" s="17" t="n">
        <f aca="false">N(BA95)+N(BB95)</f>
        <v>28.8344815469311</v>
      </c>
      <c r="BE95" s="17" t="n">
        <f aca="false">BD95+N($M95)*N(BC95)</f>
        <v>35.3157498903687</v>
      </c>
      <c r="BF95" s="17" t="n">
        <f aca="false">IF(W95="","",W95*$AV95)</f>
        <v>8.05741209162543</v>
      </c>
      <c r="BG95" s="17" t="n">
        <f aca="false">IF(AD95="","",AD95*$AX95)</f>
        <v>8.39381791142433</v>
      </c>
      <c r="BH95" s="17" t="n">
        <f aca="false">IF(AK95="","",AK95*$AZ95)</f>
        <v>8.25666528239903</v>
      </c>
      <c r="BI95" s="17" t="n">
        <f aca="false">IF(BF95="","",N(BF95)+N(BG95))</f>
        <v>16.4512300030498</v>
      </c>
      <c r="BJ95" s="17" t="n">
        <f aca="false">IF(BI95="","",BI95+N($M95)*N(BH95))</f>
        <v>20.2038843739001</v>
      </c>
      <c r="BK95" s="13" t="n">
        <f aca="false">IFERROR(BD95/AL95,1)</f>
        <v>1.01675901660369</v>
      </c>
    </row>
    <row r="96" customFormat="false" ht="15" hidden="false" customHeight="false" outlineLevel="0" collapsed="false">
      <c r="A96" s="0" t="s">
        <v>1096</v>
      </c>
      <c r="B96" s="0" t="s">
        <v>775</v>
      </c>
      <c r="C96" s="0" t="s">
        <v>830</v>
      </c>
      <c r="D96" s="0" t="s">
        <v>834</v>
      </c>
      <c r="E96" s="0" t="s">
        <v>1095</v>
      </c>
      <c r="F96" s="0" t="s">
        <v>1261</v>
      </c>
      <c r="G96" s="0" t="str">
        <f aca="false">IFERROR(IF(INDEX(Matches!$W$5:$W$17,MATCH($C96,Matches!$A$5:$A$17,0))="","",INDEX(Matches!$W$5:$W$17,MATCH($C96,Matches!$A$5:$A$17,0))),"")</f>
        <v>Cache</v>
      </c>
      <c r="H96" s="0" t="str">
        <f aca="false">IFERROR(IF(INDEX(Matches!$X$5:$X$17,MATCH($C96,Matches!$A$5:$A$17,0))="","",INDEX(Matches!$X$5:$X$17,MATCH($C96,Matches!$A$5:$A$17,0))),"")</f>
        <v>Nuke</v>
      </c>
      <c r="I96" s="0" t="str">
        <f aca="false">IFERROR(IF(INDEX(Matches!$Y$5:$Y$17,MATCH($C96,Matches!$A$5:$A$17,0))="","",INDEX(Matches!$Y$5:$Y$17,MATCH($C96,Matches!$A$5:$A$17,0))),"")</f>
        <v>Ancient</v>
      </c>
      <c r="J96" s="11" t="n">
        <f aca="false">IFERROR(IF(INDEX(Matches!$Z$5:$Z$17,MATCH($C96,Matches!$A$5:$A$17,0))="","",INDEX(Matches!$Z$5:$Z$17,MATCH($C96,Matches!$A$5:$A$17,0))),"")</f>
        <v>21.2</v>
      </c>
      <c r="K96" s="11" t="n">
        <f aca="false">IFERROR(IF(INDEX(Matches!$AA$5:$AA$17,MATCH($C96,Matches!$A$5:$A$17,0))="","",INDEX(Matches!$AA$5:$AA$17,MATCH($C96,Matches!$A$5:$A$17,0))),"")</f>
        <v>21.07</v>
      </c>
      <c r="L96" s="11" t="n">
        <f aca="false">IFERROR(IF(INDEX(Matches!$AB$5:$AB$17,MATCH($C96,Matches!$A$5:$A$17,0))="","",INDEX(Matches!$AB$5:$AB$17,MATCH($C96,Matches!$A$5:$A$17,0))),"")</f>
        <v>21.5</v>
      </c>
      <c r="M96" s="10" t="n">
        <f aca="false">IFERROR(IF(INDEX(Matches!$AC$5:$AC$17,MATCH($C96,Matches!$A$5:$A$17,0))="","",INDEX(Matches!$AC$5:$AC$17,MATCH($C96,Matches!$A$5:$A$17,0))),"")</f>
        <v>0.4545</v>
      </c>
      <c r="N96" s="9" t="n">
        <f aca="false">IFERROR(INDEX(Players!$F$2:$F$105,MATCH($F96,Players!$A$2:$A$105,0)),0)</f>
        <v>30</v>
      </c>
      <c r="O96" s="13" t="n">
        <f aca="false">IFERROR(1/(1/INDEX(Players!$H$2:$H$105,MATCH($F96,Players!$A$2:$A$105,0))),"")</f>
        <v>0.75</v>
      </c>
      <c r="P96" s="10" t="n">
        <f aca="false">IFERROR(1/(1/INDEX(Players!$I$2:$I$105,MATCH($F96,Players!$A$2:$A$105,0))),"")</f>
        <v>0.541</v>
      </c>
      <c r="Q96" s="9" t="n">
        <f aca="false">IF($G96="",0,SUMIFS(Map_Stats!$F$2:$F$642,Map_Stats!$A$2:$A$642,$F96&amp;"|"&amp;$G96))</f>
        <v>5</v>
      </c>
      <c r="R96" s="13" t="n">
        <f aca="false">IF($G96="","",IFERROR(1/(1/INDEX(Map_Stats!$K$2:$K$642,MATCH($F96&amp;"|"&amp;$G96,Map_Stats!$A$2:$A$642,0))),$O96))</f>
        <v>0.59</v>
      </c>
      <c r="S96" s="10" t="n">
        <f aca="false">IF(OR($G96="",$P96=""),"",IFERROR(1/(1/INDEX(Map_Stats!$I$2:$I$642,MATCH($F96&amp;"|"&amp;$G96,Map_Stats!$A$2:$A$642,0))),$P96))</f>
        <v>0.515</v>
      </c>
      <c r="T96" s="13" t="n">
        <f aca="false">IF(OR($G96="",R96=""),"",IF($O96="",R96,(Q96*R96+Config!$B$4*$O96)/(Q96+Config!$B$4)))</f>
        <v>0.67</v>
      </c>
      <c r="U96" s="10" t="n">
        <f aca="false">IF(S96="","",(Q96*S96+Config!$B$4*$P96)/(Q96+Config!$B$4))</f>
        <v>0.528</v>
      </c>
      <c r="V96" s="17" t="n">
        <f aca="false">IF(OR(T96="",$J96=""),"",T96*$J96*($J96/Config!$B$10)^Config!$B$9)</f>
        <v>14.204</v>
      </c>
      <c r="W96" s="17" t="n">
        <f aca="false">IF(OR(V96="",U96=""),"",V96*U96)</f>
        <v>7.499712</v>
      </c>
      <c r="X96" s="9" t="n">
        <f aca="false">IF($H96="",0,SUMIFS(Map_Stats!$F$2:$F$642,Map_Stats!$A$2:$A$642,$F96&amp;"|"&amp;$H96))</f>
        <v>6</v>
      </c>
      <c r="Y96" s="13" t="n">
        <f aca="false">IF($H96="","",IFERROR(1/(1/INDEX(Map_Stats!$K$2:$K$642,MATCH($F96&amp;"|"&amp;$H96,Map_Stats!$A$2:$A$642,0))),$O96))</f>
        <v>0.68</v>
      </c>
      <c r="Z96" s="10" t="n">
        <f aca="false">IF(OR($H96="",$P96=""),"",IFERROR(1/(1/INDEX(Map_Stats!$I$2:$I$642,MATCH($F96&amp;"|"&amp;$H96,Map_Stats!$A$2:$A$642,0))),$P96))</f>
        <v>0.6</v>
      </c>
      <c r="AA96" s="13" t="n">
        <f aca="false">IF(OR($H96="",Y96=""),"",IF($O96="",Y96,(X96*Y96+Config!$B$4*$O96)/(X96+Config!$B$4)))</f>
        <v>0.711818181818182</v>
      </c>
      <c r="AB96" s="10" t="n">
        <f aca="false">IF(Z96="","",(X96*Z96+Config!$B$4*$P96)/(X96+Config!$B$4))</f>
        <v>0.573181818181818</v>
      </c>
      <c r="AC96" s="17" t="n">
        <f aca="false">IF(OR(AA96="",$K96=""),"",AA96*$K96*($K96/Config!$B$10)^Config!$B$9)</f>
        <v>14.9980090909091</v>
      </c>
      <c r="AD96" s="17" t="n">
        <f aca="false">IF(OR(AC96="",AB96=""),"",AC96*AB96)</f>
        <v>8.59658611983471</v>
      </c>
      <c r="AE96" s="9" t="n">
        <f aca="false">IF($I96="",0,SUMIFS(Map_Stats!$F$2:$F$642,Map_Stats!$A$2:$A$642,$F96&amp;"|"&amp;$I96))</f>
        <v>4</v>
      </c>
      <c r="AF96" s="13" t="n">
        <f aca="false">IF($I96="","",IFERROR(1/(1/INDEX(Map_Stats!$K$2:$K$642,MATCH($F96&amp;"|"&amp;$I96,Map_Stats!$A$2:$A$642,0))),$O96))</f>
        <v>0.8</v>
      </c>
      <c r="AG96" s="10" t="n">
        <f aca="false">IF(OR($I96="",$P96=""),"",IFERROR(1/(1/INDEX(Map_Stats!$I$2:$I$642,MATCH($F96&amp;"|"&amp;$I96,Map_Stats!$A$2:$A$642,0))),$P96))</f>
        <v>0.515</v>
      </c>
      <c r="AH96" s="13" t="n">
        <f aca="false">IF(OR($I96="",AF96=""),"",IF($O96="",AF96,(AE96*AF96+Config!$B$4*$O96)/(AE96+Config!$B$4)))</f>
        <v>0.772222222222222</v>
      </c>
      <c r="AI96" s="10" t="n">
        <f aca="false">IF(AG96="","",(AE96*AG96+Config!$B$4*$P96)/(AE96+Config!$B$4))</f>
        <v>0.529444444444445</v>
      </c>
      <c r="AJ96" s="17" t="n">
        <f aca="false">IF(OR(AH96="",$L96=""),"",AH96*$L96*($L96/Config!$B$10)^Config!$B$9)</f>
        <v>16.6027777777778</v>
      </c>
      <c r="AK96" s="17" t="n">
        <f aca="false">IF(OR(AJ96="",AI96=""),"",AJ96*AI96)</f>
        <v>8.79024845679012</v>
      </c>
      <c r="AL96" s="17" t="n">
        <f aca="false">N(V96)+N(AC96)</f>
        <v>29.2020090909091</v>
      </c>
      <c r="AM96" s="17" t="n">
        <f aca="false">AL96+N($M96)*N(AJ96)</f>
        <v>36.7479715909091</v>
      </c>
      <c r="AN96" s="17" t="n">
        <f aca="false">IF(W96="","",N(W96)+N(AD96))</f>
        <v>16.0962981198347</v>
      </c>
      <c r="AO96" s="17" t="n">
        <f aca="false">IF(AN96="","",AN96+N($M96)*N(AK96))</f>
        <v>20.0914660434458</v>
      </c>
      <c r="AP96" s="10" t="n">
        <f aca="false">IFERROR(AN96/AL96,"")</f>
        <v>0.551205160909482</v>
      </c>
      <c r="AQ96" s="0" t="str">
        <f aca="false">TRIM(IF($N96&lt;Config!$B$12,"thin sample ("&amp;$N96&amp;" maps) · ","")&amp;IF(AND($G96&lt;&gt;"",Q96=0),"M1 unplayed→overall KPR · ","")&amp;IF(AND($H96&lt;&gt;"",X96=0),"M2 unplayed→overall KPR · ","")&amp;IF($O96="","no PickFinder stats",""))</f>
        <v/>
      </c>
      <c r="AR96" s="0" t="str">
        <f aca="false">IF($C96=Board!$B$2,COUNTIFS($C$2:$C$105,Board!$B$2,$AL$2:$AL$105,"&gt;"&amp;$AL96)+COUNTIFS($C$1:$C95,Board!$B$2,$AL$1:$AL95,$AL96)+1,"")</f>
        <v/>
      </c>
      <c r="AS96" s="0" t="str">
        <f aca="false">IFERROR(IF($D96=INDEX(Matches!$AD$5:$AD$17,MATCH($C96,Matches!$A$5:$A$17,0)),"A",IF($D96=INDEX(Matches!$AE$5:$AE$17,MATCH($C96,Matches!$A$5:$A$17,0)),"B","")),"")</f>
        <v>B</v>
      </c>
      <c r="AT96" s="10" t="n">
        <f aca="false">IF($AS96="","",IFERROR(IF($AS96="A",INDEX(Matches!$AI$5:$AI$17,MATCH($C96,Matches!$A$5:$A$17,0)),INDEX(Matches!$AJ$5:$AJ$17,MATCH($C96,Matches!$A$5:$A$17,0))),""))</f>
        <v>0.515589163533086</v>
      </c>
      <c r="AU96" s="10" t="n">
        <f aca="false">IF($AS96="","",IFERROR(IF(INDEX(Matches!$AP$5:$AP$17,MATCH($C96,Matches!$A$5:$A$17,0))="","",IF($AS96="A",INDEX(Matches!$AP$5:$AP$17,MATCH($C96,Matches!$A$5:$A$17,0)),1-INDEX(Matches!$AP$5:$AP$17,MATCH($C96,Matches!$A$5:$A$17,0)))),""))</f>
        <v>0.514118119274549</v>
      </c>
      <c r="AV96" s="13" t="n">
        <f aca="false">IF(OR($AU96="",$AT96=""),1,((Config!$B$14*$AU96+Config!$B$15*(1-$AU96))/(Config!$B$14*$AT96+Config!$B$15*(1-$AT96)))^Config!$B$13)</f>
        <v>0.998703510866983</v>
      </c>
      <c r="AW96" s="10" t="n">
        <f aca="false">IF($AS96="","",IFERROR(IF(INDEX(Matches!$AV$5:$AV$17,MATCH($C96,Matches!$A$5:$A$17,0))="","",IF($AS96="A",INDEX(Matches!$AV$5:$AV$17,MATCH($C96,Matches!$A$5:$A$17,0)),1-INDEX(Matches!$AV$5:$AV$17,MATCH($C96,Matches!$A$5:$A$17,0)))),""))</f>
        <v>0.555161614875969</v>
      </c>
      <c r="AX96" s="13" t="n">
        <f aca="false">IF(OR($AW96="",$AT96=""),1,((Config!$B$14*$AW96+Config!$B$15*(1-$AW96))/(Config!$B$14*$AT96+Config!$B$15*(1-$AT96)))^Config!$B$13)</f>
        <v>1.03487675699432</v>
      </c>
      <c r="AY96" s="10" t="n">
        <f aca="false">IF($AS96="","",IFERROR(IF(INDEX(Matches!$BB$5:$BB$17,MATCH($C96,Matches!$A$5:$A$17,0))="","",IF($AS96="A",INDEX(Matches!$BB$5:$BB$17,MATCH($C96,Matches!$A$5:$A$17,0)),1-INDEX(Matches!$BB$5:$BB$17,MATCH($C96,Matches!$A$5:$A$17,0)))),""))</f>
        <v>0.52312653885804</v>
      </c>
      <c r="AZ96" s="13" t="n">
        <f aca="false">IF(OR($AY96="",$AT96=""),1,((Config!$B$14*$AY96+Config!$B$15*(1-$AY96))/(Config!$B$14*$AT96+Config!$B$15*(1-$AT96)))^Config!$B$13)</f>
        <v>1.00664298517435</v>
      </c>
      <c r="BA96" s="17" t="n">
        <f aca="false">IF(V96="","",V96*$AV96)</f>
        <v>14.1855846683546</v>
      </c>
      <c r="BB96" s="17" t="n">
        <f aca="false">IF(AC96="","",AC96*$AX96)</f>
        <v>15.5210910093713</v>
      </c>
      <c r="BC96" s="17" t="n">
        <f aca="false">IF(AJ96="","",AJ96*$AZ96)</f>
        <v>16.7130697844086</v>
      </c>
      <c r="BD96" s="17" t="n">
        <f aca="false">N(BA96)+N(BB96)</f>
        <v>29.7066756777259</v>
      </c>
      <c r="BE96" s="17" t="n">
        <f aca="false">BD96+N($M96)*N(BC96)</f>
        <v>37.3027658947396</v>
      </c>
      <c r="BF96" s="17" t="n">
        <f aca="false">IF(W96="","",W96*$AV96)</f>
        <v>7.48998870489125</v>
      </c>
      <c r="BG96" s="17" t="n">
        <f aca="false">IF(AD96="","",AD96*$AX96)</f>
        <v>8.89640716491692</v>
      </c>
      <c r="BH96" s="17" t="n">
        <f aca="false">IF(AK96="","",AK96*$AZ96)</f>
        <v>8.84864194696742</v>
      </c>
      <c r="BI96" s="17" t="n">
        <f aca="false">IF(BF96="","",N(BF96)+N(BG96))</f>
        <v>16.3863958698082</v>
      </c>
      <c r="BJ96" s="17" t="n">
        <f aca="false">IF(BI96="","",BI96+N($M96)*N(BH96))</f>
        <v>20.4081036347049</v>
      </c>
      <c r="BK96" s="13" t="n">
        <f aca="false">IFERROR(BD96/AL96,1)</f>
        <v>1.01728191321514</v>
      </c>
    </row>
    <row r="97" customFormat="false" ht="15" hidden="false" customHeight="false" outlineLevel="0" collapsed="false">
      <c r="A97" s="0" t="s">
        <v>1098</v>
      </c>
      <c r="B97" s="0" t="s">
        <v>775</v>
      </c>
      <c r="C97" s="0" t="s">
        <v>813</v>
      </c>
      <c r="D97" s="0" t="s">
        <v>818</v>
      </c>
      <c r="E97" s="0" t="s">
        <v>1097</v>
      </c>
      <c r="F97" s="0" t="s">
        <v>1262</v>
      </c>
      <c r="G97" s="0" t="str">
        <f aca="false">IFERROR(IF(INDEX(Matches!$W$5:$W$17,MATCH($C97,Matches!$A$5:$A$17,0))="","",INDEX(Matches!$W$5:$W$17,MATCH($C97,Matches!$A$5:$A$17,0))),"")</f>
        <v>Mirage</v>
      </c>
      <c r="H97" s="0" t="str">
        <f aca="false">IFERROR(IF(INDEX(Matches!$X$5:$X$17,MATCH($C97,Matches!$A$5:$A$17,0))="","",INDEX(Matches!$X$5:$X$17,MATCH($C97,Matches!$A$5:$A$17,0))),"")</f>
        <v>Dust2</v>
      </c>
      <c r="I97" s="0" t="str">
        <f aca="false">IFERROR(IF(INDEX(Matches!$Y$5:$Y$17,MATCH($C97,Matches!$A$5:$A$17,0))="","",INDEX(Matches!$Y$5:$Y$17,MATCH($C97,Matches!$A$5:$A$17,0))),"")</f>
        <v>Anubis</v>
      </c>
      <c r="J97" s="11" t="n">
        <f aca="false">IFERROR(IF(INDEX(Matches!$Z$5:$Z$17,MATCH($C97,Matches!$A$5:$A$17,0))="","",INDEX(Matches!$Z$5:$Z$17,MATCH($C97,Matches!$A$5:$A$17,0))),"")</f>
        <v>21.5</v>
      </c>
      <c r="K97" s="11" t="n">
        <f aca="false">IFERROR(IF(INDEX(Matches!$AA$5:$AA$17,MATCH($C97,Matches!$A$5:$A$17,0))="","",INDEX(Matches!$AA$5:$AA$17,MATCH($C97,Matches!$A$5:$A$17,0))),"")</f>
        <v>21.42</v>
      </c>
      <c r="L97" s="11" t="n">
        <f aca="false">IFERROR(IF(INDEX(Matches!$AB$5:$AB$17,MATCH($C97,Matches!$A$5:$A$17,0))="","",INDEX(Matches!$AB$5:$AB$17,MATCH($C97,Matches!$A$5:$A$17,0))),"")</f>
        <v>21.5</v>
      </c>
      <c r="M97" s="10" t="n">
        <f aca="false">IFERROR(IF(INDEX(Matches!$AC$5:$AC$17,MATCH($C97,Matches!$A$5:$A$17,0))="","",INDEX(Matches!$AC$5:$AC$17,MATCH($C97,Matches!$A$5:$A$17,0))),"")</f>
        <v>0.5006</v>
      </c>
      <c r="N97" s="9" t="n">
        <f aca="false">IFERROR(INDEX(Players!$F$2:$F$105,MATCH($F97,Players!$A$2:$A$105,0)),0)</f>
        <v>37</v>
      </c>
      <c r="O97" s="13" t="n">
        <f aca="false">IFERROR(1/(1/INDEX(Players!$H$2:$H$105,MATCH($F97,Players!$A$2:$A$105,0))),"")</f>
        <v>0.61</v>
      </c>
      <c r="P97" s="10" t="n">
        <f aca="false">IFERROR(1/(1/INDEX(Players!$I$2:$I$105,MATCH($F97,Players!$A$2:$A$105,0))),"")</f>
        <v>0.579</v>
      </c>
      <c r="Q97" s="9" t="n">
        <f aca="false">IF($G97="",0,SUMIFS(Map_Stats!$F$2:$F$642,Map_Stats!$A$2:$A$642,$F97&amp;"|"&amp;$G97))</f>
        <v>4</v>
      </c>
      <c r="R97" s="13" t="n">
        <f aca="false">IF($G97="","",IFERROR(1/(1/INDEX(Map_Stats!$K$2:$K$642,MATCH($F97&amp;"|"&amp;$G97,Map_Stats!$A$2:$A$642,0))),$O97))</f>
        <v>0.45</v>
      </c>
      <c r="S97" s="10" t="n">
        <f aca="false">IF(OR($G97="",$P97=""),"",IFERROR(1/(1/INDEX(Map_Stats!$I$2:$I$642,MATCH($F97&amp;"|"&amp;$G97,Map_Stats!$A$2:$A$642,0))),$P97))</f>
        <v>0.561</v>
      </c>
      <c r="T97" s="13" t="n">
        <f aca="false">IF(OR($G97="",R97=""),"",IF($O97="",R97,(Q97*R97+Config!$B$4*$O97)/(Q97+Config!$B$4)))</f>
        <v>0.538888888888889</v>
      </c>
      <c r="U97" s="10" t="n">
        <f aca="false">IF(S97="","",(Q97*S97+Config!$B$4*$P97)/(Q97+Config!$B$4))</f>
        <v>0.571</v>
      </c>
      <c r="V97" s="17" t="n">
        <f aca="false">IF(OR(T97="",$J97=""),"",T97*$J97*($J97/Config!$B$10)^Config!$B$9)</f>
        <v>11.5861111111111</v>
      </c>
      <c r="W97" s="17" t="n">
        <f aca="false">IF(OR(V97="",U97=""),"",V97*U97)</f>
        <v>6.61566944444444</v>
      </c>
      <c r="X97" s="9" t="n">
        <f aca="false">IF($H97="",0,SUMIFS(Map_Stats!$F$2:$F$642,Map_Stats!$A$2:$A$642,$F97&amp;"|"&amp;$H97))</f>
        <v>6</v>
      </c>
      <c r="Y97" s="13" t="n">
        <f aca="false">IF($H97="","",IFERROR(1/(1/INDEX(Map_Stats!$K$2:$K$642,MATCH($F97&amp;"|"&amp;$H97,Map_Stats!$A$2:$A$642,0))),$O97))</f>
        <v>0.48</v>
      </c>
      <c r="Z97" s="10" t="n">
        <f aca="false">IF(OR($H97="",$P97=""),"",IFERROR(1/(1/INDEX(Map_Stats!$I$2:$I$642,MATCH($F97&amp;"|"&amp;$H97,Map_Stats!$A$2:$A$642,0))),$P97))</f>
        <v>0.617</v>
      </c>
      <c r="AA97" s="13" t="n">
        <f aca="false">IF(OR($H97="",Y97=""),"",IF($O97="",Y97,(X97*Y97+Config!$B$4*$O97)/(X97+Config!$B$4)))</f>
        <v>0.539090909090909</v>
      </c>
      <c r="AB97" s="10" t="n">
        <f aca="false">IF(Z97="","",(X97*Z97+Config!$B$4*$P97)/(X97+Config!$B$4))</f>
        <v>0.599727272727273</v>
      </c>
      <c r="AC97" s="17" t="n">
        <f aca="false">IF(OR(AA97="",$K97=""),"",AA97*$K97*($K97/Config!$B$10)^Config!$B$9)</f>
        <v>11.5473272727273</v>
      </c>
      <c r="AD97" s="17" t="n">
        <f aca="false">IF(OR(AC97="",AB97=""),"",AC97*AB97)</f>
        <v>6.92524709256198</v>
      </c>
      <c r="AE97" s="9" t="n">
        <f aca="false">IF($I97="",0,SUMIFS(Map_Stats!$F$2:$F$642,Map_Stats!$A$2:$A$642,$F97&amp;"|"&amp;$I97))</f>
        <v>3</v>
      </c>
      <c r="AF97" s="13" t="n">
        <f aca="false">IF($I97="","",IFERROR(1/(1/INDEX(Map_Stats!$K$2:$K$642,MATCH($F97&amp;"|"&amp;$I97,Map_Stats!$A$2:$A$642,0))),$O97))</f>
        <v>0.52</v>
      </c>
      <c r="AG97" s="10" t="n">
        <f aca="false">IF(OR($I97="",$P97=""),"",IFERROR(1/(1/INDEX(Map_Stats!$I$2:$I$642,MATCH($F97&amp;"|"&amp;$I97,Map_Stats!$A$2:$A$642,0))),$P97))</f>
        <v>0.484</v>
      </c>
      <c r="AH97" s="13" t="n">
        <f aca="false">IF(OR($I97="",AF97=""),"",IF($O97="",AF97,(AE97*AF97+Config!$B$4*$O97)/(AE97+Config!$B$4)))</f>
        <v>0.57625</v>
      </c>
      <c r="AI97" s="10" t="n">
        <f aca="false">IF(AG97="","",(AE97*AG97+Config!$B$4*$P97)/(AE97+Config!$B$4))</f>
        <v>0.543375</v>
      </c>
      <c r="AJ97" s="17" t="n">
        <f aca="false">IF(OR(AH97="",$L97=""),"",AH97*$L97*($L97/Config!$B$10)^Config!$B$9)</f>
        <v>12.389375</v>
      </c>
      <c r="AK97" s="17" t="n">
        <f aca="false">IF(OR(AJ97="",AI97=""),"",AJ97*AI97)</f>
        <v>6.732076640625</v>
      </c>
      <c r="AL97" s="17" t="n">
        <f aca="false">N(V97)+N(AC97)</f>
        <v>23.1334383838384</v>
      </c>
      <c r="AM97" s="17" t="n">
        <f aca="false">AL97+N($M97)*N(AJ97)</f>
        <v>29.3355595088384</v>
      </c>
      <c r="AN97" s="17" t="n">
        <f aca="false">IF(W97="","",N(W97)+N(AD97))</f>
        <v>13.5409165370064</v>
      </c>
      <c r="AO97" s="17" t="n">
        <f aca="false">IF(AN97="","",AN97+N($M97)*N(AK97))</f>
        <v>16.9109941033033</v>
      </c>
      <c r="AP97" s="10" t="n">
        <f aca="false">IFERROR(AN97/AL97,"")</f>
        <v>0.585339555336766</v>
      </c>
      <c r="AQ97" s="0" t="str">
        <f aca="false">TRIM(IF($N97&lt;Config!$B$12,"thin sample ("&amp;$N97&amp;" maps) · ","")&amp;IF(AND($G97&lt;&gt;"",Q97=0),"M1 unplayed→overall KPR · ","")&amp;IF(AND($H97&lt;&gt;"",X97=0),"M2 unplayed→overall KPR · ","")&amp;IF($O97="","no PickFinder stats",""))</f>
        <v/>
      </c>
      <c r="AR97" s="0" t="str">
        <f aca="false">IF($C97=Board!$B$2,COUNTIFS($C$2:$C$105,Board!$B$2,$AL$2:$AL$105,"&gt;"&amp;$AL97)+COUNTIFS($C$1:$C96,Board!$B$2,$AL$1:$AL96,$AL97)+1,"")</f>
        <v/>
      </c>
      <c r="AS97" s="0" t="str">
        <f aca="false">IFERROR(IF($D97=INDEX(Matches!$AD$5:$AD$17,MATCH($C97,Matches!$A$5:$A$17,0)),"A",IF($D97=INDEX(Matches!$AE$5:$AE$17,MATCH($C97,Matches!$A$5:$A$17,0)),"B","")),"")</f>
        <v>B</v>
      </c>
      <c r="AT97" s="10" t="n">
        <f aca="false">IF($AS97="","",IFERROR(IF($AS97="A",INDEX(Matches!$AI$5:$AI$17,MATCH($C97,Matches!$A$5:$A$17,0)),INDEX(Matches!$AJ$5:$AJ$17,MATCH($C97,Matches!$A$5:$A$17,0))),""))</f>
        <v>0.48082958468459</v>
      </c>
      <c r="AU97" s="10" t="n">
        <f aca="false">IF($AS97="","",IFERROR(IF(INDEX(Matches!$AP$5:$AP$17,MATCH($C97,Matches!$A$5:$A$17,0))="","",IF($AS97="A",INDEX(Matches!$AP$5:$AP$17,MATCH($C97,Matches!$A$5:$A$17,0)),1-INDEX(Matches!$AP$5:$AP$17,MATCH($C97,Matches!$A$5:$A$17,0)))),""))</f>
        <v>0.493201079539138</v>
      </c>
      <c r="AV97" s="13" t="n">
        <f aca="false">IF(OR($AU97="",$AT97=""),1,((Config!$B$14*$AU97+Config!$B$15*(1-$AU97))/(Config!$B$14*$AT97+Config!$B$15*(1-$AT97)))^Config!$B$13)</f>
        <v>1.01124806915951</v>
      </c>
      <c r="AW97" s="10" t="n">
        <f aca="false">IF($AS97="","",IFERROR(IF(INDEX(Matches!$AV$5:$AV$17,MATCH($C97,Matches!$A$5:$A$17,0))="","",IF($AS97="A",INDEX(Matches!$AV$5:$AV$17,MATCH($C97,Matches!$A$5:$A$17,0)),1-INDEX(Matches!$AV$5:$AV$17,MATCH($C97,Matches!$A$5:$A$17,0)))),""))</f>
        <v>0.50494095413475</v>
      </c>
      <c r="AX97" s="13" t="n">
        <f aca="false">IF(OR($AW97="",$AT97=""),1,((Config!$B$14*$AW97+Config!$B$15*(1-$AW97))/(Config!$B$14*$AT97+Config!$B$15*(1-$AT97)))^Config!$B$13)</f>
        <v>1.02192187397679</v>
      </c>
      <c r="AY97" s="10" t="n">
        <f aca="false">IF($AS97="","",IFERROR(IF(INDEX(Matches!$BB$5:$BB$17,MATCH($C97,Matches!$A$5:$A$17,0))="","",IF($AS97="A",INDEX(Matches!$BB$5:$BB$17,MATCH($C97,Matches!$A$5:$A$17,0)),1-INDEX(Matches!$BB$5:$BB$17,MATCH($C97,Matches!$A$5:$A$17,0)))),""))</f>
        <v>0.47425204078611</v>
      </c>
      <c r="AZ97" s="13" t="n">
        <f aca="false">IF(OR($AY97="",$AT97=""),1,((Config!$B$14*$AY97+Config!$B$15*(1-$AY97))/(Config!$B$14*$AT97+Config!$B$15*(1-$AT97)))^Config!$B$13)</f>
        <v>0.994019747044342</v>
      </c>
      <c r="BA97" s="17" t="n">
        <f aca="false">IF(V97="","",V97*$AV97)</f>
        <v>11.7164324901786</v>
      </c>
      <c r="BB97" s="17" t="n">
        <f aca="false">IF(AC97="","",AC97*$AX97)</f>
        <v>11.8004663259687</v>
      </c>
      <c r="BC97" s="17" t="n">
        <f aca="false">IF(AJ97="","",AJ97*$AZ97)</f>
        <v>12.3152834035375</v>
      </c>
      <c r="BD97" s="17" t="n">
        <f aca="false">N(BA97)+N(BB97)</f>
        <v>23.5168988161474</v>
      </c>
      <c r="BE97" s="17" t="n">
        <f aca="false">BD97+N($M97)*N(BC97)</f>
        <v>29.6819296879583</v>
      </c>
      <c r="BF97" s="17" t="n">
        <f aca="false">IF(W97="","",W97*$AV97)</f>
        <v>6.69008295189201</v>
      </c>
      <c r="BG97" s="17" t="n">
        <f aca="false">IF(AD97="","",AD97*$AX97)</f>
        <v>7.07706148658325</v>
      </c>
      <c r="BH97" s="17" t="n">
        <f aca="false">IF(AK97="","",AK97*$AZ97)</f>
        <v>6.69181711939718</v>
      </c>
      <c r="BI97" s="17" t="n">
        <f aca="false">IF(BF97="","",N(BF97)+N(BG97))</f>
        <v>13.7671444384753</v>
      </c>
      <c r="BJ97" s="17" t="n">
        <f aca="false">IF(BI97="","",BI97+N($M97)*N(BH97))</f>
        <v>17.1170680884455</v>
      </c>
      <c r="BK97" s="13" t="n">
        <f aca="false">IFERROR(BD97/AL97,1)</f>
        <v>1.01657602410617</v>
      </c>
    </row>
    <row r="98" customFormat="false" ht="15" hidden="false" customHeight="false" outlineLevel="0" collapsed="false">
      <c r="A98" s="0" t="s">
        <v>1100</v>
      </c>
      <c r="B98" s="0" t="s">
        <v>775</v>
      </c>
      <c r="C98" s="0" t="s">
        <v>813</v>
      </c>
      <c r="D98" s="0" t="s">
        <v>818</v>
      </c>
      <c r="E98" s="0" t="s">
        <v>1099</v>
      </c>
      <c r="F98" s="0" t="s">
        <v>1263</v>
      </c>
      <c r="G98" s="0" t="str">
        <f aca="false">IFERROR(IF(INDEX(Matches!$W$5:$W$17,MATCH($C98,Matches!$A$5:$A$17,0))="","",INDEX(Matches!$W$5:$W$17,MATCH($C98,Matches!$A$5:$A$17,0))),"")</f>
        <v>Mirage</v>
      </c>
      <c r="H98" s="0" t="str">
        <f aca="false">IFERROR(IF(INDEX(Matches!$X$5:$X$17,MATCH($C98,Matches!$A$5:$A$17,0))="","",INDEX(Matches!$X$5:$X$17,MATCH($C98,Matches!$A$5:$A$17,0))),"")</f>
        <v>Dust2</v>
      </c>
      <c r="I98" s="0" t="str">
        <f aca="false">IFERROR(IF(INDEX(Matches!$Y$5:$Y$17,MATCH($C98,Matches!$A$5:$A$17,0))="","",INDEX(Matches!$Y$5:$Y$17,MATCH($C98,Matches!$A$5:$A$17,0))),"")</f>
        <v>Anubis</v>
      </c>
      <c r="J98" s="11" t="n">
        <f aca="false">IFERROR(IF(INDEX(Matches!$Z$5:$Z$17,MATCH($C98,Matches!$A$5:$A$17,0))="","",INDEX(Matches!$Z$5:$Z$17,MATCH($C98,Matches!$A$5:$A$17,0))),"")</f>
        <v>21.5</v>
      </c>
      <c r="K98" s="11" t="n">
        <f aca="false">IFERROR(IF(INDEX(Matches!$AA$5:$AA$17,MATCH($C98,Matches!$A$5:$A$17,0))="","",INDEX(Matches!$AA$5:$AA$17,MATCH($C98,Matches!$A$5:$A$17,0))),"")</f>
        <v>21.42</v>
      </c>
      <c r="L98" s="11" t="n">
        <f aca="false">IFERROR(IF(INDEX(Matches!$AB$5:$AB$17,MATCH($C98,Matches!$A$5:$A$17,0))="","",INDEX(Matches!$AB$5:$AB$17,MATCH($C98,Matches!$A$5:$A$17,0))),"")</f>
        <v>21.5</v>
      </c>
      <c r="M98" s="10" t="n">
        <f aca="false">IFERROR(IF(INDEX(Matches!$AC$5:$AC$17,MATCH($C98,Matches!$A$5:$A$17,0))="","",INDEX(Matches!$AC$5:$AC$17,MATCH($C98,Matches!$A$5:$A$17,0))),"")</f>
        <v>0.5006</v>
      </c>
      <c r="N98" s="9" t="n">
        <f aca="false">IFERROR(INDEX(Players!$F$2:$F$105,MATCH($F98,Players!$A$2:$A$105,0)),0)</f>
        <v>36</v>
      </c>
      <c r="O98" s="13" t="n">
        <f aca="false">IFERROR(1/(1/INDEX(Players!$H$2:$H$105,MATCH($F98,Players!$A$2:$A$105,0))),"")</f>
        <v>0.61</v>
      </c>
      <c r="P98" s="10" t="n">
        <f aca="false">IFERROR(1/(1/INDEX(Players!$I$2:$I$105,MATCH($F98,Players!$A$2:$A$105,0))),"")</f>
        <v>0.613</v>
      </c>
      <c r="Q98" s="9" t="n">
        <f aca="false">IF($G98="",0,SUMIFS(Map_Stats!$F$2:$F$642,Map_Stats!$A$2:$A$642,$F98&amp;"|"&amp;$G98))</f>
        <v>5</v>
      </c>
      <c r="R98" s="13" t="n">
        <f aca="false">IF($G98="","",IFERROR(1/(1/INDEX(Map_Stats!$K$2:$K$642,MATCH($F98&amp;"|"&amp;$G98,Map_Stats!$A$2:$A$642,0))),$O98))</f>
        <v>0.61</v>
      </c>
      <c r="S98" s="10" t="n">
        <f aca="false">IF(OR($G98="",$P98=""),"",IFERROR(1/(1/INDEX(Map_Stats!$I$2:$I$642,MATCH($F98&amp;"|"&amp;$G98,Map_Stats!$A$2:$A$642,0))),$P98))</f>
        <v>0.71</v>
      </c>
      <c r="T98" s="13" t="n">
        <f aca="false">IF(OR($G98="",R98=""),"",IF($O98="",R98,(Q98*R98+Config!$B$4*$O98)/(Q98+Config!$B$4)))</f>
        <v>0.61</v>
      </c>
      <c r="U98" s="10" t="n">
        <f aca="false">IF(S98="","",(Q98*S98+Config!$B$4*$P98)/(Q98+Config!$B$4))</f>
        <v>0.6615</v>
      </c>
      <c r="V98" s="17" t="n">
        <f aca="false">IF(OR(T98="",$J98=""),"",T98*$J98*($J98/Config!$B$10)^Config!$B$9)</f>
        <v>13.115</v>
      </c>
      <c r="W98" s="17" t="n">
        <f aca="false">IF(OR(V98="",U98=""),"",V98*U98)</f>
        <v>8.6755725</v>
      </c>
      <c r="X98" s="9" t="n">
        <f aca="false">IF($H98="",0,SUMIFS(Map_Stats!$F$2:$F$642,Map_Stats!$A$2:$A$642,$F98&amp;"|"&amp;$H98))</f>
        <v>6</v>
      </c>
      <c r="Y98" s="13" t="n">
        <f aca="false">IF($H98="","",IFERROR(1/(1/INDEX(Map_Stats!$K$2:$K$642,MATCH($F98&amp;"|"&amp;$H98,Map_Stats!$A$2:$A$642,0))),$O98))</f>
        <v>0.71</v>
      </c>
      <c r="Z98" s="10" t="n">
        <f aca="false">IF(OR($H98="",$P98=""),"",IFERROR(1/(1/INDEX(Map_Stats!$I$2:$I$642,MATCH($F98&amp;"|"&amp;$H98,Map_Stats!$A$2:$A$642,0))),$P98))</f>
        <v>0.652</v>
      </c>
      <c r="AA98" s="13" t="n">
        <f aca="false">IF(OR($H98="",Y98=""),"",IF($O98="",Y98,(X98*Y98+Config!$B$4*$O98)/(X98+Config!$B$4)))</f>
        <v>0.664545454545455</v>
      </c>
      <c r="AB98" s="10" t="n">
        <f aca="false">IF(Z98="","",(X98*Z98+Config!$B$4*$P98)/(X98+Config!$B$4))</f>
        <v>0.634272727272727</v>
      </c>
      <c r="AC98" s="17" t="n">
        <f aca="false">IF(OR(AA98="",$K98=""),"",AA98*$K98*($K98/Config!$B$10)^Config!$B$9)</f>
        <v>14.2345636363636</v>
      </c>
      <c r="AD98" s="17" t="n">
        <f aca="false">IF(OR(AC98="",AB98=""),"",AC98*AB98)</f>
        <v>9.02859549917356</v>
      </c>
      <c r="AE98" s="9" t="n">
        <f aca="false">IF($I98="",0,SUMIFS(Map_Stats!$F$2:$F$642,Map_Stats!$A$2:$A$642,$F98&amp;"|"&amp;$I98))</f>
        <v>2</v>
      </c>
      <c r="AF98" s="13" t="n">
        <f aca="false">IF($I98="","",IFERROR(1/(1/INDEX(Map_Stats!$K$2:$K$642,MATCH($F98&amp;"|"&amp;$I98,Map_Stats!$A$2:$A$642,0))),$O98))</f>
        <v>0.4</v>
      </c>
      <c r="AG98" s="10" t="n">
        <f aca="false">IF(OR($I98="",$P98=""),"",IFERROR(1/(1/INDEX(Map_Stats!$I$2:$I$642,MATCH($F98&amp;"|"&amp;$I98,Map_Stats!$A$2:$A$642,0))),$P98))</f>
        <v>0.625</v>
      </c>
      <c r="AH98" s="13" t="n">
        <f aca="false">IF(OR($I98="",AF98=""),"",IF($O98="",AF98,(AE98*AF98+Config!$B$4*$O98)/(AE98+Config!$B$4)))</f>
        <v>0.55</v>
      </c>
      <c r="AI98" s="10" t="n">
        <f aca="false">IF(AG98="","",(AE98*AG98+Config!$B$4*$P98)/(AE98+Config!$B$4))</f>
        <v>0.616428571428571</v>
      </c>
      <c r="AJ98" s="17" t="n">
        <f aca="false">IF(OR(AH98="",$L98=""),"",AH98*$L98*($L98/Config!$B$10)^Config!$B$9)</f>
        <v>11.825</v>
      </c>
      <c r="AK98" s="17" t="n">
        <f aca="false">IF(OR(AJ98="",AI98=""),"",AJ98*AI98)</f>
        <v>7.28926785714286</v>
      </c>
      <c r="AL98" s="17" t="n">
        <f aca="false">N(V98)+N(AC98)</f>
        <v>27.3495636363636</v>
      </c>
      <c r="AM98" s="17" t="n">
        <f aca="false">AL98+N($M98)*N(AJ98)</f>
        <v>33.2691586363636</v>
      </c>
      <c r="AN98" s="17" t="n">
        <f aca="false">IF(W98="","",N(W98)+N(AD98))</f>
        <v>17.7041679991736</v>
      </c>
      <c r="AO98" s="17" t="n">
        <f aca="false">IF(AN98="","",AN98+N($M98)*N(AK98))</f>
        <v>21.3531754884593</v>
      </c>
      <c r="AP98" s="10" t="n">
        <f aca="false">IFERROR(AN98/AL98,"")</f>
        <v>0.647329084828042</v>
      </c>
      <c r="AQ98" s="0" t="str">
        <f aca="false">TRIM(IF($N98&lt;Config!$B$12,"thin sample ("&amp;$N98&amp;" maps) · ","")&amp;IF(AND($G98&lt;&gt;"",Q98=0),"M1 unplayed→overall KPR · ","")&amp;IF(AND($H98&lt;&gt;"",X98=0),"M2 unplayed→overall KPR · ","")&amp;IF($O98="","no PickFinder stats",""))</f>
        <v/>
      </c>
      <c r="AR98" s="0" t="str">
        <f aca="false">IF($C98=Board!$B$2,COUNTIFS($C$2:$C$105,Board!$B$2,$AL$2:$AL$105,"&gt;"&amp;$AL98)+COUNTIFS($C$1:$C97,Board!$B$2,$AL$1:$AL97,$AL98)+1,"")</f>
        <v/>
      </c>
      <c r="AS98" s="0" t="str">
        <f aca="false">IFERROR(IF($D98=INDEX(Matches!$AD$5:$AD$17,MATCH($C98,Matches!$A$5:$A$17,0)),"A",IF($D98=INDEX(Matches!$AE$5:$AE$17,MATCH($C98,Matches!$A$5:$A$17,0)),"B","")),"")</f>
        <v>B</v>
      </c>
      <c r="AT98" s="10" t="n">
        <f aca="false">IF($AS98="","",IFERROR(IF($AS98="A",INDEX(Matches!$AI$5:$AI$17,MATCH($C98,Matches!$A$5:$A$17,0)),INDEX(Matches!$AJ$5:$AJ$17,MATCH($C98,Matches!$A$5:$A$17,0))),""))</f>
        <v>0.48082958468459</v>
      </c>
      <c r="AU98" s="10" t="n">
        <f aca="false">IF($AS98="","",IFERROR(IF(INDEX(Matches!$AP$5:$AP$17,MATCH($C98,Matches!$A$5:$A$17,0))="","",IF($AS98="A",INDEX(Matches!$AP$5:$AP$17,MATCH($C98,Matches!$A$5:$A$17,0)),1-INDEX(Matches!$AP$5:$AP$17,MATCH($C98,Matches!$A$5:$A$17,0)))),""))</f>
        <v>0.493201079539138</v>
      </c>
      <c r="AV98" s="13" t="n">
        <f aca="false">IF(OR($AU98="",$AT98=""),1,((Config!$B$14*$AU98+Config!$B$15*(1-$AU98))/(Config!$B$14*$AT98+Config!$B$15*(1-$AT98)))^Config!$B$13)</f>
        <v>1.01124806915951</v>
      </c>
      <c r="AW98" s="10" t="n">
        <f aca="false">IF($AS98="","",IFERROR(IF(INDEX(Matches!$AV$5:$AV$17,MATCH($C98,Matches!$A$5:$A$17,0))="","",IF($AS98="A",INDEX(Matches!$AV$5:$AV$17,MATCH($C98,Matches!$A$5:$A$17,0)),1-INDEX(Matches!$AV$5:$AV$17,MATCH($C98,Matches!$A$5:$A$17,0)))),""))</f>
        <v>0.50494095413475</v>
      </c>
      <c r="AX98" s="13" t="n">
        <f aca="false">IF(OR($AW98="",$AT98=""),1,((Config!$B$14*$AW98+Config!$B$15*(1-$AW98))/(Config!$B$14*$AT98+Config!$B$15*(1-$AT98)))^Config!$B$13)</f>
        <v>1.02192187397679</v>
      </c>
      <c r="AY98" s="10" t="n">
        <f aca="false">IF($AS98="","",IFERROR(IF(INDEX(Matches!$BB$5:$BB$17,MATCH($C98,Matches!$A$5:$A$17,0))="","",IF($AS98="A",INDEX(Matches!$BB$5:$BB$17,MATCH($C98,Matches!$A$5:$A$17,0)),1-INDEX(Matches!$BB$5:$BB$17,MATCH($C98,Matches!$A$5:$A$17,0)))),""))</f>
        <v>0.47425204078611</v>
      </c>
      <c r="AZ98" s="13" t="n">
        <f aca="false">IF(OR($AY98="",$AT98=""),1,((Config!$B$14*$AY98+Config!$B$15*(1-$AY98))/(Config!$B$14*$AT98+Config!$B$15*(1-$AT98)))^Config!$B$13)</f>
        <v>0.994019747044342</v>
      </c>
      <c r="BA98" s="17" t="n">
        <f aca="false">IF(V98="","",V98*$AV98)</f>
        <v>13.262518427027</v>
      </c>
      <c r="BB98" s="17" t="n">
        <f aca="false">IF(AC98="","",AC98*$AX98)</f>
        <v>14.5466119465146</v>
      </c>
      <c r="BC98" s="17" t="n">
        <f aca="false">IF(AJ98="","",AJ98*$AZ98)</f>
        <v>11.7542835087993</v>
      </c>
      <c r="BD98" s="17" t="n">
        <f aca="false">N(BA98)+N(BB98)</f>
        <v>27.8091303735415</v>
      </c>
      <c r="BE98" s="17" t="n">
        <f aca="false">BD98+N($M98)*N(BC98)</f>
        <v>33.6933246980465</v>
      </c>
      <c r="BF98" s="17" t="n">
        <f aca="false">IF(W98="","",W98*$AV98)</f>
        <v>8.77315593947834</v>
      </c>
      <c r="BG98" s="17" t="n">
        <f aca="false">IF(AD98="","",AD98*$AX98)</f>
        <v>9.22651923189384</v>
      </c>
      <c r="BH98" s="17" t="n">
        <f aca="false">IF(AK98="","",AK98*$AZ98)</f>
        <v>7.24567619149559</v>
      </c>
      <c r="BI98" s="17" t="n">
        <f aca="false">IF(BF98="","",N(BF98)+N(BG98))</f>
        <v>17.9996751713722</v>
      </c>
      <c r="BJ98" s="17" t="n">
        <f aca="false">IF(BI98="","",BI98+N($M98)*N(BH98))</f>
        <v>21.6268606728349</v>
      </c>
      <c r="BK98" s="13" t="n">
        <f aca="false">IFERROR(BD98/AL98,1)</f>
        <v>1.01680343947305</v>
      </c>
    </row>
    <row r="99" customFormat="false" ht="15" hidden="false" customHeight="false" outlineLevel="0" collapsed="false">
      <c r="A99" s="0" t="s">
        <v>1102</v>
      </c>
      <c r="B99" s="0" t="s">
        <v>775</v>
      </c>
      <c r="C99" s="0" t="s">
        <v>813</v>
      </c>
      <c r="D99" s="0" t="s">
        <v>818</v>
      </c>
      <c r="E99" s="0" t="s">
        <v>1101</v>
      </c>
      <c r="F99" s="0" t="s">
        <v>1264</v>
      </c>
      <c r="G99" s="0" t="str">
        <f aca="false">IFERROR(IF(INDEX(Matches!$W$5:$W$17,MATCH($C99,Matches!$A$5:$A$17,0))="","",INDEX(Matches!$W$5:$W$17,MATCH($C99,Matches!$A$5:$A$17,0))),"")</f>
        <v>Mirage</v>
      </c>
      <c r="H99" s="0" t="str">
        <f aca="false">IFERROR(IF(INDEX(Matches!$X$5:$X$17,MATCH($C99,Matches!$A$5:$A$17,0))="","",INDEX(Matches!$X$5:$X$17,MATCH($C99,Matches!$A$5:$A$17,0))),"")</f>
        <v>Dust2</v>
      </c>
      <c r="I99" s="0" t="str">
        <f aca="false">IFERROR(IF(INDEX(Matches!$Y$5:$Y$17,MATCH($C99,Matches!$A$5:$A$17,0))="","",INDEX(Matches!$Y$5:$Y$17,MATCH($C99,Matches!$A$5:$A$17,0))),"")</f>
        <v>Anubis</v>
      </c>
      <c r="J99" s="11" t="n">
        <f aca="false">IFERROR(IF(INDEX(Matches!$Z$5:$Z$17,MATCH($C99,Matches!$A$5:$A$17,0))="","",INDEX(Matches!$Z$5:$Z$17,MATCH($C99,Matches!$A$5:$A$17,0))),"")</f>
        <v>21.5</v>
      </c>
      <c r="K99" s="11" t="n">
        <f aca="false">IFERROR(IF(INDEX(Matches!$AA$5:$AA$17,MATCH($C99,Matches!$A$5:$A$17,0))="","",INDEX(Matches!$AA$5:$AA$17,MATCH($C99,Matches!$A$5:$A$17,0))),"")</f>
        <v>21.42</v>
      </c>
      <c r="L99" s="11" t="n">
        <f aca="false">IFERROR(IF(INDEX(Matches!$AB$5:$AB$17,MATCH($C99,Matches!$A$5:$A$17,0))="","",INDEX(Matches!$AB$5:$AB$17,MATCH($C99,Matches!$A$5:$A$17,0))),"")</f>
        <v>21.5</v>
      </c>
      <c r="M99" s="10" t="n">
        <f aca="false">IFERROR(IF(INDEX(Matches!$AC$5:$AC$17,MATCH($C99,Matches!$A$5:$A$17,0))="","",INDEX(Matches!$AC$5:$AC$17,MATCH($C99,Matches!$A$5:$A$17,0))),"")</f>
        <v>0.5006</v>
      </c>
      <c r="N99" s="9" t="n">
        <f aca="false">IFERROR(INDEX(Players!$F$2:$F$105,MATCH($F99,Players!$A$2:$A$105,0)),0)</f>
        <v>36</v>
      </c>
      <c r="O99" s="13" t="n">
        <f aca="false">IFERROR(1/(1/INDEX(Players!$H$2:$H$105,MATCH($F99,Players!$A$2:$A$105,0))),"")</f>
        <v>0.56</v>
      </c>
      <c r="P99" s="10" t="n">
        <f aca="false">IFERROR(1/(1/INDEX(Players!$I$2:$I$105,MATCH($F99,Players!$A$2:$A$105,0))),"")</f>
        <v>0.606</v>
      </c>
      <c r="Q99" s="9" t="n">
        <f aca="false">IF($G99="",0,SUMIFS(Map_Stats!$F$2:$F$642,Map_Stats!$A$2:$A$642,$F99&amp;"|"&amp;$G99))</f>
        <v>5</v>
      </c>
      <c r="R99" s="13" t="n">
        <f aca="false">IF($G99="","",IFERROR(1/(1/INDEX(Map_Stats!$K$2:$K$642,MATCH($F99&amp;"|"&amp;$G99,Map_Stats!$A$2:$A$642,0))),$O99))</f>
        <v>0.58</v>
      </c>
      <c r="S99" s="10" t="n">
        <f aca="false">IF(OR($G99="",$P99=""),"",IFERROR(1/(1/INDEX(Map_Stats!$I$2:$I$642,MATCH($F99&amp;"|"&amp;$G99,Map_Stats!$A$2:$A$642,0))),$P99))</f>
        <v>0.569</v>
      </c>
      <c r="T99" s="13" t="n">
        <f aca="false">IF(OR($G99="",R99=""),"",IF($O99="",R99,(Q99*R99+Config!$B$4*$O99)/(Q99+Config!$B$4)))</f>
        <v>0.57</v>
      </c>
      <c r="U99" s="10" t="n">
        <f aca="false">IF(S99="","",(Q99*S99+Config!$B$4*$P99)/(Q99+Config!$B$4))</f>
        <v>0.5875</v>
      </c>
      <c r="V99" s="17" t="n">
        <f aca="false">IF(OR(T99="",$J99=""),"",T99*$J99*($J99/Config!$B$10)^Config!$B$9)</f>
        <v>12.255</v>
      </c>
      <c r="W99" s="17" t="n">
        <f aca="false">IF(OR(V99="",U99=""),"",V99*U99)</f>
        <v>7.1998125</v>
      </c>
      <c r="X99" s="9" t="n">
        <f aca="false">IF($H99="",0,SUMIFS(Map_Stats!$F$2:$F$642,Map_Stats!$A$2:$A$642,$F99&amp;"|"&amp;$H99))</f>
        <v>6</v>
      </c>
      <c r="Y99" s="13" t="n">
        <f aca="false">IF($H99="","",IFERROR(1/(1/INDEX(Map_Stats!$K$2:$K$642,MATCH($F99&amp;"|"&amp;$H99,Map_Stats!$A$2:$A$642,0))),$O99))</f>
        <v>0.65</v>
      </c>
      <c r="Z99" s="10" t="n">
        <f aca="false">IF(OR($H99="",$P99=""),"",IFERROR(1/(1/INDEX(Map_Stats!$I$2:$I$642,MATCH($F99&amp;"|"&amp;$H99,Map_Stats!$A$2:$A$642,0))),$P99))</f>
        <v>0.605</v>
      </c>
      <c r="AA99" s="13" t="n">
        <f aca="false">IF(OR($H99="",Y99=""),"",IF($O99="",Y99,(X99*Y99+Config!$B$4*$O99)/(X99+Config!$B$4)))</f>
        <v>0.609090909090909</v>
      </c>
      <c r="AB99" s="10" t="n">
        <f aca="false">IF(Z99="","",(X99*Z99+Config!$B$4*$P99)/(X99+Config!$B$4))</f>
        <v>0.605454545454546</v>
      </c>
      <c r="AC99" s="17" t="n">
        <f aca="false">IF(OR(AA99="",$K99=""),"",AA99*$K99*($K99/Config!$B$10)^Config!$B$9)</f>
        <v>13.0467272727273</v>
      </c>
      <c r="AD99" s="17" t="n">
        <f aca="false">IF(OR(AC99="",AB99=""),"",AC99*AB99)</f>
        <v>7.89920033057851</v>
      </c>
      <c r="AE99" s="9" t="n">
        <f aca="false">IF($I99="",0,SUMIFS(Map_Stats!$F$2:$F$642,Map_Stats!$A$2:$A$642,$F99&amp;"|"&amp;$I99))</f>
        <v>2</v>
      </c>
      <c r="AF99" s="13" t="n">
        <f aca="false">IF($I99="","",IFERROR(1/(1/INDEX(Map_Stats!$K$2:$K$642,MATCH($F99&amp;"|"&amp;$I99,Map_Stats!$A$2:$A$642,0))),$O99))</f>
        <v>0.47</v>
      </c>
      <c r="AG99" s="10" t="n">
        <f aca="false">IF(OR($I99="",$P99=""),"",IFERROR(1/(1/INDEX(Map_Stats!$I$2:$I$642,MATCH($F99&amp;"|"&amp;$I99,Map_Stats!$A$2:$A$642,0))),$P99))</f>
        <v>0.474</v>
      </c>
      <c r="AH99" s="13" t="n">
        <f aca="false">IF(OR($I99="",AF99=""),"",IF($O99="",AF99,(AE99*AF99+Config!$B$4*$O99)/(AE99+Config!$B$4)))</f>
        <v>0.534285714285714</v>
      </c>
      <c r="AI99" s="10" t="n">
        <f aca="false">IF(AG99="","",(AE99*AG99+Config!$B$4*$P99)/(AE99+Config!$B$4))</f>
        <v>0.568285714285714</v>
      </c>
      <c r="AJ99" s="17" t="n">
        <f aca="false">IF(OR(AH99="",$L99=""),"",AH99*$L99*($L99/Config!$B$10)^Config!$B$9)</f>
        <v>11.4871428571429</v>
      </c>
      <c r="AK99" s="17" t="n">
        <f aca="false">IF(OR(AJ99="",AI99=""),"",AJ99*AI99)</f>
        <v>6.52797918367347</v>
      </c>
      <c r="AL99" s="17" t="n">
        <f aca="false">N(V99)+N(AC99)</f>
        <v>25.3017272727273</v>
      </c>
      <c r="AM99" s="17" t="n">
        <f aca="false">AL99+N($M99)*N(AJ99)</f>
        <v>31.052190987013</v>
      </c>
      <c r="AN99" s="17" t="n">
        <f aca="false">IF(W99="","",N(W99)+N(AD99))</f>
        <v>15.0990128305785</v>
      </c>
      <c r="AO99" s="17" t="n">
        <f aca="false">IF(AN99="","",AN99+N($M99)*N(AK99))</f>
        <v>18.3669192099255</v>
      </c>
      <c r="AP99" s="10" t="n">
        <f aca="false">IFERROR(AN99/AL99,"")</f>
        <v>0.596758184444338</v>
      </c>
      <c r="AQ99" s="0" t="str">
        <f aca="false">TRIM(IF($N99&lt;Config!$B$12,"thin sample ("&amp;$N99&amp;" maps) · ","")&amp;IF(AND($G99&lt;&gt;"",Q99=0),"M1 unplayed→overall KPR · ","")&amp;IF(AND($H99&lt;&gt;"",X99=0),"M2 unplayed→overall KPR · ","")&amp;IF($O99="","no PickFinder stats",""))</f>
        <v/>
      </c>
      <c r="AR99" s="0" t="str">
        <f aca="false">IF($C99=Board!$B$2,COUNTIFS($C$2:$C$105,Board!$B$2,$AL$2:$AL$105,"&gt;"&amp;$AL99)+COUNTIFS($C$1:$C98,Board!$B$2,$AL$1:$AL98,$AL99)+1,"")</f>
        <v/>
      </c>
      <c r="AS99" s="0" t="str">
        <f aca="false">IFERROR(IF($D99=INDEX(Matches!$AD$5:$AD$17,MATCH($C99,Matches!$A$5:$A$17,0)),"A",IF($D99=INDEX(Matches!$AE$5:$AE$17,MATCH($C99,Matches!$A$5:$A$17,0)),"B","")),"")</f>
        <v>B</v>
      </c>
      <c r="AT99" s="10" t="n">
        <f aca="false">IF($AS99="","",IFERROR(IF($AS99="A",INDEX(Matches!$AI$5:$AI$17,MATCH($C99,Matches!$A$5:$A$17,0)),INDEX(Matches!$AJ$5:$AJ$17,MATCH($C99,Matches!$A$5:$A$17,0))),""))</f>
        <v>0.48082958468459</v>
      </c>
      <c r="AU99" s="10" t="n">
        <f aca="false">IF($AS99="","",IFERROR(IF(INDEX(Matches!$AP$5:$AP$17,MATCH($C99,Matches!$A$5:$A$17,0))="","",IF($AS99="A",INDEX(Matches!$AP$5:$AP$17,MATCH($C99,Matches!$A$5:$A$17,0)),1-INDEX(Matches!$AP$5:$AP$17,MATCH($C99,Matches!$A$5:$A$17,0)))),""))</f>
        <v>0.493201079539138</v>
      </c>
      <c r="AV99" s="13" t="n">
        <f aca="false">IF(OR($AU99="",$AT99=""),1,((Config!$B$14*$AU99+Config!$B$15*(1-$AU99))/(Config!$B$14*$AT99+Config!$B$15*(1-$AT99)))^Config!$B$13)</f>
        <v>1.01124806915951</v>
      </c>
      <c r="AW99" s="10" t="n">
        <f aca="false">IF($AS99="","",IFERROR(IF(INDEX(Matches!$AV$5:$AV$17,MATCH($C99,Matches!$A$5:$A$17,0))="","",IF($AS99="A",INDEX(Matches!$AV$5:$AV$17,MATCH($C99,Matches!$A$5:$A$17,0)),1-INDEX(Matches!$AV$5:$AV$17,MATCH($C99,Matches!$A$5:$A$17,0)))),""))</f>
        <v>0.50494095413475</v>
      </c>
      <c r="AX99" s="13" t="n">
        <f aca="false">IF(OR($AW99="",$AT99=""),1,((Config!$B$14*$AW99+Config!$B$15*(1-$AW99))/(Config!$B$14*$AT99+Config!$B$15*(1-$AT99)))^Config!$B$13)</f>
        <v>1.02192187397679</v>
      </c>
      <c r="AY99" s="10" t="n">
        <f aca="false">IF($AS99="","",IFERROR(IF(INDEX(Matches!$BB$5:$BB$17,MATCH($C99,Matches!$A$5:$A$17,0))="","",IF($AS99="A",INDEX(Matches!$BB$5:$BB$17,MATCH($C99,Matches!$A$5:$A$17,0)),1-INDEX(Matches!$BB$5:$BB$17,MATCH($C99,Matches!$A$5:$A$17,0)))),""))</f>
        <v>0.47425204078611</v>
      </c>
      <c r="AZ99" s="13" t="n">
        <f aca="false">IF(OR($AY99="",$AT99=""),1,((Config!$B$14*$AY99+Config!$B$15*(1-$AY99))/(Config!$B$14*$AT99+Config!$B$15*(1-$AT99)))^Config!$B$13)</f>
        <v>0.994019747044342</v>
      </c>
      <c r="BA99" s="17" t="n">
        <f aca="false">IF(V99="","",V99*$AV99)</f>
        <v>12.3928450875498</v>
      </c>
      <c r="BB99" s="17" t="n">
        <f aca="false">IF(AC99="","",AC99*$AX99)</f>
        <v>13.3327359838095</v>
      </c>
      <c r="BC99" s="17" t="n">
        <f aca="false">IF(AJ99="","",AJ99*$AZ99)</f>
        <v>11.4184468371194</v>
      </c>
      <c r="BD99" s="17" t="n">
        <f aca="false">N(BA99)+N(BB99)</f>
        <v>25.7255810713593</v>
      </c>
      <c r="BE99" s="17" t="n">
        <f aca="false">BD99+N($M99)*N(BC99)</f>
        <v>31.4416555580213</v>
      </c>
      <c r="BF99" s="17" t="n">
        <f aca="false">IF(W99="","",W99*$AV99)</f>
        <v>7.2807964889355</v>
      </c>
      <c r="BG99" s="17" t="n">
        <f aca="false">IF(AD99="","",AD99*$AX99)</f>
        <v>8.07236560474286</v>
      </c>
      <c r="BH99" s="17" t="n">
        <f aca="false">IF(AK99="","",AK99*$AZ99)</f>
        <v>6.48894021686583</v>
      </c>
      <c r="BI99" s="17" t="n">
        <f aca="false">IF(BF99="","",N(BF99)+N(BG99))</f>
        <v>15.3531620936784</v>
      </c>
      <c r="BJ99" s="17" t="n">
        <f aca="false">IF(BI99="","",BI99+N($M99)*N(BH99))</f>
        <v>18.6015255662414</v>
      </c>
      <c r="BK99" s="13" t="n">
        <f aca="false">IFERROR(BD99/AL99,1)</f>
        <v>1.01675197088576</v>
      </c>
    </row>
    <row r="100" customFormat="false" ht="15" hidden="false" customHeight="false" outlineLevel="0" collapsed="false">
      <c r="A100" s="0" t="s">
        <v>1104</v>
      </c>
      <c r="B100" s="0" t="s">
        <v>775</v>
      </c>
      <c r="C100" s="0" t="s">
        <v>813</v>
      </c>
      <c r="D100" s="0" t="s">
        <v>818</v>
      </c>
      <c r="E100" s="0" t="s">
        <v>1103</v>
      </c>
      <c r="F100" s="0" t="s">
        <v>1265</v>
      </c>
      <c r="G100" s="0" t="str">
        <f aca="false">IFERROR(IF(INDEX(Matches!$W$5:$W$17,MATCH($C100,Matches!$A$5:$A$17,0))="","",INDEX(Matches!$W$5:$W$17,MATCH($C100,Matches!$A$5:$A$17,0))),"")</f>
        <v>Mirage</v>
      </c>
      <c r="H100" s="0" t="str">
        <f aca="false">IFERROR(IF(INDEX(Matches!$X$5:$X$17,MATCH($C100,Matches!$A$5:$A$17,0))="","",INDEX(Matches!$X$5:$X$17,MATCH($C100,Matches!$A$5:$A$17,0))),"")</f>
        <v>Dust2</v>
      </c>
      <c r="I100" s="0" t="str">
        <f aca="false">IFERROR(IF(INDEX(Matches!$Y$5:$Y$17,MATCH($C100,Matches!$A$5:$A$17,0))="","",INDEX(Matches!$Y$5:$Y$17,MATCH($C100,Matches!$A$5:$A$17,0))),"")</f>
        <v>Anubis</v>
      </c>
      <c r="J100" s="11" t="n">
        <f aca="false">IFERROR(IF(INDEX(Matches!$Z$5:$Z$17,MATCH($C100,Matches!$A$5:$A$17,0))="","",INDEX(Matches!$Z$5:$Z$17,MATCH($C100,Matches!$A$5:$A$17,0))),"")</f>
        <v>21.5</v>
      </c>
      <c r="K100" s="11" t="n">
        <f aca="false">IFERROR(IF(INDEX(Matches!$AA$5:$AA$17,MATCH($C100,Matches!$A$5:$A$17,0))="","",INDEX(Matches!$AA$5:$AA$17,MATCH($C100,Matches!$A$5:$A$17,0))),"")</f>
        <v>21.42</v>
      </c>
      <c r="L100" s="11" t="n">
        <f aca="false">IFERROR(IF(INDEX(Matches!$AB$5:$AB$17,MATCH($C100,Matches!$A$5:$A$17,0))="","",INDEX(Matches!$AB$5:$AB$17,MATCH($C100,Matches!$A$5:$A$17,0))),"")</f>
        <v>21.5</v>
      </c>
      <c r="M100" s="10" t="n">
        <f aca="false">IFERROR(IF(INDEX(Matches!$AC$5:$AC$17,MATCH($C100,Matches!$A$5:$A$17,0))="","",INDEX(Matches!$AC$5:$AC$17,MATCH($C100,Matches!$A$5:$A$17,0))),"")</f>
        <v>0.5006</v>
      </c>
      <c r="N100" s="9" t="n">
        <f aca="false">IFERROR(INDEX(Players!$F$2:$F$105,MATCH($F100,Players!$A$2:$A$105,0)),0)</f>
        <v>36</v>
      </c>
      <c r="O100" s="13" t="n">
        <f aca="false">IFERROR(1/(1/INDEX(Players!$H$2:$H$105,MATCH($F100,Players!$A$2:$A$105,0))),"")</f>
        <v>0.7</v>
      </c>
      <c r="P100" s="10" t="n">
        <f aca="false">IFERROR(1/(1/INDEX(Players!$I$2:$I$105,MATCH($F100,Players!$A$2:$A$105,0))),"")</f>
        <v>0.607</v>
      </c>
      <c r="Q100" s="9" t="n">
        <f aca="false">IF($G100="",0,SUMIFS(Map_Stats!$F$2:$F$642,Map_Stats!$A$2:$A$642,$F100&amp;"|"&amp;$G100))</f>
        <v>5</v>
      </c>
      <c r="R100" s="13" t="n">
        <f aca="false">IF($G100="","",IFERROR(1/(1/INDEX(Map_Stats!$K$2:$K$642,MATCH($F100&amp;"|"&amp;$G100,Map_Stats!$A$2:$A$642,0))),$O100))</f>
        <v>0.58</v>
      </c>
      <c r="S100" s="10" t="n">
        <f aca="false">IF(OR($G100="",$P100=""),"",IFERROR(1/(1/INDEX(Map_Stats!$I$2:$I$642,MATCH($F100&amp;"|"&amp;$G100,Map_Stats!$A$2:$A$642,0))),$P100))</f>
        <v>0.515</v>
      </c>
      <c r="T100" s="13" t="n">
        <f aca="false">IF(OR($G100="",R100=""),"",IF($O100="",R100,(Q100*R100+Config!$B$4*$O100)/(Q100+Config!$B$4)))</f>
        <v>0.64</v>
      </c>
      <c r="U100" s="10" t="n">
        <f aca="false">IF(S100="","",(Q100*S100+Config!$B$4*$P100)/(Q100+Config!$B$4))</f>
        <v>0.561</v>
      </c>
      <c r="V100" s="17" t="n">
        <f aca="false">IF(OR(T100="",$J100=""),"",T100*$J100*($J100/Config!$B$10)^Config!$B$9)</f>
        <v>13.76</v>
      </c>
      <c r="W100" s="17" t="n">
        <f aca="false">IF(OR(V100="",U100=""),"",V100*U100)</f>
        <v>7.71936</v>
      </c>
      <c r="X100" s="9" t="n">
        <f aca="false">IF($H100="",0,SUMIFS(Map_Stats!$F$2:$F$642,Map_Stats!$A$2:$A$642,$F100&amp;"|"&amp;$H100))</f>
        <v>6</v>
      </c>
      <c r="Y100" s="13" t="n">
        <f aca="false">IF($H100="","",IFERROR(1/(1/INDEX(Map_Stats!$K$2:$K$642,MATCH($F100&amp;"|"&amp;$H100,Map_Stats!$A$2:$A$642,0))),$O100))</f>
        <v>0.7</v>
      </c>
      <c r="Z100" s="10" t="n">
        <f aca="false">IF(OR($H100="",$P100=""),"",IFERROR(1/(1/INDEX(Map_Stats!$I$2:$I$642,MATCH($F100&amp;"|"&amp;$H100,Map_Stats!$A$2:$A$642,0))),$P100))</f>
        <v>0.563</v>
      </c>
      <c r="AA100" s="13" t="n">
        <f aca="false">IF(OR($H100="",Y100=""),"",IF($O100="",Y100,(X100*Y100+Config!$B$4*$O100)/(X100+Config!$B$4)))</f>
        <v>0.7</v>
      </c>
      <c r="AB100" s="10" t="n">
        <f aca="false">IF(Z100="","",(X100*Z100+Config!$B$4*$P100)/(X100+Config!$B$4))</f>
        <v>0.583</v>
      </c>
      <c r="AC100" s="17" t="n">
        <f aca="false">IF(OR(AA100="",$K100=""),"",AA100*$K100*($K100/Config!$B$10)^Config!$B$9)</f>
        <v>14.994</v>
      </c>
      <c r="AD100" s="17" t="n">
        <f aca="false">IF(OR(AC100="",AB100=""),"",AC100*AB100)</f>
        <v>8.741502</v>
      </c>
      <c r="AE100" s="9" t="n">
        <f aca="false">IF($I100="",0,SUMIFS(Map_Stats!$F$2:$F$642,Map_Stats!$A$2:$A$642,$F100&amp;"|"&amp;$I100))</f>
        <v>2</v>
      </c>
      <c r="AF100" s="13" t="n">
        <f aca="false">IF($I100="","",IFERROR(1/(1/INDEX(Map_Stats!$K$2:$K$642,MATCH($F100&amp;"|"&amp;$I100,Map_Stats!$A$2:$A$642,0))),$O100))</f>
        <v>0.72</v>
      </c>
      <c r="AG100" s="10" t="n">
        <f aca="false">IF(OR($I100="",$P100=""),"",IFERROR(1/(1/INDEX(Map_Stats!$I$2:$I$642,MATCH($F100&amp;"|"&amp;$I100,Map_Stats!$A$2:$A$642,0))),$P100))</f>
        <v>0.724</v>
      </c>
      <c r="AH100" s="13" t="n">
        <f aca="false">IF(OR($I100="",AF100=""),"",IF($O100="",AF100,(AE100*AF100+Config!$B$4*$O100)/(AE100+Config!$B$4)))</f>
        <v>0.705714285714286</v>
      </c>
      <c r="AI100" s="10" t="n">
        <f aca="false">IF(AG100="","",(AE100*AG100+Config!$B$4*$P100)/(AE100+Config!$B$4))</f>
        <v>0.640428571428572</v>
      </c>
      <c r="AJ100" s="17" t="n">
        <f aca="false">IF(OR(AH100="",$L100=""),"",AH100*$L100*($L100/Config!$B$10)^Config!$B$9)</f>
        <v>15.1728571428571</v>
      </c>
      <c r="AK100" s="17" t="n">
        <f aca="false">IF(OR(AJ100="",AI100=""),"",AJ100*AI100)</f>
        <v>9.7171312244898</v>
      </c>
      <c r="AL100" s="17" t="n">
        <f aca="false">N(V100)+N(AC100)</f>
        <v>28.754</v>
      </c>
      <c r="AM100" s="17" t="n">
        <f aca="false">AL100+N($M100)*N(AJ100)</f>
        <v>36.3495322857143</v>
      </c>
      <c r="AN100" s="17" t="n">
        <f aca="false">IF(W100="","",N(W100)+N(AD100))</f>
        <v>16.460862</v>
      </c>
      <c r="AO100" s="17" t="n">
        <f aca="false">IF(AN100="","",AN100+N($M100)*N(AK100))</f>
        <v>21.3252578909796</v>
      </c>
      <c r="AP100" s="10" t="n">
        <f aca="false">IFERROR(AN100/AL100,"")</f>
        <v>0.57247207345065</v>
      </c>
      <c r="AQ100" s="0" t="str">
        <f aca="false">TRIM(IF($N100&lt;Config!$B$12,"thin sample ("&amp;$N100&amp;" maps) · ","")&amp;IF(AND($G100&lt;&gt;"",Q100=0),"M1 unplayed→overall KPR · ","")&amp;IF(AND($H100&lt;&gt;"",X100=0),"M2 unplayed→overall KPR · ","")&amp;IF($O100="","no PickFinder stats",""))</f>
        <v/>
      </c>
      <c r="AR100" s="0" t="str">
        <f aca="false">IF($C100=Board!$B$2,COUNTIFS($C$2:$C$105,Board!$B$2,$AL$2:$AL$105,"&gt;"&amp;$AL100)+COUNTIFS($C$1:$C99,Board!$B$2,$AL$1:$AL99,$AL100)+1,"")</f>
        <v/>
      </c>
      <c r="AS100" s="0" t="str">
        <f aca="false">IFERROR(IF($D100=INDEX(Matches!$AD$5:$AD$17,MATCH($C100,Matches!$A$5:$A$17,0)),"A",IF($D100=INDEX(Matches!$AE$5:$AE$17,MATCH($C100,Matches!$A$5:$A$17,0)),"B","")),"")</f>
        <v>B</v>
      </c>
      <c r="AT100" s="10" t="n">
        <f aca="false">IF($AS100="","",IFERROR(IF($AS100="A",INDEX(Matches!$AI$5:$AI$17,MATCH($C100,Matches!$A$5:$A$17,0)),INDEX(Matches!$AJ$5:$AJ$17,MATCH($C100,Matches!$A$5:$A$17,0))),""))</f>
        <v>0.48082958468459</v>
      </c>
      <c r="AU100" s="10" t="n">
        <f aca="false">IF($AS100="","",IFERROR(IF(INDEX(Matches!$AP$5:$AP$17,MATCH($C100,Matches!$A$5:$A$17,0))="","",IF($AS100="A",INDEX(Matches!$AP$5:$AP$17,MATCH($C100,Matches!$A$5:$A$17,0)),1-INDEX(Matches!$AP$5:$AP$17,MATCH($C100,Matches!$A$5:$A$17,0)))),""))</f>
        <v>0.493201079539138</v>
      </c>
      <c r="AV100" s="13" t="n">
        <f aca="false">IF(OR($AU100="",$AT100=""),1,((Config!$B$14*$AU100+Config!$B$15*(1-$AU100))/(Config!$B$14*$AT100+Config!$B$15*(1-$AT100)))^Config!$B$13)</f>
        <v>1.01124806915951</v>
      </c>
      <c r="AW100" s="10" t="n">
        <f aca="false">IF($AS100="","",IFERROR(IF(INDEX(Matches!$AV$5:$AV$17,MATCH($C100,Matches!$A$5:$A$17,0))="","",IF($AS100="A",INDEX(Matches!$AV$5:$AV$17,MATCH($C100,Matches!$A$5:$A$17,0)),1-INDEX(Matches!$AV$5:$AV$17,MATCH($C100,Matches!$A$5:$A$17,0)))),""))</f>
        <v>0.50494095413475</v>
      </c>
      <c r="AX100" s="13" t="n">
        <f aca="false">IF(OR($AW100="",$AT100=""),1,((Config!$B$14*$AW100+Config!$B$15*(1-$AW100))/(Config!$B$14*$AT100+Config!$B$15*(1-$AT100)))^Config!$B$13)</f>
        <v>1.02192187397679</v>
      </c>
      <c r="AY100" s="10" t="n">
        <f aca="false">IF($AS100="","",IFERROR(IF(INDEX(Matches!$BB$5:$BB$17,MATCH($C100,Matches!$A$5:$A$17,0))="","",IF($AS100="A",INDEX(Matches!$BB$5:$BB$17,MATCH($C100,Matches!$A$5:$A$17,0)),1-INDEX(Matches!$BB$5:$BB$17,MATCH($C100,Matches!$A$5:$A$17,0)))),""))</f>
        <v>0.47425204078611</v>
      </c>
      <c r="AZ100" s="13" t="n">
        <f aca="false">IF(OR($AY100="",$AT100=""),1,((Config!$B$14*$AY100+Config!$B$15*(1-$AY100))/(Config!$B$14*$AT100+Config!$B$15*(1-$AT100)))^Config!$B$13)</f>
        <v>0.994019747044342</v>
      </c>
      <c r="BA100" s="17" t="n">
        <f aca="false">IF(V100="","",V100*$AV100)</f>
        <v>13.9147734316348</v>
      </c>
      <c r="BB100" s="17" t="n">
        <f aca="false">IF(AC100="","",AC100*$AX100)</f>
        <v>15.322696578408</v>
      </c>
      <c r="BC100" s="17" t="n">
        <f aca="false">IF(AJ100="","",AJ100*$AZ100)</f>
        <v>15.0821196190828</v>
      </c>
      <c r="BD100" s="17" t="n">
        <f aca="false">N(BA100)+N(BB100)</f>
        <v>29.2374700100428</v>
      </c>
      <c r="BE100" s="17" t="n">
        <f aca="false">BD100+N($M100)*N(BC100)</f>
        <v>36.7875790913557</v>
      </c>
      <c r="BF100" s="17" t="n">
        <f aca="false">IF(W100="","",W100*$AV100)</f>
        <v>7.80618789514715</v>
      </c>
      <c r="BG100" s="17" t="n">
        <f aca="false">IF(AD100="","",AD100*$AX100)</f>
        <v>8.93313210521184</v>
      </c>
      <c r="BH100" s="17" t="n">
        <f aca="false">IF(AK100="","",AK100*$AZ100)</f>
        <v>9.65902032176402</v>
      </c>
      <c r="BI100" s="17" t="n">
        <f aca="false">IF(BF100="","",N(BF100)+N(BG100))</f>
        <v>16.739320000359</v>
      </c>
      <c r="BJ100" s="17" t="n">
        <f aca="false">IF(BI100="","",BI100+N($M100)*N(BH100))</f>
        <v>21.5746255734341</v>
      </c>
      <c r="BK100" s="13" t="n">
        <f aca="false">IFERROR(BD100/AL100,1)</f>
        <v>1.01681400883504</v>
      </c>
    </row>
    <row r="101" customFormat="false" ht="15" hidden="false" customHeight="false" outlineLevel="0" collapsed="false">
      <c r="A101" s="0" t="s">
        <v>1106</v>
      </c>
      <c r="B101" s="0" t="s">
        <v>775</v>
      </c>
      <c r="C101" s="0" t="s">
        <v>813</v>
      </c>
      <c r="D101" s="0" t="s">
        <v>817</v>
      </c>
      <c r="E101" s="0" t="s">
        <v>1105</v>
      </c>
      <c r="F101" s="0" t="s">
        <v>1266</v>
      </c>
      <c r="G101" s="0" t="str">
        <f aca="false">IFERROR(IF(INDEX(Matches!$W$5:$W$17,MATCH($C101,Matches!$A$5:$A$17,0))="","",INDEX(Matches!$W$5:$W$17,MATCH($C101,Matches!$A$5:$A$17,0))),"")</f>
        <v>Mirage</v>
      </c>
      <c r="H101" s="0" t="str">
        <f aca="false">IFERROR(IF(INDEX(Matches!$X$5:$X$17,MATCH($C101,Matches!$A$5:$A$17,0))="","",INDEX(Matches!$X$5:$X$17,MATCH($C101,Matches!$A$5:$A$17,0))),"")</f>
        <v>Dust2</v>
      </c>
      <c r="I101" s="0" t="str">
        <f aca="false">IFERROR(IF(INDEX(Matches!$Y$5:$Y$17,MATCH($C101,Matches!$A$5:$A$17,0))="","",INDEX(Matches!$Y$5:$Y$17,MATCH($C101,Matches!$A$5:$A$17,0))),"")</f>
        <v>Anubis</v>
      </c>
      <c r="J101" s="11" t="n">
        <f aca="false">IFERROR(IF(INDEX(Matches!$Z$5:$Z$17,MATCH($C101,Matches!$A$5:$A$17,0))="","",INDEX(Matches!$Z$5:$Z$17,MATCH($C101,Matches!$A$5:$A$17,0))),"")</f>
        <v>21.5</v>
      </c>
      <c r="K101" s="11" t="n">
        <f aca="false">IFERROR(IF(INDEX(Matches!$AA$5:$AA$17,MATCH($C101,Matches!$A$5:$A$17,0))="","",INDEX(Matches!$AA$5:$AA$17,MATCH($C101,Matches!$A$5:$A$17,0))),"")</f>
        <v>21.42</v>
      </c>
      <c r="L101" s="11" t="n">
        <f aca="false">IFERROR(IF(INDEX(Matches!$AB$5:$AB$17,MATCH($C101,Matches!$A$5:$A$17,0))="","",INDEX(Matches!$AB$5:$AB$17,MATCH($C101,Matches!$A$5:$A$17,0))),"")</f>
        <v>21.5</v>
      </c>
      <c r="M101" s="10" t="n">
        <f aca="false">IFERROR(IF(INDEX(Matches!$AC$5:$AC$17,MATCH($C101,Matches!$A$5:$A$17,0))="","",INDEX(Matches!$AC$5:$AC$17,MATCH($C101,Matches!$A$5:$A$17,0))),"")</f>
        <v>0.5006</v>
      </c>
      <c r="N101" s="9" t="n">
        <f aca="false">IFERROR(INDEX(Players!$F$2:$F$105,MATCH($F101,Players!$A$2:$A$105,0)),0)</f>
        <v>31</v>
      </c>
      <c r="O101" s="13" t="n">
        <f aca="false">IFERROR(1/(1/INDEX(Players!$H$2:$H$105,MATCH($F101,Players!$A$2:$A$105,0))),"")</f>
        <v>0.81</v>
      </c>
      <c r="P101" s="10" t="n">
        <f aca="false">IFERROR(1/(1/INDEX(Players!$I$2:$I$105,MATCH($F101,Players!$A$2:$A$105,0))),"")</f>
        <v>0.574</v>
      </c>
      <c r="Q101" s="9" t="n">
        <f aca="false">IF($G101="",0,SUMIFS(Map_Stats!$F$2:$F$642,Map_Stats!$A$2:$A$642,$F101&amp;"|"&amp;$G101))</f>
        <v>8</v>
      </c>
      <c r="R101" s="13" t="n">
        <f aca="false">IF($G101="","",IFERROR(1/(1/INDEX(Map_Stats!$K$2:$K$642,MATCH($F101&amp;"|"&amp;$G101,Map_Stats!$A$2:$A$642,0))),$O101))</f>
        <v>0.84</v>
      </c>
      <c r="S101" s="10" t="n">
        <f aca="false">IF(OR($G101="",$P101=""),"",IFERROR(1/(1/INDEX(Map_Stats!$I$2:$I$642,MATCH($F101&amp;"|"&amp;$G101,Map_Stats!$A$2:$A$642,0))),$P101))</f>
        <v>0.601</v>
      </c>
      <c r="T101" s="13" t="n">
        <f aca="false">IF(OR($G101="",R101=""),"",IF($O101="",R101,(Q101*R101+Config!$B$4*$O101)/(Q101+Config!$B$4)))</f>
        <v>0.828461538461539</v>
      </c>
      <c r="U101" s="10" t="n">
        <f aca="false">IF(S101="","",(Q101*S101+Config!$B$4*$P101)/(Q101+Config!$B$4))</f>
        <v>0.590615384615385</v>
      </c>
      <c r="V101" s="17" t="n">
        <f aca="false">IF(OR(T101="",$J101=""),"",T101*$J101*($J101/Config!$B$10)^Config!$B$9)</f>
        <v>17.8119230769231</v>
      </c>
      <c r="W101" s="17" t="n">
        <f aca="false">IF(OR(V101="",U101=""),"",V101*U101)</f>
        <v>10.5199957988166</v>
      </c>
      <c r="X101" s="9" t="n">
        <f aca="false">IF($H101="",0,SUMIFS(Map_Stats!$F$2:$F$642,Map_Stats!$A$2:$A$642,$F101&amp;"|"&amp;$H101))</f>
        <v>3</v>
      </c>
      <c r="Y101" s="13" t="n">
        <f aca="false">IF($H101="","",IFERROR(1/(1/INDEX(Map_Stats!$K$2:$K$642,MATCH($F101&amp;"|"&amp;$H101,Map_Stats!$A$2:$A$642,0))),$O101))</f>
        <v>0.61</v>
      </c>
      <c r="Z101" s="10" t="n">
        <f aca="false">IF(OR($H101="",$P101=""),"",IFERROR(1/(1/INDEX(Map_Stats!$I$2:$I$642,MATCH($F101&amp;"|"&amp;$H101,Map_Stats!$A$2:$A$642,0))),$P101))</f>
        <v>0.571</v>
      </c>
      <c r="AA101" s="13" t="n">
        <f aca="false">IF(OR($H101="",Y101=""),"",IF($O101="",Y101,(X101*Y101+Config!$B$4*$O101)/(X101+Config!$B$4)))</f>
        <v>0.735</v>
      </c>
      <c r="AB101" s="10" t="n">
        <f aca="false">IF(Z101="","",(X101*Z101+Config!$B$4*$P101)/(X101+Config!$B$4))</f>
        <v>0.572875</v>
      </c>
      <c r="AC101" s="17" t="n">
        <f aca="false">IF(OR(AA101="",$K101=""),"",AA101*$K101*($K101/Config!$B$10)^Config!$B$9)</f>
        <v>15.7437</v>
      </c>
      <c r="AD101" s="17" t="n">
        <f aca="false">IF(OR(AC101="",AB101=""),"",AC101*AB101)</f>
        <v>9.0191721375</v>
      </c>
      <c r="AE101" s="9" t="n">
        <f aca="false">IF($I101="",0,SUMIFS(Map_Stats!$F$2:$F$642,Map_Stats!$A$2:$A$642,$F101&amp;"|"&amp;$I101))</f>
        <v>2</v>
      </c>
      <c r="AF101" s="13" t="n">
        <f aca="false">IF($I101="","",IFERROR(1/(1/INDEX(Map_Stats!$K$2:$K$642,MATCH($F101&amp;"|"&amp;$I101,Map_Stats!$A$2:$A$642,0))),$O101))</f>
        <v>0.84</v>
      </c>
      <c r="AG101" s="10" t="n">
        <f aca="false">IF(OR($I101="",$P101=""),"",IFERROR(1/(1/INDEX(Map_Stats!$I$2:$I$642,MATCH($F101&amp;"|"&amp;$I101,Map_Stats!$A$2:$A$642,0))),$P101))</f>
        <v>0.581</v>
      </c>
      <c r="AH101" s="13" t="n">
        <f aca="false">IF(OR($I101="",AF101=""),"",IF($O101="",AF101,(AE101*AF101+Config!$B$4*$O101)/(AE101+Config!$B$4)))</f>
        <v>0.818571428571429</v>
      </c>
      <c r="AI101" s="10" t="n">
        <f aca="false">IF(AG101="","",(AE101*AG101+Config!$B$4*$P101)/(AE101+Config!$B$4))</f>
        <v>0.576</v>
      </c>
      <c r="AJ101" s="17" t="n">
        <f aca="false">IF(OR(AH101="",$L101=""),"",AH101*$L101*($L101/Config!$B$10)^Config!$B$9)</f>
        <v>17.5992857142857</v>
      </c>
      <c r="AK101" s="17" t="n">
        <f aca="false">IF(OR(AJ101="",AI101=""),"",AJ101*AI101)</f>
        <v>10.1371885714286</v>
      </c>
      <c r="AL101" s="17" t="n">
        <f aca="false">N(V101)+N(AC101)</f>
        <v>33.5556230769231</v>
      </c>
      <c r="AM101" s="17" t="n">
        <f aca="false">AL101+N($M101)*N(AJ101)</f>
        <v>42.3658255054945</v>
      </c>
      <c r="AN101" s="17" t="n">
        <f aca="false">IF(W101="","",N(W101)+N(AD101))</f>
        <v>19.5391679363166</v>
      </c>
      <c r="AO101" s="17" t="n">
        <f aca="false">IF(AN101="","",AN101+N($M101)*N(AK101))</f>
        <v>24.6138445351737</v>
      </c>
      <c r="AP101" s="10" t="n">
        <f aca="false">IFERROR(AN101/AL101,"")</f>
        <v>0.582291912491831</v>
      </c>
      <c r="AQ101" s="0" t="str">
        <f aca="false">TRIM(IF($N101&lt;Config!$B$12,"thin sample ("&amp;$N101&amp;" maps) · ","")&amp;IF(AND($G101&lt;&gt;"",Q101=0),"M1 unplayed→overall KPR · ","")&amp;IF(AND($H101&lt;&gt;"",X101=0),"M2 unplayed→overall KPR · ","")&amp;IF($O101="","no PickFinder stats",""))</f>
        <v/>
      </c>
      <c r="AR101" s="0" t="str">
        <f aca="false">IF($C101=Board!$B$2,COUNTIFS($C$2:$C$105,Board!$B$2,$AL$2:$AL$105,"&gt;"&amp;$AL101)+COUNTIFS($C$1:$C100,Board!$B$2,$AL$1:$AL100,$AL101)+1,"")</f>
        <v/>
      </c>
      <c r="AS101" s="0" t="str">
        <f aca="false">IFERROR(IF($D101=INDEX(Matches!$AD$5:$AD$17,MATCH($C101,Matches!$A$5:$A$17,0)),"A",IF($D101=INDEX(Matches!$AE$5:$AE$17,MATCH($C101,Matches!$A$5:$A$17,0)),"B","")),"")</f>
        <v>A</v>
      </c>
      <c r="AT101" s="10" t="n">
        <f aca="false">IF($AS101="","",IFERROR(IF($AS101="A",INDEX(Matches!$AI$5:$AI$17,MATCH($C101,Matches!$A$5:$A$17,0)),INDEX(Matches!$AJ$5:$AJ$17,MATCH($C101,Matches!$A$5:$A$17,0))),""))</f>
        <v>0.547384816538242</v>
      </c>
      <c r="AU101" s="10" t="n">
        <f aca="false">IF($AS101="","",IFERROR(IF(INDEX(Matches!$AP$5:$AP$17,MATCH($C101,Matches!$A$5:$A$17,0))="","",IF($AS101="A",INDEX(Matches!$AP$5:$AP$17,MATCH($C101,Matches!$A$5:$A$17,0)),1-INDEX(Matches!$AP$5:$AP$17,MATCH($C101,Matches!$A$5:$A$17,0)))),""))</f>
        <v>0.506798920460862</v>
      </c>
      <c r="AV101" s="13" t="n">
        <f aca="false">IF(OR($AU101="",$AT101=""),1,((Config!$B$14*$AU101+Config!$B$15*(1-$AU101))/(Config!$B$14*$AT101+Config!$B$15*(1-$AT101)))^Config!$B$13)</f>
        <v>0.965205103322598</v>
      </c>
      <c r="AW101" s="10" t="n">
        <f aca="false">IF($AS101="","",IFERROR(IF(INDEX(Matches!$AV$5:$AV$17,MATCH($C101,Matches!$A$5:$A$17,0))="","",IF($AS101="A",INDEX(Matches!$AV$5:$AV$17,MATCH($C101,Matches!$A$5:$A$17,0)),1-INDEX(Matches!$AV$5:$AV$17,MATCH($C101,Matches!$A$5:$A$17,0)))),""))</f>
        <v>0.49505904586525</v>
      </c>
      <c r="AX101" s="13" t="n">
        <f aca="false">IF(OR($AW101="",$AT101=""),1,((Config!$B$14*$AW101+Config!$B$15*(1-$AW101))/(Config!$B$14*$AT101+Config!$B$15*(1-$AT101)))^Config!$B$13)</f>
        <v>0.955140332970327</v>
      </c>
      <c r="AY101" s="10" t="n">
        <f aca="false">IF($AS101="","",IFERROR(IF(INDEX(Matches!$BB$5:$BB$17,MATCH($C101,Matches!$A$5:$A$17,0))="","",IF($AS101="A",INDEX(Matches!$BB$5:$BB$17,MATCH($C101,Matches!$A$5:$A$17,0)),1-INDEX(Matches!$BB$5:$BB$17,MATCH($C101,Matches!$A$5:$A$17,0)))),""))</f>
        <v>0.52574795921389</v>
      </c>
      <c r="AZ101" s="13" t="n">
        <f aca="false">IF(OR($AY101="",$AT101=""),1,((Config!$B$14*$AY101+Config!$B$15*(1-$AY101))/(Config!$B$14*$AT101+Config!$B$15*(1-$AT101)))^Config!$B$13)</f>
        <v>0.981450398099154</v>
      </c>
      <c r="BA101" s="17" t="n">
        <f aca="false">IF(V101="","",V101*$AV101)</f>
        <v>17.1921590538357</v>
      </c>
      <c r="BB101" s="17" t="n">
        <f aca="false">IF(AC101="","",AC101*$AX101)</f>
        <v>15.0374428601849</v>
      </c>
      <c r="BC101" s="17" t="n">
        <f aca="false">IF(AJ101="","",AJ101*$AZ101)</f>
        <v>17.2728259705465</v>
      </c>
      <c r="BD101" s="17" t="n">
        <f aca="false">N(BA101)+N(BB101)</f>
        <v>32.2296019140207</v>
      </c>
      <c r="BE101" s="17" t="n">
        <f aca="false">BD101+N($M101)*N(BC101)</f>
        <v>40.8763785948762</v>
      </c>
      <c r="BF101" s="17" t="n">
        <f aca="false">IF(W101="","",W101*$AV101)</f>
        <v>10.15395363195</v>
      </c>
      <c r="BG101" s="17" t="n">
        <f aca="false">IF(AD101="","",AD101*$AX101)</f>
        <v>8.61457507852845</v>
      </c>
      <c r="BH101" s="17" t="n">
        <f aca="false">IF(AK101="","",AK101*$AZ101)</f>
        <v>9.94914775903477</v>
      </c>
      <c r="BI101" s="17" t="n">
        <f aca="false">IF(BF101="","",N(BF101)+N(BG101))</f>
        <v>18.7685287104785</v>
      </c>
      <c r="BJ101" s="17" t="n">
        <f aca="false">IF(BI101="","",BI101+N($M101)*N(BH101))</f>
        <v>23.7490720786513</v>
      </c>
      <c r="BK101" s="13" t="n">
        <f aca="false">IFERROR(BD101/AL101,1)</f>
        <v>0.960482892543445</v>
      </c>
    </row>
    <row r="102" customFormat="false" ht="15" hidden="false" customHeight="false" outlineLevel="0" collapsed="false">
      <c r="A102" s="0" t="s">
        <v>1108</v>
      </c>
      <c r="B102" s="0" t="s">
        <v>775</v>
      </c>
      <c r="C102" s="0" t="s">
        <v>813</v>
      </c>
      <c r="D102" s="0" t="s">
        <v>817</v>
      </c>
      <c r="E102" s="0" t="s">
        <v>1107</v>
      </c>
      <c r="F102" s="0" t="s">
        <v>1267</v>
      </c>
      <c r="G102" s="0" t="str">
        <f aca="false">IFERROR(IF(INDEX(Matches!$W$5:$W$17,MATCH($C102,Matches!$A$5:$A$17,0))="","",INDEX(Matches!$W$5:$W$17,MATCH($C102,Matches!$A$5:$A$17,0))),"")</f>
        <v>Mirage</v>
      </c>
      <c r="H102" s="0" t="str">
        <f aca="false">IFERROR(IF(INDEX(Matches!$X$5:$X$17,MATCH($C102,Matches!$A$5:$A$17,0))="","",INDEX(Matches!$X$5:$X$17,MATCH($C102,Matches!$A$5:$A$17,0))),"")</f>
        <v>Dust2</v>
      </c>
      <c r="I102" s="0" t="str">
        <f aca="false">IFERROR(IF(INDEX(Matches!$Y$5:$Y$17,MATCH($C102,Matches!$A$5:$A$17,0))="","",INDEX(Matches!$Y$5:$Y$17,MATCH($C102,Matches!$A$5:$A$17,0))),"")</f>
        <v>Anubis</v>
      </c>
      <c r="J102" s="11" t="n">
        <f aca="false">IFERROR(IF(INDEX(Matches!$Z$5:$Z$17,MATCH($C102,Matches!$A$5:$A$17,0))="","",INDEX(Matches!$Z$5:$Z$17,MATCH($C102,Matches!$A$5:$A$17,0))),"")</f>
        <v>21.5</v>
      </c>
      <c r="K102" s="11" t="n">
        <f aca="false">IFERROR(IF(INDEX(Matches!$AA$5:$AA$17,MATCH($C102,Matches!$A$5:$A$17,0))="","",INDEX(Matches!$AA$5:$AA$17,MATCH($C102,Matches!$A$5:$A$17,0))),"")</f>
        <v>21.42</v>
      </c>
      <c r="L102" s="11" t="n">
        <f aca="false">IFERROR(IF(INDEX(Matches!$AB$5:$AB$17,MATCH($C102,Matches!$A$5:$A$17,0))="","",INDEX(Matches!$AB$5:$AB$17,MATCH($C102,Matches!$A$5:$A$17,0))),"")</f>
        <v>21.5</v>
      </c>
      <c r="M102" s="10" t="n">
        <f aca="false">IFERROR(IF(INDEX(Matches!$AC$5:$AC$17,MATCH($C102,Matches!$A$5:$A$17,0))="","",INDEX(Matches!$AC$5:$AC$17,MATCH($C102,Matches!$A$5:$A$17,0))),"")</f>
        <v>0.5006</v>
      </c>
      <c r="N102" s="9" t="n">
        <f aca="false">IFERROR(INDEX(Players!$F$2:$F$105,MATCH($F102,Players!$A$2:$A$105,0)),0)</f>
        <v>31</v>
      </c>
      <c r="O102" s="13" t="n">
        <f aca="false">IFERROR(1/(1/INDEX(Players!$H$2:$H$105,MATCH($F102,Players!$A$2:$A$105,0))),"")</f>
        <v>0.68</v>
      </c>
      <c r="P102" s="10" t="n">
        <f aca="false">IFERROR(1/(1/INDEX(Players!$I$2:$I$105,MATCH($F102,Players!$A$2:$A$105,0))),"")</f>
        <v>0.324</v>
      </c>
      <c r="Q102" s="9" t="n">
        <f aca="false">IF($G102="",0,SUMIFS(Map_Stats!$F$2:$F$642,Map_Stats!$A$2:$A$642,$F102&amp;"|"&amp;$G102))</f>
        <v>8</v>
      </c>
      <c r="R102" s="13" t="n">
        <f aca="false">IF($G102="","",IFERROR(1/(1/INDEX(Map_Stats!$K$2:$K$642,MATCH($F102&amp;"|"&amp;$G102,Map_Stats!$A$2:$A$642,0))),$O102))</f>
        <v>0.67</v>
      </c>
      <c r="S102" s="10" t="n">
        <f aca="false">IF(OR($G102="",$P102=""),"",IFERROR(1/(1/INDEX(Map_Stats!$I$2:$I$642,MATCH($F102&amp;"|"&amp;$G102,Map_Stats!$A$2:$A$642,0))),$P102))</f>
        <v>0.32</v>
      </c>
      <c r="T102" s="13" t="n">
        <f aca="false">IF(OR($G102="",R102=""),"",IF($O102="",R102,(Q102*R102+Config!$B$4*$O102)/(Q102+Config!$B$4)))</f>
        <v>0.673846153846154</v>
      </c>
      <c r="U102" s="10" t="n">
        <f aca="false">IF(S102="","",(Q102*S102+Config!$B$4*$P102)/(Q102+Config!$B$4))</f>
        <v>0.321538461538462</v>
      </c>
      <c r="V102" s="17" t="n">
        <f aca="false">IF(OR(T102="",$J102=""),"",T102*$J102*($J102/Config!$B$10)^Config!$B$9)</f>
        <v>14.4876923076923</v>
      </c>
      <c r="W102" s="17" t="n">
        <f aca="false">IF(OR(V102="",U102=""),"",V102*U102)</f>
        <v>4.65835029585799</v>
      </c>
      <c r="X102" s="9" t="n">
        <f aca="false">IF($H102="",0,SUMIFS(Map_Stats!$F$2:$F$642,Map_Stats!$A$2:$A$642,$F102&amp;"|"&amp;$H102))</f>
        <v>3</v>
      </c>
      <c r="Y102" s="13" t="n">
        <f aca="false">IF($H102="","",IFERROR(1/(1/INDEX(Map_Stats!$K$2:$K$642,MATCH($F102&amp;"|"&amp;$H102,Map_Stats!$A$2:$A$642,0))),$O102))</f>
        <v>0.63</v>
      </c>
      <c r="Z102" s="10" t="n">
        <f aca="false">IF(OR($H102="",$P102=""),"",IFERROR(1/(1/INDEX(Map_Stats!$I$2:$I$642,MATCH($F102&amp;"|"&amp;$H102,Map_Stats!$A$2:$A$642,0))),$P102))</f>
        <v>0.278</v>
      </c>
      <c r="AA102" s="13" t="n">
        <f aca="false">IF(OR($H102="",Y102=""),"",IF($O102="",Y102,(X102*Y102+Config!$B$4*$O102)/(X102+Config!$B$4)))</f>
        <v>0.66125</v>
      </c>
      <c r="AB102" s="10" t="n">
        <f aca="false">IF(Z102="","",(X102*Z102+Config!$B$4*$P102)/(X102+Config!$B$4))</f>
        <v>0.30675</v>
      </c>
      <c r="AC102" s="17" t="n">
        <f aca="false">IF(OR(AA102="",$K102=""),"",AA102*$K102*($K102/Config!$B$10)^Config!$B$9)</f>
        <v>14.163975</v>
      </c>
      <c r="AD102" s="17" t="n">
        <f aca="false">IF(OR(AC102="",AB102=""),"",AC102*AB102)</f>
        <v>4.34479933125</v>
      </c>
      <c r="AE102" s="9" t="n">
        <f aca="false">IF($I102="",0,SUMIFS(Map_Stats!$F$2:$F$642,Map_Stats!$A$2:$A$642,$F102&amp;"|"&amp;$I102))</f>
        <v>2</v>
      </c>
      <c r="AF102" s="13" t="n">
        <f aca="false">IF($I102="","",IFERROR(1/(1/INDEX(Map_Stats!$K$2:$K$642,MATCH($F102&amp;"|"&amp;$I102,Map_Stats!$A$2:$A$642,0))),$O102))</f>
        <v>0.73</v>
      </c>
      <c r="AG102" s="10" t="n">
        <f aca="false">IF(OR($I102="",$P102=""),"",IFERROR(1/(1/INDEX(Map_Stats!$I$2:$I$642,MATCH($F102&amp;"|"&amp;$I102,Map_Stats!$A$2:$A$642,0))),$P102))</f>
        <v>0.259</v>
      </c>
      <c r="AH102" s="13" t="n">
        <f aca="false">IF(OR($I102="",AF102=""),"",IF($O102="",AF102,(AE102*AF102+Config!$B$4*$O102)/(AE102+Config!$B$4)))</f>
        <v>0.694285714285714</v>
      </c>
      <c r="AI102" s="10" t="n">
        <f aca="false">IF(AG102="","",(AE102*AG102+Config!$B$4*$P102)/(AE102+Config!$B$4))</f>
        <v>0.305428571428571</v>
      </c>
      <c r="AJ102" s="17" t="n">
        <f aca="false">IF(OR(AH102="",$L102=""),"",AH102*$L102*($L102/Config!$B$10)^Config!$B$9)</f>
        <v>14.9271428571429</v>
      </c>
      <c r="AK102" s="17" t="n">
        <f aca="false">IF(OR(AJ102="",AI102=""),"",AJ102*AI102)</f>
        <v>4.55917591836735</v>
      </c>
      <c r="AL102" s="17" t="n">
        <f aca="false">N(V102)+N(AC102)</f>
        <v>28.6516673076923</v>
      </c>
      <c r="AM102" s="17" t="n">
        <f aca="false">AL102+N($M102)*N(AJ102)</f>
        <v>36.124195021978</v>
      </c>
      <c r="AN102" s="17" t="n">
        <f aca="false">IF(W102="","",N(W102)+N(AD102))</f>
        <v>9.00314962710799</v>
      </c>
      <c r="AO102" s="17" t="n">
        <f aca="false">IF(AN102="","",AN102+N($M102)*N(AK102))</f>
        <v>11.2854730918427</v>
      </c>
      <c r="AP102" s="10" t="n">
        <f aca="false">IFERROR(AN102/AL102,"")</f>
        <v>0.314227773568027</v>
      </c>
      <c r="AQ102" s="0" t="str">
        <f aca="false">TRIM(IF($N102&lt;Config!$B$12,"thin sample ("&amp;$N102&amp;" maps) · ","")&amp;IF(AND($G102&lt;&gt;"",Q102=0),"M1 unplayed→overall KPR · ","")&amp;IF(AND($H102&lt;&gt;"",X102=0),"M2 unplayed→overall KPR · ","")&amp;IF($O102="","no PickFinder stats",""))</f>
        <v/>
      </c>
      <c r="AR102" s="0" t="str">
        <f aca="false">IF($C102=Board!$B$2,COUNTIFS($C$2:$C$105,Board!$B$2,$AL$2:$AL$105,"&gt;"&amp;$AL102)+COUNTIFS($C$1:$C101,Board!$B$2,$AL$1:$AL101,$AL102)+1,"")</f>
        <v/>
      </c>
      <c r="AS102" s="0" t="str">
        <f aca="false">IFERROR(IF($D102=INDEX(Matches!$AD$5:$AD$17,MATCH($C102,Matches!$A$5:$A$17,0)),"A",IF($D102=INDEX(Matches!$AE$5:$AE$17,MATCH($C102,Matches!$A$5:$A$17,0)),"B","")),"")</f>
        <v>A</v>
      </c>
      <c r="AT102" s="10" t="n">
        <f aca="false">IF($AS102="","",IFERROR(IF($AS102="A",INDEX(Matches!$AI$5:$AI$17,MATCH($C102,Matches!$A$5:$A$17,0)),INDEX(Matches!$AJ$5:$AJ$17,MATCH($C102,Matches!$A$5:$A$17,0))),""))</f>
        <v>0.547384816538242</v>
      </c>
      <c r="AU102" s="10" t="n">
        <f aca="false">IF($AS102="","",IFERROR(IF(INDEX(Matches!$AP$5:$AP$17,MATCH($C102,Matches!$A$5:$A$17,0))="","",IF($AS102="A",INDEX(Matches!$AP$5:$AP$17,MATCH($C102,Matches!$A$5:$A$17,0)),1-INDEX(Matches!$AP$5:$AP$17,MATCH($C102,Matches!$A$5:$A$17,0)))),""))</f>
        <v>0.506798920460862</v>
      </c>
      <c r="AV102" s="13" t="n">
        <f aca="false">IF(OR($AU102="",$AT102=""),1,((Config!$B$14*$AU102+Config!$B$15*(1-$AU102))/(Config!$B$14*$AT102+Config!$B$15*(1-$AT102)))^Config!$B$13)</f>
        <v>0.965205103322598</v>
      </c>
      <c r="AW102" s="10" t="n">
        <f aca="false">IF($AS102="","",IFERROR(IF(INDEX(Matches!$AV$5:$AV$17,MATCH($C102,Matches!$A$5:$A$17,0))="","",IF($AS102="A",INDEX(Matches!$AV$5:$AV$17,MATCH($C102,Matches!$A$5:$A$17,0)),1-INDEX(Matches!$AV$5:$AV$17,MATCH($C102,Matches!$A$5:$A$17,0)))),""))</f>
        <v>0.49505904586525</v>
      </c>
      <c r="AX102" s="13" t="n">
        <f aca="false">IF(OR($AW102="",$AT102=""),1,((Config!$B$14*$AW102+Config!$B$15*(1-$AW102))/(Config!$B$14*$AT102+Config!$B$15*(1-$AT102)))^Config!$B$13)</f>
        <v>0.955140332970327</v>
      </c>
      <c r="AY102" s="10" t="n">
        <f aca="false">IF($AS102="","",IFERROR(IF(INDEX(Matches!$BB$5:$BB$17,MATCH($C102,Matches!$A$5:$A$17,0))="","",IF($AS102="A",INDEX(Matches!$BB$5:$BB$17,MATCH($C102,Matches!$A$5:$A$17,0)),1-INDEX(Matches!$BB$5:$BB$17,MATCH($C102,Matches!$A$5:$A$17,0)))),""))</f>
        <v>0.52574795921389</v>
      </c>
      <c r="AZ102" s="13" t="n">
        <f aca="false">IF(OR($AY102="",$AT102=""),1,((Config!$B$14*$AY102+Config!$B$15*(1-$AY102))/(Config!$B$14*$AT102+Config!$B$15*(1-$AT102)))^Config!$B$13)</f>
        <v>0.981450398099154</v>
      </c>
      <c r="BA102" s="17" t="n">
        <f aca="false">IF(V102="","",V102*$AV102)</f>
        <v>13.9835945507522</v>
      </c>
      <c r="BB102" s="17" t="n">
        <f aca="false">IF(AC102="","",AC102*$AX102)</f>
        <v>13.5285837976834</v>
      </c>
      <c r="BC102" s="17" t="n">
        <f aca="false">IF(AJ102="","",AJ102*$AZ102)</f>
        <v>14.6502502996258</v>
      </c>
      <c r="BD102" s="17" t="n">
        <f aca="false">N(BA102)+N(BB102)</f>
        <v>27.5121783484356</v>
      </c>
      <c r="BE102" s="17" t="n">
        <f aca="false">BD102+N($M102)*N(BC102)</f>
        <v>34.8460936484282</v>
      </c>
      <c r="BF102" s="17" t="n">
        <f aca="false">IF(W102="","",W102*$AV102)</f>
        <v>4.49626347862647</v>
      </c>
      <c r="BG102" s="17" t="n">
        <f aca="false">IF(AD102="","",AD102*$AX102)</f>
        <v>4.14989307993938</v>
      </c>
      <c r="BH102" s="17" t="n">
        <f aca="false">IF(AK102="","",AK102*$AZ102)</f>
        <v>4.47460502008571</v>
      </c>
      <c r="BI102" s="17" t="n">
        <f aca="false">IF(BF102="","",N(BF102)+N(BG102))</f>
        <v>8.64615655856585</v>
      </c>
      <c r="BJ102" s="17" t="n">
        <f aca="false">IF(BI102="","",BI102+N($M102)*N(BH102))</f>
        <v>10.8861438316208</v>
      </c>
      <c r="BK102" s="13" t="n">
        <f aca="false">IFERROR(BD102/AL102,1)</f>
        <v>0.960229575925907</v>
      </c>
    </row>
    <row r="103" customFormat="false" ht="15" hidden="false" customHeight="false" outlineLevel="0" collapsed="false">
      <c r="A103" s="0" t="s">
        <v>1110</v>
      </c>
      <c r="B103" s="0" t="s">
        <v>775</v>
      </c>
      <c r="C103" s="0" t="s">
        <v>813</v>
      </c>
      <c r="D103" s="0" t="s">
        <v>817</v>
      </c>
      <c r="E103" s="0" t="s">
        <v>1109</v>
      </c>
      <c r="F103" s="0" t="s">
        <v>1268</v>
      </c>
      <c r="G103" s="0" t="str">
        <f aca="false">IFERROR(IF(INDEX(Matches!$W$5:$W$17,MATCH($C103,Matches!$A$5:$A$17,0))="","",INDEX(Matches!$W$5:$W$17,MATCH($C103,Matches!$A$5:$A$17,0))),"")</f>
        <v>Mirage</v>
      </c>
      <c r="H103" s="0" t="str">
        <f aca="false">IFERROR(IF(INDEX(Matches!$X$5:$X$17,MATCH($C103,Matches!$A$5:$A$17,0))="","",INDEX(Matches!$X$5:$X$17,MATCH($C103,Matches!$A$5:$A$17,0))),"")</f>
        <v>Dust2</v>
      </c>
      <c r="I103" s="0" t="str">
        <f aca="false">IFERROR(IF(INDEX(Matches!$Y$5:$Y$17,MATCH($C103,Matches!$A$5:$A$17,0))="","",INDEX(Matches!$Y$5:$Y$17,MATCH($C103,Matches!$A$5:$A$17,0))),"")</f>
        <v>Anubis</v>
      </c>
      <c r="J103" s="11" t="n">
        <f aca="false">IFERROR(IF(INDEX(Matches!$Z$5:$Z$17,MATCH($C103,Matches!$A$5:$A$17,0))="","",INDEX(Matches!$Z$5:$Z$17,MATCH($C103,Matches!$A$5:$A$17,0))),"")</f>
        <v>21.5</v>
      </c>
      <c r="K103" s="11" t="n">
        <f aca="false">IFERROR(IF(INDEX(Matches!$AA$5:$AA$17,MATCH($C103,Matches!$A$5:$A$17,0))="","",INDEX(Matches!$AA$5:$AA$17,MATCH($C103,Matches!$A$5:$A$17,0))),"")</f>
        <v>21.42</v>
      </c>
      <c r="L103" s="11" t="n">
        <f aca="false">IFERROR(IF(INDEX(Matches!$AB$5:$AB$17,MATCH($C103,Matches!$A$5:$A$17,0))="","",INDEX(Matches!$AB$5:$AB$17,MATCH($C103,Matches!$A$5:$A$17,0))),"")</f>
        <v>21.5</v>
      </c>
      <c r="M103" s="10" t="n">
        <f aca="false">IFERROR(IF(INDEX(Matches!$AC$5:$AC$17,MATCH($C103,Matches!$A$5:$A$17,0))="","",INDEX(Matches!$AC$5:$AC$17,MATCH($C103,Matches!$A$5:$A$17,0))),"")</f>
        <v>0.5006</v>
      </c>
      <c r="N103" s="9" t="n">
        <f aca="false">IFERROR(INDEX(Players!$F$2:$F$105,MATCH($F103,Players!$A$2:$A$105,0)),0)</f>
        <v>31</v>
      </c>
      <c r="O103" s="13" t="n">
        <f aca="false">IFERROR(1/(1/INDEX(Players!$H$2:$H$105,MATCH($F103,Players!$A$2:$A$105,0))),"")</f>
        <v>0.53</v>
      </c>
      <c r="P103" s="10" t="n">
        <f aca="false">IFERROR(1/(1/INDEX(Players!$I$2:$I$105,MATCH($F103,Players!$A$2:$A$105,0))),"")</f>
        <v>0.543</v>
      </c>
      <c r="Q103" s="9" t="n">
        <f aca="false">IF($G103="",0,SUMIFS(Map_Stats!$F$2:$F$642,Map_Stats!$A$2:$A$642,$F103&amp;"|"&amp;$G103))</f>
        <v>8</v>
      </c>
      <c r="R103" s="13" t="n">
        <f aca="false">IF($G103="","",IFERROR(1/(1/INDEX(Map_Stats!$K$2:$K$642,MATCH($F103&amp;"|"&amp;$G103,Map_Stats!$A$2:$A$642,0))),$O103))</f>
        <v>0.5</v>
      </c>
      <c r="S103" s="10" t="n">
        <f aca="false">IF(OR($G103="",$P103=""),"",IFERROR(1/(1/INDEX(Map_Stats!$I$2:$I$642,MATCH($F103&amp;"|"&amp;$G103,Map_Stats!$A$2:$A$642,0))),$P103))</f>
        <v>0.5</v>
      </c>
      <c r="T103" s="13" t="n">
        <f aca="false">IF(OR($G103="",R103=""),"",IF($O103="",R103,(Q103*R103+Config!$B$4*$O103)/(Q103+Config!$B$4)))</f>
        <v>0.511538461538462</v>
      </c>
      <c r="U103" s="10" t="n">
        <f aca="false">IF(S103="","",(Q103*S103+Config!$B$4*$P103)/(Q103+Config!$B$4))</f>
        <v>0.516538461538462</v>
      </c>
      <c r="V103" s="17" t="n">
        <f aca="false">IF(OR(T103="",$J103=""),"",T103*$J103*($J103/Config!$B$10)^Config!$B$9)</f>
        <v>10.9980769230769</v>
      </c>
      <c r="W103" s="17" t="n">
        <f aca="false">IF(OR(V103="",U103=""),"",V103*U103)</f>
        <v>5.68092973372781</v>
      </c>
      <c r="X103" s="9" t="n">
        <f aca="false">IF($H103="",0,SUMIFS(Map_Stats!$F$2:$F$642,Map_Stats!$A$2:$A$642,$F103&amp;"|"&amp;$H103))</f>
        <v>3</v>
      </c>
      <c r="Y103" s="13" t="n">
        <f aca="false">IF($H103="","",IFERROR(1/(1/INDEX(Map_Stats!$K$2:$K$642,MATCH($F103&amp;"|"&amp;$H103,Map_Stats!$A$2:$A$642,0))),$O103))</f>
        <v>0.6</v>
      </c>
      <c r="Z103" s="10" t="n">
        <f aca="false">IF(OR($H103="",$P103=""),"",IFERROR(1/(1/INDEX(Map_Stats!$I$2:$I$642,MATCH($F103&amp;"|"&amp;$H103,Map_Stats!$A$2:$A$642,0))),$P103))</f>
        <v>0.676</v>
      </c>
      <c r="AA103" s="13" t="n">
        <f aca="false">IF(OR($H103="",Y103=""),"",IF($O103="",Y103,(X103*Y103+Config!$B$4*$O103)/(X103+Config!$B$4)))</f>
        <v>0.55625</v>
      </c>
      <c r="AB103" s="10" t="n">
        <f aca="false">IF(Z103="","",(X103*Z103+Config!$B$4*$P103)/(X103+Config!$B$4))</f>
        <v>0.592875</v>
      </c>
      <c r="AC103" s="17" t="n">
        <f aca="false">IF(OR(AA103="",$K103=""),"",AA103*$K103*($K103/Config!$B$10)^Config!$B$9)</f>
        <v>11.914875</v>
      </c>
      <c r="AD103" s="17" t="n">
        <f aca="false">IF(OR(AC103="",AB103=""),"",AC103*AB103)</f>
        <v>7.064031515625</v>
      </c>
      <c r="AE103" s="9" t="n">
        <f aca="false">IF($I103="",0,SUMIFS(Map_Stats!$F$2:$F$642,Map_Stats!$A$2:$A$642,$F103&amp;"|"&amp;$I103))</f>
        <v>2</v>
      </c>
      <c r="AF103" s="13" t="n">
        <f aca="false">IF($I103="","",IFERROR(1/(1/INDEX(Map_Stats!$K$2:$K$642,MATCH($F103&amp;"|"&amp;$I103,Map_Stats!$A$2:$A$642,0))),$O103))</f>
        <v>0.54</v>
      </c>
      <c r="AG103" s="10" t="n">
        <f aca="false">IF(OR($I103="",$P103=""),"",IFERROR(1/(1/INDEX(Map_Stats!$I$2:$I$642,MATCH($F103&amp;"|"&amp;$I103,Map_Stats!$A$2:$A$642,0))),$P103))</f>
        <v>0.55</v>
      </c>
      <c r="AH103" s="13" t="n">
        <f aca="false">IF(OR($I103="",AF103=""),"",IF($O103="",AF103,(AE103*AF103+Config!$B$4*$O103)/(AE103+Config!$B$4)))</f>
        <v>0.532857142857143</v>
      </c>
      <c r="AI103" s="10" t="n">
        <f aca="false">IF(AG103="","",(AE103*AG103+Config!$B$4*$P103)/(AE103+Config!$B$4))</f>
        <v>0.545</v>
      </c>
      <c r="AJ103" s="17" t="n">
        <f aca="false">IF(OR(AH103="",$L103=""),"",AH103*$L103*($L103/Config!$B$10)^Config!$B$9)</f>
        <v>11.4564285714286</v>
      </c>
      <c r="AK103" s="17" t="n">
        <f aca="false">IF(OR(AJ103="",AI103=""),"",AJ103*AI103)</f>
        <v>6.24375357142857</v>
      </c>
      <c r="AL103" s="17" t="n">
        <f aca="false">N(V103)+N(AC103)</f>
        <v>22.9129519230769</v>
      </c>
      <c r="AM103" s="17" t="n">
        <f aca="false">AL103+N($M103)*N(AJ103)</f>
        <v>28.6480400659341</v>
      </c>
      <c r="AN103" s="17" t="n">
        <f aca="false">IF(W103="","",N(W103)+N(AD103))</f>
        <v>12.7449612493528</v>
      </c>
      <c r="AO103" s="17" t="n">
        <f aca="false">IF(AN103="","",AN103+N($M103)*N(AK103))</f>
        <v>15.87058428721</v>
      </c>
      <c r="AP103" s="10" t="n">
        <f aca="false">IFERROR(AN103/AL103,"")</f>
        <v>0.556233927960921</v>
      </c>
      <c r="AQ103" s="0" t="str">
        <f aca="false">TRIM(IF($N103&lt;Config!$B$12,"thin sample ("&amp;$N103&amp;" maps) · ","")&amp;IF(AND($G103&lt;&gt;"",Q103=0),"M1 unplayed→overall KPR · ","")&amp;IF(AND($H103&lt;&gt;"",X103=0),"M2 unplayed→overall KPR · ","")&amp;IF($O103="","no PickFinder stats",""))</f>
        <v/>
      </c>
      <c r="AR103" s="0" t="str">
        <f aca="false">IF($C103=Board!$B$2,COUNTIFS($C$2:$C$105,Board!$B$2,$AL$2:$AL$105,"&gt;"&amp;$AL103)+COUNTIFS($C$1:$C102,Board!$B$2,$AL$1:$AL102,$AL103)+1,"")</f>
        <v/>
      </c>
      <c r="AS103" s="0" t="str">
        <f aca="false">IFERROR(IF($D103=INDEX(Matches!$AD$5:$AD$17,MATCH($C103,Matches!$A$5:$A$17,0)),"A",IF($D103=INDEX(Matches!$AE$5:$AE$17,MATCH($C103,Matches!$A$5:$A$17,0)),"B","")),"")</f>
        <v>A</v>
      </c>
      <c r="AT103" s="10" t="n">
        <f aca="false">IF($AS103="","",IFERROR(IF($AS103="A",INDEX(Matches!$AI$5:$AI$17,MATCH($C103,Matches!$A$5:$A$17,0)),INDEX(Matches!$AJ$5:$AJ$17,MATCH($C103,Matches!$A$5:$A$17,0))),""))</f>
        <v>0.547384816538242</v>
      </c>
      <c r="AU103" s="10" t="n">
        <f aca="false">IF($AS103="","",IFERROR(IF(INDEX(Matches!$AP$5:$AP$17,MATCH($C103,Matches!$A$5:$A$17,0))="","",IF($AS103="A",INDEX(Matches!$AP$5:$AP$17,MATCH($C103,Matches!$A$5:$A$17,0)),1-INDEX(Matches!$AP$5:$AP$17,MATCH($C103,Matches!$A$5:$A$17,0)))),""))</f>
        <v>0.506798920460862</v>
      </c>
      <c r="AV103" s="13" t="n">
        <f aca="false">IF(OR($AU103="",$AT103=""),1,((Config!$B$14*$AU103+Config!$B$15*(1-$AU103))/(Config!$B$14*$AT103+Config!$B$15*(1-$AT103)))^Config!$B$13)</f>
        <v>0.965205103322598</v>
      </c>
      <c r="AW103" s="10" t="n">
        <f aca="false">IF($AS103="","",IFERROR(IF(INDEX(Matches!$AV$5:$AV$17,MATCH($C103,Matches!$A$5:$A$17,0))="","",IF($AS103="A",INDEX(Matches!$AV$5:$AV$17,MATCH($C103,Matches!$A$5:$A$17,0)),1-INDEX(Matches!$AV$5:$AV$17,MATCH($C103,Matches!$A$5:$A$17,0)))),""))</f>
        <v>0.49505904586525</v>
      </c>
      <c r="AX103" s="13" t="n">
        <f aca="false">IF(OR($AW103="",$AT103=""),1,((Config!$B$14*$AW103+Config!$B$15*(1-$AW103))/(Config!$B$14*$AT103+Config!$B$15*(1-$AT103)))^Config!$B$13)</f>
        <v>0.955140332970327</v>
      </c>
      <c r="AY103" s="10" t="n">
        <f aca="false">IF($AS103="","",IFERROR(IF(INDEX(Matches!$BB$5:$BB$17,MATCH($C103,Matches!$A$5:$A$17,0))="","",IF($AS103="A",INDEX(Matches!$BB$5:$BB$17,MATCH($C103,Matches!$A$5:$A$17,0)),1-INDEX(Matches!$BB$5:$BB$17,MATCH($C103,Matches!$A$5:$A$17,0)))),""))</f>
        <v>0.52574795921389</v>
      </c>
      <c r="AZ103" s="13" t="n">
        <f aca="false">IF(OR($AY103="",$AT103=""),1,((Config!$B$14*$AY103+Config!$B$15*(1-$AY103))/(Config!$B$14*$AT103+Config!$B$15*(1-$AT103)))^Config!$B$13)</f>
        <v>0.981450398099154</v>
      </c>
      <c r="BA103" s="17" t="n">
        <f aca="false">IF(V103="","",V103*$AV103)</f>
        <v>10.6153999728883</v>
      </c>
      <c r="BB103" s="17" t="n">
        <f aca="false">IF(AC103="","",AC103*$AX103)</f>
        <v>11.3803776747998</v>
      </c>
      <c r="BC103" s="17" t="n">
        <f aca="false">IF(AJ103="","",AJ103*$AZ103)</f>
        <v>11.2439163822231</v>
      </c>
      <c r="BD103" s="17" t="n">
        <f aca="false">N(BA103)+N(BB103)</f>
        <v>21.9957776476882</v>
      </c>
      <c r="BE103" s="17" t="n">
        <f aca="false">BD103+N($M103)*N(BC103)</f>
        <v>27.6244821886291</v>
      </c>
      <c r="BF103" s="17" t="n">
        <f aca="false">IF(W103="","",W103*$AV103)</f>
        <v>5.48326237061117</v>
      </c>
      <c r="BG103" s="17" t="n">
        <f aca="false">IF(AD103="","",AD103*$AX103)</f>
        <v>6.74714141394694</v>
      </c>
      <c r="BH103" s="17" t="n">
        <f aca="false">IF(AK103="","",AK103*$AZ103)</f>
        <v>6.12793442831159</v>
      </c>
      <c r="BI103" s="17" t="n">
        <f aca="false">IF(BF103="","",N(BF103)+N(BG103))</f>
        <v>12.2304037845581</v>
      </c>
      <c r="BJ103" s="17" t="n">
        <f aca="false">IF(BI103="","",BI103+N($M103)*N(BH103))</f>
        <v>15.2980477593709</v>
      </c>
      <c r="BK103" s="13" t="n">
        <f aca="false">IFERROR(BD103/AL103,1)</f>
        <v>0.959971361242852</v>
      </c>
    </row>
    <row r="104" customFormat="false" ht="15" hidden="false" customHeight="false" outlineLevel="0" collapsed="false">
      <c r="A104" s="0" t="s">
        <v>1112</v>
      </c>
      <c r="B104" s="0" t="s">
        <v>775</v>
      </c>
      <c r="C104" s="0" t="s">
        <v>813</v>
      </c>
      <c r="D104" s="0" t="s">
        <v>817</v>
      </c>
      <c r="E104" s="0" t="s">
        <v>1111</v>
      </c>
      <c r="F104" s="0" t="s">
        <v>1269</v>
      </c>
      <c r="G104" s="0" t="str">
        <f aca="false">IFERROR(IF(INDEX(Matches!$W$5:$W$17,MATCH($C104,Matches!$A$5:$A$17,0))="","",INDEX(Matches!$W$5:$W$17,MATCH($C104,Matches!$A$5:$A$17,0))),"")</f>
        <v>Mirage</v>
      </c>
      <c r="H104" s="0" t="str">
        <f aca="false">IFERROR(IF(INDEX(Matches!$X$5:$X$17,MATCH($C104,Matches!$A$5:$A$17,0))="","",INDEX(Matches!$X$5:$X$17,MATCH($C104,Matches!$A$5:$A$17,0))),"")</f>
        <v>Dust2</v>
      </c>
      <c r="I104" s="0" t="str">
        <f aca="false">IFERROR(IF(INDEX(Matches!$Y$5:$Y$17,MATCH($C104,Matches!$A$5:$A$17,0))="","",INDEX(Matches!$Y$5:$Y$17,MATCH($C104,Matches!$A$5:$A$17,0))),"")</f>
        <v>Anubis</v>
      </c>
      <c r="J104" s="11" t="n">
        <f aca="false">IFERROR(IF(INDEX(Matches!$Z$5:$Z$17,MATCH($C104,Matches!$A$5:$A$17,0))="","",INDEX(Matches!$Z$5:$Z$17,MATCH($C104,Matches!$A$5:$A$17,0))),"")</f>
        <v>21.5</v>
      </c>
      <c r="K104" s="11" t="n">
        <f aca="false">IFERROR(IF(INDEX(Matches!$AA$5:$AA$17,MATCH($C104,Matches!$A$5:$A$17,0))="","",INDEX(Matches!$AA$5:$AA$17,MATCH($C104,Matches!$A$5:$A$17,0))),"")</f>
        <v>21.42</v>
      </c>
      <c r="L104" s="11" t="n">
        <f aca="false">IFERROR(IF(INDEX(Matches!$AB$5:$AB$17,MATCH($C104,Matches!$A$5:$A$17,0))="","",INDEX(Matches!$AB$5:$AB$17,MATCH($C104,Matches!$A$5:$A$17,0))),"")</f>
        <v>21.5</v>
      </c>
      <c r="M104" s="10" t="n">
        <f aca="false">IFERROR(IF(INDEX(Matches!$AC$5:$AC$17,MATCH($C104,Matches!$A$5:$A$17,0))="","",INDEX(Matches!$AC$5:$AC$17,MATCH($C104,Matches!$A$5:$A$17,0))),"")</f>
        <v>0.5006</v>
      </c>
      <c r="N104" s="9" t="n">
        <f aca="false">IFERROR(INDEX(Players!$F$2:$F$105,MATCH($F104,Players!$A$2:$A$105,0)),0)</f>
        <v>39</v>
      </c>
      <c r="O104" s="13" t="n">
        <f aca="false">IFERROR(1/(1/INDEX(Players!$H$2:$H$105,MATCH($F104,Players!$A$2:$A$105,0))),"")</f>
        <v>0.71</v>
      </c>
      <c r="P104" s="10" t="n">
        <f aca="false">IFERROR(1/(1/INDEX(Players!$I$2:$I$105,MATCH($F104,Players!$A$2:$A$105,0))),"")</f>
        <v>0.664</v>
      </c>
      <c r="Q104" s="9" t="n">
        <f aca="false">IF($G104="",0,SUMIFS(Map_Stats!$F$2:$F$642,Map_Stats!$A$2:$A$642,$F104&amp;"|"&amp;$G104))</f>
        <v>7</v>
      </c>
      <c r="R104" s="13" t="n">
        <f aca="false">IF($G104="","",IFERROR(1/(1/INDEX(Map_Stats!$K$2:$K$642,MATCH($F104&amp;"|"&amp;$G104,Map_Stats!$A$2:$A$642,0))),$O104))</f>
        <v>0.84</v>
      </c>
      <c r="S104" s="10" t="n">
        <f aca="false">IF(OR($G104="",$P104=""),"",IFERROR(1/(1/INDEX(Map_Stats!$I$2:$I$642,MATCH($F104&amp;"|"&amp;$G104,Map_Stats!$A$2:$A$642,0))),$P104))</f>
        <v>0.688</v>
      </c>
      <c r="T104" s="13" t="n">
        <f aca="false">IF(OR($G104="",R104=""),"",IF($O104="",R104,(Q104*R104+Config!$B$4*$O104)/(Q104+Config!$B$4)))</f>
        <v>0.785833333333333</v>
      </c>
      <c r="U104" s="10" t="n">
        <f aca="false">IF(S104="","",(Q104*S104+Config!$B$4*$P104)/(Q104+Config!$B$4))</f>
        <v>0.678</v>
      </c>
      <c r="V104" s="17" t="n">
        <f aca="false">IF(OR(T104="",$J104=""),"",T104*$J104*($J104/Config!$B$10)^Config!$B$9)</f>
        <v>16.8954166666667</v>
      </c>
      <c r="W104" s="17" t="n">
        <f aca="false">IF(OR(V104="",U104=""),"",V104*U104)</f>
        <v>11.4550925</v>
      </c>
      <c r="X104" s="9" t="n">
        <f aca="false">IF($H104="",0,SUMIFS(Map_Stats!$F$2:$F$642,Map_Stats!$A$2:$A$642,$F104&amp;"|"&amp;$H104))</f>
        <v>5</v>
      </c>
      <c r="Y104" s="13" t="n">
        <f aca="false">IF($H104="","",IFERROR(1/(1/INDEX(Map_Stats!$K$2:$K$642,MATCH($F104&amp;"|"&amp;$H104,Map_Stats!$A$2:$A$642,0))),$O104))</f>
        <v>0.46</v>
      </c>
      <c r="Z104" s="10" t="n">
        <f aca="false">IF(OR($H104="",$P104=""),"",IFERROR(1/(1/INDEX(Map_Stats!$I$2:$I$642,MATCH($F104&amp;"|"&amp;$H104,Map_Stats!$A$2:$A$642,0))),$P104))</f>
        <v>0.814</v>
      </c>
      <c r="AA104" s="13" t="n">
        <f aca="false">IF(OR($H104="",Y104=""),"",IF($O104="",Y104,(X104*Y104+Config!$B$4*$O104)/(X104+Config!$B$4)))</f>
        <v>0.585</v>
      </c>
      <c r="AB104" s="10" t="n">
        <f aca="false">IF(Z104="","",(X104*Z104+Config!$B$4*$P104)/(X104+Config!$B$4))</f>
        <v>0.739</v>
      </c>
      <c r="AC104" s="17" t="n">
        <f aca="false">IF(OR(AA104="",$K104=""),"",AA104*$K104*($K104/Config!$B$10)^Config!$B$9)</f>
        <v>12.5307</v>
      </c>
      <c r="AD104" s="17" t="n">
        <f aca="false">IF(OR(AC104="",AB104=""),"",AC104*AB104)</f>
        <v>9.2601873</v>
      </c>
      <c r="AE104" s="9" t="n">
        <f aca="false">IF($I104="",0,SUMIFS(Map_Stats!$F$2:$F$642,Map_Stats!$A$2:$A$642,$F104&amp;"|"&amp;$I104))</f>
        <v>5</v>
      </c>
      <c r="AF104" s="13" t="n">
        <f aca="false">IF($I104="","",IFERROR(1/(1/INDEX(Map_Stats!$K$2:$K$642,MATCH($F104&amp;"|"&amp;$I104,Map_Stats!$A$2:$A$642,0))),$O104))</f>
        <v>0.81</v>
      </c>
      <c r="AG104" s="10" t="n">
        <f aca="false">IF(OR($I104="",$P104=""),"",IFERROR(1/(1/INDEX(Map_Stats!$I$2:$I$642,MATCH($F104&amp;"|"&amp;$I104,Map_Stats!$A$2:$A$642,0))),$P104))</f>
        <v>0.663</v>
      </c>
      <c r="AH104" s="13" t="n">
        <f aca="false">IF(OR($I104="",AF104=""),"",IF($O104="",AF104,(AE104*AF104+Config!$B$4*$O104)/(AE104+Config!$B$4)))</f>
        <v>0.76</v>
      </c>
      <c r="AI104" s="10" t="n">
        <f aca="false">IF(AG104="","",(AE104*AG104+Config!$B$4*$P104)/(AE104+Config!$B$4))</f>
        <v>0.6635</v>
      </c>
      <c r="AJ104" s="17" t="n">
        <f aca="false">IF(OR(AH104="",$L104=""),"",AH104*$L104*($L104/Config!$B$10)^Config!$B$9)</f>
        <v>16.34</v>
      </c>
      <c r="AK104" s="17" t="n">
        <f aca="false">IF(OR(AJ104="",AI104=""),"",AJ104*AI104)</f>
        <v>10.84159</v>
      </c>
      <c r="AL104" s="17" t="n">
        <f aca="false">N(V104)+N(AC104)</f>
        <v>29.4261166666667</v>
      </c>
      <c r="AM104" s="17" t="n">
        <f aca="false">AL104+N($M104)*N(AJ104)</f>
        <v>37.6059206666667</v>
      </c>
      <c r="AN104" s="17" t="n">
        <f aca="false">IF(W104="","",N(W104)+N(AD104))</f>
        <v>20.7152798</v>
      </c>
      <c r="AO104" s="17" t="n">
        <f aca="false">IF(AN104="","",AN104+N($M104)*N(AK104))</f>
        <v>26.142579754</v>
      </c>
      <c r="AP104" s="10" t="n">
        <f aca="false">IFERROR(AN104/AL104,"")</f>
        <v>0.703975996379633</v>
      </c>
      <c r="AQ104" s="0" t="str">
        <f aca="false">TRIM(IF($N104&lt;Config!$B$12,"thin sample ("&amp;$N104&amp;" maps) · ","")&amp;IF(AND($G104&lt;&gt;"",Q104=0),"M1 unplayed→overall KPR · ","")&amp;IF(AND($H104&lt;&gt;"",X104=0),"M2 unplayed→overall KPR · ","")&amp;IF($O104="","no PickFinder stats",""))</f>
        <v/>
      </c>
      <c r="AR104" s="0" t="str">
        <f aca="false">IF($C104=Board!$B$2,COUNTIFS($C$2:$C$105,Board!$B$2,$AL$2:$AL$105,"&gt;"&amp;$AL104)+COUNTIFS($C$1:$C103,Board!$B$2,$AL$1:$AL103,$AL104)+1,"")</f>
        <v/>
      </c>
      <c r="AS104" s="0" t="str">
        <f aca="false">IFERROR(IF($D104=INDEX(Matches!$AD$5:$AD$17,MATCH($C104,Matches!$A$5:$A$17,0)),"A",IF($D104=INDEX(Matches!$AE$5:$AE$17,MATCH($C104,Matches!$A$5:$A$17,0)),"B","")),"")</f>
        <v>A</v>
      </c>
      <c r="AT104" s="10" t="n">
        <f aca="false">IF($AS104="","",IFERROR(IF($AS104="A",INDEX(Matches!$AI$5:$AI$17,MATCH($C104,Matches!$A$5:$A$17,0)),INDEX(Matches!$AJ$5:$AJ$17,MATCH($C104,Matches!$A$5:$A$17,0))),""))</f>
        <v>0.547384816538242</v>
      </c>
      <c r="AU104" s="10" t="n">
        <f aca="false">IF($AS104="","",IFERROR(IF(INDEX(Matches!$AP$5:$AP$17,MATCH($C104,Matches!$A$5:$A$17,0))="","",IF($AS104="A",INDEX(Matches!$AP$5:$AP$17,MATCH($C104,Matches!$A$5:$A$17,0)),1-INDEX(Matches!$AP$5:$AP$17,MATCH($C104,Matches!$A$5:$A$17,0)))),""))</f>
        <v>0.506798920460862</v>
      </c>
      <c r="AV104" s="13" t="n">
        <f aca="false">IF(OR($AU104="",$AT104=""),1,((Config!$B$14*$AU104+Config!$B$15*(1-$AU104))/(Config!$B$14*$AT104+Config!$B$15*(1-$AT104)))^Config!$B$13)</f>
        <v>0.965205103322598</v>
      </c>
      <c r="AW104" s="10" t="n">
        <f aca="false">IF($AS104="","",IFERROR(IF(INDEX(Matches!$AV$5:$AV$17,MATCH($C104,Matches!$A$5:$A$17,0))="","",IF($AS104="A",INDEX(Matches!$AV$5:$AV$17,MATCH($C104,Matches!$A$5:$A$17,0)),1-INDEX(Matches!$AV$5:$AV$17,MATCH($C104,Matches!$A$5:$A$17,0)))),""))</f>
        <v>0.49505904586525</v>
      </c>
      <c r="AX104" s="13" t="n">
        <f aca="false">IF(OR($AW104="",$AT104=""),1,((Config!$B$14*$AW104+Config!$B$15*(1-$AW104))/(Config!$B$14*$AT104+Config!$B$15*(1-$AT104)))^Config!$B$13)</f>
        <v>0.955140332970327</v>
      </c>
      <c r="AY104" s="10" t="n">
        <f aca="false">IF($AS104="","",IFERROR(IF(INDEX(Matches!$BB$5:$BB$17,MATCH($C104,Matches!$A$5:$A$17,0))="","",IF($AS104="A",INDEX(Matches!$BB$5:$BB$17,MATCH($C104,Matches!$A$5:$A$17,0)),1-INDEX(Matches!$BB$5:$BB$17,MATCH($C104,Matches!$A$5:$A$17,0)))),""))</f>
        <v>0.52574795921389</v>
      </c>
      <c r="AZ104" s="13" t="n">
        <f aca="false">IF(OR($AY104="",$AT104=""),1,((Config!$B$14*$AY104+Config!$B$15*(1-$AY104))/(Config!$B$14*$AT104+Config!$B$15*(1-$AT104)))^Config!$B$13)</f>
        <v>0.981450398099154</v>
      </c>
      <c r="BA104" s="17" t="n">
        <f aca="false">IF(V104="","",V104*$AV104)</f>
        <v>16.3075423894284</v>
      </c>
      <c r="BB104" s="17" t="n">
        <f aca="false">IF(AC104="","",AC104*$AX104)</f>
        <v>11.9685769703513</v>
      </c>
      <c r="BC104" s="17" t="n">
        <f aca="false">IF(AJ104="","",AJ104*$AZ104)</f>
        <v>16.0368995049402</v>
      </c>
      <c r="BD104" s="17" t="n">
        <f aca="false">N(BA104)+N(BB104)</f>
        <v>28.2761193597796</v>
      </c>
      <c r="BE104" s="17" t="n">
        <f aca="false">BD104+N($M104)*N(BC104)</f>
        <v>36.3041912519527</v>
      </c>
      <c r="BF104" s="17" t="n">
        <f aca="false">IF(W104="","",W104*$AV104)</f>
        <v>11.0565137400324</v>
      </c>
      <c r="BG104" s="17" t="n">
        <f aca="false">IF(AD104="","",AD104*$AX104)</f>
        <v>8.84477838108959</v>
      </c>
      <c r="BH104" s="17" t="n">
        <f aca="false">IF(AK104="","",AK104*$AZ104)</f>
        <v>10.6404828215278</v>
      </c>
      <c r="BI104" s="17" t="n">
        <f aca="false">IF(BF104="","",N(BF104)+N(BG104))</f>
        <v>19.901292121122</v>
      </c>
      <c r="BJ104" s="17" t="n">
        <f aca="false">IF(BI104="","",BI104+N($M104)*N(BH104))</f>
        <v>25.2279178215788</v>
      </c>
      <c r="BK104" s="13" t="n">
        <f aca="false">IFERROR(BD104/AL104,1)</f>
        <v>0.96091916171223</v>
      </c>
    </row>
    <row r="105" customFormat="false" ht="15" hidden="false" customHeight="false" outlineLevel="0" collapsed="false">
      <c r="A105" s="0" t="s">
        <v>1114</v>
      </c>
      <c r="B105" s="0" t="s">
        <v>775</v>
      </c>
      <c r="C105" s="0" t="s">
        <v>813</v>
      </c>
      <c r="D105" s="0" t="s">
        <v>817</v>
      </c>
      <c r="E105" s="0" t="s">
        <v>1113</v>
      </c>
      <c r="F105" s="0" t="s">
        <v>1270</v>
      </c>
      <c r="G105" s="0" t="str">
        <f aca="false">IFERROR(IF(INDEX(Matches!$W$5:$W$17,MATCH($C105,Matches!$A$5:$A$17,0))="","",INDEX(Matches!$W$5:$W$17,MATCH($C105,Matches!$A$5:$A$17,0))),"")</f>
        <v>Mirage</v>
      </c>
      <c r="H105" s="0" t="str">
        <f aca="false">IFERROR(IF(INDEX(Matches!$X$5:$X$17,MATCH($C105,Matches!$A$5:$A$17,0))="","",INDEX(Matches!$X$5:$X$17,MATCH($C105,Matches!$A$5:$A$17,0))),"")</f>
        <v>Dust2</v>
      </c>
      <c r="I105" s="0" t="str">
        <f aca="false">IFERROR(IF(INDEX(Matches!$Y$5:$Y$17,MATCH($C105,Matches!$A$5:$A$17,0))="","",INDEX(Matches!$Y$5:$Y$17,MATCH($C105,Matches!$A$5:$A$17,0))),"")</f>
        <v>Anubis</v>
      </c>
      <c r="J105" s="11" t="n">
        <f aca="false">IFERROR(IF(INDEX(Matches!$Z$5:$Z$17,MATCH($C105,Matches!$A$5:$A$17,0))="","",INDEX(Matches!$Z$5:$Z$17,MATCH($C105,Matches!$A$5:$A$17,0))),"")</f>
        <v>21.5</v>
      </c>
      <c r="K105" s="11" t="n">
        <f aca="false">IFERROR(IF(INDEX(Matches!$AA$5:$AA$17,MATCH($C105,Matches!$A$5:$A$17,0))="","",INDEX(Matches!$AA$5:$AA$17,MATCH($C105,Matches!$A$5:$A$17,0))),"")</f>
        <v>21.42</v>
      </c>
      <c r="L105" s="11" t="n">
        <f aca="false">IFERROR(IF(INDEX(Matches!$AB$5:$AB$17,MATCH($C105,Matches!$A$5:$A$17,0))="","",INDEX(Matches!$AB$5:$AB$17,MATCH($C105,Matches!$A$5:$A$17,0))),"")</f>
        <v>21.5</v>
      </c>
      <c r="M105" s="10" t="n">
        <f aca="false">IFERROR(IF(INDEX(Matches!$AC$5:$AC$17,MATCH($C105,Matches!$A$5:$A$17,0))="","",INDEX(Matches!$AC$5:$AC$17,MATCH($C105,Matches!$A$5:$A$17,0))),"")</f>
        <v>0.5006</v>
      </c>
      <c r="N105" s="9" t="n">
        <f aca="false">IFERROR(INDEX(Players!$F$2:$F$105,MATCH($F105,Players!$A$2:$A$105,0)),0)</f>
        <v>31</v>
      </c>
      <c r="O105" s="13" t="n">
        <f aca="false">IFERROR(1/(1/INDEX(Players!$H$2:$H$105,MATCH($F105,Players!$A$2:$A$105,0))),"")</f>
        <v>0.68</v>
      </c>
      <c r="P105" s="10" t="n">
        <f aca="false">IFERROR(1/(1/INDEX(Players!$I$2:$I$105,MATCH($F105,Players!$A$2:$A$105,0))),"")</f>
        <v>0.547</v>
      </c>
      <c r="Q105" s="9" t="n">
        <f aca="false">IF($G105="",0,SUMIFS(Map_Stats!$F$2:$F$642,Map_Stats!$A$2:$A$642,$F105&amp;"|"&amp;$G105))</f>
        <v>8</v>
      </c>
      <c r="R105" s="13" t="n">
        <f aca="false">IF($G105="","",IFERROR(1/(1/INDEX(Map_Stats!$K$2:$K$642,MATCH($F105&amp;"|"&amp;$G105,Map_Stats!$A$2:$A$642,0))),$O105))</f>
        <v>0.74</v>
      </c>
      <c r="S105" s="10" t="n">
        <f aca="false">IF(OR($G105="",$P105=""),"",IFERROR(1/(1/INDEX(Map_Stats!$I$2:$I$642,MATCH($F105&amp;"|"&amp;$G105,Map_Stats!$A$2:$A$642,0))),$P105))</f>
        <v>0.554</v>
      </c>
      <c r="T105" s="13" t="n">
        <f aca="false">IF(OR($G105="",R105=""),"",IF($O105="",R105,(Q105*R105+Config!$B$4*$O105)/(Q105+Config!$B$4)))</f>
        <v>0.716923076923077</v>
      </c>
      <c r="U105" s="10" t="n">
        <f aca="false">IF(S105="","",(Q105*S105+Config!$B$4*$P105)/(Q105+Config!$B$4))</f>
        <v>0.551307692307692</v>
      </c>
      <c r="V105" s="17" t="n">
        <f aca="false">IF(OR(T105="",$J105=""),"",T105*$J105*($J105/Config!$B$10)^Config!$B$9)</f>
        <v>15.4138461538462</v>
      </c>
      <c r="W105" s="17" t="n">
        <f aca="false">IF(OR(V105="",U105=""),"",V105*U105)</f>
        <v>8.49777195266272</v>
      </c>
      <c r="X105" s="9" t="n">
        <f aca="false">IF($H105="",0,SUMIFS(Map_Stats!$F$2:$F$642,Map_Stats!$A$2:$A$642,$F105&amp;"|"&amp;$H105))</f>
        <v>3</v>
      </c>
      <c r="Y105" s="13" t="n">
        <f aca="false">IF($H105="","",IFERROR(1/(1/INDEX(Map_Stats!$K$2:$K$642,MATCH($F105&amp;"|"&amp;$H105,Map_Stats!$A$2:$A$642,0))),$O105))</f>
        <v>0.61</v>
      </c>
      <c r="Z105" s="10" t="n">
        <f aca="false">IF(OR($H105="",$P105=""),"",IFERROR(1/(1/INDEX(Map_Stats!$I$2:$I$642,MATCH($F105&amp;"|"&amp;$H105,Map_Stats!$A$2:$A$642,0))),$P105))</f>
        <v>0.457</v>
      </c>
      <c r="AA105" s="13" t="n">
        <f aca="false">IF(OR($H105="",Y105=""),"",IF($O105="",Y105,(X105*Y105+Config!$B$4*$O105)/(X105+Config!$B$4)))</f>
        <v>0.65375</v>
      </c>
      <c r="AB105" s="10" t="n">
        <f aca="false">IF(Z105="","",(X105*Z105+Config!$B$4*$P105)/(X105+Config!$B$4))</f>
        <v>0.51325</v>
      </c>
      <c r="AC105" s="17" t="n">
        <f aca="false">IF(OR(AA105="",$K105=""),"",AA105*$K105*($K105/Config!$B$10)^Config!$B$9)</f>
        <v>14.003325</v>
      </c>
      <c r="AD105" s="17" t="n">
        <f aca="false">IF(OR(AC105="",AB105=""),"",AC105*AB105)</f>
        <v>7.18720655625</v>
      </c>
      <c r="AE105" s="9" t="n">
        <f aca="false">IF($I105="",0,SUMIFS(Map_Stats!$F$2:$F$642,Map_Stats!$A$2:$A$642,$F105&amp;"|"&amp;$I105))</f>
        <v>2</v>
      </c>
      <c r="AF105" s="13" t="n">
        <f aca="false">IF($I105="","",IFERROR(1/(1/INDEX(Map_Stats!$K$2:$K$642,MATCH($F105&amp;"|"&amp;$I105,Map_Stats!$A$2:$A$642,0))),$O105))</f>
        <v>0.84</v>
      </c>
      <c r="AG105" s="10" t="n">
        <f aca="false">IF(OR($I105="",$P105=""),"",IFERROR(1/(1/INDEX(Map_Stats!$I$2:$I$642,MATCH($F105&amp;"|"&amp;$I105,Map_Stats!$A$2:$A$642,0))),$P105))</f>
        <v>0.581</v>
      </c>
      <c r="AH105" s="13" t="n">
        <f aca="false">IF(OR($I105="",AF105=""),"",IF($O105="",AF105,(AE105*AF105+Config!$B$4*$O105)/(AE105+Config!$B$4)))</f>
        <v>0.725714285714286</v>
      </c>
      <c r="AI105" s="10" t="n">
        <f aca="false">IF(AG105="","",(AE105*AG105+Config!$B$4*$P105)/(AE105+Config!$B$4))</f>
        <v>0.556714285714286</v>
      </c>
      <c r="AJ105" s="17" t="n">
        <f aca="false">IF(OR(AH105="",$L105=""),"",AH105*$L105*($L105/Config!$B$10)^Config!$B$9)</f>
        <v>15.6028571428571</v>
      </c>
      <c r="AK105" s="17" t="n">
        <f aca="false">IF(OR(AJ105="",AI105=""),"",AJ105*AI105)</f>
        <v>8.68633346938776</v>
      </c>
      <c r="AL105" s="17" t="n">
        <f aca="false">N(V105)+N(AC105)</f>
        <v>29.4171711538462</v>
      </c>
      <c r="AM105" s="17" t="n">
        <f aca="false">AL105+N($M105)*N(AJ105)</f>
        <v>37.2279614395604</v>
      </c>
      <c r="AN105" s="17" t="n">
        <f aca="false">IF(W105="","",N(W105)+N(AD105))</f>
        <v>15.6849785089127</v>
      </c>
      <c r="AO105" s="17" t="n">
        <f aca="false">IF(AN105="","",AN105+N($M105)*N(AK105))</f>
        <v>20.0333570436882</v>
      </c>
      <c r="AP105" s="10" t="n">
        <f aca="false">IFERROR(AN105/AL105,"")</f>
        <v>0.533191258496043</v>
      </c>
      <c r="AQ105" s="0" t="str">
        <f aca="false">TRIM(IF($N105&lt;Config!$B$12,"thin sample ("&amp;$N105&amp;" maps) · ","")&amp;IF(AND($G105&lt;&gt;"",Q105=0),"M1 unplayed→overall KPR · ","")&amp;IF(AND($H105&lt;&gt;"",X105=0),"M2 unplayed→overall KPR · ","")&amp;IF($O105="","no PickFinder stats",""))</f>
        <v/>
      </c>
      <c r="AR105" s="0" t="str">
        <f aca="false">IF($C105=Board!$B$2,COUNTIFS($C$2:$C$105,Board!$B$2,$AL$2:$AL$105,"&gt;"&amp;$AL105)+COUNTIFS($C$1:$C104,Board!$B$2,$AL$1:$AL104,$AL105)+1,"")</f>
        <v/>
      </c>
      <c r="AS105" s="0" t="str">
        <f aca="false">IFERROR(IF($D105=INDEX(Matches!$AD$5:$AD$17,MATCH($C105,Matches!$A$5:$A$17,0)),"A",IF($D105=INDEX(Matches!$AE$5:$AE$17,MATCH($C105,Matches!$A$5:$A$17,0)),"B","")),"")</f>
        <v>A</v>
      </c>
      <c r="AT105" s="10" t="n">
        <f aca="false">IF($AS105="","",IFERROR(IF($AS105="A",INDEX(Matches!$AI$5:$AI$17,MATCH($C105,Matches!$A$5:$A$17,0)),INDEX(Matches!$AJ$5:$AJ$17,MATCH($C105,Matches!$A$5:$A$17,0))),""))</f>
        <v>0.547384816538242</v>
      </c>
      <c r="AU105" s="10" t="n">
        <f aca="false">IF($AS105="","",IFERROR(IF(INDEX(Matches!$AP$5:$AP$17,MATCH($C105,Matches!$A$5:$A$17,0))="","",IF($AS105="A",INDEX(Matches!$AP$5:$AP$17,MATCH($C105,Matches!$A$5:$A$17,0)),1-INDEX(Matches!$AP$5:$AP$17,MATCH($C105,Matches!$A$5:$A$17,0)))),""))</f>
        <v>0.506798920460862</v>
      </c>
      <c r="AV105" s="13" t="n">
        <f aca="false">IF(OR($AU105="",$AT105=""),1,((Config!$B$14*$AU105+Config!$B$15*(1-$AU105))/(Config!$B$14*$AT105+Config!$B$15*(1-$AT105)))^Config!$B$13)</f>
        <v>0.965205103322598</v>
      </c>
      <c r="AW105" s="10" t="n">
        <f aca="false">IF($AS105="","",IFERROR(IF(INDEX(Matches!$AV$5:$AV$17,MATCH($C105,Matches!$A$5:$A$17,0))="","",IF($AS105="A",INDEX(Matches!$AV$5:$AV$17,MATCH($C105,Matches!$A$5:$A$17,0)),1-INDEX(Matches!$AV$5:$AV$17,MATCH($C105,Matches!$A$5:$A$17,0)))),""))</f>
        <v>0.49505904586525</v>
      </c>
      <c r="AX105" s="13" t="n">
        <f aca="false">IF(OR($AW105="",$AT105=""),1,((Config!$B$14*$AW105+Config!$B$15*(1-$AW105))/(Config!$B$14*$AT105+Config!$B$15*(1-$AT105)))^Config!$B$13)</f>
        <v>0.955140332970327</v>
      </c>
      <c r="AY105" s="10" t="n">
        <f aca="false">IF($AS105="","",IFERROR(IF(INDEX(Matches!$BB$5:$BB$17,MATCH($C105,Matches!$A$5:$A$17,0))="","",IF($AS105="A",INDEX(Matches!$BB$5:$BB$17,MATCH($C105,Matches!$A$5:$A$17,0)),1-INDEX(Matches!$BB$5:$BB$17,MATCH($C105,Matches!$A$5:$A$17,0)))),""))</f>
        <v>0.52574795921389</v>
      </c>
      <c r="AZ105" s="13" t="n">
        <f aca="false">IF(OR($AY105="",$AT105=""),1,((Config!$B$14*$AY105+Config!$B$15*(1-$AY105))/(Config!$B$14*$AT105+Config!$B$15*(1-$AT105)))^Config!$B$13)</f>
        <v>0.981450398099154</v>
      </c>
      <c r="BA105" s="17" t="n">
        <f aca="false">IF(V105="","",V105*$AV105)</f>
        <v>14.8775229695217</v>
      </c>
      <c r="BB105" s="17" t="n">
        <f aca="false">IF(AC105="","",AC105*$AX105)</f>
        <v>13.3751405031917</v>
      </c>
      <c r="BC105" s="17" t="n">
        <f aca="false">IF(AJ105="","",AJ105*$AZ105)</f>
        <v>15.3134303543414</v>
      </c>
      <c r="BD105" s="17" t="n">
        <f aca="false">N(BA105)+N(BB105)</f>
        <v>28.2526634727134</v>
      </c>
      <c r="BE105" s="17" t="n">
        <f aca="false">BD105+N($M105)*N(BC105)</f>
        <v>35.9185667080967</v>
      </c>
      <c r="BF105" s="17" t="n">
        <f aca="false">IF(W105="","",W105*$AV105)</f>
        <v>8.2020928555817</v>
      </c>
      <c r="BG105" s="17" t="n">
        <f aca="false">IF(AD105="","",AD105*$AX105)</f>
        <v>6.86479086326314</v>
      </c>
      <c r="BH105" s="17" t="n">
        <f aca="false">IF(AK105="","",AK105*$AZ105)</f>
        <v>8.52520544155262</v>
      </c>
      <c r="BI105" s="17" t="n">
        <f aca="false">IF(BF105="","",N(BF105)+N(BG105))</f>
        <v>15.0668837188448</v>
      </c>
      <c r="BJ105" s="17" t="n">
        <f aca="false">IF(BI105="","",BI105+N($M105)*N(BH105))</f>
        <v>19.3346015628861</v>
      </c>
      <c r="BK105" s="13" t="n">
        <f aca="false">IFERROR(BD105/AL105,1)</f>
        <v>0.960414015506706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10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1271</v>
      </c>
    </row>
    <row r="3" customFormat="false" ht="15" hidden="false" customHeight="false" outlineLevel="0" collapsed="false">
      <c r="A3" s="12" t="s">
        <v>1272</v>
      </c>
      <c r="B3" s="12" t="s">
        <v>1273</v>
      </c>
      <c r="C3" s="12" t="s">
        <v>1274</v>
      </c>
      <c r="E3" s="18" t="s">
        <v>1275</v>
      </c>
      <c r="F3" s="18" t="s">
        <v>1276</v>
      </c>
    </row>
    <row r="4" customFormat="false" ht="41.75" hidden="false" customHeight="false" outlineLevel="0" collapsed="false">
      <c r="A4" s="3" t="s">
        <v>1277</v>
      </c>
      <c r="B4" s="19" t="n">
        <v>5</v>
      </c>
      <c r="C4" s="4" t="s">
        <v>1278</v>
      </c>
      <c r="E4" s="9" t="s">
        <v>82</v>
      </c>
    </row>
    <row r="5" customFormat="false" ht="41.75" hidden="false" customHeight="false" outlineLevel="0" collapsed="false">
      <c r="A5" s="3" t="s">
        <v>1279</v>
      </c>
      <c r="B5" s="19" t="n">
        <v>1.4</v>
      </c>
      <c r="C5" s="4" t="s">
        <v>1280</v>
      </c>
      <c r="E5" s="9" t="s">
        <v>149</v>
      </c>
    </row>
    <row r="6" customFormat="false" ht="28.35" hidden="false" customHeight="false" outlineLevel="0" collapsed="false">
      <c r="A6" s="3" t="s">
        <v>1281</v>
      </c>
      <c r="B6" s="19" t="n">
        <v>0.04</v>
      </c>
      <c r="C6" s="4" t="s">
        <v>1282</v>
      </c>
      <c r="E6" s="9" t="s">
        <v>131</v>
      </c>
    </row>
    <row r="7" customFormat="false" ht="15" hidden="false" customHeight="false" outlineLevel="0" collapsed="false">
      <c r="A7" s="3" t="s">
        <v>1283</v>
      </c>
      <c r="B7" s="19" t="n">
        <v>21.5</v>
      </c>
      <c r="C7" s="4" t="s">
        <v>1284</v>
      </c>
      <c r="E7" s="9" t="s">
        <v>96</v>
      </c>
    </row>
    <row r="8" customFormat="false" ht="15" hidden="false" customHeight="false" outlineLevel="0" collapsed="false">
      <c r="A8" s="3" t="s">
        <v>1285</v>
      </c>
      <c r="B8" s="19" t="n">
        <v>22.5</v>
      </c>
      <c r="C8" s="4" t="s">
        <v>1286</v>
      </c>
      <c r="E8" s="9" t="s">
        <v>109</v>
      </c>
    </row>
    <row r="9" customFormat="false" ht="28.35" hidden="false" customHeight="false" outlineLevel="0" collapsed="false">
      <c r="A9" s="3" t="s">
        <v>1287</v>
      </c>
      <c r="B9" s="19" t="n">
        <v>0</v>
      </c>
      <c r="C9" s="4" t="s">
        <v>1288</v>
      </c>
      <c r="E9" s="9" t="s">
        <v>142</v>
      </c>
    </row>
    <row r="10" customFormat="false" ht="15" hidden="false" customHeight="false" outlineLevel="0" collapsed="false">
      <c r="A10" s="3" t="s">
        <v>1289</v>
      </c>
      <c r="B10" s="19" t="n">
        <v>21.5</v>
      </c>
      <c r="C10" s="4" t="s">
        <v>1290</v>
      </c>
      <c r="E10" s="9" t="s">
        <v>118</v>
      </c>
    </row>
    <row r="11" customFormat="false" ht="15" hidden="false" customHeight="false" outlineLevel="0" collapsed="false">
      <c r="A11" s="3" t="s">
        <v>1291</v>
      </c>
      <c r="B11" s="19" t="n">
        <v>22.5</v>
      </c>
      <c r="C11" s="4" t="s">
        <v>1286</v>
      </c>
      <c r="E11" s="9" t="s">
        <v>1292</v>
      </c>
    </row>
    <row r="12" customFormat="false" ht="15" hidden="false" customHeight="false" outlineLevel="0" collapsed="false">
      <c r="A12" s="3" t="s">
        <v>1293</v>
      </c>
      <c r="B12" s="19" t="n">
        <v>15</v>
      </c>
      <c r="C12" s="4" t="s">
        <v>1294</v>
      </c>
    </row>
    <row r="13" customFormat="false" ht="41.75" hidden="false" customHeight="false" outlineLevel="0" collapsed="false">
      <c r="A13" s="3" t="s">
        <v>1295</v>
      </c>
      <c r="B13" s="19" t="n">
        <v>1</v>
      </c>
      <c r="C13" s="4" t="s">
        <v>1296</v>
      </c>
    </row>
    <row r="14" customFormat="false" ht="28.35" hidden="false" customHeight="false" outlineLevel="0" collapsed="false">
      <c r="A14" s="3" t="s">
        <v>1297</v>
      </c>
      <c r="B14" s="19" t="n">
        <v>4.76</v>
      </c>
      <c r="C14" s="4" t="s">
        <v>1298</v>
      </c>
    </row>
    <row r="15" customFormat="false" ht="15" hidden="false" customHeight="false" outlineLevel="0" collapsed="false">
      <c r="A15" s="3" t="s">
        <v>1299</v>
      </c>
      <c r="B15" s="19" t="n">
        <v>1.82</v>
      </c>
      <c r="C15" s="4" t="s">
        <v>1300</v>
      </c>
    </row>
    <row r="17" customFormat="false" ht="15" hidden="false" customHeight="false" outlineLevel="0" collapsed="false">
      <c r="A17" s="3" t="s">
        <v>1301</v>
      </c>
    </row>
    <row r="18" customFormat="false" ht="15" hidden="false" customHeight="false" outlineLevel="0" collapsed="false">
      <c r="A18" s="0" t="s">
        <v>1302</v>
      </c>
      <c r="B18" s="0" t="s">
        <v>1303</v>
      </c>
    </row>
    <row r="19" customFormat="false" ht="15" hidden="false" customHeight="false" outlineLevel="0" collapsed="false">
      <c r="A19" s="0" t="s">
        <v>1304</v>
      </c>
      <c r="B19" s="0" t="s">
        <v>1305</v>
      </c>
    </row>
    <row r="20" customFormat="false" ht="15" hidden="false" customHeight="false" outlineLevel="0" collapsed="false">
      <c r="A20" s="0" t="s">
        <v>1306</v>
      </c>
      <c r="C20" s="0" t="s">
        <v>1307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9" min="8" style="0" width="7"/>
    <col collapsed="false" customWidth="true" hidden="false" outlineLevel="0" max="10" min="10" style="0" width="9"/>
    <col collapsed="false" customWidth="true" hidden="false" outlineLevel="0" max="11" min="11" style="0" width="6"/>
    <col collapsed="false" customWidth="true" hidden="false" outlineLevel="0" max="12" min="12" style="0" width="7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60"/>
  </cols>
  <sheetData>
    <row r="1" customFormat="false" ht="41.75" hidden="false" customHeight="false" outlineLevel="0" collapsed="false">
      <c r="A1" s="12" t="s">
        <v>1116</v>
      </c>
      <c r="B1" s="12" t="s">
        <v>713</v>
      </c>
      <c r="C1" s="12" t="s">
        <v>738</v>
      </c>
      <c r="D1" s="12" t="s">
        <v>712</v>
      </c>
      <c r="E1" s="12" t="s">
        <v>1308</v>
      </c>
      <c r="F1" s="12" t="s">
        <v>1309</v>
      </c>
      <c r="G1" s="12" t="s">
        <v>1310</v>
      </c>
      <c r="H1" s="12" t="s">
        <v>1311</v>
      </c>
      <c r="I1" s="12" t="s">
        <v>1312</v>
      </c>
      <c r="J1" s="12" t="s">
        <v>1313</v>
      </c>
      <c r="K1" s="12" t="s">
        <v>1314</v>
      </c>
      <c r="L1" s="12" t="s">
        <v>1315</v>
      </c>
      <c r="M1" s="12" t="s">
        <v>1316</v>
      </c>
      <c r="N1" s="12" t="s">
        <v>1317</v>
      </c>
      <c r="O1" s="12" t="s">
        <v>1318</v>
      </c>
    </row>
    <row r="2" customFormat="false" ht="15" hidden="false" customHeight="false" outlineLevel="0" collapsed="false">
      <c r="A2" s="0" t="s">
        <v>1242</v>
      </c>
      <c r="B2" s="0" t="s">
        <v>1055</v>
      </c>
      <c r="C2" s="0" t="s">
        <v>775</v>
      </c>
      <c r="D2" s="0" t="s">
        <v>791</v>
      </c>
      <c r="E2" s="0" t="s">
        <v>1319</v>
      </c>
      <c r="F2" s="0" t="n">
        <v>34</v>
      </c>
      <c r="G2" s="0" t="n">
        <v>12.59</v>
      </c>
      <c r="H2" s="0" t="n">
        <v>0.57</v>
      </c>
      <c r="I2" s="10" t="n">
        <v>0.586</v>
      </c>
      <c r="J2" s="0" t="n">
        <v>0.34</v>
      </c>
      <c r="K2" s="0" t="n">
        <v>0.8</v>
      </c>
      <c r="L2" s="0" t="n">
        <v>0.88</v>
      </c>
      <c r="M2" s="11" t="n">
        <f aca="false">IFERROR(G2/H2,"")</f>
        <v>22.0877192982456</v>
      </c>
      <c r="N2" s="9" t="s">
        <v>1320</v>
      </c>
      <c r="O2" s="9" t="s">
        <v>1321</v>
      </c>
    </row>
    <row r="3" customFormat="false" ht="15" hidden="false" customHeight="false" outlineLevel="0" collapsed="false">
      <c r="A3" s="0" t="s">
        <v>1243</v>
      </c>
      <c r="B3" s="0" t="s">
        <v>1057</v>
      </c>
      <c r="C3" s="0" t="s">
        <v>775</v>
      </c>
      <c r="D3" s="0" t="s">
        <v>791</v>
      </c>
      <c r="E3" s="0" t="s">
        <v>1319</v>
      </c>
      <c r="F3" s="0" t="n">
        <v>33</v>
      </c>
      <c r="G3" s="0" t="n">
        <v>15.52</v>
      </c>
      <c r="H3" s="0" t="n">
        <v>0.7</v>
      </c>
      <c r="I3" s="10" t="n">
        <v>0.594</v>
      </c>
      <c r="J3" s="0" t="n">
        <v>0.42</v>
      </c>
      <c r="K3" s="0" t="n">
        <v>0.95</v>
      </c>
      <c r="L3" s="0" t="n">
        <v>1.06</v>
      </c>
      <c r="M3" s="11" t="n">
        <f aca="false">IFERROR(G3/H3,"")</f>
        <v>22.1714285714286</v>
      </c>
      <c r="N3" s="9" t="s">
        <v>1320</v>
      </c>
      <c r="O3" s="9" t="s">
        <v>1322</v>
      </c>
    </row>
    <row r="4" customFormat="false" ht="15" hidden="false" customHeight="false" outlineLevel="0" collapsed="false">
      <c r="A4" s="0" t="s">
        <v>1244</v>
      </c>
      <c r="B4" s="0" t="s">
        <v>1059</v>
      </c>
      <c r="C4" s="0" t="s">
        <v>775</v>
      </c>
      <c r="D4" s="0" t="s">
        <v>791</v>
      </c>
      <c r="E4" s="0" t="s">
        <v>1319</v>
      </c>
      <c r="F4" s="0" t="n">
        <v>33</v>
      </c>
      <c r="G4" s="0" t="n">
        <v>17.3</v>
      </c>
      <c r="H4" s="0" t="n">
        <v>0.78</v>
      </c>
      <c r="I4" s="10" t="n">
        <v>0.324</v>
      </c>
      <c r="J4" s="0" t="n">
        <v>0.25</v>
      </c>
      <c r="K4" s="0" t="n">
        <v>1.21</v>
      </c>
      <c r="L4" s="0" t="n">
        <v>1.14</v>
      </c>
      <c r="M4" s="11" t="n">
        <f aca="false">IFERROR(G4/H4,"")</f>
        <v>22.1794871794872</v>
      </c>
      <c r="N4" s="9" t="s">
        <v>1320</v>
      </c>
      <c r="O4" s="9" t="s">
        <v>1323</v>
      </c>
    </row>
    <row r="5" customFormat="false" ht="15" hidden="false" customHeight="false" outlineLevel="0" collapsed="false">
      <c r="A5" s="0" t="s">
        <v>1245</v>
      </c>
      <c r="B5" s="0" t="s">
        <v>1061</v>
      </c>
      <c r="C5" s="0" t="s">
        <v>775</v>
      </c>
      <c r="D5" s="0" t="s">
        <v>791</v>
      </c>
      <c r="E5" s="0" t="s">
        <v>1319</v>
      </c>
      <c r="F5" s="0" t="n">
        <v>34</v>
      </c>
      <c r="G5" s="0" t="n">
        <v>12.62</v>
      </c>
      <c r="H5" s="0" t="n">
        <v>0.57</v>
      </c>
      <c r="I5" s="10" t="n">
        <v>0.501</v>
      </c>
      <c r="J5" s="0" t="n">
        <v>0.29</v>
      </c>
      <c r="K5" s="0" t="n">
        <v>0.83</v>
      </c>
      <c r="L5" s="0" t="n">
        <v>0.98</v>
      </c>
      <c r="M5" s="11" t="n">
        <f aca="false">IFERROR(G5/H5,"")</f>
        <v>22.140350877193</v>
      </c>
      <c r="N5" s="9" t="s">
        <v>1320</v>
      </c>
      <c r="O5" s="9" t="s">
        <v>1324</v>
      </c>
    </row>
    <row r="6" customFormat="false" ht="15" hidden="false" customHeight="false" outlineLevel="0" collapsed="false">
      <c r="A6" s="0" t="s">
        <v>1246</v>
      </c>
      <c r="B6" s="0" t="s">
        <v>1063</v>
      </c>
      <c r="C6" s="0" t="s">
        <v>775</v>
      </c>
      <c r="D6" s="0" t="s">
        <v>791</v>
      </c>
      <c r="E6" s="0" t="s">
        <v>1319</v>
      </c>
      <c r="F6" s="0" t="n">
        <v>34</v>
      </c>
      <c r="G6" s="0" t="n">
        <v>12.18</v>
      </c>
      <c r="H6" s="0" t="n">
        <v>0.55</v>
      </c>
      <c r="I6" s="10" t="n">
        <v>0.614</v>
      </c>
      <c r="J6" s="0" t="n">
        <v>0.34</v>
      </c>
      <c r="K6" s="0" t="n">
        <v>0.83</v>
      </c>
      <c r="L6" s="0" t="n">
        <v>0.93</v>
      </c>
      <c r="M6" s="11" t="n">
        <f aca="false">IFERROR(G6/H6,"")</f>
        <v>22.1454545454545</v>
      </c>
      <c r="N6" s="9" t="s">
        <v>1320</v>
      </c>
      <c r="O6" s="9" t="s">
        <v>1325</v>
      </c>
    </row>
    <row r="7" customFormat="false" ht="15" hidden="false" customHeight="false" outlineLevel="0" collapsed="false">
      <c r="A7" s="0" t="s">
        <v>1192</v>
      </c>
      <c r="B7" s="0" t="s">
        <v>949</v>
      </c>
      <c r="C7" s="0" t="s">
        <v>775</v>
      </c>
      <c r="D7" s="0" t="s">
        <v>805</v>
      </c>
      <c r="E7" s="0" t="s">
        <v>1326</v>
      </c>
      <c r="F7" s="0" t="n">
        <v>31</v>
      </c>
      <c r="G7" s="0" t="n">
        <v>16.06</v>
      </c>
      <c r="H7" s="0" t="n">
        <v>0.75</v>
      </c>
      <c r="I7" s="10" t="n">
        <v>0.534</v>
      </c>
      <c r="J7" s="0" t="n">
        <v>0.4</v>
      </c>
      <c r="K7" s="0" t="n">
        <v>1.12</v>
      </c>
      <c r="L7" s="0" t="n">
        <v>1.22</v>
      </c>
      <c r="M7" s="11" t="n">
        <f aca="false">IFERROR(G7/H7,"")</f>
        <v>21.4133333333333</v>
      </c>
      <c r="N7" s="9" t="s">
        <v>1320</v>
      </c>
      <c r="O7" s="9" t="s">
        <v>1327</v>
      </c>
    </row>
    <row r="8" customFormat="false" ht="15" hidden="false" customHeight="false" outlineLevel="0" collapsed="false">
      <c r="A8" s="0" t="s">
        <v>1193</v>
      </c>
      <c r="B8" s="0" t="s">
        <v>952</v>
      </c>
      <c r="C8" s="0" t="s">
        <v>775</v>
      </c>
      <c r="D8" s="0" t="s">
        <v>805</v>
      </c>
      <c r="E8" s="0" t="s">
        <v>1326</v>
      </c>
      <c r="F8" s="0" t="n">
        <v>31</v>
      </c>
      <c r="G8" s="0" t="n">
        <v>13.81</v>
      </c>
      <c r="H8" s="0" t="n">
        <v>0.62</v>
      </c>
      <c r="I8" s="10" t="n">
        <v>0.533</v>
      </c>
      <c r="J8" s="0" t="n">
        <v>0.33</v>
      </c>
      <c r="K8" s="0" t="n">
        <v>0.93</v>
      </c>
      <c r="L8" s="0" t="n">
        <v>1.05</v>
      </c>
      <c r="M8" s="11" t="n">
        <f aca="false">IFERROR(G8/H8,"")</f>
        <v>22.2741935483871</v>
      </c>
      <c r="N8" s="9" t="s">
        <v>1320</v>
      </c>
      <c r="O8" s="9" t="s">
        <v>1328</v>
      </c>
    </row>
    <row r="9" customFormat="false" ht="15" hidden="false" customHeight="false" outlineLevel="0" collapsed="false">
      <c r="A9" s="0" t="s">
        <v>1194</v>
      </c>
      <c r="B9" s="0" t="s">
        <v>954</v>
      </c>
      <c r="C9" s="0" t="s">
        <v>775</v>
      </c>
      <c r="D9" s="0" t="s">
        <v>805</v>
      </c>
      <c r="E9" s="0" t="s">
        <v>1326</v>
      </c>
      <c r="F9" s="0" t="n">
        <v>31</v>
      </c>
      <c r="G9" s="0" t="n">
        <v>14.94</v>
      </c>
      <c r="H9" s="0" t="n">
        <v>0.7</v>
      </c>
      <c r="I9" s="10" t="n">
        <v>0.492</v>
      </c>
      <c r="J9" s="0" t="n">
        <v>0.34</v>
      </c>
      <c r="K9" s="0" t="n">
        <v>1.01</v>
      </c>
      <c r="L9" s="0" t="n">
        <v>1.17</v>
      </c>
      <c r="M9" s="11" t="n">
        <f aca="false">IFERROR(G9/H9,"")</f>
        <v>21.3428571428571</v>
      </c>
      <c r="N9" s="9" t="s">
        <v>1320</v>
      </c>
      <c r="O9" s="9" t="s">
        <v>1329</v>
      </c>
    </row>
    <row r="10" customFormat="false" ht="15" hidden="false" customHeight="false" outlineLevel="0" collapsed="false">
      <c r="A10" s="0" t="s">
        <v>1195</v>
      </c>
      <c r="B10" s="0" t="s">
        <v>956</v>
      </c>
      <c r="C10" s="0" t="s">
        <v>775</v>
      </c>
      <c r="D10" s="0" t="s">
        <v>805</v>
      </c>
      <c r="E10" s="0" t="s">
        <v>1326</v>
      </c>
      <c r="F10" s="0" t="n">
        <v>31</v>
      </c>
      <c r="G10" s="0" t="n">
        <v>13.52</v>
      </c>
      <c r="H10" s="0" t="n">
        <v>0.63</v>
      </c>
      <c r="I10" s="10" t="n">
        <v>0.379</v>
      </c>
      <c r="J10" s="0" t="n">
        <v>0.24</v>
      </c>
      <c r="K10" s="0" t="n">
        <v>1.05</v>
      </c>
      <c r="L10" s="0" t="n">
        <v>1.08</v>
      </c>
      <c r="M10" s="11" t="n">
        <f aca="false">IFERROR(G10/H10,"")</f>
        <v>21.4603174603175</v>
      </c>
      <c r="N10" s="9" t="s">
        <v>1320</v>
      </c>
      <c r="O10" s="9" t="s">
        <v>1330</v>
      </c>
    </row>
    <row r="11" customFormat="false" ht="15" hidden="false" customHeight="false" outlineLevel="0" collapsed="false">
      <c r="A11" s="0" t="s">
        <v>1196</v>
      </c>
      <c r="B11" s="0" t="s">
        <v>958</v>
      </c>
      <c r="C11" s="0" t="s">
        <v>775</v>
      </c>
      <c r="D11" s="0" t="s">
        <v>806</v>
      </c>
      <c r="E11" s="0" t="s">
        <v>1331</v>
      </c>
      <c r="F11" s="0" t="n">
        <v>28</v>
      </c>
      <c r="G11" s="0" t="n">
        <v>13.25</v>
      </c>
      <c r="H11" s="0" t="n">
        <v>0.62</v>
      </c>
      <c r="I11" s="10" t="n">
        <v>0.507</v>
      </c>
      <c r="J11" s="0" t="n">
        <v>0.32</v>
      </c>
      <c r="K11" s="0" t="n">
        <v>0.95</v>
      </c>
      <c r="L11" s="0" t="n">
        <v>1.07</v>
      </c>
      <c r="M11" s="11" t="n">
        <f aca="false">IFERROR(G11/H11,"")</f>
        <v>21.3709677419355</v>
      </c>
      <c r="N11" s="9" t="s">
        <v>1320</v>
      </c>
      <c r="O11" s="9" t="s">
        <v>1332</v>
      </c>
    </row>
    <row r="12" customFormat="false" ht="15" hidden="false" customHeight="false" outlineLevel="0" collapsed="false">
      <c r="A12" s="0" t="s">
        <v>1197</v>
      </c>
      <c r="B12" s="0" t="s">
        <v>960</v>
      </c>
      <c r="C12" s="0" t="s">
        <v>775</v>
      </c>
      <c r="D12" s="0" t="s">
        <v>806</v>
      </c>
      <c r="E12" s="0" t="s">
        <v>1331</v>
      </c>
      <c r="F12" s="0" t="n">
        <v>27</v>
      </c>
      <c r="G12" s="0" t="n">
        <v>13.96</v>
      </c>
      <c r="H12" s="0" t="n">
        <v>0.62</v>
      </c>
      <c r="I12" s="10" t="n">
        <v>0.557</v>
      </c>
      <c r="J12" s="0" t="n">
        <v>0.35</v>
      </c>
      <c r="K12" s="0" t="n">
        <v>0.99</v>
      </c>
      <c r="L12" s="0" t="n">
        <v>1.02</v>
      </c>
      <c r="M12" s="11" t="n">
        <f aca="false">IFERROR(G12/H12,"")</f>
        <v>22.5161290322581</v>
      </c>
      <c r="N12" s="9" t="s">
        <v>1320</v>
      </c>
      <c r="O12" s="9" t="s">
        <v>1333</v>
      </c>
    </row>
    <row r="13" customFormat="false" ht="15" hidden="false" customHeight="false" outlineLevel="0" collapsed="false">
      <c r="A13" s="0" t="s">
        <v>1198</v>
      </c>
      <c r="B13" s="0" t="s">
        <v>962</v>
      </c>
      <c r="C13" s="0" t="s">
        <v>775</v>
      </c>
      <c r="D13" s="0" t="s">
        <v>806</v>
      </c>
      <c r="E13" s="0" t="s">
        <v>1331</v>
      </c>
      <c r="F13" s="0" t="n">
        <v>27</v>
      </c>
      <c r="G13" s="0" t="n">
        <v>15.22</v>
      </c>
      <c r="H13" s="0" t="n">
        <v>0.68</v>
      </c>
      <c r="I13" s="10" t="n">
        <v>0.71</v>
      </c>
      <c r="J13" s="0" t="n">
        <v>0.48</v>
      </c>
      <c r="K13" s="0" t="n">
        <v>1.06</v>
      </c>
      <c r="L13" s="0" t="n">
        <v>1.21</v>
      </c>
      <c r="M13" s="11" t="n">
        <f aca="false">IFERROR(G13/H13,"")</f>
        <v>22.3823529411765</v>
      </c>
      <c r="N13" s="9" t="s">
        <v>1320</v>
      </c>
      <c r="O13" s="9" t="s">
        <v>1334</v>
      </c>
    </row>
    <row r="14" customFormat="false" ht="15" hidden="false" customHeight="false" outlineLevel="0" collapsed="false">
      <c r="A14" s="0" t="s">
        <v>1199</v>
      </c>
      <c r="B14" s="0" t="s">
        <v>964</v>
      </c>
      <c r="C14" s="0" t="s">
        <v>775</v>
      </c>
      <c r="D14" s="0" t="s">
        <v>806</v>
      </c>
      <c r="E14" s="0" t="s">
        <v>1331</v>
      </c>
      <c r="F14" s="0" t="n">
        <v>27</v>
      </c>
      <c r="G14" s="0" t="n">
        <v>17.15</v>
      </c>
      <c r="H14" s="0" t="n">
        <v>0.76</v>
      </c>
      <c r="I14" s="10" t="n">
        <v>0.415</v>
      </c>
      <c r="J14" s="0" t="n">
        <v>0.32</v>
      </c>
      <c r="K14" s="0" t="n">
        <v>1.37</v>
      </c>
      <c r="L14" s="0" t="n">
        <v>1.23</v>
      </c>
      <c r="M14" s="11" t="n">
        <f aca="false">IFERROR(G14/H14,"")</f>
        <v>22.5657894736842</v>
      </c>
      <c r="N14" s="9" t="s">
        <v>1320</v>
      </c>
      <c r="O14" s="9" t="s">
        <v>1335</v>
      </c>
    </row>
    <row r="15" customFormat="false" ht="15" hidden="false" customHeight="false" outlineLevel="0" collapsed="false">
      <c r="A15" s="0" t="s">
        <v>1200</v>
      </c>
      <c r="B15" s="0" t="s">
        <v>966</v>
      </c>
      <c r="C15" s="0" t="s">
        <v>775</v>
      </c>
      <c r="D15" s="0" t="s">
        <v>806</v>
      </c>
      <c r="E15" s="0" t="s">
        <v>1331</v>
      </c>
      <c r="F15" s="0" t="n">
        <v>27</v>
      </c>
      <c r="G15" s="0" t="n">
        <v>16.56</v>
      </c>
      <c r="H15" s="0" t="n">
        <v>0.74</v>
      </c>
      <c r="I15" s="10" t="n">
        <v>0.6</v>
      </c>
      <c r="J15" s="0" t="n">
        <v>0.44</v>
      </c>
      <c r="K15" s="0" t="n">
        <v>1.13</v>
      </c>
      <c r="L15" s="0" t="n">
        <v>1.2</v>
      </c>
      <c r="M15" s="11" t="n">
        <f aca="false">IFERROR(G15/H15,"")</f>
        <v>22.3783783783784</v>
      </c>
      <c r="N15" s="9" t="s">
        <v>1320</v>
      </c>
      <c r="O15" s="9" t="s">
        <v>1336</v>
      </c>
    </row>
    <row r="16" customFormat="false" ht="15" hidden="false" customHeight="false" outlineLevel="0" collapsed="false">
      <c r="A16" s="0" t="s">
        <v>1201</v>
      </c>
      <c r="B16" s="0" t="s">
        <v>968</v>
      </c>
      <c r="C16" s="0" t="s">
        <v>775</v>
      </c>
      <c r="D16" s="0" t="s">
        <v>848</v>
      </c>
      <c r="E16" s="0" t="s">
        <v>1337</v>
      </c>
      <c r="F16" s="0" t="n">
        <v>37</v>
      </c>
      <c r="G16" s="0" t="n">
        <v>16.3</v>
      </c>
      <c r="H16" s="0" t="n">
        <v>0.75</v>
      </c>
      <c r="I16" s="10" t="n">
        <v>0.478</v>
      </c>
      <c r="J16" s="0" t="n">
        <v>0.36</v>
      </c>
      <c r="K16" s="0" t="n">
        <v>1.27</v>
      </c>
      <c r="L16" s="0" t="n">
        <v>1.21</v>
      </c>
      <c r="M16" s="11" t="n">
        <f aca="false">IFERROR(G16/H16,"")</f>
        <v>21.7333333333333</v>
      </c>
      <c r="N16" s="9" t="s">
        <v>1320</v>
      </c>
      <c r="O16" s="9" t="s">
        <v>1338</v>
      </c>
    </row>
    <row r="17" customFormat="false" ht="15" hidden="false" customHeight="false" outlineLevel="0" collapsed="false">
      <c r="A17" s="0" t="s">
        <v>1202</v>
      </c>
      <c r="B17" s="0" t="s">
        <v>970</v>
      </c>
      <c r="C17" s="0" t="s">
        <v>775</v>
      </c>
      <c r="D17" s="0" t="s">
        <v>848</v>
      </c>
      <c r="E17" s="0" t="s">
        <v>1337</v>
      </c>
      <c r="F17" s="0" t="n">
        <v>37</v>
      </c>
      <c r="G17" s="0" t="n">
        <v>13.84</v>
      </c>
      <c r="H17" s="0" t="n">
        <v>0.63</v>
      </c>
      <c r="I17" s="10" t="n">
        <v>0.617</v>
      </c>
      <c r="J17" s="0" t="n">
        <v>0.39</v>
      </c>
      <c r="K17" s="0" t="n">
        <v>0.96</v>
      </c>
      <c r="L17" s="0" t="n">
        <v>1.01</v>
      </c>
      <c r="M17" s="11" t="n">
        <f aca="false">IFERROR(G17/H17,"")</f>
        <v>21.968253968254</v>
      </c>
      <c r="N17" s="9" t="s">
        <v>1320</v>
      </c>
      <c r="O17" s="9" t="s">
        <v>1339</v>
      </c>
    </row>
    <row r="18" customFormat="false" ht="15" hidden="false" customHeight="false" outlineLevel="0" collapsed="false">
      <c r="A18" s="0" t="s">
        <v>1203</v>
      </c>
      <c r="B18" s="0" t="s">
        <v>973</v>
      </c>
      <c r="C18" s="0" t="s">
        <v>775</v>
      </c>
      <c r="D18" s="0" t="s">
        <v>848</v>
      </c>
      <c r="E18" s="0" t="s">
        <v>1337</v>
      </c>
      <c r="F18" s="0" t="n">
        <v>37</v>
      </c>
      <c r="G18" s="0" t="n">
        <v>15.54</v>
      </c>
      <c r="H18" s="0" t="n">
        <v>0.71</v>
      </c>
      <c r="I18" s="10" t="n">
        <v>0.283</v>
      </c>
      <c r="J18" s="0" t="n">
        <v>0.2</v>
      </c>
      <c r="K18" s="0" t="n">
        <v>1.16</v>
      </c>
      <c r="L18" s="0" t="n">
        <v>1.1</v>
      </c>
      <c r="M18" s="11" t="n">
        <f aca="false">IFERROR(G18/H18,"")</f>
        <v>21.887323943662</v>
      </c>
      <c r="N18" s="9" t="s">
        <v>1320</v>
      </c>
      <c r="O18" s="9" t="s">
        <v>1340</v>
      </c>
    </row>
    <row r="19" customFormat="false" ht="15" hidden="false" customHeight="false" outlineLevel="0" collapsed="false">
      <c r="A19" s="0" t="s">
        <v>1204</v>
      </c>
      <c r="B19" s="0" t="s">
        <v>975</v>
      </c>
      <c r="C19" s="0" t="s">
        <v>775</v>
      </c>
      <c r="D19" s="0" t="s">
        <v>848</v>
      </c>
      <c r="E19" s="0" t="s">
        <v>1337</v>
      </c>
      <c r="F19" s="0" t="n">
        <v>37</v>
      </c>
      <c r="G19" s="0" t="n">
        <v>13.65</v>
      </c>
      <c r="H19" s="0" t="n">
        <v>0.63</v>
      </c>
      <c r="I19" s="10" t="n">
        <v>0.562</v>
      </c>
      <c r="J19" s="0" t="n">
        <v>0.35</v>
      </c>
      <c r="K19" s="0" t="n">
        <v>0.89</v>
      </c>
      <c r="L19" s="0" t="n">
        <v>0.97</v>
      </c>
      <c r="M19" s="11" t="n">
        <f aca="false">IFERROR(G19/H19,"")</f>
        <v>21.6666666666667</v>
      </c>
      <c r="N19" s="9" t="s">
        <v>1320</v>
      </c>
      <c r="O19" s="9" t="s">
        <v>1341</v>
      </c>
    </row>
    <row r="20" customFormat="false" ht="15" hidden="false" customHeight="false" outlineLevel="0" collapsed="false">
      <c r="A20" s="0" t="s">
        <v>1225</v>
      </c>
      <c r="B20" s="0" t="s">
        <v>1021</v>
      </c>
      <c r="C20" s="0" t="s">
        <v>775</v>
      </c>
      <c r="D20" s="0" t="s">
        <v>812</v>
      </c>
      <c r="E20" s="0" t="s">
        <v>1342</v>
      </c>
      <c r="F20" s="0" t="n">
        <v>30</v>
      </c>
      <c r="G20" s="0" t="n">
        <v>18.5</v>
      </c>
      <c r="H20" s="0" t="n">
        <v>0.81</v>
      </c>
      <c r="I20" s="10" t="n">
        <v>0.614</v>
      </c>
      <c r="J20" s="0" t="n">
        <v>0.5</v>
      </c>
      <c r="K20" s="0" t="n">
        <v>1.27</v>
      </c>
      <c r="L20" s="0" t="n">
        <v>1.29</v>
      </c>
      <c r="M20" s="11" t="n">
        <f aca="false">IFERROR(G20/H20,"")</f>
        <v>22.8395061728395</v>
      </c>
      <c r="N20" s="9" t="s">
        <v>1320</v>
      </c>
      <c r="O20" s="9" t="s">
        <v>1343</v>
      </c>
    </row>
    <row r="21" customFormat="false" ht="15" hidden="false" customHeight="false" outlineLevel="0" collapsed="false">
      <c r="A21" s="0" t="s">
        <v>1226</v>
      </c>
      <c r="B21" s="0" t="s">
        <v>1023</v>
      </c>
      <c r="C21" s="0" t="s">
        <v>775</v>
      </c>
      <c r="D21" s="0" t="s">
        <v>812</v>
      </c>
      <c r="E21" s="0" t="s">
        <v>1342</v>
      </c>
      <c r="F21" s="0" t="n">
        <v>30</v>
      </c>
      <c r="G21" s="0" t="n">
        <v>15.8</v>
      </c>
      <c r="H21" s="0" t="n">
        <v>0.69</v>
      </c>
      <c r="I21" s="10" t="n">
        <v>0.584</v>
      </c>
      <c r="J21" s="0" t="n">
        <v>0.4</v>
      </c>
      <c r="K21" s="0" t="n">
        <v>0.99</v>
      </c>
      <c r="L21" s="0" t="n">
        <v>1.09</v>
      </c>
      <c r="M21" s="11" t="n">
        <f aca="false">IFERROR(G21/H21,"")</f>
        <v>22.8985507246377</v>
      </c>
      <c r="N21" s="9" t="s">
        <v>1320</v>
      </c>
      <c r="O21" s="9" t="s">
        <v>1344</v>
      </c>
    </row>
    <row r="22" customFormat="false" ht="15" hidden="false" customHeight="false" outlineLevel="0" collapsed="false">
      <c r="A22" s="0" t="s">
        <v>1227</v>
      </c>
      <c r="B22" s="0" t="s">
        <v>1025</v>
      </c>
      <c r="C22" s="0" t="s">
        <v>775</v>
      </c>
      <c r="D22" s="0" t="s">
        <v>812</v>
      </c>
      <c r="E22" s="0" t="s">
        <v>1342</v>
      </c>
      <c r="F22" s="0" t="n">
        <v>30</v>
      </c>
      <c r="G22" s="0" t="n">
        <v>13</v>
      </c>
      <c r="H22" s="0" t="n">
        <v>0.57</v>
      </c>
      <c r="I22" s="10" t="n">
        <v>0.554</v>
      </c>
      <c r="J22" s="0" t="n">
        <v>0.32</v>
      </c>
      <c r="K22" s="0" t="n">
        <v>0.83</v>
      </c>
      <c r="L22" s="0" t="n">
        <v>0.97</v>
      </c>
      <c r="M22" s="11" t="n">
        <f aca="false">IFERROR(G22/H22,"")</f>
        <v>22.8070175438597</v>
      </c>
      <c r="N22" s="9" t="s">
        <v>1320</v>
      </c>
      <c r="O22" s="9" t="s">
        <v>1345</v>
      </c>
    </row>
    <row r="23" customFormat="false" ht="15" hidden="false" customHeight="false" outlineLevel="0" collapsed="false">
      <c r="A23" s="0" t="s">
        <v>1228</v>
      </c>
      <c r="B23" s="0" t="s">
        <v>1027</v>
      </c>
      <c r="C23" s="0" t="s">
        <v>775</v>
      </c>
      <c r="D23" s="0" t="s">
        <v>812</v>
      </c>
      <c r="E23" s="0" t="s">
        <v>1342</v>
      </c>
      <c r="F23" s="0" t="n">
        <v>30</v>
      </c>
      <c r="G23" s="0" t="n">
        <v>14</v>
      </c>
      <c r="H23" s="0" t="n">
        <v>0.61</v>
      </c>
      <c r="I23" s="10" t="n">
        <v>0.417</v>
      </c>
      <c r="J23" s="0" t="n">
        <v>0.26</v>
      </c>
      <c r="K23" s="0" t="n">
        <v>1.03</v>
      </c>
      <c r="L23" s="0" t="n">
        <v>1.02</v>
      </c>
      <c r="M23" s="11" t="n">
        <f aca="false">IFERROR(G23/H23,"")</f>
        <v>22.9508196721311</v>
      </c>
      <c r="N23" s="9" t="s">
        <v>1320</v>
      </c>
      <c r="O23" s="9" t="s">
        <v>1346</v>
      </c>
    </row>
    <row r="24" customFormat="false" ht="15" hidden="false" customHeight="false" outlineLevel="0" collapsed="false">
      <c r="A24" s="0" t="s">
        <v>1229</v>
      </c>
      <c r="B24" s="0" t="s">
        <v>1029</v>
      </c>
      <c r="C24" s="0" t="s">
        <v>775</v>
      </c>
      <c r="D24" s="0" t="s">
        <v>812</v>
      </c>
      <c r="E24" s="0" t="s">
        <v>1342</v>
      </c>
      <c r="F24" s="0" t="n">
        <v>30</v>
      </c>
      <c r="G24" s="0" t="n">
        <v>16.47</v>
      </c>
      <c r="H24" s="0" t="n">
        <v>0.72</v>
      </c>
      <c r="I24" s="10" t="n">
        <v>0.547</v>
      </c>
      <c r="J24" s="0" t="n">
        <v>0.39</v>
      </c>
      <c r="K24" s="0" t="n">
        <v>1.06</v>
      </c>
      <c r="L24" s="0" t="n">
        <v>1.24</v>
      </c>
      <c r="M24" s="11" t="n">
        <f aca="false">IFERROR(G24/H24,"")</f>
        <v>22.875</v>
      </c>
      <c r="N24" s="9" t="s">
        <v>1320</v>
      </c>
      <c r="O24" s="9" t="s">
        <v>1347</v>
      </c>
    </row>
    <row r="25" customFormat="false" ht="15" hidden="false" customHeight="false" outlineLevel="0" collapsed="false">
      <c r="A25" s="0" t="s">
        <v>1210</v>
      </c>
      <c r="B25" s="0" t="s">
        <v>987</v>
      </c>
      <c r="C25" s="0" t="s">
        <v>775</v>
      </c>
      <c r="D25" s="0" t="s">
        <v>862</v>
      </c>
      <c r="E25" s="0" t="s">
        <v>1348</v>
      </c>
      <c r="F25" s="0" t="n">
        <v>36</v>
      </c>
      <c r="G25" s="0" t="n">
        <v>15.64</v>
      </c>
      <c r="H25" s="0" t="n">
        <v>0.73</v>
      </c>
      <c r="I25" s="10" t="n">
        <v>0.506</v>
      </c>
      <c r="J25" s="0" t="n">
        <v>0.37</v>
      </c>
      <c r="K25" s="0" t="n">
        <v>1.11</v>
      </c>
      <c r="L25" s="0" t="n">
        <v>1.19</v>
      </c>
      <c r="M25" s="11" t="n">
        <f aca="false">IFERROR(G25/H25,"")</f>
        <v>21.4246575342466</v>
      </c>
      <c r="N25" s="9" t="s">
        <v>1320</v>
      </c>
      <c r="O25" s="9" t="s">
        <v>1349</v>
      </c>
    </row>
    <row r="26" customFormat="false" ht="15" hidden="false" customHeight="false" outlineLevel="0" collapsed="false">
      <c r="A26" s="0" t="s">
        <v>1211</v>
      </c>
      <c r="B26" s="0" t="s">
        <v>990</v>
      </c>
      <c r="C26" s="0" t="s">
        <v>775</v>
      </c>
      <c r="D26" s="0" t="s">
        <v>862</v>
      </c>
      <c r="E26" s="0" t="s">
        <v>1348</v>
      </c>
      <c r="F26" s="0" t="n">
        <v>36</v>
      </c>
      <c r="G26" s="0" t="n">
        <v>11.56</v>
      </c>
      <c r="H26" s="0" t="n">
        <v>0.54</v>
      </c>
      <c r="I26" s="10" t="n">
        <v>0.433</v>
      </c>
      <c r="J26" s="0" t="n">
        <v>0.23</v>
      </c>
      <c r="K26" s="0" t="n">
        <v>0.76</v>
      </c>
      <c r="L26" s="0" t="n">
        <v>0.94</v>
      </c>
      <c r="M26" s="11" t="n">
        <f aca="false">IFERROR(G26/H26,"")</f>
        <v>21.4074074074074</v>
      </c>
      <c r="N26" s="9" t="s">
        <v>1320</v>
      </c>
      <c r="O26" s="9" t="s">
        <v>1350</v>
      </c>
    </row>
    <row r="27" customFormat="false" ht="15" hidden="false" customHeight="false" outlineLevel="0" collapsed="false">
      <c r="A27" s="0" t="s">
        <v>1212</v>
      </c>
      <c r="B27" s="0" t="s">
        <v>992</v>
      </c>
      <c r="C27" s="0" t="s">
        <v>775</v>
      </c>
      <c r="D27" s="0" t="s">
        <v>862</v>
      </c>
      <c r="E27" s="0" t="s">
        <v>1348</v>
      </c>
      <c r="F27" s="0" t="n">
        <v>36</v>
      </c>
      <c r="G27" s="0" t="n">
        <v>14.81</v>
      </c>
      <c r="H27" s="0" t="n">
        <v>0.69</v>
      </c>
      <c r="I27" s="10" t="n">
        <v>0.58</v>
      </c>
      <c r="J27" s="0" t="n">
        <v>0.4</v>
      </c>
      <c r="K27" s="0" t="n">
        <v>1.06</v>
      </c>
      <c r="L27" s="0" t="n">
        <v>1.12</v>
      </c>
      <c r="M27" s="11" t="n">
        <f aca="false">IFERROR(G27/H27,"")</f>
        <v>21.463768115942</v>
      </c>
      <c r="N27" s="9" t="s">
        <v>1320</v>
      </c>
      <c r="O27" s="9" t="s">
        <v>1351</v>
      </c>
    </row>
    <row r="28" customFormat="false" ht="15" hidden="false" customHeight="false" outlineLevel="0" collapsed="false">
      <c r="A28" s="0" t="s">
        <v>1213</v>
      </c>
      <c r="B28" s="0" t="s">
        <v>994</v>
      </c>
      <c r="C28" s="0" t="s">
        <v>775</v>
      </c>
      <c r="D28" s="0" t="s">
        <v>862</v>
      </c>
      <c r="E28" s="0" t="s">
        <v>1348</v>
      </c>
      <c r="F28" s="0" t="n">
        <v>36</v>
      </c>
      <c r="G28" s="0" t="n">
        <v>15.67</v>
      </c>
      <c r="H28" s="0" t="n">
        <v>0.74</v>
      </c>
      <c r="I28" s="10" t="n">
        <v>0.356</v>
      </c>
      <c r="J28" s="0" t="n">
        <v>0.26</v>
      </c>
      <c r="K28" s="0" t="n">
        <v>1.18</v>
      </c>
      <c r="L28" s="0" t="n">
        <v>1.17</v>
      </c>
      <c r="M28" s="11" t="n">
        <f aca="false">IFERROR(G28/H28,"")</f>
        <v>21.1756756756757</v>
      </c>
      <c r="N28" s="9" t="s">
        <v>1320</v>
      </c>
      <c r="O28" s="9" t="s">
        <v>1352</v>
      </c>
    </row>
    <row r="29" customFormat="false" ht="15" hidden="false" customHeight="false" outlineLevel="0" collapsed="false">
      <c r="A29" s="0" t="s">
        <v>1214</v>
      </c>
      <c r="B29" s="0" t="s">
        <v>996</v>
      </c>
      <c r="C29" s="0" t="s">
        <v>775</v>
      </c>
      <c r="D29" s="0" t="s">
        <v>862</v>
      </c>
      <c r="E29" s="0" t="s">
        <v>1348</v>
      </c>
      <c r="F29" s="0" t="n">
        <v>36</v>
      </c>
      <c r="G29" s="0" t="n">
        <v>14.25</v>
      </c>
      <c r="H29" s="0" t="n">
        <v>0.67</v>
      </c>
      <c r="I29" s="10" t="n">
        <v>0.575</v>
      </c>
      <c r="J29" s="0" t="n">
        <v>0.38</v>
      </c>
      <c r="K29" s="0" t="n">
        <v>1</v>
      </c>
      <c r="L29" s="0" t="n">
        <v>1.13</v>
      </c>
      <c r="M29" s="11" t="n">
        <f aca="false">IFERROR(G29/H29,"")</f>
        <v>21.2686567164179</v>
      </c>
      <c r="N29" s="9" t="s">
        <v>1320</v>
      </c>
      <c r="O29" s="9" t="s">
        <v>1353</v>
      </c>
    </row>
    <row r="30" customFormat="false" ht="15" hidden="false" customHeight="false" outlineLevel="0" collapsed="false">
      <c r="A30" s="0" t="s">
        <v>1177</v>
      </c>
      <c r="B30" s="0" t="s">
        <v>917</v>
      </c>
      <c r="C30" s="0" t="s">
        <v>775</v>
      </c>
      <c r="D30" s="0" t="s">
        <v>855</v>
      </c>
      <c r="E30" s="0" t="s">
        <v>1354</v>
      </c>
      <c r="F30" s="0" t="n">
        <v>28</v>
      </c>
      <c r="G30" s="0" t="n">
        <v>12.68</v>
      </c>
      <c r="H30" s="0" t="n">
        <v>0.61</v>
      </c>
      <c r="I30" s="10" t="n">
        <v>0.496</v>
      </c>
      <c r="J30" s="0" t="n">
        <v>0.3</v>
      </c>
      <c r="K30" s="0" t="n">
        <v>0.99</v>
      </c>
      <c r="L30" s="0" t="n">
        <v>1.1</v>
      </c>
      <c r="M30" s="11" t="n">
        <f aca="false">IFERROR(G30/H30,"")</f>
        <v>20.7868852459016</v>
      </c>
      <c r="N30" s="9" t="s">
        <v>1320</v>
      </c>
      <c r="O30" s="9" t="s">
        <v>1355</v>
      </c>
    </row>
    <row r="31" customFormat="false" ht="15" hidden="false" customHeight="false" outlineLevel="0" collapsed="false">
      <c r="A31" s="0" t="s">
        <v>1178</v>
      </c>
      <c r="B31" s="0" t="s">
        <v>919</v>
      </c>
      <c r="C31" s="0" t="s">
        <v>775</v>
      </c>
      <c r="D31" s="0" t="s">
        <v>855</v>
      </c>
      <c r="E31" s="0" t="s">
        <v>1354</v>
      </c>
      <c r="F31" s="0" t="n">
        <v>28</v>
      </c>
      <c r="G31" s="0" t="n">
        <v>16</v>
      </c>
      <c r="H31" s="0" t="n">
        <v>0.77</v>
      </c>
      <c r="I31" s="10" t="n">
        <v>0.471</v>
      </c>
      <c r="J31" s="0" t="n">
        <v>0.36</v>
      </c>
      <c r="K31" s="0" t="n">
        <v>1.26</v>
      </c>
      <c r="L31" s="0" t="n">
        <v>1.29</v>
      </c>
      <c r="M31" s="11" t="n">
        <f aca="false">IFERROR(G31/H31,"")</f>
        <v>20.7792207792208</v>
      </c>
      <c r="N31" s="9" t="s">
        <v>1320</v>
      </c>
      <c r="O31" s="9" t="s">
        <v>1356</v>
      </c>
    </row>
    <row r="32" customFormat="false" ht="15" hidden="false" customHeight="false" outlineLevel="0" collapsed="false">
      <c r="A32" s="0" t="s">
        <v>1179</v>
      </c>
      <c r="B32" s="0" t="s">
        <v>922</v>
      </c>
      <c r="C32" s="0" t="s">
        <v>775</v>
      </c>
      <c r="D32" s="0" t="s">
        <v>855</v>
      </c>
      <c r="E32" s="0" t="s">
        <v>1354</v>
      </c>
      <c r="F32" s="0" t="n">
        <v>28</v>
      </c>
      <c r="G32" s="0" t="n">
        <v>16.75</v>
      </c>
      <c r="H32" s="0" t="n">
        <v>0.8</v>
      </c>
      <c r="I32" s="10" t="n">
        <v>0.593</v>
      </c>
      <c r="J32" s="0" t="n">
        <v>0.48</v>
      </c>
      <c r="K32" s="0" t="n">
        <v>1.18</v>
      </c>
      <c r="L32" s="0" t="n">
        <v>1.32</v>
      </c>
      <c r="M32" s="11" t="n">
        <f aca="false">IFERROR(G32/H32,"")</f>
        <v>20.9375</v>
      </c>
      <c r="N32" s="9" t="s">
        <v>1320</v>
      </c>
      <c r="O32" s="9" t="s">
        <v>1357</v>
      </c>
    </row>
    <row r="33" customFormat="false" ht="15" hidden="false" customHeight="false" outlineLevel="0" collapsed="false">
      <c r="A33" s="0" t="s">
        <v>1180</v>
      </c>
      <c r="B33" s="0" t="s">
        <v>924</v>
      </c>
      <c r="C33" s="0" t="s">
        <v>775</v>
      </c>
      <c r="D33" s="0" t="s">
        <v>855</v>
      </c>
      <c r="E33" s="0" t="s">
        <v>1354</v>
      </c>
      <c r="F33" s="0" t="n">
        <v>28</v>
      </c>
      <c r="G33" s="0" t="n">
        <v>14.18</v>
      </c>
      <c r="H33" s="0" t="n">
        <v>0.68</v>
      </c>
      <c r="I33" s="10" t="n">
        <v>0.302</v>
      </c>
      <c r="J33" s="0" t="n">
        <v>0.21</v>
      </c>
      <c r="K33" s="0" t="n">
        <v>1.23</v>
      </c>
      <c r="L33" s="0" t="n">
        <v>1.15</v>
      </c>
      <c r="M33" s="11" t="n">
        <f aca="false">IFERROR(G33/H33,"")</f>
        <v>20.8529411764706</v>
      </c>
      <c r="N33" s="9" t="s">
        <v>1320</v>
      </c>
      <c r="O33" s="9" t="s">
        <v>1358</v>
      </c>
    </row>
    <row r="34" customFormat="false" ht="15" hidden="false" customHeight="false" outlineLevel="0" collapsed="false">
      <c r="A34" s="0" t="s">
        <v>1181</v>
      </c>
      <c r="B34" s="0" t="s">
        <v>926</v>
      </c>
      <c r="C34" s="0" t="s">
        <v>775</v>
      </c>
      <c r="D34" s="0" t="s">
        <v>855</v>
      </c>
      <c r="E34" s="0" t="s">
        <v>1354</v>
      </c>
      <c r="F34" s="0" t="n">
        <v>28</v>
      </c>
      <c r="G34" s="0" t="n">
        <v>13.18</v>
      </c>
      <c r="H34" s="0" t="n">
        <v>0.63</v>
      </c>
      <c r="I34" s="10" t="n">
        <v>0.501</v>
      </c>
      <c r="J34" s="0" t="n">
        <v>0.32</v>
      </c>
      <c r="K34" s="0" t="n">
        <v>0.94</v>
      </c>
      <c r="L34" s="0" t="n">
        <v>1.05</v>
      </c>
      <c r="M34" s="11" t="n">
        <f aca="false">IFERROR(G34/H34,"")</f>
        <v>20.9206349206349</v>
      </c>
      <c r="N34" s="9" t="s">
        <v>1320</v>
      </c>
      <c r="O34" s="9" t="s">
        <v>1359</v>
      </c>
    </row>
    <row r="35" customFormat="false" ht="15" hidden="false" customHeight="false" outlineLevel="0" collapsed="false">
      <c r="A35" s="0" t="s">
        <v>1220</v>
      </c>
      <c r="B35" s="0" t="s">
        <v>1011</v>
      </c>
      <c r="C35" s="0" t="s">
        <v>775</v>
      </c>
      <c r="D35" s="0" t="s">
        <v>824</v>
      </c>
      <c r="E35" s="0" t="s">
        <v>1360</v>
      </c>
      <c r="F35" s="0" t="n">
        <v>40</v>
      </c>
      <c r="G35" s="0" t="n">
        <v>15.25</v>
      </c>
      <c r="H35" s="0" t="n">
        <v>0.73</v>
      </c>
      <c r="I35" s="10" t="n">
        <v>0.541</v>
      </c>
      <c r="J35" s="0" t="n">
        <v>0.4</v>
      </c>
      <c r="K35" s="0" t="n">
        <v>1.21</v>
      </c>
      <c r="L35" s="0" t="n">
        <v>1.29</v>
      </c>
      <c r="M35" s="11" t="n">
        <f aca="false">IFERROR(G35/H35,"")</f>
        <v>20.8904109589041</v>
      </c>
      <c r="N35" s="9" t="s">
        <v>1320</v>
      </c>
      <c r="O35" s="9" t="s">
        <v>1361</v>
      </c>
    </row>
    <row r="36" customFormat="false" ht="15" hidden="false" customHeight="false" outlineLevel="0" collapsed="false">
      <c r="A36" s="0" t="s">
        <v>1221</v>
      </c>
      <c r="B36" s="0" t="s">
        <v>1013</v>
      </c>
      <c r="C36" s="0" t="s">
        <v>775</v>
      </c>
      <c r="D36" s="0" t="s">
        <v>824</v>
      </c>
      <c r="E36" s="0" t="s">
        <v>1360</v>
      </c>
      <c r="F36" s="0" t="n">
        <v>40</v>
      </c>
      <c r="G36" s="0" t="n">
        <v>13.93</v>
      </c>
      <c r="H36" s="0" t="n">
        <v>0.67</v>
      </c>
      <c r="I36" s="10" t="n">
        <v>0.549</v>
      </c>
      <c r="J36" s="0" t="n">
        <v>0.37</v>
      </c>
      <c r="K36" s="0" t="n">
        <v>1.03</v>
      </c>
      <c r="L36" s="0" t="n">
        <v>1.15</v>
      </c>
      <c r="M36" s="11" t="n">
        <f aca="false">IFERROR(G36/H36,"")</f>
        <v>20.7910447761194</v>
      </c>
      <c r="N36" s="9" t="s">
        <v>1320</v>
      </c>
      <c r="O36" s="9" t="s">
        <v>1362</v>
      </c>
    </row>
    <row r="37" customFormat="false" ht="15" hidden="false" customHeight="false" outlineLevel="0" collapsed="false">
      <c r="A37" s="0" t="s">
        <v>1222</v>
      </c>
      <c r="B37" s="0" t="s">
        <v>1015</v>
      </c>
      <c r="C37" s="0" t="s">
        <v>775</v>
      </c>
      <c r="D37" s="0" t="s">
        <v>824</v>
      </c>
      <c r="E37" s="0" t="s">
        <v>1360</v>
      </c>
      <c r="F37" s="0" t="n">
        <v>40</v>
      </c>
      <c r="G37" s="0" t="n">
        <v>13.47</v>
      </c>
      <c r="H37" s="0" t="n">
        <v>0.65</v>
      </c>
      <c r="I37" s="10" t="n">
        <v>0.384</v>
      </c>
      <c r="J37" s="0" t="n">
        <v>0.25</v>
      </c>
      <c r="K37" s="0" t="n">
        <v>1.15</v>
      </c>
      <c r="L37" s="0" t="n">
        <v>1.11</v>
      </c>
      <c r="M37" s="11" t="n">
        <f aca="false">IFERROR(G37/H37,"")</f>
        <v>20.7230769230769</v>
      </c>
      <c r="N37" s="9" t="s">
        <v>1320</v>
      </c>
      <c r="O37" s="9" t="s">
        <v>1363</v>
      </c>
    </row>
    <row r="38" customFormat="false" ht="15" hidden="false" customHeight="false" outlineLevel="0" collapsed="false">
      <c r="A38" s="0" t="s">
        <v>1223</v>
      </c>
      <c r="B38" s="0" t="s">
        <v>1017</v>
      </c>
      <c r="C38" s="0" t="s">
        <v>775</v>
      </c>
      <c r="D38" s="0" t="s">
        <v>824</v>
      </c>
      <c r="E38" s="0" t="s">
        <v>1360</v>
      </c>
      <c r="F38" s="0" t="n">
        <v>40</v>
      </c>
      <c r="G38" s="0" t="n">
        <v>16.2</v>
      </c>
      <c r="H38" s="0" t="n">
        <v>0.78</v>
      </c>
      <c r="I38" s="10" t="n">
        <v>0.603</v>
      </c>
      <c r="J38" s="0" t="n">
        <v>0.47</v>
      </c>
      <c r="K38" s="0" t="n">
        <v>1.26</v>
      </c>
      <c r="L38" s="0" t="n">
        <v>1.27</v>
      </c>
      <c r="M38" s="11" t="n">
        <f aca="false">IFERROR(G38/H38,"")</f>
        <v>20.7692307692308</v>
      </c>
      <c r="N38" s="9" t="s">
        <v>1320</v>
      </c>
      <c r="O38" s="9" t="s">
        <v>1364</v>
      </c>
    </row>
    <row r="39" customFormat="false" ht="15" hidden="false" customHeight="false" outlineLevel="0" collapsed="false">
      <c r="A39" s="0" t="s">
        <v>1224</v>
      </c>
      <c r="B39" s="0" t="s">
        <v>1019</v>
      </c>
      <c r="C39" s="0" t="s">
        <v>775</v>
      </c>
      <c r="D39" s="0" t="s">
        <v>824</v>
      </c>
      <c r="E39" s="0" t="s">
        <v>1360</v>
      </c>
      <c r="F39" s="0" t="n">
        <v>40</v>
      </c>
      <c r="G39" s="0" t="n">
        <v>13.47</v>
      </c>
      <c r="H39" s="0" t="n">
        <v>0.65</v>
      </c>
      <c r="I39" s="10" t="n">
        <v>0.59</v>
      </c>
      <c r="J39" s="0" t="n">
        <v>0.38</v>
      </c>
      <c r="K39" s="0" t="n">
        <v>1.03</v>
      </c>
      <c r="L39" s="0" t="n">
        <v>1.12</v>
      </c>
      <c r="M39" s="11" t="n">
        <f aca="false">IFERROR(G39/H39,"")</f>
        <v>20.7230769230769</v>
      </c>
      <c r="N39" s="9" t="s">
        <v>1320</v>
      </c>
      <c r="O39" s="9" t="s">
        <v>1365</v>
      </c>
    </row>
    <row r="40" customFormat="false" ht="15" hidden="false" customHeight="false" outlineLevel="0" collapsed="false">
      <c r="A40" s="0" t="s">
        <v>1230</v>
      </c>
      <c r="B40" s="0" t="s">
        <v>1031</v>
      </c>
      <c r="C40" s="0" t="s">
        <v>775</v>
      </c>
      <c r="D40" s="0" t="s">
        <v>811</v>
      </c>
      <c r="E40" s="0" t="s">
        <v>1366</v>
      </c>
      <c r="F40" s="0" t="n">
        <v>27</v>
      </c>
      <c r="G40" s="0" t="n">
        <v>15.19</v>
      </c>
      <c r="H40" s="0" t="n">
        <v>0.66</v>
      </c>
      <c r="I40" s="10" t="n">
        <v>0.585</v>
      </c>
      <c r="J40" s="0" t="n">
        <v>0.38</v>
      </c>
      <c r="K40" s="0" t="n">
        <v>1</v>
      </c>
      <c r="L40" s="0" t="n">
        <v>1.03</v>
      </c>
      <c r="M40" s="11" t="n">
        <f aca="false">IFERROR(G40/H40,"")</f>
        <v>23.0151515151515</v>
      </c>
      <c r="N40" s="9" t="s">
        <v>1320</v>
      </c>
      <c r="O40" s="9" t="s">
        <v>1367</v>
      </c>
    </row>
    <row r="41" customFormat="false" ht="15" hidden="false" customHeight="false" outlineLevel="0" collapsed="false">
      <c r="A41" s="0" t="s">
        <v>1231</v>
      </c>
      <c r="B41" s="0" t="s">
        <v>1033</v>
      </c>
      <c r="C41" s="0" t="s">
        <v>775</v>
      </c>
      <c r="D41" s="0" t="s">
        <v>811</v>
      </c>
      <c r="E41" s="0" t="s">
        <v>1366</v>
      </c>
      <c r="F41" s="0" t="n">
        <v>28</v>
      </c>
      <c r="G41" s="0" t="n">
        <v>18.79</v>
      </c>
      <c r="H41" s="0" t="n">
        <v>0.81</v>
      </c>
      <c r="I41" s="10" t="n">
        <v>0.321</v>
      </c>
      <c r="J41" s="0" t="n">
        <v>0.26</v>
      </c>
      <c r="K41" s="0" t="n">
        <v>1.32</v>
      </c>
      <c r="L41" s="0" t="n">
        <v>1.25</v>
      </c>
      <c r="M41" s="11" t="n">
        <f aca="false">IFERROR(G41/H41,"")</f>
        <v>23.1975308641975</v>
      </c>
      <c r="N41" s="9" t="s">
        <v>1320</v>
      </c>
      <c r="O41" s="9" t="s">
        <v>1368</v>
      </c>
    </row>
    <row r="42" customFormat="false" ht="15" hidden="false" customHeight="false" outlineLevel="0" collapsed="false">
      <c r="A42" s="0" t="s">
        <v>1232</v>
      </c>
      <c r="B42" s="0" t="s">
        <v>1035</v>
      </c>
      <c r="C42" s="0" t="s">
        <v>775</v>
      </c>
      <c r="D42" s="0" t="s">
        <v>811</v>
      </c>
      <c r="E42" s="0" t="s">
        <v>1366</v>
      </c>
      <c r="F42" s="0" t="n">
        <v>27</v>
      </c>
      <c r="G42" s="0" t="n">
        <v>13.7</v>
      </c>
      <c r="H42" s="0" t="n">
        <v>0.59</v>
      </c>
      <c r="I42" s="10" t="n">
        <v>0.557</v>
      </c>
      <c r="J42" s="0" t="n">
        <v>0.33</v>
      </c>
      <c r="K42" s="0" t="n">
        <v>0.89</v>
      </c>
      <c r="L42" s="0" t="n">
        <v>1.01</v>
      </c>
      <c r="M42" s="11" t="n">
        <f aca="false">IFERROR(G42/H42,"")</f>
        <v>23.2203389830508</v>
      </c>
      <c r="N42" s="9" t="s">
        <v>1320</v>
      </c>
      <c r="O42" s="9" t="s">
        <v>1369</v>
      </c>
    </row>
    <row r="43" customFormat="false" ht="15" hidden="false" customHeight="false" outlineLevel="0" collapsed="false">
      <c r="A43" s="0" t="s">
        <v>1233</v>
      </c>
      <c r="B43" s="0" t="s">
        <v>1037</v>
      </c>
      <c r="C43" s="0" t="s">
        <v>775</v>
      </c>
      <c r="D43" s="0" t="s">
        <v>829</v>
      </c>
      <c r="E43" s="0" t="s">
        <v>1370</v>
      </c>
      <c r="F43" s="0" t="n">
        <v>30</v>
      </c>
      <c r="G43" s="0" t="n">
        <v>13.9</v>
      </c>
      <c r="H43" s="0" t="n">
        <v>0.63</v>
      </c>
      <c r="I43" s="10" t="n">
        <v>0.561</v>
      </c>
      <c r="J43" s="0" t="n">
        <v>0.36</v>
      </c>
      <c r="K43" s="0" t="n">
        <v>0.97</v>
      </c>
      <c r="L43" s="0" t="n">
        <v>1.06</v>
      </c>
      <c r="M43" s="11" t="n">
        <f aca="false">IFERROR(G43/H43,"")</f>
        <v>22.0634920634921</v>
      </c>
      <c r="N43" s="9" t="s">
        <v>1320</v>
      </c>
      <c r="O43" s="9" t="s">
        <v>1371</v>
      </c>
    </row>
    <row r="44" customFormat="false" ht="15" hidden="false" customHeight="false" outlineLevel="0" collapsed="false">
      <c r="A44" s="0" t="s">
        <v>1234</v>
      </c>
      <c r="B44" s="0" t="s">
        <v>1039</v>
      </c>
      <c r="C44" s="0" t="s">
        <v>775</v>
      </c>
      <c r="D44" s="0" t="s">
        <v>829</v>
      </c>
      <c r="E44" s="0" t="s">
        <v>1370</v>
      </c>
      <c r="F44" s="0" t="n">
        <v>30</v>
      </c>
      <c r="G44" s="0" t="n">
        <v>14.77</v>
      </c>
      <c r="H44" s="0" t="n">
        <v>0.69</v>
      </c>
      <c r="I44" s="10" t="n">
        <v>0.526</v>
      </c>
      <c r="J44" s="0" t="n">
        <v>0.36</v>
      </c>
      <c r="K44" s="0" t="n">
        <v>1.02</v>
      </c>
      <c r="L44" s="0" t="n">
        <v>1.13</v>
      </c>
      <c r="M44" s="11" t="n">
        <f aca="false">IFERROR(G44/H44,"")</f>
        <v>21.4057971014493</v>
      </c>
      <c r="N44" s="9" t="s">
        <v>1320</v>
      </c>
      <c r="O44" s="9" t="s">
        <v>1372</v>
      </c>
    </row>
    <row r="45" customFormat="false" ht="15" hidden="false" customHeight="false" outlineLevel="0" collapsed="false">
      <c r="A45" s="0" t="s">
        <v>1235</v>
      </c>
      <c r="B45" s="0" t="s">
        <v>1041</v>
      </c>
      <c r="C45" s="0" t="s">
        <v>775</v>
      </c>
      <c r="D45" s="0" t="s">
        <v>829</v>
      </c>
      <c r="E45" s="0" t="s">
        <v>1370</v>
      </c>
      <c r="F45" s="0" t="n">
        <v>30</v>
      </c>
      <c r="G45" s="0" t="n">
        <v>15.33</v>
      </c>
      <c r="H45" s="0" t="n">
        <v>0.72</v>
      </c>
      <c r="I45" s="10" t="n">
        <v>0.363</v>
      </c>
      <c r="J45" s="0" t="n">
        <v>0.26</v>
      </c>
      <c r="K45" s="0" t="n">
        <v>1.12</v>
      </c>
      <c r="L45" s="0" t="n">
        <v>1.11</v>
      </c>
      <c r="M45" s="11" t="n">
        <f aca="false">IFERROR(G45/H45,"")</f>
        <v>21.2916666666667</v>
      </c>
      <c r="N45" s="9" t="s">
        <v>1320</v>
      </c>
      <c r="O45" s="9" t="s">
        <v>1373</v>
      </c>
    </row>
    <row r="46" customFormat="false" ht="15" hidden="false" customHeight="false" outlineLevel="0" collapsed="false">
      <c r="A46" s="0" t="s">
        <v>1236</v>
      </c>
      <c r="B46" s="0" t="s">
        <v>1043</v>
      </c>
      <c r="C46" s="0" t="s">
        <v>775</v>
      </c>
      <c r="D46" s="0" t="s">
        <v>829</v>
      </c>
      <c r="E46" s="0" t="s">
        <v>1370</v>
      </c>
      <c r="F46" s="0" t="n">
        <v>30</v>
      </c>
      <c r="G46" s="0" t="n">
        <v>14.97</v>
      </c>
      <c r="H46" s="0" t="n">
        <v>0.7</v>
      </c>
      <c r="I46" s="10" t="n">
        <v>0.588</v>
      </c>
      <c r="J46" s="0" t="n">
        <v>0.41</v>
      </c>
      <c r="K46" s="0" t="n">
        <v>1.03</v>
      </c>
      <c r="L46" s="0" t="n">
        <v>1.17</v>
      </c>
      <c r="M46" s="11" t="n">
        <f aca="false">IFERROR(G46/H46,"")</f>
        <v>21.3857142857143</v>
      </c>
      <c r="N46" s="9" t="s">
        <v>1320</v>
      </c>
      <c r="O46" s="9" t="s">
        <v>1374</v>
      </c>
    </row>
    <row r="47" customFormat="false" ht="15" hidden="false" customHeight="false" outlineLevel="0" collapsed="false">
      <c r="A47" s="0" t="s">
        <v>1237</v>
      </c>
      <c r="B47" s="0" t="s">
        <v>1045</v>
      </c>
      <c r="C47" s="0" t="s">
        <v>775</v>
      </c>
      <c r="D47" s="0" t="s">
        <v>829</v>
      </c>
      <c r="E47" s="0" t="s">
        <v>1370</v>
      </c>
      <c r="F47" s="0" t="n">
        <v>30</v>
      </c>
      <c r="G47" s="0" t="n">
        <v>14.43</v>
      </c>
      <c r="H47" s="0" t="n">
        <v>0.68</v>
      </c>
      <c r="I47" s="10" t="n">
        <v>0.54</v>
      </c>
      <c r="J47" s="0" t="n">
        <v>0.37</v>
      </c>
      <c r="K47" s="0" t="n">
        <v>1.01</v>
      </c>
      <c r="L47" s="0" t="n">
        <v>1.05</v>
      </c>
      <c r="M47" s="11" t="n">
        <f aca="false">IFERROR(G47/H47,"")</f>
        <v>21.2205882352941</v>
      </c>
      <c r="N47" s="9" t="s">
        <v>1320</v>
      </c>
      <c r="O47" s="9" t="s">
        <v>1375</v>
      </c>
    </row>
    <row r="48" customFormat="false" ht="15" hidden="false" customHeight="false" outlineLevel="0" collapsed="false">
      <c r="A48" s="0" t="s">
        <v>1238</v>
      </c>
      <c r="B48" s="0" t="s">
        <v>1047</v>
      </c>
      <c r="C48" s="0" t="s">
        <v>775</v>
      </c>
      <c r="D48" s="0" t="s">
        <v>828</v>
      </c>
      <c r="E48" s="0" t="s">
        <v>1376</v>
      </c>
      <c r="F48" s="0" t="n">
        <v>26</v>
      </c>
      <c r="G48" s="0" t="n">
        <v>15.35</v>
      </c>
      <c r="H48" s="0" t="n">
        <v>0.71</v>
      </c>
      <c r="I48" s="10" t="n">
        <v>0.554</v>
      </c>
      <c r="J48" s="0" t="n">
        <v>0.39</v>
      </c>
      <c r="K48" s="0" t="n">
        <v>1.03</v>
      </c>
      <c r="L48" s="0" t="n">
        <v>1.12</v>
      </c>
      <c r="M48" s="11" t="n">
        <f aca="false">IFERROR(G48/H48,"")</f>
        <v>21.6197183098592</v>
      </c>
      <c r="N48" s="9" t="s">
        <v>1320</v>
      </c>
      <c r="O48" s="9" t="s">
        <v>1377</v>
      </c>
    </row>
    <row r="49" customFormat="false" ht="15" hidden="false" customHeight="false" outlineLevel="0" collapsed="false">
      <c r="A49" s="0" t="s">
        <v>1239</v>
      </c>
      <c r="B49" s="0" t="s">
        <v>1049</v>
      </c>
      <c r="C49" s="0" t="s">
        <v>775</v>
      </c>
      <c r="D49" s="0" t="s">
        <v>828</v>
      </c>
      <c r="E49" s="0" t="s">
        <v>1376</v>
      </c>
      <c r="F49" s="0" t="n">
        <v>26</v>
      </c>
      <c r="G49" s="0" t="n">
        <v>15.62</v>
      </c>
      <c r="H49" s="0" t="n">
        <v>0.72</v>
      </c>
      <c r="I49" s="10" t="n">
        <v>0.534</v>
      </c>
      <c r="J49" s="0" t="n">
        <v>0.39</v>
      </c>
      <c r="K49" s="0" t="n">
        <v>1.08</v>
      </c>
      <c r="L49" s="0" t="n">
        <v>1.09</v>
      </c>
      <c r="M49" s="11" t="n">
        <f aca="false">IFERROR(G49/H49,"")</f>
        <v>21.6944444444444</v>
      </c>
      <c r="N49" s="9" t="s">
        <v>1320</v>
      </c>
      <c r="O49" s="9" t="s">
        <v>1378</v>
      </c>
    </row>
    <row r="50" customFormat="false" ht="15" hidden="false" customHeight="false" outlineLevel="0" collapsed="false">
      <c r="A50" s="0" t="s">
        <v>1240</v>
      </c>
      <c r="B50" s="0" t="s">
        <v>1051</v>
      </c>
      <c r="C50" s="0" t="s">
        <v>775</v>
      </c>
      <c r="D50" s="0" t="s">
        <v>828</v>
      </c>
      <c r="E50" s="0" t="s">
        <v>1376</v>
      </c>
      <c r="F50" s="0" t="n">
        <v>26</v>
      </c>
      <c r="G50" s="0" t="n">
        <v>16.85</v>
      </c>
      <c r="H50" s="0" t="n">
        <v>0.78</v>
      </c>
      <c r="I50" s="10" t="n">
        <v>0.331</v>
      </c>
      <c r="J50" s="0" t="n">
        <v>0.26</v>
      </c>
      <c r="K50" s="0" t="n">
        <v>1.31</v>
      </c>
      <c r="L50" s="0" t="n">
        <v>1.15</v>
      </c>
      <c r="M50" s="11" t="n">
        <f aca="false">IFERROR(G50/H50,"")</f>
        <v>21.6025641025641</v>
      </c>
      <c r="N50" s="9" t="s">
        <v>1320</v>
      </c>
      <c r="O50" s="9" t="s">
        <v>1379</v>
      </c>
    </row>
    <row r="51" customFormat="false" ht="15" hidden="false" customHeight="false" outlineLevel="0" collapsed="false">
      <c r="A51" s="0" t="s">
        <v>1241</v>
      </c>
      <c r="B51" s="0" t="s">
        <v>1053</v>
      </c>
      <c r="C51" s="0" t="s">
        <v>775</v>
      </c>
      <c r="D51" s="0" t="s">
        <v>828</v>
      </c>
      <c r="E51" s="0" t="s">
        <v>1376</v>
      </c>
      <c r="F51" s="0" t="n">
        <v>26</v>
      </c>
      <c r="G51" s="0" t="n">
        <v>12.23</v>
      </c>
      <c r="H51" s="0" t="n">
        <v>0.57</v>
      </c>
      <c r="I51" s="10" t="n">
        <v>0.55</v>
      </c>
      <c r="J51" s="0" t="n">
        <v>0.31</v>
      </c>
      <c r="K51" s="0" t="n">
        <v>0.82</v>
      </c>
      <c r="L51" s="0" t="n">
        <v>0.97</v>
      </c>
      <c r="M51" s="11" t="n">
        <f aca="false">IFERROR(G51/H51,"")</f>
        <v>21.4561403508772</v>
      </c>
      <c r="N51" s="9" t="s">
        <v>1320</v>
      </c>
      <c r="O51" s="9" t="s">
        <v>1380</v>
      </c>
    </row>
    <row r="52" customFormat="false" ht="15" hidden="false" customHeight="false" outlineLevel="0" collapsed="false">
      <c r="A52" s="0" t="s">
        <v>1172</v>
      </c>
      <c r="B52" s="0" t="s">
        <v>906</v>
      </c>
      <c r="C52" s="0" t="s">
        <v>775</v>
      </c>
      <c r="D52" s="0" t="s">
        <v>842</v>
      </c>
      <c r="E52" s="0" t="s">
        <v>1381</v>
      </c>
      <c r="F52" s="0" t="n">
        <v>32</v>
      </c>
      <c r="G52" s="0" t="n">
        <v>17</v>
      </c>
      <c r="H52" s="0" t="n">
        <v>0.74</v>
      </c>
      <c r="I52" s="10" t="n">
        <v>0.331</v>
      </c>
      <c r="J52" s="0" t="n">
        <v>0.24</v>
      </c>
      <c r="K52" s="0" t="n">
        <v>1.31</v>
      </c>
      <c r="L52" s="0" t="n">
        <v>1.23</v>
      </c>
      <c r="M52" s="11" t="n">
        <f aca="false">IFERROR(G52/H52,"")</f>
        <v>22.972972972973</v>
      </c>
      <c r="N52" s="9" t="s">
        <v>1320</v>
      </c>
      <c r="O52" s="9" t="s">
        <v>1382</v>
      </c>
    </row>
    <row r="53" customFormat="false" ht="15" hidden="false" customHeight="false" outlineLevel="0" collapsed="false">
      <c r="A53" s="0" t="s">
        <v>1173</v>
      </c>
      <c r="B53" s="0" t="s">
        <v>909</v>
      </c>
      <c r="C53" s="0" t="s">
        <v>775</v>
      </c>
      <c r="D53" s="0" t="s">
        <v>842</v>
      </c>
      <c r="E53" s="0" t="s">
        <v>1381</v>
      </c>
      <c r="F53" s="0" t="n">
        <v>32</v>
      </c>
      <c r="G53" s="0" t="n">
        <v>14.72</v>
      </c>
      <c r="H53" s="0" t="n">
        <v>0.64</v>
      </c>
      <c r="I53" s="10" t="n">
        <v>0.588</v>
      </c>
      <c r="J53" s="0" t="n">
        <v>0.38</v>
      </c>
      <c r="K53" s="0" t="n">
        <v>0.92</v>
      </c>
      <c r="L53" s="0" t="n">
        <v>1.05</v>
      </c>
      <c r="M53" s="11" t="n">
        <f aca="false">IFERROR(G53/H53,"")</f>
        <v>23</v>
      </c>
      <c r="N53" s="9" t="s">
        <v>1320</v>
      </c>
      <c r="O53" s="9" t="s">
        <v>1383</v>
      </c>
    </row>
    <row r="54" customFormat="false" ht="15" hidden="false" customHeight="false" outlineLevel="0" collapsed="false">
      <c r="A54" s="0" t="s">
        <v>1174</v>
      </c>
      <c r="B54" s="0" t="s">
        <v>911</v>
      </c>
      <c r="C54" s="0" t="s">
        <v>775</v>
      </c>
      <c r="D54" s="0" t="s">
        <v>842</v>
      </c>
      <c r="E54" s="0" t="s">
        <v>1381</v>
      </c>
      <c r="F54" s="0" t="n">
        <v>32</v>
      </c>
      <c r="G54" s="0" t="n">
        <v>14.84</v>
      </c>
      <c r="H54" s="0" t="n">
        <v>0.64</v>
      </c>
      <c r="I54" s="10" t="n">
        <v>0.531</v>
      </c>
      <c r="J54" s="0" t="n">
        <v>0.34</v>
      </c>
      <c r="K54" s="0" t="n">
        <v>0.95</v>
      </c>
      <c r="L54" s="0" t="n">
        <v>1.04</v>
      </c>
      <c r="M54" s="11" t="n">
        <f aca="false">IFERROR(G54/H54,"")</f>
        <v>23.1875</v>
      </c>
      <c r="N54" s="9" t="s">
        <v>1320</v>
      </c>
      <c r="O54" s="9" t="s">
        <v>1384</v>
      </c>
    </row>
    <row r="55" customFormat="false" ht="15" hidden="false" customHeight="false" outlineLevel="0" collapsed="false">
      <c r="A55" s="0" t="s">
        <v>1175</v>
      </c>
      <c r="B55" s="0" t="s">
        <v>913</v>
      </c>
      <c r="C55" s="0" t="s">
        <v>775</v>
      </c>
      <c r="D55" s="0" t="s">
        <v>842</v>
      </c>
      <c r="E55" s="0" t="s">
        <v>1381</v>
      </c>
      <c r="F55" s="0" t="n">
        <v>32</v>
      </c>
      <c r="G55" s="0" t="n">
        <v>15</v>
      </c>
      <c r="H55" s="0" t="n">
        <v>0.65</v>
      </c>
      <c r="I55" s="10" t="n">
        <v>0.473</v>
      </c>
      <c r="J55" s="0" t="n">
        <v>0.31</v>
      </c>
      <c r="K55" s="0" t="n">
        <v>1.03</v>
      </c>
      <c r="L55" s="0" t="n">
        <v>1.12</v>
      </c>
      <c r="M55" s="11" t="n">
        <f aca="false">IFERROR(G55/H55,"")</f>
        <v>23.0769230769231</v>
      </c>
      <c r="N55" s="9" t="s">
        <v>1320</v>
      </c>
      <c r="O55" s="9" t="s">
        <v>1385</v>
      </c>
    </row>
    <row r="56" customFormat="false" ht="15" hidden="false" customHeight="false" outlineLevel="0" collapsed="false">
      <c r="A56" s="0" t="s">
        <v>1176</v>
      </c>
      <c r="B56" s="0" t="s">
        <v>915</v>
      </c>
      <c r="C56" s="0" t="s">
        <v>775</v>
      </c>
      <c r="D56" s="0" t="s">
        <v>842</v>
      </c>
      <c r="E56" s="0" t="s">
        <v>1381</v>
      </c>
      <c r="F56" s="0" t="n">
        <v>32</v>
      </c>
      <c r="G56" s="0" t="n">
        <v>16.75</v>
      </c>
      <c r="H56" s="0" t="n">
        <v>0.73</v>
      </c>
      <c r="I56" s="10" t="n">
        <v>0.567</v>
      </c>
      <c r="J56" s="0" t="n">
        <v>0.41</v>
      </c>
      <c r="K56" s="0" t="n">
        <v>1.11</v>
      </c>
      <c r="L56" s="0" t="n">
        <v>1.14</v>
      </c>
      <c r="M56" s="11" t="n">
        <f aca="false">IFERROR(G56/H56,"")</f>
        <v>22.9452054794521</v>
      </c>
      <c r="N56" s="9" t="s">
        <v>1320</v>
      </c>
      <c r="O56" s="9" t="s">
        <v>1386</v>
      </c>
    </row>
    <row r="57" customFormat="false" ht="15" hidden="false" customHeight="false" outlineLevel="0" collapsed="false">
      <c r="A57" s="0" t="s">
        <v>1262</v>
      </c>
      <c r="B57" s="0" t="s">
        <v>1097</v>
      </c>
      <c r="C57" s="0" t="s">
        <v>775</v>
      </c>
      <c r="D57" s="0" t="s">
        <v>818</v>
      </c>
      <c r="E57" s="0" t="s">
        <v>1387</v>
      </c>
      <c r="F57" s="0" t="n">
        <v>37</v>
      </c>
      <c r="G57" s="0" t="n">
        <v>13.86</v>
      </c>
      <c r="H57" s="0" t="n">
        <v>0.61</v>
      </c>
      <c r="I57" s="10" t="n">
        <v>0.579</v>
      </c>
      <c r="J57" s="0" t="n">
        <v>0.35</v>
      </c>
      <c r="K57" s="0" t="n">
        <v>0.85</v>
      </c>
      <c r="L57" s="0" t="n">
        <v>0.95</v>
      </c>
      <c r="M57" s="11" t="n">
        <f aca="false">IFERROR(G57/H57,"")</f>
        <v>22.7213114754098</v>
      </c>
      <c r="N57" s="9" t="s">
        <v>1320</v>
      </c>
      <c r="O57" s="9" t="s">
        <v>1388</v>
      </c>
    </row>
    <row r="58" customFormat="false" ht="15" hidden="false" customHeight="false" outlineLevel="0" collapsed="false">
      <c r="A58" s="0" t="s">
        <v>1263</v>
      </c>
      <c r="B58" s="0" t="s">
        <v>1099</v>
      </c>
      <c r="C58" s="0" t="s">
        <v>775</v>
      </c>
      <c r="D58" s="0" t="s">
        <v>818</v>
      </c>
      <c r="E58" s="0" t="s">
        <v>1387</v>
      </c>
      <c r="F58" s="0" t="n">
        <v>36</v>
      </c>
      <c r="G58" s="0" t="n">
        <v>13.58</v>
      </c>
      <c r="H58" s="0" t="n">
        <v>0.61</v>
      </c>
      <c r="I58" s="10" t="n">
        <v>0.613</v>
      </c>
      <c r="J58" s="0" t="n">
        <v>0.37</v>
      </c>
      <c r="K58" s="0" t="n">
        <v>0.91</v>
      </c>
      <c r="L58" s="0" t="n">
        <v>1.02</v>
      </c>
      <c r="M58" s="11" t="n">
        <f aca="false">IFERROR(G58/H58,"")</f>
        <v>22.2622950819672</v>
      </c>
      <c r="N58" s="9" t="s">
        <v>1320</v>
      </c>
      <c r="O58" s="9" t="s">
        <v>1389</v>
      </c>
    </row>
    <row r="59" customFormat="false" ht="15" hidden="false" customHeight="false" outlineLevel="0" collapsed="false">
      <c r="A59" s="0" t="s">
        <v>1264</v>
      </c>
      <c r="B59" s="0" t="s">
        <v>1101</v>
      </c>
      <c r="C59" s="0" t="s">
        <v>775</v>
      </c>
      <c r="D59" s="0" t="s">
        <v>818</v>
      </c>
      <c r="E59" s="0" t="s">
        <v>1387</v>
      </c>
      <c r="F59" s="0" t="n">
        <v>36</v>
      </c>
      <c r="G59" s="0" t="n">
        <v>12.56</v>
      </c>
      <c r="H59" s="0" t="n">
        <v>0.56</v>
      </c>
      <c r="I59" s="10" t="n">
        <v>0.606</v>
      </c>
      <c r="J59" s="0" t="n">
        <v>0.34</v>
      </c>
      <c r="K59" s="0" t="n">
        <v>0.73</v>
      </c>
      <c r="L59" s="0" t="n">
        <v>0.86</v>
      </c>
      <c r="M59" s="11" t="n">
        <f aca="false">IFERROR(G59/H59,"")</f>
        <v>22.4285714285714</v>
      </c>
      <c r="N59" s="9" t="s">
        <v>1320</v>
      </c>
      <c r="O59" s="9" t="s">
        <v>1390</v>
      </c>
    </row>
    <row r="60" customFormat="false" ht="15" hidden="false" customHeight="false" outlineLevel="0" collapsed="false">
      <c r="A60" s="0" t="s">
        <v>1265</v>
      </c>
      <c r="B60" s="0" t="s">
        <v>1103</v>
      </c>
      <c r="C60" s="0" t="s">
        <v>775</v>
      </c>
      <c r="D60" s="0" t="s">
        <v>818</v>
      </c>
      <c r="E60" s="0" t="s">
        <v>1387</v>
      </c>
      <c r="F60" s="0" t="n">
        <v>36</v>
      </c>
      <c r="G60" s="0" t="n">
        <v>15.78</v>
      </c>
      <c r="H60" s="0" t="n">
        <v>0.7</v>
      </c>
      <c r="I60" s="10" t="n">
        <v>0.607</v>
      </c>
      <c r="J60" s="0" t="n">
        <v>0.43</v>
      </c>
      <c r="K60" s="0" t="n">
        <v>0.99</v>
      </c>
      <c r="L60" s="0" t="n">
        <v>1.06</v>
      </c>
      <c r="M60" s="11" t="n">
        <f aca="false">IFERROR(G60/H60,"")</f>
        <v>22.5428571428571</v>
      </c>
      <c r="N60" s="9" t="s">
        <v>1320</v>
      </c>
      <c r="O60" s="9" t="s">
        <v>1391</v>
      </c>
    </row>
    <row r="61" customFormat="false" ht="15" hidden="false" customHeight="false" outlineLevel="0" collapsed="false">
      <c r="A61" s="0" t="s">
        <v>1205</v>
      </c>
      <c r="B61" s="0" t="s">
        <v>977</v>
      </c>
      <c r="C61" s="0" t="s">
        <v>775</v>
      </c>
      <c r="D61" s="0" t="s">
        <v>849</v>
      </c>
      <c r="E61" s="0" t="s">
        <v>1392</v>
      </c>
      <c r="F61" s="0" t="n">
        <v>36</v>
      </c>
      <c r="G61" s="0" t="n">
        <v>17</v>
      </c>
      <c r="H61" s="0" t="n">
        <v>0.77</v>
      </c>
      <c r="I61" s="10" t="n">
        <v>0.353</v>
      </c>
      <c r="J61" s="0" t="n">
        <v>0.27</v>
      </c>
      <c r="K61" s="0" t="n">
        <v>1.17</v>
      </c>
      <c r="L61" s="0" t="n">
        <v>1.18</v>
      </c>
      <c r="M61" s="11" t="n">
        <f aca="false">IFERROR(G61/H61,"")</f>
        <v>22.0779220779221</v>
      </c>
      <c r="N61" s="9" t="s">
        <v>1320</v>
      </c>
      <c r="O61" s="9" t="s">
        <v>1393</v>
      </c>
    </row>
    <row r="62" customFormat="false" ht="15" hidden="false" customHeight="false" outlineLevel="0" collapsed="false">
      <c r="A62" s="0" t="s">
        <v>1206</v>
      </c>
      <c r="B62" s="0" t="s">
        <v>979</v>
      </c>
      <c r="C62" s="0" t="s">
        <v>775</v>
      </c>
      <c r="D62" s="0" t="s">
        <v>849</v>
      </c>
      <c r="E62" s="0" t="s">
        <v>1392</v>
      </c>
      <c r="F62" s="0" t="n">
        <v>36</v>
      </c>
      <c r="G62" s="0" t="n">
        <v>14.92</v>
      </c>
      <c r="H62" s="0" t="n">
        <v>0.68</v>
      </c>
      <c r="I62" s="10" t="n">
        <v>0.499</v>
      </c>
      <c r="J62" s="0" t="n">
        <v>0.34</v>
      </c>
      <c r="K62" s="0" t="n">
        <v>0.97</v>
      </c>
      <c r="L62" s="0" t="n">
        <v>1.09</v>
      </c>
      <c r="M62" s="11" t="n">
        <f aca="false">IFERROR(G62/H62,"")</f>
        <v>21.9411764705882</v>
      </c>
      <c r="N62" s="9" t="s">
        <v>1320</v>
      </c>
      <c r="O62" s="9" t="s">
        <v>1394</v>
      </c>
    </row>
    <row r="63" customFormat="false" ht="15" hidden="false" customHeight="false" outlineLevel="0" collapsed="false">
      <c r="A63" s="0" t="s">
        <v>1207</v>
      </c>
      <c r="B63" s="0" t="s">
        <v>981</v>
      </c>
      <c r="C63" s="0" t="s">
        <v>775</v>
      </c>
      <c r="D63" s="0" t="s">
        <v>849</v>
      </c>
      <c r="E63" s="0" t="s">
        <v>1392</v>
      </c>
      <c r="F63" s="0" t="n">
        <v>37</v>
      </c>
      <c r="G63" s="0" t="n">
        <v>15.43</v>
      </c>
      <c r="H63" s="0" t="n">
        <v>0.69</v>
      </c>
      <c r="I63" s="10" t="n">
        <v>0.581</v>
      </c>
      <c r="J63" s="0" t="n">
        <v>0.4</v>
      </c>
      <c r="K63" s="0" t="n">
        <v>1.01</v>
      </c>
      <c r="L63" s="0" t="n">
        <v>1.08</v>
      </c>
      <c r="M63" s="11" t="n">
        <f aca="false">IFERROR(G63/H63,"")</f>
        <v>22.3623188405797</v>
      </c>
      <c r="N63" s="9" t="s">
        <v>1320</v>
      </c>
      <c r="O63" s="9" t="s">
        <v>1395</v>
      </c>
    </row>
    <row r="64" customFormat="false" ht="15" hidden="false" customHeight="false" outlineLevel="0" collapsed="false">
      <c r="A64" s="0" t="s">
        <v>1208</v>
      </c>
      <c r="B64" s="0" t="s">
        <v>983</v>
      </c>
      <c r="C64" s="0" t="s">
        <v>775</v>
      </c>
      <c r="D64" s="0" t="s">
        <v>849</v>
      </c>
      <c r="E64" s="0" t="s">
        <v>1392</v>
      </c>
      <c r="F64" s="0" t="n">
        <v>37</v>
      </c>
      <c r="G64" s="0" t="n">
        <v>13.92</v>
      </c>
      <c r="H64" s="0" t="n">
        <v>0.66</v>
      </c>
      <c r="I64" s="10" t="n">
        <v>0.588</v>
      </c>
      <c r="J64" s="0" t="n">
        <v>0.39</v>
      </c>
      <c r="K64" s="0" t="n">
        <v>0.96</v>
      </c>
      <c r="L64" s="0" t="n">
        <v>1.08</v>
      </c>
      <c r="M64" s="11" t="n">
        <f aca="false">IFERROR(G64/H64,"")</f>
        <v>21.0909090909091</v>
      </c>
      <c r="N64" s="9" t="s">
        <v>1320</v>
      </c>
      <c r="O64" s="9" t="s">
        <v>1396</v>
      </c>
    </row>
    <row r="65" customFormat="false" ht="15" hidden="false" customHeight="false" outlineLevel="0" collapsed="false">
      <c r="A65" s="0" t="s">
        <v>1209</v>
      </c>
      <c r="B65" s="0" t="s">
        <v>985</v>
      </c>
      <c r="C65" s="0" t="s">
        <v>775</v>
      </c>
      <c r="D65" s="0" t="s">
        <v>849</v>
      </c>
      <c r="E65" s="0" t="s">
        <v>1392</v>
      </c>
      <c r="F65" s="0" t="n">
        <v>36</v>
      </c>
      <c r="G65" s="0" t="n">
        <v>12</v>
      </c>
      <c r="H65" s="0" t="n">
        <v>0.55</v>
      </c>
      <c r="I65" s="10" t="n">
        <v>0.59</v>
      </c>
      <c r="J65" s="0" t="n">
        <v>0.32</v>
      </c>
      <c r="K65" s="0" t="n">
        <v>0.85</v>
      </c>
      <c r="L65" s="0" t="n">
        <v>0.92</v>
      </c>
      <c r="M65" s="11" t="n">
        <f aca="false">IFERROR(G65/H65,"")</f>
        <v>21.8181818181818</v>
      </c>
      <c r="N65" s="9" t="s">
        <v>1320</v>
      </c>
      <c r="O65" s="9" t="s">
        <v>1397</v>
      </c>
    </row>
    <row r="66" customFormat="false" ht="15" hidden="false" customHeight="false" outlineLevel="0" collapsed="false">
      <c r="A66" s="0" t="s">
        <v>1182</v>
      </c>
      <c r="B66" s="0" t="s">
        <v>928</v>
      </c>
      <c r="C66" s="0" t="s">
        <v>775</v>
      </c>
      <c r="D66" s="0" t="s">
        <v>798</v>
      </c>
      <c r="E66" s="0" t="s">
        <v>1398</v>
      </c>
      <c r="F66" s="0" t="n">
        <v>30</v>
      </c>
      <c r="G66" s="0" t="n">
        <v>14.8</v>
      </c>
      <c r="H66" s="0" t="n">
        <v>0.64</v>
      </c>
      <c r="I66" s="10" t="n">
        <v>0.595</v>
      </c>
      <c r="J66" s="0" t="n">
        <v>0.38</v>
      </c>
      <c r="K66" s="0" t="n">
        <v>0.96</v>
      </c>
      <c r="L66" s="0" t="n">
        <v>1.09</v>
      </c>
      <c r="M66" s="11" t="n">
        <f aca="false">IFERROR(G66/H66,"")</f>
        <v>23.125</v>
      </c>
      <c r="N66" s="9" t="s">
        <v>1320</v>
      </c>
      <c r="O66" s="9" t="s">
        <v>1399</v>
      </c>
    </row>
    <row r="67" customFormat="false" ht="15" hidden="false" customHeight="false" outlineLevel="0" collapsed="false">
      <c r="A67" s="0" t="s">
        <v>1183</v>
      </c>
      <c r="B67" s="0" t="s">
        <v>930</v>
      </c>
      <c r="C67" s="0" t="s">
        <v>775</v>
      </c>
      <c r="D67" s="0" t="s">
        <v>798</v>
      </c>
      <c r="E67" s="0" t="s">
        <v>1398</v>
      </c>
      <c r="F67" s="0" t="n">
        <v>30</v>
      </c>
      <c r="G67" s="0" t="n">
        <v>18.03</v>
      </c>
      <c r="H67" s="0" t="n">
        <v>0.78</v>
      </c>
      <c r="I67" s="10" t="n">
        <v>0.348</v>
      </c>
      <c r="J67" s="0" t="n">
        <v>0.27</v>
      </c>
      <c r="K67" s="0" t="n">
        <v>1.29</v>
      </c>
      <c r="L67" s="0" t="n">
        <v>1.18</v>
      </c>
      <c r="M67" s="11" t="n">
        <f aca="false">IFERROR(G67/H67,"")</f>
        <v>23.1153846153846</v>
      </c>
      <c r="N67" s="9" t="s">
        <v>1320</v>
      </c>
      <c r="O67" s="9" t="s">
        <v>1400</v>
      </c>
    </row>
    <row r="68" customFormat="false" ht="15" hidden="false" customHeight="false" outlineLevel="0" collapsed="false">
      <c r="A68" s="0" t="s">
        <v>1184</v>
      </c>
      <c r="B68" s="0" t="s">
        <v>932</v>
      </c>
      <c r="C68" s="0" t="s">
        <v>775</v>
      </c>
      <c r="D68" s="0" t="s">
        <v>798</v>
      </c>
      <c r="E68" s="0" t="s">
        <v>1398</v>
      </c>
      <c r="F68" s="0" t="n">
        <v>30</v>
      </c>
      <c r="G68" s="0" t="n">
        <v>16.27</v>
      </c>
      <c r="H68" s="0" t="n">
        <v>0.7</v>
      </c>
      <c r="I68" s="10" t="n">
        <v>0.666</v>
      </c>
      <c r="J68" s="0" t="n">
        <v>0.47</v>
      </c>
      <c r="K68" s="0" t="n">
        <v>1.11</v>
      </c>
      <c r="L68" s="0" t="n">
        <v>1.17</v>
      </c>
      <c r="M68" s="11" t="n">
        <f aca="false">IFERROR(G68/H68,"")</f>
        <v>23.2428571428571</v>
      </c>
      <c r="N68" s="9" t="s">
        <v>1320</v>
      </c>
      <c r="O68" s="9" t="s">
        <v>1401</v>
      </c>
    </row>
    <row r="69" customFormat="false" ht="15" hidden="false" customHeight="false" outlineLevel="0" collapsed="false">
      <c r="A69" s="0" t="s">
        <v>1185</v>
      </c>
      <c r="B69" s="0" t="s">
        <v>934</v>
      </c>
      <c r="C69" s="0" t="s">
        <v>775</v>
      </c>
      <c r="D69" s="0" t="s">
        <v>798</v>
      </c>
      <c r="E69" s="0" t="s">
        <v>1398</v>
      </c>
      <c r="F69" s="0" t="n">
        <v>30</v>
      </c>
      <c r="G69" s="0" t="n">
        <v>15.27</v>
      </c>
      <c r="H69" s="0" t="n">
        <v>0.66</v>
      </c>
      <c r="I69" s="10" t="n">
        <v>0.5</v>
      </c>
      <c r="J69" s="0" t="n">
        <v>0.33</v>
      </c>
      <c r="K69" s="0" t="n">
        <v>0.94</v>
      </c>
      <c r="L69" s="0" t="n">
        <v>1.08</v>
      </c>
      <c r="M69" s="11" t="n">
        <f aca="false">IFERROR(G69/H69,"")</f>
        <v>23.1363636363636</v>
      </c>
      <c r="N69" s="9" t="s">
        <v>1320</v>
      </c>
      <c r="O69" s="9" t="s">
        <v>1402</v>
      </c>
    </row>
    <row r="70" customFormat="false" ht="15" hidden="false" customHeight="false" outlineLevel="0" collapsed="false">
      <c r="A70" s="0" t="s">
        <v>1186</v>
      </c>
      <c r="B70" s="0" t="s">
        <v>936</v>
      </c>
      <c r="C70" s="0" t="s">
        <v>775</v>
      </c>
      <c r="D70" s="0" t="s">
        <v>798</v>
      </c>
      <c r="E70" s="0" t="s">
        <v>1398</v>
      </c>
      <c r="F70" s="0" t="n">
        <v>30</v>
      </c>
      <c r="G70" s="0" t="n">
        <v>12.07</v>
      </c>
      <c r="H70" s="0" t="n">
        <v>0.52</v>
      </c>
      <c r="I70" s="10" t="n">
        <v>0.522</v>
      </c>
      <c r="J70" s="0" t="n">
        <v>0.27</v>
      </c>
      <c r="K70" s="0" t="n">
        <v>0.8</v>
      </c>
      <c r="L70" s="0" t="n">
        <v>0.94</v>
      </c>
      <c r="M70" s="11" t="n">
        <f aca="false">IFERROR(G70/H70,"")</f>
        <v>23.2115384615385</v>
      </c>
      <c r="N70" s="9" t="s">
        <v>1320</v>
      </c>
      <c r="O70" s="9" t="s">
        <v>1403</v>
      </c>
    </row>
    <row r="71" customFormat="false" ht="15" hidden="false" customHeight="false" outlineLevel="0" collapsed="false">
      <c r="A71" s="0" t="s">
        <v>1247</v>
      </c>
      <c r="B71" s="0" t="s">
        <v>1065</v>
      </c>
      <c r="C71" s="0" t="s">
        <v>775</v>
      </c>
      <c r="D71" s="0" t="s">
        <v>790</v>
      </c>
      <c r="E71" s="0" t="s">
        <v>1404</v>
      </c>
      <c r="F71" s="0" t="n">
        <v>34</v>
      </c>
      <c r="G71" s="0" t="n">
        <v>14.65</v>
      </c>
      <c r="H71" s="0" t="n">
        <v>0.67</v>
      </c>
      <c r="I71" s="10" t="n">
        <v>0.462</v>
      </c>
      <c r="J71" s="0" t="n">
        <v>0.31</v>
      </c>
      <c r="K71" s="0" t="n">
        <v>0.98</v>
      </c>
      <c r="L71" s="0" t="n">
        <v>1.12</v>
      </c>
      <c r="M71" s="11" t="n">
        <f aca="false">IFERROR(G71/H71,"")</f>
        <v>21.865671641791</v>
      </c>
      <c r="N71" s="9" t="s">
        <v>1320</v>
      </c>
      <c r="O71" s="9" t="s">
        <v>1405</v>
      </c>
    </row>
    <row r="72" customFormat="false" ht="15" hidden="false" customHeight="false" outlineLevel="0" collapsed="false">
      <c r="A72" s="0" t="s">
        <v>1248</v>
      </c>
      <c r="B72" s="0" t="s">
        <v>1067</v>
      </c>
      <c r="C72" s="0" t="s">
        <v>775</v>
      </c>
      <c r="D72" s="0" t="s">
        <v>790</v>
      </c>
      <c r="E72" s="0" t="s">
        <v>1404</v>
      </c>
      <c r="F72" s="0" t="n">
        <v>33</v>
      </c>
      <c r="G72" s="0" t="n">
        <v>16.85</v>
      </c>
      <c r="H72" s="0" t="n">
        <v>0.76</v>
      </c>
      <c r="I72" s="10" t="n">
        <v>0.5</v>
      </c>
      <c r="J72" s="0" t="n">
        <v>0.38</v>
      </c>
      <c r="K72" s="0" t="n">
        <v>1.05</v>
      </c>
      <c r="L72" s="0" t="n">
        <v>1.25</v>
      </c>
      <c r="M72" s="11" t="n">
        <f aca="false">IFERROR(G72/H72,"")</f>
        <v>22.171052631579</v>
      </c>
      <c r="N72" s="9" t="s">
        <v>1320</v>
      </c>
      <c r="O72" s="9" t="s">
        <v>1406</v>
      </c>
    </row>
    <row r="73" customFormat="false" ht="15" hidden="false" customHeight="false" outlineLevel="0" collapsed="false">
      <c r="A73" s="0" t="s">
        <v>1249</v>
      </c>
      <c r="B73" s="0" t="s">
        <v>1071</v>
      </c>
      <c r="C73" s="0" t="s">
        <v>775</v>
      </c>
      <c r="D73" s="0" t="s">
        <v>790</v>
      </c>
      <c r="E73" s="0" t="s">
        <v>1404</v>
      </c>
      <c r="F73" s="0" t="n">
        <v>34</v>
      </c>
      <c r="G73" s="0" t="n">
        <v>13.88</v>
      </c>
      <c r="H73" s="0" t="n">
        <v>0.64</v>
      </c>
      <c r="I73" s="10" t="n">
        <v>0.602</v>
      </c>
      <c r="J73" s="0" t="n">
        <v>0.38</v>
      </c>
      <c r="K73" s="0" t="n">
        <v>1.05</v>
      </c>
      <c r="L73" s="0" t="n">
        <v>1.07</v>
      </c>
      <c r="M73" s="11" t="n">
        <f aca="false">IFERROR(G73/H73,"")</f>
        <v>21.6875</v>
      </c>
      <c r="N73" s="9" t="s">
        <v>1320</v>
      </c>
      <c r="O73" s="9" t="s">
        <v>1407</v>
      </c>
    </row>
    <row r="74" customFormat="false" ht="15" hidden="false" customHeight="false" outlineLevel="0" collapsed="false">
      <c r="A74" s="0" t="s">
        <v>1250</v>
      </c>
      <c r="B74" s="0" t="s">
        <v>1073</v>
      </c>
      <c r="C74" s="0" t="s">
        <v>775</v>
      </c>
      <c r="D74" s="0" t="s">
        <v>790</v>
      </c>
      <c r="E74" s="0" t="s">
        <v>1404</v>
      </c>
      <c r="F74" s="0" t="n">
        <v>34</v>
      </c>
      <c r="G74" s="0" t="n">
        <v>15.62</v>
      </c>
      <c r="H74" s="0" t="n">
        <v>0.72</v>
      </c>
      <c r="I74" s="10" t="n">
        <v>0.588</v>
      </c>
      <c r="J74" s="0" t="n">
        <v>0.42</v>
      </c>
      <c r="K74" s="0" t="n">
        <v>1.12</v>
      </c>
      <c r="L74" s="0" t="n">
        <v>1.19</v>
      </c>
      <c r="M74" s="11" t="n">
        <f aca="false">IFERROR(G74/H74,"")</f>
        <v>21.6944444444444</v>
      </c>
      <c r="N74" s="9" t="s">
        <v>1320</v>
      </c>
      <c r="O74" s="9" t="s">
        <v>1408</v>
      </c>
    </row>
    <row r="75" customFormat="false" ht="15" hidden="false" customHeight="false" outlineLevel="0" collapsed="false">
      <c r="A75" s="0" t="s">
        <v>1251</v>
      </c>
      <c r="B75" s="0" t="s">
        <v>1075</v>
      </c>
      <c r="C75" s="0" t="s">
        <v>775</v>
      </c>
      <c r="D75" s="0" t="s">
        <v>790</v>
      </c>
      <c r="E75" s="0" t="s">
        <v>1404</v>
      </c>
      <c r="F75" s="0" t="n">
        <v>34</v>
      </c>
      <c r="G75" s="0" t="n">
        <v>16.12</v>
      </c>
      <c r="H75" s="0" t="n">
        <v>0.75</v>
      </c>
      <c r="I75" s="10" t="n">
        <v>0.31</v>
      </c>
      <c r="J75" s="0" t="n">
        <v>0.23</v>
      </c>
      <c r="K75" s="0" t="n">
        <v>1.22</v>
      </c>
      <c r="L75" s="0" t="n">
        <v>1.19</v>
      </c>
      <c r="M75" s="11" t="n">
        <f aca="false">IFERROR(G75/H75,"")</f>
        <v>21.4933333333333</v>
      </c>
      <c r="N75" s="9" t="s">
        <v>1320</v>
      </c>
      <c r="O75" s="9" t="s">
        <v>1409</v>
      </c>
    </row>
    <row r="76" customFormat="false" ht="15" hidden="false" customHeight="false" outlineLevel="0" collapsed="false">
      <c r="A76" s="0" t="s">
        <v>1215</v>
      </c>
      <c r="B76" s="0" t="s">
        <v>998</v>
      </c>
      <c r="C76" s="0" t="s">
        <v>775</v>
      </c>
      <c r="D76" s="0" t="s">
        <v>863</v>
      </c>
      <c r="E76" s="0" t="s">
        <v>1410</v>
      </c>
      <c r="F76" s="0" t="n">
        <v>35</v>
      </c>
      <c r="G76" s="0" t="n">
        <v>13.03</v>
      </c>
      <c r="H76" s="0" t="n">
        <v>0.62</v>
      </c>
      <c r="I76" s="10" t="n">
        <v>0.561</v>
      </c>
      <c r="J76" s="0" t="n">
        <v>0.35</v>
      </c>
      <c r="K76" s="0" t="n">
        <v>0.92</v>
      </c>
      <c r="L76" s="0" t="n">
        <v>1.01</v>
      </c>
      <c r="M76" s="11" t="n">
        <f aca="false">IFERROR(G76/H76,"")</f>
        <v>21.0161290322581</v>
      </c>
      <c r="N76" s="9" t="s">
        <v>1320</v>
      </c>
      <c r="O76" s="9" t="s">
        <v>1411</v>
      </c>
    </row>
    <row r="77" customFormat="false" ht="15" hidden="false" customHeight="false" outlineLevel="0" collapsed="false">
      <c r="A77" s="0" t="s">
        <v>1216</v>
      </c>
      <c r="B77" s="0" t="s">
        <v>1001</v>
      </c>
      <c r="C77" s="0" t="s">
        <v>775</v>
      </c>
      <c r="D77" s="0" t="s">
        <v>863</v>
      </c>
      <c r="E77" s="0" t="s">
        <v>1410</v>
      </c>
      <c r="F77" s="0" t="n">
        <v>38</v>
      </c>
      <c r="G77" s="0" t="n">
        <v>12.47</v>
      </c>
      <c r="H77" s="0" t="n">
        <v>0.57</v>
      </c>
      <c r="I77" s="10" t="n">
        <v>0.485</v>
      </c>
      <c r="J77" s="0" t="n">
        <v>0.28</v>
      </c>
      <c r="K77" s="0" t="n">
        <v>0.86</v>
      </c>
      <c r="L77" s="0" t="n">
        <v>0.97</v>
      </c>
      <c r="M77" s="11" t="n">
        <f aca="false">IFERROR(G77/H77,"")</f>
        <v>21.8771929824561</v>
      </c>
      <c r="N77" s="9" t="s">
        <v>1320</v>
      </c>
      <c r="O77" s="9" t="s">
        <v>1412</v>
      </c>
    </row>
    <row r="78" customFormat="false" ht="15" hidden="false" customHeight="false" outlineLevel="0" collapsed="false">
      <c r="A78" s="0" t="s">
        <v>1217</v>
      </c>
      <c r="B78" s="0" t="s">
        <v>1003</v>
      </c>
      <c r="C78" s="0" t="s">
        <v>775</v>
      </c>
      <c r="D78" s="0" t="s">
        <v>863</v>
      </c>
      <c r="E78" s="0" t="s">
        <v>1410</v>
      </c>
      <c r="F78" s="0" t="n">
        <v>35</v>
      </c>
      <c r="G78" s="0" t="n">
        <v>13.23</v>
      </c>
      <c r="H78" s="0" t="n">
        <v>0.63</v>
      </c>
      <c r="I78" s="10" t="n">
        <v>0.3</v>
      </c>
      <c r="J78" s="0" t="n">
        <v>0.19</v>
      </c>
      <c r="K78" s="0" t="n">
        <v>1.13</v>
      </c>
      <c r="L78" s="0" t="n">
        <v>1.09</v>
      </c>
      <c r="M78" s="11" t="n">
        <f aca="false">IFERROR(G78/H78,"")</f>
        <v>21</v>
      </c>
      <c r="N78" s="9" t="s">
        <v>1320</v>
      </c>
      <c r="O78" s="9" t="s">
        <v>1413</v>
      </c>
    </row>
    <row r="79" customFormat="false" ht="15" hidden="false" customHeight="false" outlineLevel="0" collapsed="false">
      <c r="A79" s="0" t="s">
        <v>1218</v>
      </c>
      <c r="B79" s="0" t="s">
        <v>1006</v>
      </c>
      <c r="C79" s="0" t="s">
        <v>775</v>
      </c>
      <c r="D79" s="0" t="s">
        <v>863</v>
      </c>
      <c r="E79" s="0" t="s">
        <v>1410</v>
      </c>
      <c r="F79" s="0" t="n">
        <v>35</v>
      </c>
      <c r="G79" s="0" t="n">
        <v>14.4</v>
      </c>
      <c r="H79" s="0" t="n">
        <v>0.69</v>
      </c>
      <c r="I79" s="10" t="n">
        <v>0.609</v>
      </c>
      <c r="J79" s="0" t="n">
        <v>0.42</v>
      </c>
      <c r="K79" s="0" t="n">
        <v>0.99</v>
      </c>
      <c r="L79" s="0" t="n">
        <v>1.12</v>
      </c>
      <c r="M79" s="11" t="n">
        <f aca="false">IFERROR(G79/H79,"")</f>
        <v>20.8695652173913</v>
      </c>
      <c r="N79" s="9" t="s">
        <v>1320</v>
      </c>
      <c r="O79" s="9" t="s">
        <v>1414</v>
      </c>
    </row>
    <row r="80" customFormat="false" ht="15" hidden="false" customHeight="false" outlineLevel="0" collapsed="false">
      <c r="A80" s="0" t="s">
        <v>1219</v>
      </c>
      <c r="B80" s="0" t="s">
        <v>1009</v>
      </c>
      <c r="C80" s="0" t="s">
        <v>775</v>
      </c>
      <c r="D80" s="0" t="s">
        <v>863</v>
      </c>
      <c r="E80" s="0" t="s">
        <v>1410</v>
      </c>
      <c r="F80" s="0" t="n">
        <v>35</v>
      </c>
      <c r="G80" s="0" t="n">
        <v>12.46</v>
      </c>
      <c r="H80" s="0" t="n">
        <v>0.59</v>
      </c>
      <c r="I80" s="10" t="n">
        <v>0.532</v>
      </c>
      <c r="J80" s="0" t="n">
        <v>0.32</v>
      </c>
      <c r="K80" s="0" t="n">
        <v>0.93</v>
      </c>
      <c r="L80" s="0" t="n">
        <v>0.98</v>
      </c>
      <c r="M80" s="11" t="n">
        <f aca="false">IFERROR(G80/H80,"")</f>
        <v>21.1186440677966</v>
      </c>
      <c r="N80" s="9" t="s">
        <v>1320</v>
      </c>
      <c r="O80" s="9" t="s">
        <v>1415</v>
      </c>
    </row>
    <row r="81" customFormat="false" ht="15" hidden="false" customHeight="false" outlineLevel="0" collapsed="false">
      <c r="A81" s="0" t="s">
        <v>1167</v>
      </c>
      <c r="B81" s="0" t="s">
        <v>887</v>
      </c>
      <c r="C81" s="0" t="s">
        <v>775</v>
      </c>
      <c r="D81" s="0" t="s">
        <v>784</v>
      </c>
      <c r="E81" s="0" t="s">
        <v>1416</v>
      </c>
      <c r="F81" s="0" t="n">
        <v>39</v>
      </c>
      <c r="G81" s="0" t="n">
        <v>13.64</v>
      </c>
      <c r="H81" s="0" t="n">
        <v>0.65</v>
      </c>
      <c r="I81" s="10" t="n">
        <v>0.453</v>
      </c>
      <c r="J81" s="0" t="n">
        <v>0.29</v>
      </c>
      <c r="K81" s="0" t="n">
        <v>1.03</v>
      </c>
      <c r="L81" s="0" t="n">
        <v>1.06</v>
      </c>
      <c r="M81" s="11" t="n">
        <f aca="false">IFERROR(G81/H81,"")</f>
        <v>20.9846153846154</v>
      </c>
      <c r="N81" s="9" t="s">
        <v>1320</v>
      </c>
      <c r="O81" s="9" t="s">
        <v>1417</v>
      </c>
    </row>
    <row r="82" customFormat="false" ht="15" hidden="false" customHeight="false" outlineLevel="0" collapsed="false">
      <c r="A82" s="0" t="s">
        <v>1168</v>
      </c>
      <c r="B82" s="0" t="s">
        <v>892</v>
      </c>
      <c r="C82" s="0" t="s">
        <v>775</v>
      </c>
      <c r="D82" s="0" t="s">
        <v>784</v>
      </c>
      <c r="E82" s="0" t="s">
        <v>1416</v>
      </c>
      <c r="F82" s="0" t="n">
        <v>39</v>
      </c>
      <c r="G82" s="0" t="n">
        <v>17</v>
      </c>
      <c r="H82" s="0" t="n">
        <v>0.8</v>
      </c>
      <c r="I82" s="10" t="n">
        <v>0.633</v>
      </c>
      <c r="J82" s="0" t="n">
        <v>0.51</v>
      </c>
      <c r="K82" s="0" t="n">
        <v>1.16</v>
      </c>
      <c r="L82" s="0" t="n">
        <v>1.29</v>
      </c>
      <c r="M82" s="11" t="n">
        <f aca="false">IFERROR(G82/H82,"")</f>
        <v>21.25</v>
      </c>
      <c r="N82" s="9" t="s">
        <v>1320</v>
      </c>
      <c r="O82" s="9" t="s">
        <v>1418</v>
      </c>
    </row>
    <row r="83" customFormat="false" ht="15" hidden="false" customHeight="false" outlineLevel="0" collapsed="false">
      <c r="A83" s="0" t="s">
        <v>1169</v>
      </c>
      <c r="B83" s="0" t="s">
        <v>897</v>
      </c>
      <c r="C83" s="0" t="s">
        <v>775</v>
      </c>
      <c r="D83" s="0" t="s">
        <v>784</v>
      </c>
      <c r="E83" s="0" t="s">
        <v>1416</v>
      </c>
      <c r="F83" s="0" t="n">
        <v>37</v>
      </c>
      <c r="G83" s="0" t="n">
        <v>14.95</v>
      </c>
      <c r="H83" s="0" t="n">
        <v>0.72</v>
      </c>
      <c r="I83" s="10" t="n">
        <v>0.405</v>
      </c>
      <c r="J83" s="0" t="n">
        <v>0.29</v>
      </c>
      <c r="K83" s="0" t="n">
        <v>1.24</v>
      </c>
      <c r="L83" s="0" t="n">
        <v>1.15</v>
      </c>
      <c r="M83" s="11" t="n">
        <f aca="false">IFERROR(G83/H83,"")</f>
        <v>20.7638888888889</v>
      </c>
      <c r="N83" s="9" t="s">
        <v>1320</v>
      </c>
      <c r="O83" s="9" t="s">
        <v>1419</v>
      </c>
    </row>
    <row r="84" customFormat="false" ht="15" hidden="false" customHeight="false" outlineLevel="0" collapsed="false">
      <c r="A84" s="0" t="s">
        <v>1170</v>
      </c>
      <c r="B84" s="0" t="s">
        <v>899</v>
      </c>
      <c r="C84" s="0" t="s">
        <v>775</v>
      </c>
      <c r="D84" s="0" t="s">
        <v>784</v>
      </c>
      <c r="E84" s="0" t="s">
        <v>1416</v>
      </c>
      <c r="F84" s="0" t="n">
        <v>39</v>
      </c>
      <c r="G84" s="0" t="n">
        <v>15.03</v>
      </c>
      <c r="H84" s="0" t="n">
        <v>0.71</v>
      </c>
      <c r="I84" s="10" t="n">
        <v>0.589</v>
      </c>
      <c r="J84" s="0" t="n">
        <v>0.42</v>
      </c>
      <c r="K84" s="0" t="n">
        <v>1.04</v>
      </c>
      <c r="L84" s="0" t="n">
        <v>1.14</v>
      </c>
      <c r="M84" s="11" t="n">
        <f aca="false">IFERROR(G84/H84,"")</f>
        <v>21.169014084507</v>
      </c>
      <c r="N84" s="9" t="s">
        <v>1320</v>
      </c>
      <c r="O84" s="9" t="s">
        <v>1420</v>
      </c>
    </row>
    <row r="85" customFormat="false" ht="15" hidden="false" customHeight="false" outlineLevel="0" collapsed="false">
      <c r="A85" s="0" t="s">
        <v>1171</v>
      </c>
      <c r="B85" s="0" t="s">
        <v>903</v>
      </c>
      <c r="C85" s="0" t="s">
        <v>775</v>
      </c>
      <c r="D85" s="0" t="s">
        <v>784</v>
      </c>
      <c r="E85" s="0" t="s">
        <v>1416</v>
      </c>
      <c r="F85" s="0" t="n">
        <v>39</v>
      </c>
      <c r="G85" s="0" t="n">
        <v>12.51</v>
      </c>
      <c r="H85" s="0" t="n">
        <v>0.59</v>
      </c>
      <c r="I85" s="10" t="n">
        <v>0.602</v>
      </c>
      <c r="J85" s="0" t="n">
        <v>0.36</v>
      </c>
      <c r="K85" s="0" t="n">
        <v>0.87</v>
      </c>
      <c r="L85" s="0" t="n">
        <v>1.01</v>
      </c>
      <c r="M85" s="11" t="n">
        <f aca="false">IFERROR(G85/H85,"")</f>
        <v>21.2033898305085</v>
      </c>
      <c r="N85" s="9" t="s">
        <v>1320</v>
      </c>
      <c r="O85" s="9" t="s">
        <v>1421</v>
      </c>
    </row>
    <row r="86" customFormat="false" ht="15" hidden="false" customHeight="false" outlineLevel="0" collapsed="false">
      <c r="A86" s="0" t="s">
        <v>1252</v>
      </c>
      <c r="B86" s="0" t="s">
        <v>1077</v>
      </c>
      <c r="C86" s="0" t="s">
        <v>775</v>
      </c>
      <c r="D86" s="0" t="s">
        <v>833</v>
      </c>
      <c r="E86" s="0" t="s">
        <v>1422</v>
      </c>
      <c r="F86" s="0" t="n">
        <v>22</v>
      </c>
      <c r="G86" s="0" t="n">
        <v>16.45</v>
      </c>
      <c r="H86" s="0" t="n">
        <v>0.72</v>
      </c>
      <c r="I86" s="10" t="n">
        <v>0.494</v>
      </c>
      <c r="J86" s="0" t="n">
        <v>0.36</v>
      </c>
      <c r="K86" s="0" t="n">
        <v>1.1</v>
      </c>
      <c r="L86" s="0" t="n">
        <v>1.33</v>
      </c>
      <c r="M86" s="11" t="n">
        <f aca="false">IFERROR(G86/H86,"")</f>
        <v>22.8472222222222</v>
      </c>
      <c r="N86" s="9" t="s">
        <v>1320</v>
      </c>
      <c r="O86" s="9" t="s">
        <v>1423</v>
      </c>
    </row>
    <row r="87" customFormat="false" ht="15" hidden="false" customHeight="false" outlineLevel="0" collapsed="false">
      <c r="A87" s="0" t="s">
        <v>1253</v>
      </c>
      <c r="B87" s="0" t="s">
        <v>1079</v>
      </c>
      <c r="C87" s="0" t="s">
        <v>775</v>
      </c>
      <c r="D87" s="0" t="s">
        <v>833</v>
      </c>
      <c r="E87" s="0" t="s">
        <v>1422</v>
      </c>
      <c r="F87" s="0" t="n">
        <v>22</v>
      </c>
      <c r="G87" s="0" t="n">
        <v>16.86</v>
      </c>
      <c r="H87" s="0" t="n">
        <v>0.74</v>
      </c>
      <c r="I87" s="10" t="n">
        <v>0.477</v>
      </c>
      <c r="J87" s="0" t="n">
        <v>0.35</v>
      </c>
      <c r="K87" s="0" t="n">
        <v>1.12</v>
      </c>
      <c r="L87" s="0" t="n">
        <v>1.2</v>
      </c>
      <c r="M87" s="11" t="n">
        <f aca="false">IFERROR(G87/H87,"")</f>
        <v>22.7837837837838</v>
      </c>
      <c r="N87" s="9" t="s">
        <v>1320</v>
      </c>
      <c r="O87" s="9" t="s">
        <v>1424</v>
      </c>
    </row>
    <row r="88" customFormat="false" ht="15" hidden="false" customHeight="false" outlineLevel="0" collapsed="false">
      <c r="A88" s="0" t="s">
        <v>1254</v>
      </c>
      <c r="B88" s="0" t="s">
        <v>1081</v>
      </c>
      <c r="C88" s="0" t="s">
        <v>775</v>
      </c>
      <c r="D88" s="0" t="s">
        <v>833</v>
      </c>
      <c r="E88" s="0" t="s">
        <v>1422</v>
      </c>
      <c r="F88" s="0" t="n">
        <v>22</v>
      </c>
      <c r="G88" s="0" t="n">
        <v>13.23</v>
      </c>
      <c r="H88" s="0" t="n">
        <v>0.58</v>
      </c>
      <c r="I88" s="10" t="n">
        <v>0.512</v>
      </c>
      <c r="J88" s="0" t="n">
        <v>0.3</v>
      </c>
      <c r="K88" s="0" t="n">
        <v>0.89</v>
      </c>
      <c r="L88" s="0" t="n">
        <v>1.03</v>
      </c>
      <c r="M88" s="11" t="n">
        <f aca="false">IFERROR(G88/H88,"")</f>
        <v>22.8103448275862</v>
      </c>
      <c r="N88" s="9" t="s">
        <v>1320</v>
      </c>
      <c r="O88" s="9" t="s">
        <v>1425</v>
      </c>
    </row>
    <row r="89" customFormat="false" ht="15" hidden="false" customHeight="false" outlineLevel="0" collapsed="false">
      <c r="A89" s="0" t="s">
        <v>1255</v>
      </c>
      <c r="B89" s="0" t="s">
        <v>1083</v>
      </c>
      <c r="C89" s="0" t="s">
        <v>775</v>
      </c>
      <c r="D89" s="0" t="s">
        <v>833</v>
      </c>
      <c r="E89" s="0" t="s">
        <v>1422</v>
      </c>
      <c r="F89" s="0" t="n">
        <v>22</v>
      </c>
      <c r="G89" s="0" t="n">
        <v>15.05</v>
      </c>
      <c r="H89" s="0" t="n">
        <v>0.66</v>
      </c>
      <c r="I89" s="10" t="n">
        <v>0.55</v>
      </c>
      <c r="J89" s="0" t="n">
        <v>0.36</v>
      </c>
      <c r="K89" s="0" t="n">
        <v>1.03</v>
      </c>
      <c r="L89" s="0" t="n">
        <v>1.09</v>
      </c>
      <c r="M89" s="11" t="n">
        <f aca="false">IFERROR(G89/H89,"")</f>
        <v>22.8030303030303</v>
      </c>
      <c r="N89" s="9" t="s">
        <v>1320</v>
      </c>
      <c r="O89" s="9" t="s">
        <v>1426</v>
      </c>
    </row>
    <row r="90" customFormat="false" ht="15" hidden="false" customHeight="false" outlineLevel="0" collapsed="false">
      <c r="A90" s="0" t="s">
        <v>1256</v>
      </c>
      <c r="B90" s="0" t="s">
        <v>1085</v>
      </c>
      <c r="C90" s="0" t="s">
        <v>775</v>
      </c>
      <c r="D90" s="0" t="s">
        <v>833</v>
      </c>
      <c r="E90" s="0" t="s">
        <v>1422</v>
      </c>
      <c r="F90" s="0" t="n">
        <v>22</v>
      </c>
      <c r="G90" s="0" t="n">
        <v>17.5</v>
      </c>
      <c r="H90" s="0" t="n">
        <v>0.77</v>
      </c>
      <c r="I90" s="10" t="n">
        <v>0.343</v>
      </c>
      <c r="J90" s="0" t="n">
        <v>0.26</v>
      </c>
      <c r="K90" s="0" t="n">
        <v>1.22</v>
      </c>
      <c r="L90" s="0" t="n">
        <v>1.24</v>
      </c>
      <c r="M90" s="11" t="n">
        <f aca="false">IFERROR(G90/H90,"")</f>
        <v>22.7272727272727</v>
      </c>
      <c r="N90" s="9" t="s">
        <v>1320</v>
      </c>
      <c r="O90" s="9" t="s">
        <v>1427</v>
      </c>
    </row>
    <row r="91" customFormat="false" ht="15" hidden="false" customHeight="false" outlineLevel="0" collapsed="false">
      <c r="A91" s="0" t="s">
        <v>1257</v>
      </c>
      <c r="B91" s="0" t="s">
        <v>1087</v>
      </c>
      <c r="C91" s="0" t="s">
        <v>775</v>
      </c>
      <c r="D91" s="0" t="s">
        <v>834</v>
      </c>
      <c r="E91" s="0" t="s">
        <v>1428</v>
      </c>
      <c r="F91" s="0" t="n">
        <v>30</v>
      </c>
      <c r="G91" s="0" t="n">
        <v>13.83</v>
      </c>
      <c r="H91" s="0" t="n">
        <v>0.68</v>
      </c>
      <c r="I91" s="10" t="n">
        <v>0.598</v>
      </c>
      <c r="J91" s="0" t="n">
        <v>0.4</v>
      </c>
      <c r="K91" s="0" t="n">
        <v>0.97</v>
      </c>
      <c r="L91" s="0" t="n">
        <v>1.08</v>
      </c>
      <c r="M91" s="11" t="n">
        <f aca="false">IFERROR(G91/H91,"")</f>
        <v>20.3382352941176</v>
      </c>
      <c r="N91" s="9" t="s">
        <v>1320</v>
      </c>
      <c r="O91" s="9" t="s">
        <v>1429</v>
      </c>
    </row>
    <row r="92" customFormat="false" ht="15" hidden="false" customHeight="false" outlineLevel="0" collapsed="false">
      <c r="A92" s="0" t="s">
        <v>1258</v>
      </c>
      <c r="B92" s="0" t="s">
        <v>1089</v>
      </c>
      <c r="C92" s="0" t="s">
        <v>775</v>
      </c>
      <c r="D92" s="0" t="s">
        <v>834</v>
      </c>
      <c r="E92" s="0" t="s">
        <v>1428</v>
      </c>
      <c r="F92" s="0" t="n">
        <v>30</v>
      </c>
      <c r="G92" s="0" t="n">
        <v>13.63</v>
      </c>
      <c r="H92" s="0" t="n">
        <v>0.67</v>
      </c>
      <c r="I92" s="10" t="n">
        <v>0.489</v>
      </c>
      <c r="J92" s="0" t="n">
        <v>0.33</v>
      </c>
      <c r="K92" s="0" t="n">
        <v>0.95</v>
      </c>
      <c r="L92" s="0" t="n">
        <v>1.07</v>
      </c>
      <c r="M92" s="11" t="n">
        <f aca="false">IFERROR(G92/H92,"")</f>
        <v>20.3432835820896</v>
      </c>
      <c r="N92" s="9" t="s">
        <v>1320</v>
      </c>
      <c r="O92" s="9" t="s">
        <v>1430</v>
      </c>
    </row>
    <row r="93" customFormat="false" ht="15" hidden="false" customHeight="false" outlineLevel="0" collapsed="false">
      <c r="A93" s="0" t="s">
        <v>1259</v>
      </c>
      <c r="B93" s="0" t="s">
        <v>1091</v>
      </c>
      <c r="C93" s="0" t="s">
        <v>775</v>
      </c>
      <c r="D93" s="0" t="s">
        <v>834</v>
      </c>
      <c r="E93" s="0" t="s">
        <v>1428</v>
      </c>
      <c r="F93" s="0" t="n">
        <v>30</v>
      </c>
      <c r="G93" s="0" t="n">
        <v>13.6</v>
      </c>
      <c r="H93" s="0" t="n">
        <v>0.66</v>
      </c>
      <c r="I93" s="10" t="n">
        <v>0.319</v>
      </c>
      <c r="J93" s="0" t="n">
        <v>0.21</v>
      </c>
      <c r="K93" s="0" t="n">
        <v>1.19</v>
      </c>
      <c r="L93" s="0" t="n">
        <v>1.02</v>
      </c>
      <c r="M93" s="11" t="n">
        <f aca="false">IFERROR(G93/H93,"")</f>
        <v>20.6060606060606</v>
      </c>
      <c r="N93" s="9" t="s">
        <v>1320</v>
      </c>
      <c r="O93" s="9" t="s">
        <v>1431</v>
      </c>
    </row>
    <row r="94" customFormat="false" ht="15" hidden="false" customHeight="false" outlineLevel="0" collapsed="false">
      <c r="A94" s="0" t="s">
        <v>1260</v>
      </c>
      <c r="B94" s="0" t="s">
        <v>1093</v>
      </c>
      <c r="C94" s="0" t="s">
        <v>775</v>
      </c>
      <c r="D94" s="0" t="s">
        <v>834</v>
      </c>
      <c r="E94" s="0" t="s">
        <v>1428</v>
      </c>
      <c r="F94" s="0" t="n">
        <v>30</v>
      </c>
      <c r="G94" s="0" t="n">
        <v>13.23</v>
      </c>
      <c r="H94" s="0" t="n">
        <v>0.65</v>
      </c>
      <c r="I94" s="10" t="n">
        <v>0.579</v>
      </c>
      <c r="J94" s="0" t="n">
        <v>0.37</v>
      </c>
      <c r="K94" s="0" t="n">
        <v>1.04</v>
      </c>
      <c r="L94" s="0" t="n">
        <v>1.05</v>
      </c>
      <c r="M94" s="11" t="n">
        <f aca="false">IFERROR(G94/H94,"")</f>
        <v>20.3538461538462</v>
      </c>
      <c r="N94" s="9" t="s">
        <v>1320</v>
      </c>
      <c r="O94" s="9" t="s">
        <v>1432</v>
      </c>
    </row>
    <row r="95" customFormat="false" ht="15" hidden="false" customHeight="false" outlineLevel="0" collapsed="false">
      <c r="A95" s="0" t="s">
        <v>1261</v>
      </c>
      <c r="B95" s="0" t="s">
        <v>1095</v>
      </c>
      <c r="C95" s="0" t="s">
        <v>775</v>
      </c>
      <c r="D95" s="0" t="s">
        <v>834</v>
      </c>
      <c r="E95" s="0" t="s">
        <v>1428</v>
      </c>
      <c r="F95" s="0" t="n">
        <v>30</v>
      </c>
      <c r="G95" s="0" t="n">
        <v>15.27</v>
      </c>
      <c r="H95" s="0" t="n">
        <v>0.75</v>
      </c>
      <c r="I95" s="10" t="n">
        <v>0.541</v>
      </c>
      <c r="J95" s="0" t="n">
        <v>0.4</v>
      </c>
      <c r="K95" s="0" t="n">
        <v>1.21</v>
      </c>
      <c r="L95" s="0" t="n">
        <v>1.25</v>
      </c>
      <c r="M95" s="11" t="n">
        <f aca="false">IFERROR(G95/H95,"")</f>
        <v>20.36</v>
      </c>
      <c r="N95" s="9" t="s">
        <v>1320</v>
      </c>
      <c r="O95" s="9" t="s">
        <v>1433</v>
      </c>
    </row>
    <row r="96" customFormat="false" ht="15" hidden="false" customHeight="false" outlineLevel="0" collapsed="false">
      <c r="A96" s="0" t="s">
        <v>1266</v>
      </c>
      <c r="B96" s="0" t="s">
        <v>1105</v>
      </c>
      <c r="C96" s="0" t="s">
        <v>775</v>
      </c>
      <c r="D96" s="0" t="s">
        <v>817</v>
      </c>
      <c r="E96" s="0" t="s">
        <v>1434</v>
      </c>
      <c r="F96" s="0" t="n">
        <v>31</v>
      </c>
      <c r="G96" s="0" t="n">
        <v>17.03</v>
      </c>
      <c r="H96" s="0" t="n">
        <v>0.81</v>
      </c>
      <c r="I96" s="10" t="n">
        <v>0.574</v>
      </c>
      <c r="J96" s="0" t="n">
        <v>0.47</v>
      </c>
      <c r="K96" s="0" t="n">
        <v>1.2</v>
      </c>
      <c r="L96" s="0" t="n">
        <v>1.22</v>
      </c>
      <c r="M96" s="11" t="n">
        <f aca="false">IFERROR(G96/H96,"")</f>
        <v>21.0246913580247</v>
      </c>
      <c r="N96" s="9" t="s">
        <v>1320</v>
      </c>
      <c r="O96" s="9" t="s">
        <v>1435</v>
      </c>
    </row>
    <row r="97" customFormat="false" ht="15" hidden="false" customHeight="false" outlineLevel="0" collapsed="false">
      <c r="A97" s="0" t="s">
        <v>1267</v>
      </c>
      <c r="B97" s="0" t="s">
        <v>1107</v>
      </c>
      <c r="C97" s="0" t="s">
        <v>775</v>
      </c>
      <c r="D97" s="0" t="s">
        <v>817</v>
      </c>
      <c r="E97" s="0" t="s">
        <v>1434</v>
      </c>
      <c r="F97" s="0" t="n">
        <v>31</v>
      </c>
      <c r="G97" s="0" t="n">
        <v>14.32</v>
      </c>
      <c r="H97" s="0" t="n">
        <v>0.68</v>
      </c>
      <c r="I97" s="10" t="n">
        <v>0.324</v>
      </c>
      <c r="J97" s="0" t="n">
        <v>0.22</v>
      </c>
      <c r="K97" s="0" t="n">
        <v>1.17</v>
      </c>
      <c r="L97" s="0" t="n">
        <v>1.12</v>
      </c>
      <c r="M97" s="11" t="n">
        <f aca="false">IFERROR(G97/H97,"")</f>
        <v>21.0588235294118</v>
      </c>
      <c r="N97" s="9" t="s">
        <v>1320</v>
      </c>
      <c r="O97" s="9" t="s">
        <v>1436</v>
      </c>
    </row>
    <row r="98" customFormat="false" ht="15" hidden="false" customHeight="false" outlineLevel="0" collapsed="false">
      <c r="A98" s="0" t="s">
        <v>1268</v>
      </c>
      <c r="B98" s="0" t="s">
        <v>1109</v>
      </c>
      <c r="C98" s="0" t="s">
        <v>775</v>
      </c>
      <c r="D98" s="0" t="s">
        <v>817</v>
      </c>
      <c r="E98" s="0" t="s">
        <v>1434</v>
      </c>
      <c r="F98" s="0" t="n">
        <v>31</v>
      </c>
      <c r="G98" s="0" t="n">
        <v>11.16</v>
      </c>
      <c r="H98" s="0" t="n">
        <v>0.53</v>
      </c>
      <c r="I98" s="10" t="n">
        <v>0.543</v>
      </c>
      <c r="J98" s="0" t="n">
        <v>0.29</v>
      </c>
      <c r="K98" s="0" t="n">
        <v>0.79</v>
      </c>
      <c r="L98" s="0" t="n">
        <v>0.95</v>
      </c>
      <c r="M98" s="11" t="n">
        <f aca="false">IFERROR(G98/H98,"")</f>
        <v>21.0566037735849</v>
      </c>
      <c r="N98" s="9" t="s">
        <v>1320</v>
      </c>
      <c r="O98" s="9" t="s">
        <v>1437</v>
      </c>
    </row>
    <row r="99" customFormat="false" ht="15" hidden="false" customHeight="false" outlineLevel="0" collapsed="false">
      <c r="A99" s="0" t="s">
        <v>1269</v>
      </c>
      <c r="B99" s="0" t="s">
        <v>1111</v>
      </c>
      <c r="C99" s="0" t="s">
        <v>775</v>
      </c>
      <c r="D99" s="0" t="s">
        <v>817</v>
      </c>
      <c r="E99" s="0" t="s">
        <v>1434</v>
      </c>
      <c r="F99" s="0" t="n">
        <v>39</v>
      </c>
      <c r="G99" s="0" t="n">
        <v>14.79</v>
      </c>
      <c r="H99" s="0" t="n">
        <v>0.71</v>
      </c>
      <c r="I99" s="10" t="n">
        <v>0.664</v>
      </c>
      <c r="J99" s="0" t="n">
        <v>0.47</v>
      </c>
      <c r="K99" s="0" t="n">
        <v>1.05</v>
      </c>
      <c r="L99" s="0" t="n">
        <v>1.16</v>
      </c>
      <c r="M99" s="11" t="n">
        <f aca="false">IFERROR(G99/H99,"")</f>
        <v>20.830985915493</v>
      </c>
      <c r="N99" s="9" t="s">
        <v>1320</v>
      </c>
      <c r="O99" s="9" t="s">
        <v>1438</v>
      </c>
    </row>
    <row r="100" customFormat="false" ht="15" hidden="false" customHeight="false" outlineLevel="0" collapsed="false">
      <c r="A100" s="0" t="s">
        <v>1270</v>
      </c>
      <c r="B100" s="0" t="s">
        <v>1113</v>
      </c>
      <c r="C100" s="0" t="s">
        <v>775</v>
      </c>
      <c r="D100" s="0" t="s">
        <v>817</v>
      </c>
      <c r="E100" s="0" t="s">
        <v>1434</v>
      </c>
      <c r="F100" s="0" t="n">
        <v>31</v>
      </c>
      <c r="G100" s="0" t="n">
        <v>14.32</v>
      </c>
      <c r="H100" s="0" t="n">
        <v>0.68</v>
      </c>
      <c r="I100" s="10" t="n">
        <v>0.547</v>
      </c>
      <c r="J100" s="0" t="n">
        <v>0.37</v>
      </c>
      <c r="K100" s="0" t="n">
        <v>1.14</v>
      </c>
      <c r="L100" s="0" t="n">
        <v>1.22</v>
      </c>
      <c r="M100" s="11" t="n">
        <f aca="false">IFERROR(G100/H100,"")</f>
        <v>21.0588235294118</v>
      </c>
      <c r="N100" s="9" t="s">
        <v>1320</v>
      </c>
      <c r="O100" s="9" t="s">
        <v>1439</v>
      </c>
    </row>
    <row r="101" customFormat="false" ht="15" hidden="false" customHeight="false" outlineLevel="0" collapsed="false">
      <c r="A101" s="0" t="s">
        <v>1187</v>
      </c>
      <c r="B101" s="0" t="s">
        <v>938</v>
      </c>
      <c r="C101" s="0" t="s">
        <v>775</v>
      </c>
      <c r="D101" s="0" t="s">
        <v>799</v>
      </c>
      <c r="E101" s="0" t="s">
        <v>1440</v>
      </c>
      <c r="F101" s="0" t="n">
        <v>34</v>
      </c>
      <c r="G101" s="0" t="n">
        <v>15.06</v>
      </c>
      <c r="H101" s="0" t="n">
        <v>0.72</v>
      </c>
      <c r="I101" s="10" t="n">
        <v>0.631</v>
      </c>
      <c r="J101" s="0" t="n">
        <v>0.45</v>
      </c>
      <c r="K101" s="0" t="n">
        <v>1.15</v>
      </c>
      <c r="L101" s="0" t="n">
        <v>1.24</v>
      </c>
      <c r="M101" s="11" t="n">
        <f aca="false">IFERROR(G101/H101,"")</f>
        <v>20.9166666666667</v>
      </c>
      <c r="N101" s="9" t="s">
        <v>1320</v>
      </c>
      <c r="O101" s="9" t="s">
        <v>1441</v>
      </c>
    </row>
    <row r="102" customFormat="false" ht="15" hidden="false" customHeight="false" outlineLevel="0" collapsed="false">
      <c r="A102" s="0" t="s">
        <v>1188</v>
      </c>
      <c r="B102" s="0" t="s">
        <v>941</v>
      </c>
      <c r="C102" s="0" t="s">
        <v>775</v>
      </c>
      <c r="D102" s="0" t="s">
        <v>799</v>
      </c>
      <c r="E102" s="0" t="s">
        <v>1440</v>
      </c>
      <c r="F102" s="0" t="n">
        <v>35</v>
      </c>
      <c r="G102" s="0" t="n">
        <v>13.23</v>
      </c>
      <c r="H102" s="0" t="n">
        <v>0.6</v>
      </c>
      <c r="I102" s="10" t="n">
        <v>0.57</v>
      </c>
      <c r="J102" s="0" t="n">
        <v>0.34</v>
      </c>
      <c r="K102" s="0" t="n">
        <v>0.86</v>
      </c>
      <c r="L102" s="0" t="n">
        <v>1.01</v>
      </c>
      <c r="M102" s="11" t="n">
        <f aca="false">IFERROR(G102/H102,"")</f>
        <v>22.05</v>
      </c>
      <c r="N102" s="9" t="s">
        <v>1320</v>
      </c>
      <c r="O102" s="9" t="s">
        <v>1442</v>
      </c>
    </row>
    <row r="103" customFormat="false" ht="15" hidden="false" customHeight="false" outlineLevel="0" collapsed="false">
      <c r="A103" s="0" t="s">
        <v>1189</v>
      </c>
      <c r="B103" s="0" t="s">
        <v>943</v>
      </c>
      <c r="C103" s="0" t="s">
        <v>775</v>
      </c>
      <c r="D103" s="0" t="s">
        <v>799</v>
      </c>
      <c r="E103" s="0" t="s">
        <v>1440</v>
      </c>
      <c r="F103" s="0" t="n">
        <v>33</v>
      </c>
      <c r="G103" s="0" t="n">
        <v>16.27</v>
      </c>
      <c r="H103" s="0" t="n">
        <v>0.75</v>
      </c>
      <c r="I103" s="10" t="n">
        <v>0.505</v>
      </c>
      <c r="J103" s="0" t="n">
        <v>0.38</v>
      </c>
      <c r="K103" s="0" t="n">
        <v>1.1</v>
      </c>
      <c r="L103" s="0" t="n">
        <v>1.16</v>
      </c>
      <c r="M103" s="11" t="n">
        <f aca="false">IFERROR(G103/H103,"")</f>
        <v>21.6933333333333</v>
      </c>
      <c r="N103" s="9" t="s">
        <v>1320</v>
      </c>
      <c r="O103" s="9" t="s">
        <v>1443</v>
      </c>
    </row>
    <row r="104" customFormat="false" ht="15" hidden="false" customHeight="false" outlineLevel="0" collapsed="false">
      <c r="A104" s="0" t="s">
        <v>1190</v>
      </c>
      <c r="B104" s="0" t="s">
        <v>945</v>
      </c>
      <c r="C104" s="0" t="s">
        <v>775</v>
      </c>
      <c r="D104" s="0" t="s">
        <v>799</v>
      </c>
      <c r="E104" s="0" t="s">
        <v>1440</v>
      </c>
      <c r="F104" s="0" t="n">
        <v>36</v>
      </c>
      <c r="G104" s="0" t="n">
        <v>14.94</v>
      </c>
      <c r="H104" s="0" t="n">
        <v>0.71</v>
      </c>
      <c r="I104" s="10" t="n">
        <v>0.656</v>
      </c>
      <c r="J104" s="0" t="n">
        <v>0.47</v>
      </c>
      <c r="K104" s="0" t="n">
        <v>1.04</v>
      </c>
      <c r="L104" s="0" t="n">
        <v>1.11</v>
      </c>
      <c r="M104" s="11" t="n">
        <f aca="false">IFERROR(G104/H104,"")</f>
        <v>21.0422535211268</v>
      </c>
      <c r="N104" s="9" t="s">
        <v>1320</v>
      </c>
      <c r="O104" s="9" t="s">
        <v>1444</v>
      </c>
    </row>
    <row r="105" customFormat="false" ht="15" hidden="false" customHeight="false" outlineLevel="0" collapsed="false">
      <c r="A105" s="0" t="s">
        <v>1191</v>
      </c>
      <c r="B105" s="0" t="s">
        <v>947</v>
      </c>
      <c r="C105" s="0" t="s">
        <v>775</v>
      </c>
      <c r="D105" s="0" t="s">
        <v>799</v>
      </c>
      <c r="E105" s="0" t="s">
        <v>1440</v>
      </c>
      <c r="F105" s="0" t="n">
        <v>35</v>
      </c>
      <c r="G105" s="0" t="n">
        <v>15.49</v>
      </c>
      <c r="H105" s="0" t="n">
        <v>0.7</v>
      </c>
      <c r="I105" s="10" t="n">
        <v>0.386</v>
      </c>
      <c r="J105" s="0" t="n">
        <v>0.27</v>
      </c>
      <c r="K105" s="0" t="n">
        <v>1.17</v>
      </c>
      <c r="L105" s="0" t="n">
        <v>1.15</v>
      </c>
      <c r="M105" s="11" t="n">
        <f aca="false">IFERROR(G105/H105,"")</f>
        <v>22.1285714285714</v>
      </c>
      <c r="N105" s="9" t="s">
        <v>1320</v>
      </c>
      <c r="O105" s="9" t="s">
        <v>1445</v>
      </c>
    </row>
  </sheetData>
  <autoFilter ref="A1:O1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1" min="11" style="0" width="9"/>
  </cols>
  <sheetData>
    <row r="1" customFormat="false" ht="28.35" hidden="false" customHeight="false" outlineLevel="0" collapsed="false">
      <c r="A1" s="12" t="s">
        <v>1115</v>
      </c>
      <c r="B1" s="12" t="s">
        <v>1116</v>
      </c>
      <c r="C1" s="12" t="s">
        <v>713</v>
      </c>
      <c r="D1" s="12" t="s">
        <v>738</v>
      </c>
      <c r="E1" s="12" t="s">
        <v>66</v>
      </c>
      <c r="F1" s="12" t="s">
        <v>1446</v>
      </c>
      <c r="G1" s="12" t="s">
        <v>1447</v>
      </c>
      <c r="H1" s="12" t="s">
        <v>1448</v>
      </c>
      <c r="I1" s="12" t="s">
        <v>1312</v>
      </c>
      <c r="J1" s="12" t="s">
        <v>1314</v>
      </c>
      <c r="K1" s="12" t="s">
        <v>1449</v>
      </c>
    </row>
    <row r="2" customFormat="false" ht="15" hidden="false" customHeight="false" outlineLevel="0" collapsed="false">
      <c r="A2" s="0" t="s">
        <v>1450</v>
      </c>
      <c r="B2" s="0" t="s">
        <v>1238</v>
      </c>
      <c r="C2" s="0" t="s">
        <v>1047</v>
      </c>
      <c r="D2" s="0" t="s">
        <v>775</v>
      </c>
      <c r="E2" s="0" t="s">
        <v>149</v>
      </c>
      <c r="F2" s="0" t="n">
        <v>7</v>
      </c>
      <c r="G2" s="0" t="n">
        <v>17.1</v>
      </c>
      <c r="H2" s="0" t="n">
        <v>0.78</v>
      </c>
      <c r="I2" s="10" t="n">
        <v>0.517</v>
      </c>
      <c r="J2" s="0" t="n">
        <v>1.25</v>
      </c>
      <c r="K2" s="13" t="n">
        <f aca="false">IF(H2&lt;&gt;"",H2,IFERROR(G2/INDEX(Players!$M$2:$M$105,MATCH(B2,Players!$A$2:$A$105,0)),""))</f>
        <v>0.78</v>
      </c>
    </row>
    <row r="3" customFormat="false" ht="15" hidden="false" customHeight="false" outlineLevel="0" collapsed="false">
      <c r="A3" s="0" t="s">
        <v>1451</v>
      </c>
      <c r="B3" s="0" t="s">
        <v>1238</v>
      </c>
      <c r="C3" s="0" t="s">
        <v>1047</v>
      </c>
      <c r="D3" s="0" t="s">
        <v>775</v>
      </c>
      <c r="E3" s="0" t="s">
        <v>142</v>
      </c>
      <c r="F3" s="0" t="n">
        <v>7</v>
      </c>
      <c r="G3" s="0" t="n">
        <v>14.6</v>
      </c>
      <c r="H3" s="0" t="n">
        <v>0.71</v>
      </c>
      <c r="I3" s="10" t="n">
        <v>0.598</v>
      </c>
      <c r="J3" s="0" t="n">
        <v>1.07</v>
      </c>
      <c r="K3" s="13" t="n">
        <f aca="false">IF(H3&lt;&gt;"",H3,IFERROR(G3/INDEX(Players!$M$2:$M$105,MATCH(B3,Players!$A$2:$A$105,0)),""))</f>
        <v>0.71</v>
      </c>
    </row>
    <row r="4" customFormat="false" ht="15" hidden="false" customHeight="false" outlineLevel="0" collapsed="false">
      <c r="A4" s="0" t="s">
        <v>1452</v>
      </c>
      <c r="B4" s="0" t="s">
        <v>1238</v>
      </c>
      <c r="C4" s="0" t="s">
        <v>1047</v>
      </c>
      <c r="D4" s="0" t="s">
        <v>775</v>
      </c>
      <c r="E4" s="0" t="s">
        <v>131</v>
      </c>
      <c r="F4" s="0" t="n">
        <v>6</v>
      </c>
      <c r="G4" s="0" t="n">
        <v>12.8</v>
      </c>
      <c r="H4" s="0" t="n">
        <v>0.63</v>
      </c>
      <c r="I4" s="10" t="n">
        <v>0.584</v>
      </c>
      <c r="J4" s="0" t="n">
        <v>0.87</v>
      </c>
      <c r="K4" s="13" t="n">
        <f aca="false">IF(H4&lt;&gt;"",H4,IFERROR(G4/INDEX(Players!$M$2:$M$105,MATCH(B4,Players!$A$2:$A$105,0)),""))</f>
        <v>0.63</v>
      </c>
    </row>
    <row r="5" customFormat="false" ht="15" hidden="false" customHeight="false" outlineLevel="0" collapsed="false">
      <c r="A5" s="0" t="s">
        <v>1453</v>
      </c>
      <c r="B5" s="0" t="s">
        <v>1238</v>
      </c>
      <c r="C5" s="0" t="s">
        <v>1047</v>
      </c>
      <c r="D5" s="0" t="s">
        <v>775</v>
      </c>
      <c r="E5" s="0" t="s">
        <v>96</v>
      </c>
      <c r="F5" s="0" t="n">
        <v>3</v>
      </c>
      <c r="G5" s="0" t="n">
        <v>16.3</v>
      </c>
      <c r="H5" s="0" t="n">
        <v>0.67</v>
      </c>
      <c r="I5" s="10" t="n">
        <v>0.49</v>
      </c>
      <c r="J5" s="0" t="n">
        <v>0.87</v>
      </c>
      <c r="K5" s="13" t="n">
        <f aca="false">IF(H5&lt;&gt;"",H5,IFERROR(G5/INDEX(Players!$M$2:$M$105,MATCH(B5,Players!$A$2:$A$105,0)),""))</f>
        <v>0.67</v>
      </c>
    </row>
    <row r="6" customFormat="false" ht="15" hidden="false" customHeight="false" outlineLevel="0" collapsed="false">
      <c r="A6" s="0" t="s">
        <v>1454</v>
      </c>
      <c r="B6" s="0" t="s">
        <v>1238</v>
      </c>
      <c r="C6" s="0" t="s">
        <v>1047</v>
      </c>
      <c r="D6" s="0" t="s">
        <v>775</v>
      </c>
      <c r="E6" s="0" t="s">
        <v>109</v>
      </c>
      <c r="F6" s="0" t="n">
        <v>2</v>
      </c>
      <c r="G6" s="0" t="n">
        <v>19</v>
      </c>
      <c r="H6" s="0" t="n">
        <v>0.84</v>
      </c>
      <c r="I6" s="10" t="n">
        <v>0.632</v>
      </c>
      <c r="J6" s="0" t="n">
        <v>1.15</v>
      </c>
      <c r="K6" s="13" t="n">
        <f aca="false">IF(H6&lt;&gt;"",H6,IFERROR(G6/INDEX(Players!$M$2:$M$105,MATCH(B6,Players!$A$2:$A$105,0)),""))</f>
        <v>0.84</v>
      </c>
    </row>
    <row r="7" customFormat="false" ht="15" hidden="false" customHeight="false" outlineLevel="0" collapsed="false">
      <c r="A7" s="0" t="s">
        <v>1455</v>
      </c>
      <c r="B7" s="0" t="s">
        <v>1238</v>
      </c>
      <c r="C7" s="0" t="s">
        <v>1047</v>
      </c>
      <c r="D7" s="0" t="s">
        <v>775</v>
      </c>
      <c r="E7" s="0" t="s">
        <v>82</v>
      </c>
      <c r="F7" s="0" t="n">
        <v>1</v>
      </c>
      <c r="G7" s="0" t="n">
        <v>13</v>
      </c>
      <c r="H7" s="0" t="n">
        <v>0.57</v>
      </c>
      <c r="I7" s="10" t="n">
        <v>0.385</v>
      </c>
      <c r="J7" s="0" t="n">
        <v>0.76</v>
      </c>
      <c r="K7" s="13" t="n">
        <f aca="false">IF(H7&lt;&gt;"",H7,IFERROR(G7/INDEX(Players!$M$2:$M$105,MATCH(B7,Players!$A$2:$A$105,0)),""))</f>
        <v>0.57</v>
      </c>
    </row>
    <row r="8" customFormat="false" ht="15" hidden="false" customHeight="false" outlineLevel="0" collapsed="false">
      <c r="A8" s="0" t="s">
        <v>1456</v>
      </c>
      <c r="B8" s="0" t="s">
        <v>1247</v>
      </c>
      <c r="C8" s="0" t="s">
        <v>1065</v>
      </c>
      <c r="D8" s="0" t="s">
        <v>775</v>
      </c>
      <c r="E8" s="0" t="s">
        <v>142</v>
      </c>
      <c r="F8" s="0" t="n">
        <v>8</v>
      </c>
      <c r="G8" s="0" t="n">
        <v>14.3</v>
      </c>
      <c r="H8" s="0" t="n">
        <v>0.73</v>
      </c>
      <c r="I8" s="10" t="n">
        <v>0.491</v>
      </c>
      <c r="J8" s="0" t="n">
        <v>1.13</v>
      </c>
      <c r="K8" s="13" t="n">
        <f aca="false">IF(H8&lt;&gt;"",H8,IFERROR(G8/INDEX(Players!$M$2:$M$105,MATCH(B8,Players!$A$2:$A$105,0)),""))</f>
        <v>0.73</v>
      </c>
    </row>
    <row r="9" customFormat="false" ht="15" hidden="false" customHeight="false" outlineLevel="0" collapsed="false">
      <c r="A9" s="0" t="s">
        <v>1457</v>
      </c>
      <c r="B9" s="0" t="s">
        <v>1247</v>
      </c>
      <c r="C9" s="0" t="s">
        <v>1065</v>
      </c>
      <c r="D9" s="0" t="s">
        <v>775</v>
      </c>
      <c r="E9" s="0" t="s">
        <v>96</v>
      </c>
      <c r="F9" s="0" t="n">
        <v>7</v>
      </c>
      <c r="G9" s="0" t="n">
        <v>18.6</v>
      </c>
      <c r="H9" s="0" t="n">
        <v>0.76</v>
      </c>
      <c r="I9" s="10" t="n">
        <v>0.431</v>
      </c>
      <c r="J9" s="0" t="n">
        <v>1.09</v>
      </c>
      <c r="K9" s="13" t="n">
        <f aca="false">IF(H9&lt;&gt;"",H9,IFERROR(G9/INDEX(Players!$M$2:$M$105,MATCH(B9,Players!$A$2:$A$105,0)),""))</f>
        <v>0.76</v>
      </c>
    </row>
    <row r="10" customFormat="false" ht="15" hidden="false" customHeight="false" outlineLevel="0" collapsed="false">
      <c r="A10" s="0" t="s">
        <v>1458</v>
      </c>
      <c r="B10" s="0" t="s">
        <v>1247</v>
      </c>
      <c r="C10" s="0" t="s">
        <v>1065</v>
      </c>
      <c r="D10" s="0" t="s">
        <v>775</v>
      </c>
      <c r="E10" s="0" t="s">
        <v>82</v>
      </c>
      <c r="F10" s="0" t="n">
        <v>6</v>
      </c>
      <c r="G10" s="0" t="n">
        <v>14.5</v>
      </c>
      <c r="H10" s="0" t="n">
        <v>0.64</v>
      </c>
      <c r="I10" s="10" t="n">
        <v>0.46</v>
      </c>
      <c r="J10" s="0" t="n">
        <v>0.99</v>
      </c>
      <c r="K10" s="13" t="n">
        <f aca="false">IF(H10&lt;&gt;"",H10,IFERROR(G10/INDEX(Players!$M$2:$M$105,MATCH(B10,Players!$A$2:$A$105,0)),""))</f>
        <v>0.64</v>
      </c>
    </row>
    <row r="11" customFormat="false" ht="15" hidden="false" customHeight="false" outlineLevel="0" collapsed="false">
      <c r="A11" s="0" t="s">
        <v>1459</v>
      </c>
      <c r="B11" s="0" t="s">
        <v>1247</v>
      </c>
      <c r="C11" s="0" t="s">
        <v>1065</v>
      </c>
      <c r="D11" s="0" t="s">
        <v>775</v>
      </c>
      <c r="E11" s="0" t="s">
        <v>131</v>
      </c>
      <c r="F11" s="0" t="n">
        <v>6</v>
      </c>
      <c r="G11" s="0" t="n">
        <v>11.8</v>
      </c>
      <c r="H11" s="0" t="n">
        <v>0.53</v>
      </c>
      <c r="I11" s="10" t="n">
        <v>0.451</v>
      </c>
      <c r="J11" s="0" t="n">
        <v>0.68</v>
      </c>
      <c r="K11" s="13" t="n">
        <f aca="false">IF(H11&lt;&gt;"",H11,IFERROR(G11/INDEX(Players!$M$2:$M$105,MATCH(B11,Players!$A$2:$A$105,0)),""))</f>
        <v>0.53</v>
      </c>
    </row>
    <row r="12" customFormat="false" ht="15" hidden="false" customHeight="false" outlineLevel="0" collapsed="false">
      <c r="A12" s="0" t="s">
        <v>1460</v>
      </c>
      <c r="B12" s="0" t="s">
        <v>1247</v>
      </c>
      <c r="C12" s="0" t="s">
        <v>1065</v>
      </c>
      <c r="D12" s="0" t="s">
        <v>775</v>
      </c>
      <c r="E12" s="0" t="s">
        <v>118</v>
      </c>
      <c r="F12" s="0" t="n">
        <v>4</v>
      </c>
      <c r="G12" s="0" t="n">
        <v>12.5</v>
      </c>
      <c r="H12" s="0" t="n">
        <v>0.57</v>
      </c>
      <c r="I12" s="10" t="n">
        <v>0.5</v>
      </c>
      <c r="J12" s="0" t="n">
        <v>0.86</v>
      </c>
      <c r="K12" s="13" t="n">
        <f aca="false">IF(H12&lt;&gt;"",H12,IFERROR(G12/INDEX(Players!$M$2:$M$105,MATCH(B12,Players!$A$2:$A$105,0)),""))</f>
        <v>0.57</v>
      </c>
    </row>
    <row r="13" customFormat="false" ht="15" hidden="false" customHeight="false" outlineLevel="0" collapsed="false">
      <c r="A13" s="0" t="s">
        <v>1461</v>
      </c>
      <c r="B13" s="0" t="s">
        <v>1247</v>
      </c>
      <c r="C13" s="0" t="s">
        <v>1065</v>
      </c>
      <c r="D13" s="0" t="s">
        <v>775</v>
      </c>
      <c r="E13" s="0" t="s">
        <v>149</v>
      </c>
      <c r="F13" s="0" t="n">
        <v>3</v>
      </c>
      <c r="G13" s="0" t="n">
        <v>15.3</v>
      </c>
      <c r="H13" s="0" t="n">
        <v>0.79</v>
      </c>
      <c r="I13" s="10" t="n">
        <v>0.457</v>
      </c>
      <c r="J13" s="0" t="n">
        <v>1.28</v>
      </c>
      <c r="K13" s="13" t="n">
        <f aca="false">IF(H13&lt;&gt;"",H13,IFERROR(G13/INDEX(Players!$M$2:$M$105,MATCH(B13,Players!$A$2:$A$105,0)),""))</f>
        <v>0.79</v>
      </c>
    </row>
    <row r="14" customFormat="false" ht="15" hidden="false" customHeight="false" outlineLevel="0" collapsed="false">
      <c r="A14" s="0" t="s">
        <v>1462</v>
      </c>
      <c r="B14" s="0" t="s">
        <v>1167</v>
      </c>
      <c r="C14" s="0" t="s">
        <v>887</v>
      </c>
      <c r="D14" s="0" t="s">
        <v>775</v>
      </c>
      <c r="E14" s="0" t="s">
        <v>96</v>
      </c>
      <c r="F14" s="0" t="n">
        <v>13</v>
      </c>
      <c r="G14" s="0" t="n">
        <v>11.6</v>
      </c>
      <c r="H14" s="0" t="n">
        <v>0.57</v>
      </c>
      <c r="I14" s="10" t="n">
        <v>0.437</v>
      </c>
      <c r="J14" s="0" t="n">
        <v>0.92</v>
      </c>
      <c r="K14" s="13" t="n">
        <f aca="false">IF(H14&lt;&gt;"",H14,IFERROR(G14/INDEX(Players!$M$2:$M$105,MATCH(B14,Players!$A$2:$A$105,0)),""))</f>
        <v>0.57</v>
      </c>
    </row>
    <row r="15" customFormat="false" ht="15" hidden="false" customHeight="false" outlineLevel="0" collapsed="false">
      <c r="A15" s="0" t="s">
        <v>1463</v>
      </c>
      <c r="B15" s="0" t="s">
        <v>1167</v>
      </c>
      <c r="C15" s="0" t="s">
        <v>887</v>
      </c>
      <c r="D15" s="0" t="s">
        <v>775</v>
      </c>
      <c r="E15" s="0" t="s">
        <v>109</v>
      </c>
      <c r="F15" s="0" t="n">
        <v>8</v>
      </c>
      <c r="G15" s="0" t="n">
        <v>15.1</v>
      </c>
      <c r="H15" s="0" t="n">
        <v>0.7</v>
      </c>
      <c r="I15" s="10" t="n">
        <v>0.479</v>
      </c>
      <c r="J15" s="0" t="n">
        <v>1.22</v>
      </c>
      <c r="K15" s="13" t="n">
        <f aca="false">IF(H15&lt;&gt;"",H15,IFERROR(G15/INDEX(Players!$M$2:$M$105,MATCH(B15,Players!$A$2:$A$105,0)),""))</f>
        <v>0.7</v>
      </c>
    </row>
    <row r="16" customFormat="false" ht="15" hidden="false" customHeight="false" outlineLevel="0" collapsed="false">
      <c r="A16" s="0" t="s">
        <v>1464</v>
      </c>
      <c r="B16" s="0" t="s">
        <v>1167</v>
      </c>
      <c r="C16" s="0" t="s">
        <v>887</v>
      </c>
      <c r="D16" s="0" t="s">
        <v>775</v>
      </c>
      <c r="E16" s="0" t="s">
        <v>131</v>
      </c>
      <c r="F16" s="0" t="n">
        <v>7</v>
      </c>
      <c r="G16" s="0" t="n">
        <v>15.3</v>
      </c>
      <c r="H16" s="0" t="n">
        <v>0.71</v>
      </c>
      <c r="I16" s="10" t="n">
        <v>0.449</v>
      </c>
      <c r="J16" s="0" t="n">
        <v>1.13</v>
      </c>
      <c r="K16" s="13" t="n">
        <f aca="false">IF(H16&lt;&gt;"",H16,IFERROR(G16/INDEX(Players!$M$2:$M$105,MATCH(B16,Players!$A$2:$A$105,0)),""))</f>
        <v>0.71</v>
      </c>
    </row>
    <row r="17" customFormat="false" ht="15" hidden="false" customHeight="false" outlineLevel="0" collapsed="false">
      <c r="A17" s="0" t="s">
        <v>1465</v>
      </c>
      <c r="B17" s="0" t="s">
        <v>1167</v>
      </c>
      <c r="C17" s="0" t="s">
        <v>887</v>
      </c>
      <c r="D17" s="0" t="s">
        <v>775</v>
      </c>
      <c r="E17" s="0" t="s">
        <v>82</v>
      </c>
      <c r="F17" s="0" t="n">
        <v>6</v>
      </c>
      <c r="G17" s="0" t="n">
        <v>11.5</v>
      </c>
      <c r="H17" s="0" t="n">
        <v>0.57</v>
      </c>
      <c r="I17" s="10" t="n">
        <v>0.435</v>
      </c>
      <c r="J17" s="0" t="n">
        <v>0.83</v>
      </c>
      <c r="K17" s="13" t="n">
        <f aca="false">IF(H17&lt;&gt;"",H17,IFERROR(G17/INDEX(Players!$M$2:$M$105,MATCH(B17,Players!$A$2:$A$105,0)),""))</f>
        <v>0.57</v>
      </c>
    </row>
    <row r="18" customFormat="false" ht="15" hidden="false" customHeight="false" outlineLevel="0" collapsed="false">
      <c r="A18" s="0" t="s">
        <v>1466</v>
      </c>
      <c r="B18" s="0" t="s">
        <v>1167</v>
      </c>
      <c r="C18" s="0" t="s">
        <v>887</v>
      </c>
      <c r="D18" s="0" t="s">
        <v>775</v>
      </c>
      <c r="E18" s="0" t="s">
        <v>142</v>
      </c>
      <c r="F18" s="0" t="n">
        <v>3</v>
      </c>
      <c r="G18" s="0" t="n">
        <v>16.3</v>
      </c>
      <c r="H18" s="0" t="n">
        <v>0.82</v>
      </c>
      <c r="I18" s="10" t="n">
        <v>0.551</v>
      </c>
      <c r="J18" s="0" t="n">
        <v>1.2</v>
      </c>
      <c r="K18" s="13" t="n">
        <f aca="false">IF(H18&lt;&gt;"",H18,IFERROR(G18/INDEX(Players!$M$2:$M$105,MATCH(B18,Players!$A$2:$A$105,0)),""))</f>
        <v>0.82</v>
      </c>
    </row>
    <row r="19" customFormat="false" ht="15" hidden="false" customHeight="false" outlineLevel="0" collapsed="false">
      <c r="A19" s="0" t="s">
        <v>1467</v>
      </c>
      <c r="B19" s="0" t="s">
        <v>1167</v>
      </c>
      <c r="C19" s="0" t="s">
        <v>887</v>
      </c>
      <c r="D19" s="0" t="s">
        <v>775</v>
      </c>
      <c r="E19" s="0" t="s">
        <v>149</v>
      </c>
      <c r="F19" s="0" t="n">
        <v>2</v>
      </c>
      <c r="G19" s="0" t="n">
        <v>17.5</v>
      </c>
      <c r="H19" s="0" t="n">
        <v>0.66</v>
      </c>
      <c r="I19" s="10" t="n">
        <v>0.343</v>
      </c>
      <c r="J19" s="0" t="n">
        <v>1</v>
      </c>
      <c r="K19" s="13" t="n">
        <f aca="false">IF(H19&lt;&gt;"",H19,IFERROR(G19/INDEX(Players!$M$2:$M$105,MATCH(B19,Players!$A$2:$A$105,0)),""))</f>
        <v>0.66</v>
      </c>
    </row>
    <row r="20" customFormat="false" ht="15" hidden="false" customHeight="false" outlineLevel="0" collapsed="false">
      <c r="A20" s="0" t="s">
        <v>1468</v>
      </c>
      <c r="B20" s="0" t="s">
        <v>1205</v>
      </c>
      <c r="C20" s="0" t="s">
        <v>977</v>
      </c>
      <c r="D20" s="0" t="s">
        <v>775</v>
      </c>
      <c r="E20" s="0" t="s">
        <v>109</v>
      </c>
      <c r="F20" s="0" t="n">
        <v>9</v>
      </c>
      <c r="G20" s="0" t="n">
        <v>16.1</v>
      </c>
      <c r="H20" s="0" t="n">
        <v>0.78</v>
      </c>
      <c r="I20" s="10" t="n">
        <v>0.262</v>
      </c>
      <c r="J20" s="0" t="n">
        <v>1.22</v>
      </c>
      <c r="K20" s="13" t="n">
        <f aca="false">IF(H20&lt;&gt;"",H20,IFERROR(G20/INDEX(Players!$M$2:$M$105,MATCH(B20,Players!$A$2:$A$105,0)),""))</f>
        <v>0.78</v>
      </c>
    </row>
    <row r="21" customFormat="false" ht="15" hidden="false" customHeight="false" outlineLevel="0" collapsed="false">
      <c r="A21" s="0" t="s">
        <v>1469</v>
      </c>
      <c r="B21" s="0" t="s">
        <v>1205</v>
      </c>
      <c r="C21" s="0" t="s">
        <v>977</v>
      </c>
      <c r="D21" s="0" t="s">
        <v>775</v>
      </c>
      <c r="E21" s="0" t="s">
        <v>142</v>
      </c>
      <c r="F21" s="0" t="n">
        <v>7</v>
      </c>
      <c r="G21" s="0" t="n">
        <v>18</v>
      </c>
      <c r="H21" s="0" t="n">
        <v>0.83</v>
      </c>
      <c r="I21" s="10" t="n">
        <v>0.444</v>
      </c>
      <c r="J21" s="0" t="n">
        <v>1.26</v>
      </c>
      <c r="K21" s="13" t="n">
        <f aca="false">IF(H21&lt;&gt;"",H21,IFERROR(G21/INDEX(Players!$M$2:$M$105,MATCH(B21,Players!$A$2:$A$105,0)),""))</f>
        <v>0.83</v>
      </c>
    </row>
    <row r="22" customFormat="false" ht="15" hidden="false" customHeight="false" outlineLevel="0" collapsed="false">
      <c r="A22" s="0" t="s">
        <v>1470</v>
      </c>
      <c r="B22" s="0" t="s">
        <v>1205</v>
      </c>
      <c r="C22" s="0" t="s">
        <v>977</v>
      </c>
      <c r="D22" s="0" t="s">
        <v>775</v>
      </c>
      <c r="E22" s="0" t="s">
        <v>96</v>
      </c>
      <c r="F22" s="0" t="n">
        <v>6</v>
      </c>
      <c r="G22" s="0" t="n">
        <v>20.2</v>
      </c>
      <c r="H22" s="0" t="n">
        <v>0.81</v>
      </c>
      <c r="I22" s="10" t="n">
        <v>0.364</v>
      </c>
      <c r="J22" s="0" t="n">
        <v>1.29</v>
      </c>
      <c r="K22" s="13" t="n">
        <f aca="false">IF(H22&lt;&gt;"",H22,IFERROR(G22/INDEX(Players!$M$2:$M$105,MATCH(B22,Players!$A$2:$A$105,0)),""))</f>
        <v>0.81</v>
      </c>
    </row>
    <row r="23" customFormat="false" ht="15" hidden="false" customHeight="false" outlineLevel="0" collapsed="false">
      <c r="A23" s="0" t="s">
        <v>1471</v>
      </c>
      <c r="B23" s="0" t="s">
        <v>1205</v>
      </c>
      <c r="C23" s="0" t="s">
        <v>977</v>
      </c>
      <c r="D23" s="0" t="s">
        <v>775</v>
      </c>
      <c r="E23" s="0" t="s">
        <v>118</v>
      </c>
      <c r="F23" s="0" t="n">
        <v>6</v>
      </c>
      <c r="G23" s="0" t="n">
        <v>15</v>
      </c>
      <c r="H23" s="0" t="n">
        <v>0.66</v>
      </c>
      <c r="I23" s="10" t="n">
        <v>0.378</v>
      </c>
      <c r="J23" s="0" t="n">
        <v>0.91</v>
      </c>
      <c r="K23" s="13" t="n">
        <f aca="false">IF(H23&lt;&gt;"",H23,IFERROR(G23/INDEX(Players!$M$2:$M$105,MATCH(B23,Players!$A$2:$A$105,0)),""))</f>
        <v>0.66</v>
      </c>
    </row>
    <row r="24" customFormat="false" ht="15" hidden="false" customHeight="false" outlineLevel="0" collapsed="false">
      <c r="A24" s="0" t="s">
        <v>1472</v>
      </c>
      <c r="B24" s="0" t="s">
        <v>1205</v>
      </c>
      <c r="C24" s="0" t="s">
        <v>977</v>
      </c>
      <c r="D24" s="0" t="s">
        <v>775</v>
      </c>
      <c r="E24" s="0" t="s">
        <v>82</v>
      </c>
      <c r="F24" s="0" t="n">
        <v>5</v>
      </c>
      <c r="G24" s="0" t="n">
        <v>17</v>
      </c>
      <c r="H24" s="0" t="n">
        <v>0.75</v>
      </c>
      <c r="I24" s="10" t="n">
        <v>0.306</v>
      </c>
      <c r="J24" s="0" t="n">
        <v>1.13</v>
      </c>
      <c r="K24" s="13" t="n">
        <f aca="false">IF(H24&lt;&gt;"",H24,IFERROR(G24/INDEX(Players!$M$2:$M$105,MATCH(B24,Players!$A$2:$A$105,0)),""))</f>
        <v>0.75</v>
      </c>
    </row>
    <row r="25" customFormat="false" ht="15" hidden="false" customHeight="false" outlineLevel="0" collapsed="false">
      <c r="A25" s="0" t="s">
        <v>1473</v>
      </c>
      <c r="B25" s="0" t="s">
        <v>1205</v>
      </c>
      <c r="C25" s="0" t="s">
        <v>977</v>
      </c>
      <c r="D25" s="0" t="s">
        <v>775</v>
      </c>
      <c r="E25" s="0" t="s">
        <v>1292</v>
      </c>
      <c r="F25" s="0" t="n">
        <v>2</v>
      </c>
      <c r="G25" s="0" t="n">
        <v>10.5</v>
      </c>
      <c r="H25" s="0" t="n">
        <v>0.57</v>
      </c>
      <c r="I25" s="10" t="n">
        <v>0.333</v>
      </c>
      <c r="J25" s="0" t="n">
        <v>0.95</v>
      </c>
      <c r="K25" s="13" t="n">
        <f aca="false">IF(H25&lt;&gt;"",H25,IFERROR(G25/INDEX(Players!$M$2:$M$105,MATCH(B25,Players!$A$2:$A$105,0)),""))</f>
        <v>0.57</v>
      </c>
    </row>
    <row r="26" customFormat="false" ht="15" hidden="false" customHeight="false" outlineLevel="0" collapsed="false">
      <c r="A26" s="0" t="s">
        <v>1474</v>
      </c>
      <c r="B26" s="0" t="s">
        <v>1205</v>
      </c>
      <c r="C26" s="0" t="s">
        <v>977</v>
      </c>
      <c r="D26" s="0" t="s">
        <v>775</v>
      </c>
      <c r="E26" s="0" t="s">
        <v>131</v>
      </c>
      <c r="F26" s="0" t="n">
        <v>1</v>
      </c>
      <c r="G26" s="0" t="n">
        <v>24</v>
      </c>
      <c r="H26" s="0" t="n">
        <v>1.14</v>
      </c>
      <c r="I26" s="10" t="n">
        <v>0.458</v>
      </c>
      <c r="J26" s="0" t="n">
        <v>2</v>
      </c>
      <c r="K26" s="13" t="n">
        <f aca="false">IF(H26&lt;&gt;"",H26,IFERROR(G26/INDEX(Players!$M$2:$M$105,MATCH(B26,Players!$A$2:$A$105,0)),""))</f>
        <v>1.14</v>
      </c>
    </row>
    <row r="27" customFormat="false" ht="15" hidden="false" customHeight="false" outlineLevel="0" collapsed="false">
      <c r="A27" s="0" t="s">
        <v>1475</v>
      </c>
      <c r="B27" s="0" t="s">
        <v>1172</v>
      </c>
      <c r="C27" s="0" t="s">
        <v>906</v>
      </c>
      <c r="D27" s="0" t="s">
        <v>775</v>
      </c>
      <c r="E27" s="0" t="s">
        <v>142</v>
      </c>
      <c r="F27" s="0" t="n">
        <v>6</v>
      </c>
      <c r="G27" s="0" t="n">
        <v>18.3</v>
      </c>
      <c r="H27" s="0" t="n">
        <v>0.81</v>
      </c>
      <c r="I27" s="10" t="n">
        <v>0.227</v>
      </c>
      <c r="J27" s="0" t="n">
        <v>1.55</v>
      </c>
      <c r="K27" s="13" t="n">
        <f aca="false">IF(H27&lt;&gt;"",H27,IFERROR(G27/INDEX(Players!$M$2:$M$105,MATCH(B27,Players!$A$2:$A$105,0)),""))</f>
        <v>0.81</v>
      </c>
    </row>
    <row r="28" customFormat="false" ht="15" hidden="false" customHeight="false" outlineLevel="0" collapsed="false">
      <c r="A28" s="0" t="s">
        <v>1476</v>
      </c>
      <c r="B28" s="0" t="s">
        <v>1172</v>
      </c>
      <c r="C28" s="0" t="s">
        <v>906</v>
      </c>
      <c r="D28" s="0" t="s">
        <v>775</v>
      </c>
      <c r="E28" s="0" t="s">
        <v>109</v>
      </c>
      <c r="F28" s="0" t="n">
        <v>6</v>
      </c>
      <c r="G28" s="0" t="n">
        <v>15.3</v>
      </c>
      <c r="H28" s="0" t="n">
        <v>0.69</v>
      </c>
      <c r="I28" s="10" t="n">
        <v>0.424</v>
      </c>
      <c r="J28" s="0" t="n">
        <v>1.35</v>
      </c>
      <c r="K28" s="13" t="n">
        <f aca="false">IF(H28&lt;&gt;"",H28,IFERROR(G28/INDEX(Players!$M$2:$M$105,MATCH(B28,Players!$A$2:$A$105,0)),""))</f>
        <v>0.69</v>
      </c>
    </row>
    <row r="29" customFormat="false" ht="15" hidden="false" customHeight="false" outlineLevel="0" collapsed="false">
      <c r="A29" s="0" t="s">
        <v>1477</v>
      </c>
      <c r="B29" s="0" t="s">
        <v>1172</v>
      </c>
      <c r="C29" s="0" t="s">
        <v>906</v>
      </c>
      <c r="D29" s="0" t="s">
        <v>775</v>
      </c>
      <c r="E29" s="0" t="s">
        <v>96</v>
      </c>
      <c r="F29" s="0" t="n">
        <v>6</v>
      </c>
      <c r="G29" s="0" t="n">
        <v>17.7</v>
      </c>
      <c r="H29" s="0" t="n">
        <v>0.71</v>
      </c>
      <c r="I29" s="10" t="n">
        <v>0.311</v>
      </c>
      <c r="J29" s="0" t="n">
        <v>1.09</v>
      </c>
      <c r="K29" s="13" t="n">
        <f aca="false">IF(H29&lt;&gt;"",H29,IFERROR(G29/INDEX(Players!$M$2:$M$105,MATCH(B29,Players!$A$2:$A$105,0)),""))</f>
        <v>0.71</v>
      </c>
    </row>
    <row r="30" customFormat="false" ht="15" hidden="false" customHeight="false" outlineLevel="0" collapsed="false">
      <c r="A30" s="0" t="s">
        <v>1478</v>
      </c>
      <c r="B30" s="0" t="s">
        <v>1172</v>
      </c>
      <c r="C30" s="0" t="s">
        <v>906</v>
      </c>
      <c r="D30" s="0" t="s">
        <v>775</v>
      </c>
      <c r="E30" s="0" t="s">
        <v>118</v>
      </c>
      <c r="F30" s="0" t="n">
        <v>5</v>
      </c>
      <c r="G30" s="0" t="n">
        <v>17.6</v>
      </c>
      <c r="H30" s="0" t="n">
        <v>0.78</v>
      </c>
      <c r="I30" s="10" t="n">
        <v>0.352</v>
      </c>
      <c r="J30" s="0" t="n">
        <v>1.4</v>
      </c>
      <c r="K30" s="13" t="n">
        <f aca="false">IF(H30&lt;&gt;"",H30,IFERROR(G30/INDEX(Players!$M$2:$M$105,MATCH(B30,Players!$A$2:$A$105,0)),""))</f>
        <v>0.78</v>
      </c>
    </row>
    <row r="31" customFormat="false" ht="15" hidden="false" customHeight="false" outlineLevel="0" collapsed="false">
      <c r="A31" s="0" t="s">
        <v>1479</v>
      </c>
      <c r="B31" s="0" t="s">
        <v>1172</v>
      </c>
      <c r="C31" s="0" t="s">
        <v>906</v>
      </c>
      <c r="D31" s="0" t="s">
        <v>775</v>
      </c>
      <c r="E31" s="0" t="s">
        <v>131</v>
      </c>
      <c r="F31" s="0" t="n">
        <v>5</v>
      </c>
      <c r="G31" s="0" t="n">
        <v>15.8</v>
      </c>
      <c r="H31" s="0" t="n">
        <v>0.72</v>
      </c>
      <c r="I31" s="10" t="n">
        <v>0.354</v>
      </c>
      <c r="J31" s="0" t="n">
        <v>1.23</v>
      </c>
      <c r="K31" s="13" t="n">
        <f aca="false">IF(H31&lt;&gt;"",H31,IFERROR(G31/INDEX(Players!$M$2:$M$105,MATCH(B31,Players!$A$2:$A$105,0)),""))</f>
        <v>0.72</v>
      </c>
    </row>
    <row r="32" customFormat="false" ht="15" hidden="false" customHeight="false" outlineLevel="0" collapsed="false">
      <c r="A32" s="0" t="s">
        <v>1480</v>
      </c>
      <c r="B32" s="0" t="s">
        <v>1172</v>
      </c>
      <c r="C32" s="0" t="s">
        <v>906</v>
      </c>
      <c r="D32" s="0" t="s">
        <v>775</v>
      </c>
      <c r="E32" s="0" t="s">
        <v>82</v>
      </c>
      <c r="F32" s="0" t="n">
        <v>4</v>
      </c>
      <c r="G32" s="0" t="n">
        <v>17.3</v>
      </c>
      <c r="H32" s="0" t="n">
        <v>0.71</v>
      </c>
      <c r="I32" s="10" t="n">
        <v>0.348</v>
      </c>
      <c r="J32" s="0" t="n">
        <v>1.35</v>
      </c>
      <c r="K32" s="13" t="n">
        <f aca="false">IF(H32&lt;&gt;"",H32,IFERROR(G32/INDEX(Players!$M$2:$M$105,MATCH(B32,Players!$A$2:$A$105,0)),""))</f>
        <v>0.71</v>
      </c>
    </row>
    <row r="33" customFormat="false" ht="15" hidden="false" customHeight="false" outlineLevel="0" collapsed="false">
      <c r="A33" s="0" t="s">
        <v>1481</v>
      </c>
      <c r="B33" s="0" t="s">
        <v>1233</v>
      </c>
      <c r="C33" s="0" t="s">
        <v>1037</v>
      </c>
      <c r="D33" s="0" t="s">
        <v>775</v>
      </c>
      <c r="E33" s="0" t="s">
        <v>109</v>
      </c>
      <c r="F33" s="0" t="n">
        <v>7</v>
      </c>
      <c r="G33" s="0" t="n">
        <v>14.4</v>
      </c>
      <c r="H33" s="0" t="n">
        <v>0.66</v>
      </c>
      <c r="I33" s="10" t="n">
        <v>0.604</v>
      </c>
      <c r="J33" s="0" t="n">
        <v>1.07</v>
      </c>
      <c r="K33" s="13" t="n">
        <f aca="false">IF(H33&lt;&gt;"",H33,IFERROR(G33/INDEX(Players!$M$2:$M$105,MATCH(B33,Players!$A$2:$A$105,0)),""))</f>
        <v>0.66</v>
      </c>
    </row>
    <row r="34" customFormat="false" ht="15" hidden="false" customHeight="false" outlineLevel="0" collapsed="false">
      <c r="A34" s="0" t="s">
        <v>1482</v>
      </c>
      <c r="B34" s="0" t="s">
        <v>1233</v>
      </c>
      <c r="C34" s="0" t="s">
        <v>1037</v>
      </c>
      <c r="D34" s="0" t="s">
        <v>775</v>
      </c>
      <c r="E34" s="0" t="s">
        <v>142</v>
      </c>
      <c r="F34" s="0" t="n">
        <v>7</v>
      </c>
      <c r="G34" s="0" t="n">
        <v>11.6</v>
      </c>
      <c r="H34" s="0" t="n">
        <v>0.55</v>
      </c>
      <c r="I34" s="10" t="n">
        <v>0.593</v>
      </c>
      <c r="J34" s="0" t="n">
        <v>0.79</v>
      </c>
      <c r="K34" s="13" t="n">
        <f aca="false">IF(H34&lt;&gt;"",H34,IFERROR(G34/INDEX(Players!$M$2:$M$105,MATCH(B34,Players!$A$2:$A$105,0)),""))</f>
        <v>0.55</v>
      </c>
    </row>
    <row r="35" customFormat="false" ht="15" hidden="false" customHeight="false" outlineLevel="0" collapsed="false">
      <c r="A35" s="0" t="s">
        <v>1483</v>
      </c>
      <c r="B35" s="0" t="s">
        <v>1233</v>
      </c>
      <c r="C35" s="0" t="s">
        <v>1037</v>
      </c>
      <c r="D35" s="0" t="s">
        <v>775</v>
      </c>
      <c r="E35" s="0" t="s">
        <v>118</v>
      </c>
      <c r="F35" s="0" t="n">
        <v>6</v>
      </c>
      <c r="G35" s="0" t="n">
        <v>16.5</v>
      </c>
      <c r="H35" s="0" t="n">
        <v>0.71</v>
      </c>
      <c r="I35" s="10" t="n">
        <v>0.495</v>
      </c>
      <c r="J35" s="0" t="n">
        <v>1.03</v>
      </c>
      <c r="K35" s="13" t="n">
        <f aca="false">IF(H35&lt;&gt;"",H35,IFERROR(G35/INDEX(Players!$M$2:$M$105,MATCH(B35,Players!$A$2:$A$105,0)),""))</f>
        <v>0.71</v>
      </c>
    </row>
    <row r="36" customFormat="false" ht="15" hidden="false" customHeight="false" outlineLevel="0" collapsed="false">
      <c r="A36" s="0" t="s">
        <v>1484</v>
      </c>
      <c r="B36" s="0" t="s">
        <v>1233</v>
      </c>
      <c r="C36" s="0" t="s">
        <v>1037</v>
      </c>
      <c r="D36" s="0" t="s">
        <v>775</v>
      </c>
      <c r="E36" s="0" t="s">
        <v>82</v>
      </c>
      <c r="F36" s="0" t="n">
        <v>3</v>
      </c>
      <c r="G36" s="0" t="n">
        <v>17.3</v>
      </c>
      <c r="H36" s="0" t="n">
        <v>0.84</v>
      </c>
      <c r="I36" s="10" t="n">
        <v>0.577</v>
      </c>
      <c r="J36" s="0" t="n">
        <v>1.27</v>
      </c>
      <c r="K36" s="13" t="n">
        <f aca="false">IF(H36&lt;&gt;"",H36,IFERROR(G36/INDEX(Players!$M$2:$M$105,MATCH(B36,Players!$A$2:$A$105,0)),""))</f>
        <v>0.84</v>
      </c>
    </row>
    <row r="37" customFormat="false" ht="15" hidden="false" customHeight="false" outlineLevel="0" collapsed="false">
      <c r="A37" s="0" t="s">
        <v>1485</v>
      </c>
      <c r="B37" s="0" t="s">
        <v>1233</v>
      </c>
      <c r="C37" s="0" t="s">
        <v>1037</v>
      </c>
      <c r="D37" s="0" t="s">
        <v>775</v>
      </c>
      <c r="E37" s="0" t="s">
        <v>149</v>
      </c>
      <c r="F37" s="0" t="n">
        <v>3</v>
      </c>
      <c r="G37" s="0" t="n">
        <v>14</v>
      </c>
      <c r="H37" s="0" t="n">
        <v>0.58</v>
      </c>
      <c r="I37" s="10" t="n">
        <v>0.619</v>
      </c>
      <c r="J37" s="0" t="n">
        <v>0.91</v>
      </c>
      <c r="K37" s="13" t="n">
        <f aca="false">IF(H37&lt;&gt;"",H37,IFERROR(G37/INDEX(Players!$M$2:$M$105,MATCH(B37,Players!$A$2:$A$105,0)),""))</f>
        <v>0.58</v>
      </c>
    </row>
    <row r="38" customFormat="false" ht="15" hidden="false" customHeight="false" outlineLevel="0" collapsed="false">
      <c r="A38" s="0" t="s">
        <v>1486</v>
      </c>
      <c r="B38" s="0" t="s">
        <v>1233</v>
      </c>
      <c r="C38" s="0" t="s">
        <v>1037</v>
      </c>
      <c r="D38" s="0" t="s">
        <v>775</v>
      </c>
      <c r="E38" s="0" t="s">
        <v>131</v>
      </c>
      <c r="F38" s="0" t="n">
        <v>3</v>
      </c>
      <c r="G38" s="0" t="n">
        <v>11</v>
      </c>
      <c r="H38" s="0" t="n">
        <v>0.53</v>
      </c>
      <c r="I38" s="10" t="n">
        <v>0.455</v>
      </c>
      <c r="J38" s="0" t="n">
        <v>0.8</v>
      </c>
      <c r="K38" s="13" t="n">
        <f aca="false">IF(H38&lt;&gt;"",H38,IFERROR(G38/INDEX(Players!$M$2:$M$105,MATCH(B38,Players!$A$2:$A$105,0)),""))</f>
        <v>0.53</v>
      </c>
    </row>
    <row r="39" customFormat="false" ht="15" hidden="false" customHeight="false" outlineLevel="0" collapsed="false">
      <c r="A39" s="0" t="s">
        <v>1487</v>
      </c>
      <c r="B39" s="0" t="s">
        <v>1233</v>
      </c>
      <c r="C39" s="0" t="s">
        <v>1037</v>
      </c>
      <c r="D39" s="0" t="s">
        <v>775</v>
      </c>
      <c r="E39" s="0" t="s">
        <v>96</v>
      </c>
      <c r="F39" s="0" t="n">
        <v>1</v>
      </c>
      <c r="G39" s="0" t="n">
        <v>9</v>
      </c>
      <c r="H39" s="0" t="n">
        <v>0.45</v>
      </c>
      <c r="I39" s="10" t="n">
        <v>0.556</v>
      </c>
      <c r="J39" s="0" t="n">
        <v>1</v>
      </c>
      <c r="K39" s="13" t="n">
        <f aca="false">IF(H39&lt;&gt;"",H39,IFERROR(G39/INDEX(Players!$M$2:$M$105,MATCH(B39,Players!$A$2:$A$105,0)),""))</f>
        <v>0.45</v>
      </c>
    </row>
    <row r="40" customFormat="false" ht="15" hidden="false" customHeight="false" outlineLevel="0" collapsed="false">
      <c r="A40" s="0" t="s">
        <v>1488</v>
      </c>
      <c r="B40" s="0" t="s">
        <v>1234</v>
      </c>
      <c r="C40" s="0" t="s">
        <v>1039</v>
      </c>
      <c r="D40" s="0" t="s">
        <v>775</v>
      </c>
      <c r="E40" s="0" t="s">
        <v>142</v>
      </c>
      <c r="F40" s="0" t="n">
        <v>7</v>
      </c>
      <c r="G40" s="0" t="n">
        <v>15.1</v>
      </c>
      <c r="H40" s="0" t="n">
        <v>0.72</v>
      </c>
      <c r="I40" s="10" t="n">
        <v>0.472</v>
      </c>
      <c r="J40" s="0" t="n">
        <v>1.09</v>
      </c>
      <c r="K40" s="13" t="n">
        <f aca="false">IF(H40&lt;&gt;"",H40,IFERROR(G40/INDEX(Players!$M$2:$M$105,MATCH(B40,Players!$A$2:$A$105,0)),""))</f>
        <v>0.72</v>
      </c>
    </row>
    <row r="41" customFormat="false" ht="15" hidden="false" customHeight="false" outlineLevel="0" collapsed="false">
      <c r="A41" s="0" t="s">
        <v>1489</v>
      </c>
      <c r="B41" s="0" t="s">
        <v>1234</v>
      </c>
      <c r="C41" s="0" t="s">
        <v>1039</v>
      </c>
      <c r="D41" s="0" t="s">
        <v>775</v>
      </c>
      <c r="E41" s="0" t="s">
        <v>109</v>
      </c>
      <c r="F41" s="0" t="n">
        <v>7</v>
      </c>
      <c r="G41" s="0" t="n">
        <v>14.1</v>
      </c>
      <c r="H41" s="0" t="n">
        <v>0.68</v>
      </c>
      <c r="I41" s="10" t="n">
        <v>0.586</v>
      </c>
      <c r="J41" s="0" t="n">
        <v>0.94</v>
      </c>
      <c r="K41" s="13" t="n">
        <f aca="false">IF(H41&lt;&gt;"",H41,IFERROR(G41/INDEX(Players!$M$2:$M$105,MATCH(B41,Players!$A$2:$A$105,0)),""))</f>
        <v>0.68</v>
      </c>
    </row>
    <row r="42" customFormat="false" ht="15" hidden="false" customHeight="false" outlineLevel="0" collapsed="false">
      <c r="A42" s="0" t="s">
        <v>1490</v>
      </c>
      <c r="B42" s="0" t="s">
        <v>1234</v>
      </c>
      <c r="C42" s="0" t="s">
        <v>1039</v>
      </c>
      <c r="D42" s="0" t="s">
        <v>775</v>
      </c>
      <c r="E42" s="0" t="s">
        <v>118</v>
      </c>
      <c r="F42" s="0" t="n">
        <v>6</v>
      </c>
      <c r="G42" s="0" t="n">
        <v>18.8</v>
      </c>
      <c r="H42" s="0" t="n">
        <v>0.81</v>
      </c>
      <c r="I42" s="10" t="n">
        <v>0.522</v>
      </c>
      <c r="J42" s="0" t="n">
        <v>1.24</v>
      </c>
      <c r="K42" s="13" t="n">
        <f aca="false">IF(H42&lt;&gt;"",H42,IFERROR(G42/INDEX(Players!$M$2:$M$105,MATCH(B42,Players!$A$2:$A$105,0)),""))</f>
        <v>0.81</v>
      </c>
    </row>
    <row r="43" customFormat="false" ht="15" hidden="false" customHeight="false" outlineLevel="0" collapsed="false">
      <c r="A43" s="0" t="s">
        <v>1491</v>
      </c>
      <c r="B43" s="0" t="s">
        <v>1234</v>
      </c>
      <c r="C43" s="0" t="s">
        <v>1039</v>
      </c>
      <c r="D43" s="0" t="s">
        <v>775</v>
      </c>
      <c r="E43" s="0" t="s">
        <v>82</v>
      </c>
      <c r="F43" s="0" t="n">
        <v>4</v>
      </c>
      <c r="G43" s="0" t="n">
        <v>13.3</v>
      </c>
      <c r="H43" s="0" t="n">
        <v>0.63</v>
      </c>
      <c r="I43" s="10" t="n">
        <v>0.585</v>
      </c>
      <c r="J43" s="0" t="n">
        <v>0.91</v>
      </c>
      <c r="K43" s="13" t="n">
        <f aca="false">IF(H43&lt;&gt;"",H43,IFERROR(G43/INDEX(Players!$M$2:$M$105,MATCH(B43,Players!$A$2:$A$105,0)),""))</f>
        <v>0.63</v>
      </c>
    </row>
    <row r="44" customFormat="false" ht="15" hidden="false" customHeight="false" outlineLevel="0" collapsed="false">
      <c r="A44" s="0" t="s">
        <v>1492</v>
      </c>
      <c r="B44" s="0" t="s">
        <v>1234</v>
      </c>
      <c r="C44" s="0" t="s">
        <v>1039</v>
      </c>
      <c r="D44" s="0" t="s">
        <v>775</v>
      </c>
      <c r="E44" s="0" t="s">
        <v>131</v>
      </c>
      <c r="F44" s="0" t="n">
        <v>4</v>
      </c>
      <c r="G44" s="0" t="n">
        <v>12</v>
      </c>
      <c r="H44" s="0" t="n">
        <v>0.6</v>
      </c>
      <c r="I44" s="10" t="n">
        <v>0.458</v>
      </c>
      <c r="J44" s="0" t="n">
        <v>0.81</v>
      </c>
      <c r="K44" s="13" t="n">
        <f aca="false">IF(H44&lt;&gt;"",H44,IFERROR(G44/INDEX(Players!$M$2:$M$105,MATCH(B44,Players!$A$2:$A$105,0)),""))</f>
        <v>0.6</v>
      </c>
    </row>
    <row r="45" customFormat="false" ht="15" hidden="false" customHeight="false" outlineLevel="0" collapsed="false">
      <c r="A45" s="0" t="s">
        <v>1493</v>
      </c>
      <c r="B45" s="0" t="s">
        <v>1234</v>
      </c>
      <c r="C45" s="0" t="s">
        <v>1039</v>
      </c>
      <c r="D45" s="0" t="s">
        <v>775</v>
      </c>
      <c r="E45" s="0" t="s">
        <v>149</v>
      </c>
      <c r="F45" s="0" t="n">
        <v>2</v>
      </c>
      <c r="G45" s="0" t="n">
        <v>12</v>
      </c>
      <c r="H45" s="0" t="n">
        <v>0.56</v>
      </c>
      <c r="I45" s="10" t="n">
        <v>0.542</v>
      </c>
      <c r="J45" s="0" t="n">
        <v>1.04</v>
      </c>
      <c r="K45" s="13" t="n">
        <f aca="false">IF(H45&lt;&gt;"",H45,IFERROR(G45/INDEX(Players!$M$2:$M$105,MATCH(B45,Players!$A$2:$A$105,0)),""))</f>
        <v>0.56</v>
      </c>
    </row>
    <row r="46" customFormat="false" ht="15" hidden="false" customHeight="false" outlineLevel="0" collapsed="false">
      <c r="A46" s="0" t="s">
        <v>1494</v>
      </c>
      <c r="B46" s="0" t="s">
        <v>1196</v>
      </c>
      <c r="C46" s="0" t="s">
        <v>958</v>
      </c>
      <c r="D46" s="0" t="s">
        <v>775</v>
      </c>
      <c r="E46" s="0" t="s">
        <v>118</v>
      </c>
      <c r="F46" s="0" t="n">
        <v>5</v>
      </c>
      <c r="G46" s="0" t="n">
        <v>17.2</v>
      </c>
      <c r="H46" s="0" t="n">
        <v>0.67</v>
      </c>
      <c r="I46" s="10" t="n">
        <v>0.535</v>
      </c>
      <c r="J46" s="0" t="n">
        <v>1.04</v>
      </c>
      <c r="K46" s="13" t="n">
        <f aca="false">IF(H46&lt;&gt;"",H46,IFERROR(G46/INDEX(Players!$M$2:$M$105,MATCH(B46,Players!$A$2:$A$105,0)),""))</f>
        <v>0.67</v>
      </c>
    </row>
    <row r="47" customFormat="false" ht="15" hidden="false" customHeight="false" outlineLevel="0" collapsed="false">
      <c r="A47" s="0" t="s">
        <v>1495</v>
      </c>
      <c r="B47" s="0" t="s">
        <v>1196</v>
      </c>
      <c r="C47" s="0" t="s">
        <v>958</v>
      </c>
      <c r="D47" s="0" t="s">
        <v>775</v>
      </c>
      <c r="E47" s="0" t="s">
        <v>109</v>
      </c>
      <c r="F47" s="0" t="n">
        <v>5</v>
      </c>
      <c r="G47" s="0" t="n">
        <v>13.4</v>
      </c>
      <c r="H47" s="0" t="n">
        <v>0.65</v>
      </c>
      <c r="I47" s="10" t="n">
        <v>0.552</v>
      </c>
      <c r="J47" s="0" t="n">
        <v>0.97</v>
      </c>
      <c r="K47" s="13" t="n">
        <f aca="false">IF(H47&lt;&gt;"",H47,IFERROR(G47/INDEX(Players!$M$2:$M$105,MATCH(B47,Players!$A$2:$A$105,0)),""))</f>
        <v>0.65</v>
      </c>
    </row>
    <row r="48" customFormat="false" ht="15" hidden="false" customHeight="false" outlineLevel="0" collapsed="false">
      <c r="A48" s="0" t="s">
        <v>1496</v>
      </c>
      <c r="B48" s="0" t="s">
        <v>1196</v>
      </c>
      <c r="C48" s="0" t="s">
        <v>958</v>
      </c>
      <c r="D48" s="0" t="s">
        <v>775</v>
      </c>
      <c r="E48" s="0" t="s">
        <v>96</v>
      </c>
      <c r="F48" s="0" t="n">
        <v>5</v>
      </c>
      <c r="G48" s="0" t="n">
        <v>11.6</v>
      </c>
      <c r="H48" s="0" t="n">
        <v>0.58</v>
      </c>
      <c r="I48" s="10" t="n">
        <v>0.431</v>
      </c>
      <c r="J48" s="0" t="n">
        <v>0.91</v>
      </c>
      <c r="K48" s="13" t="n">
        <f aca="false">IF(H48&lt;&gt;"",H48,IFERROR(G48/INDEX(Players!$M$2:$M$105,MATCH(B48,Players!$A$2:$A$105,0)),""))</f>
        <v>0.58</v>
      </c>
    </row>
    <row r="49" customFormat="false" ht="15" hidden="false" customHeight="false" outlineLevel="0" collapsed="false">
      <c r="A49" s="0" t="s">
        <v>1497</v>
      </c>
      <c r="B49" s="0" t="s">
        <v>1196</v>
      </c>
      <c r="C49" s="0" t="s">
        <v>958</v>
      </c>
      <c r="D49" s="0" t="s">
        <v>775</v>
      </c>
      <c r="E49" s="0" t="s">
        <v>131</v>
      </c>
      <c r="F49" s="0" t="n">
        <v>5</v>
      </c>
      <c r="G49" s="0" t="n">
        <v>11.6</v>
      </c>
      <c r="H49" s="0" t="n">
        <v>0.55</v>
      </c>
      <c r="I49" s="10" t="n">
        <v>0.569</v>
      </c>
      <c r="J49" s="0" t="n">
        <v>0.89</v>
      </c>
      <c r="K49" s="13" t="n">
        <f aca="false">IF(H49&lt;&gt;"",H49,IFERROR(G49/INDEX(Players!$M$2:$M$105,MATCH(B49,Players!$A$2:$A$105,0)),""))</f>
        <v>0.55</v>
      </c>
    </row>
    <row r="50" customFormat="false" ht="15" hidden="false" customHeight="false" outlineLevel="0" collapsed="false">
      <c r="A50" s="0" t="s">
        <v>1498</v>
      </c>
      <c r="B50" s="0" t="s">
        <v>1196</v>
      </c>
      <c r="C50" s="0" t="s">
        <v>958</v>
      </c>
      <c r="D50" s="0" t="s">
        <v>775</v>
      </c>
      <c r="E50" s="0" t="s">
        <v>149</v>
      </c>
      <c r="F50" s="0" t="n">
        <v>3</v>
      </c>
      <c r="G50" s="0" t="n">
        <v>14.3</v>
      </c>
      <c r="H50" s="0" t="n">
        <v>0.75</v>
      </c>
      <c r="I50" s="10" t="n">
        <v>0.349</v>
      </c>
      <c r="J50" s="0" t="n">
        <v>1.3</v>
      </c>
      <c r="K50" s="13" t="n">
        <f aca="false">IF(H50&lt;&gt;"",H50,IFERROR(G50/INDEX(Players!$M$2:$M$105,MATCH(B50,Players!$A$2:$A$105,0)),""))</f>
        <v>0.75</v>
      </c>
    </row>
    <row r="51" customFormat="false" ht="15" hidden="false" customHeight="false" outlineLevel="0" collapsed="false">
      <c r="A51" s="0" t="s">
        <v>1499</v>
      </c>
      <c r="B51" s="0" t="s">
        <v>1196</v>
      </c>
      <c r="C51" s="0" t="s">
        <v>958</v>
      </c>
      <c r="D51" s="0" t="s">
        <v>775</v>
      </c>
      <c r="E51" s="0" t="s">
        <v>82</v>
      </c>
      <c r="F51" s="0" t="n">
        <v>3</v>
      </c>
      <c r="G51" s="0" t="n">
        <v>13.3</v>
      </c>
      <c r="H51" s="0" t="n">
        <v>0.66</v>
      </c>
      <c r="I51" s="10" t="n">
        <v>0.525</v>
      </c>
      <c r="J51" s="0" t="n">
        <v>0.91</v>
      </c>
      <c r="K51" s="13" t="n">
        <f aca="false">IF(H51&lt;&gt;"",H51,IFERROR(G51/INDEX(Players!$M$2:$M$105,MATCH(B51,Players!$A$2:$A$105,0)),""))</f>
        <v>0.66</v>
      </c>
    </row>
    <row r="52" customFormat="false" ht="15" hidden="false" customHeight="false" outlineLevel="0" collapsed="false">
      <c r="A52" s="0" t="s">
        <v>1500</v>
      </c>
      <c r="B52" s="0" t="s">
        <v>1196</v>
      </c>
      <c r="C52" s="0" t="s">
        <v>958</v>
      </c>
      <c r="D52" s="0" t="s">
        <v>775</v>
      </c>
      <c r="E52" s="0" t="s">
        <v>142</v>
      </c>
      <c r="F52" s="0" t="n">
        <v>2</v>
      </c>
      <c r="G52" s="0" t="n">
        <v>9.5</v>
      </c>
      <c r="H52" s="0" t="n">
        <v>0.49</v>
      </c>
      <c r="I52" s="10" t="n">
        <v>0.579</v>
      </c>
      <c r="J52" s="0" t="n">
        <v>0.61</v>
      </c>
      <c r="K52" s="13" t="n">
        <f aca="false">IF(H52&lt;&gt;"",H52,IFERROR(G52/INDEX(Players!$M$2:$M$105,MATCH(B52,Players!$A$2:$A$105,0)),""))</f>
        <v>0.49</v>
      </c>
    </row>
    <row r="53" customFormat="false" ht="15" hidden="false" customHeight="false" outlineLevel="0" collapsed="false">
      <c r="A53" s="0" t="s">
        <v>1501</v>
      </c>
      <c r="B53" s="0" t="s">
        <v>1242</v>
      </c>
      <c r="C53" s="0" t="s">
        <v>1055</v>
      </c>
      <c r="D53" s="0" t="s">
        <v>775</v>
      </c>
      <c r="E53" s="0" t="s">
        <v>109</v>
      </c>
      <c r="F53" s="0" t="n">
        <v>13</v>
      </c>
      <c r="G53" s="0" t="n">
        <v>11.7</v>
      </c>
      <c r="H53" s="0" t="n">
        <v>0.52</v>
      </c>
      <c r="I53" s="10" t="n">
        <v>0.586</v>
      </c>
      <c r="J53" s="0" t="n">
        <v>0.73</v>
      </c>
      <c r="K53" s="13" t="n">
        <f aca="false">IF(H53&lt;&gt;"",H53,IFERROR(G53/INDEX(Players!$M$2:$M$105,MATCH(B53,Players!$A$2:$A$105,0)),""))</f>
        <v>0.52</v>
      </c>
    </row>
    <row r="54" customFormat="false" ht="15" hidden="false" customHeight="false" outlineLevel="0" collapsed="false">
      <c r="A54" s="0" t="s">
        <v>1502</v>
      </c>
      <c r="B54" s="0" t="s">
        <v>1242</v>
      </c>
      <c r="C54" s="0" t="s">
        <v>1055</v>
      </c>
      <c r="D54" s="0" t="s">
        <v>775</v>
      </c>
      <c r="E54" s="0" t="s">
        <v>82</v>
      </c>
      <c r="F54" s="0" t="n">
        <v>7</v>
      </c>
      <c r="G54" s="0" t="n">
        <v>14.3</v>
      </c>
      <c r="H54" s="0" t="n">
        <v>0.65</v>
      </c>
      <c r="I54" s="10" t="n">
        <v>0.61</v>
      </c>
      <c r="J54" s="0" t="n">
        <v>0.93</v>
      </c>
      <c r="K54" s="13" t="n">
        <f aca="false">IF(H54&lt;&gt;"",H54,IFERROR(G54/INDEX(Players!$M$2:$M$105,MATCH(B54,Players!$A$2:$A$105,0)),""))</f>
        <v>0.65</v>
      </c>
    </row>
    <row r="55" customFormat="false" ht="15" hidden="false" customHeight="false" outlineLevel="0" collapsed="false">
      <c r="A55" s="0" t="s">
        <v>1503</v>
      </c>
      <c r="B55" s="0" t="s">
        <v>1242</v>
      </c>
      <c r="C55" s="0" t="s">
        <v>1055</v>
      </c>
      <c r="D55" s="0" t="s">
        <v>775</v>
      </c>
      <c r="E55" s="0" t="s">
        <v>96</v>
      </c>
      <c r="F55" s="0" t="n">
        <v>6</v>
      </c>
      <c r="G55" s="0" t="n">
        <v>14.8</v>
      </c>
      <c r="H55" s="0" t="n">
        <v>0.65</v>
      </c>
      <c r="I55" s="10" t="n">
        <v>0.573</v>
      </c>
      <c r="J55" s="0" t="n">
        <v>0.9</v>
      </c>
      <c r="K55" s="13" t="n">
        <f aca="false">IF(H55&lt;&gt;"",H55,IFERROR(G55/INDEX(Players!$M$2:$M$105,MATCH(B55,Players!$A$2:$A$105,0)),""))</f>
        <v>0.65</v>
      </c>
    </row>
    <row r="56" customFormat="false" ht="15" hidden="false" customHeight="false" outlineLevel="0" collapsed="false">
      <c r="A56" s="0" t="s">
        <v>1504</v>
      </c>
      <c r="B56" s="0" t="s">
        <v>1242</v>
      </c>
      <c r="C56" s="0" t="s">
        <v>1055</v>
      </c>
      <c r="D56" s="0" t="s">
        <v>775</v>
      </c>
      <c r="E56" s="0" t="s">
        <v>118</v>
      </c>
      <c r="F56" s="0" t="n">
        <v>4</v>
      </c>
      <c r="G56" s="0" t="n">
        <v>13.8</v>
      </c>
      <c r="H56" s="0" t="n">
        <v>0.6</v>
      </c>
      <c r="I56" s="10" t="n">
        <v>0.564</v>
      </c>
      <c r="J56" s="0" t="n">
        <v>0.92</v>
      </c>
      <c r="K56" s="13" t="n">
        <f aca="false">IF(H56&lt;&gt;"",H56,IFERROR(G56/INDEX(Players!$M$2:$M$105,MATCH(B56,Players!$A$2:$A$105,0)),""))</f>
        <v>0.6</v>
      </c>
    </row>
    <row r="57" customFormat="false" ht="15" hidden="false" customHeight="false" outlineLevel="0" collapsed="false">
      <c r="A57" s="0" t="s">
        <v>1505</v>
      </c>
      <c r="B57" s="0" t="s">
        <v>1242</v>
      </c>
      <c r="C57" s="0" t="s">
        <v>1055</v>
      </c>
      <c r="D57" s="0" t="s">
        <v>775</v>
      </c>
      <c r="E57" s="0" t="s">
        <v>131</v>
      </c>
      <c r="F57" s="0" t="n">
        <v>4</v>
      </c>
      <c r="G57" s="0" t="n">
        <v>8</v>
      </c>
      <c r="H57" s="0" t="n">
        <v>0.42</v>
      </c>
      <c r="I57" s="10" t="n">
        <v>0.594</v>
      </c>
      <c r="J57" s="0" t="n">
        <v>0.52</v>
      </c>
      <c r="K57" s="13" t="n">
        <f aca="false">IF(H57&lt;&gt;"",H57,IFERROR(G57/INDEX(Players!$M$2:$M$105,MATCH(B57,Players!$A$2:$A$105,0)),""))</f>
        <v>0.42</v>
      </c>
    </row>
    <row r="58" customFormat="false" ht="15" hidden="false" customHeight="false" outlineLevel="0" collapsed="false">
      <c r="A58" s="0" t="s">
        <v>1506</v>
      </c>
      <c r="B58" s="0" t="s">
        <v>1262</v>
      </c>
      <c r="C58" s="0" t="s">
        <v>1097</v>
      </c>
      <c r="D58" s="0" t="s">
        <v>775</v>
      </c>
      <c r="E58" s="0" t="s">
        <v>82</v>
      </c>
      <c r="F58" s="0" t="n">
        <v>15</v>
      </c>
      <c r="G58" s="0" t="n">
        <v>14.2</v>
      </c>
      <c r="H58" s="0" t="n">
        <v>0.64</v>
      </c>
      <c r="I58" s="10" t="n">
        <v>0.573</v>
      </c>
      <c r="J58" s="0" t="n">
        <v>0.87</v>
      </c>
      <c r="K58" s="13" t="n">
        <f aca="false">IF(H58&lt;&gt;"",H58,IFERROR(G58/INDEX(Players!$M$2:$M$105,MATCH(B58,Players!$A$2:$A$105,0)),""))</f>
        <v>0.64</v>
      </c>
    </row>
    <row r="59" customFormat="false" ht="15" hidden="false" customHeight="false" outlineLevel="0" collapsed="false">
      <c r="A59" s="0" t="s">
        <v>1507</v>
      </c>
      <c r="B59" s="0" t="s">
        <v>1262</v>
      </c>
      <c r="C59" s="0" t="s">
        <v>1097</v>
      </c>
      <c r="D59" s="0" t="s">
        <v>775</v>
      </c>
      <c r="E59" s="0" t="s">
        <v>96</v>
      </c>
      <c r="F59" s="0" t="n">
        <v>6</v>
      </c>
      <c r="G59" s="0" t="n">
        <v>10</v>
      </c>
      <c r="H59" s="0" t="n">
        <v>0.48</v>
      </c>
      <c r="I59" s="10" t="n">
        <v>0.617</v>
      </c>
      <c r="J59" s="0" t="n">
        <v>0.69</v>
      </c>
      <c r="K59" s="13" t="n">
        <f aca="false">IF(H59&lt;&gt;"",H59,IFERROR(G59/INDEX(Players!$M$2:$M$105,MATCH(B59,Players!$A$2:$A$105,0)),""))</f>
        <v>0.48</v>
      </c>
    </row>
    <row r="60" customFormat="false" ht="15" hidden="false" customHeight="false" outlineLevel="0" collapsed="false">
      <c r="A60" s="0" t="s">
        <v>1508</v>
      </c>
      <c r="B60" s="0" t="s">
        <v>1262</v>
      </c>
      <c r="C60" s="0" t="s">
        <v>1097</v>
      </c>
      <c r="D60" s="0" t="s">
        <v>775</v>
      </c>
      <c r="E60" s="0" t="s">
        <v>131</v>
      </c>
      <c r="F60" s="0" t="n">
        <v>5</v>
      </c>
      <c r="G60" s="0" t="n">
        <v>19.2</v>
      </c>
      <c r="H60" s="0" t="n">
        <v>0.7</v>
      </c>
      <c r="I60" s="10" t="n">
        <v>0.542</v>
      </c>
      <c r="J60" s="0" t="n">
        <v>1.05</v>
      </c>
      <c r="K60" s="13" t="n">
        <f aca="false">IF(H60&lt;&gt;"",H60,IFERROR(G60/INDEX(Players!$M$2:$M$105,MATCH(B60,Players!$A$2:$A$105,0)),""))</f>
        <v>0.7</v>
      </c>
    </row>
    <row r="61" customFormat="false" ht="15" hidden="false" customHeight="false" outlineLevel="0" collapsed="false">
      <c r="A61" s="0" t="s">
        <v>1509</v>
      </c>
      <c r="B61" s="0" t="s">
        <v>1262</v>
      </c>
      <c r="C61" s="0" t="s">
        <v>1097</v>
      </c>
      <c r="D61" s="0" t="s">
        <v>775</v>
      </c>
      <c r="E61" s="0" t="s">
        <v>109</v>
      </c>
      <c r="F61" s="0" t="n">
        <v>4</v>
      </c>
      <c r="G61" s="0" t="n">
        <v>18</v>
      </c>
      <c r="H61" s="0" t="n">
        <v>0.75</v>
      </c>
      <c r="I61" s="10" t="n">
        <v>0.667</v>
      </c>
      <c r="J61" s="0" t="n">
        <v>1.09</v>
      </c>
      <c r="K61" s="13" t="n">
        <f aca="false">IF(H61&lt;&gt;"",H61,IFERROR(G61/INDEX(Players!$M$2:$M$105,MATCH(B61,Players!$A$2:$A$105,0)),""))</f>
        <v>0.75</v>
      </c>
    </row>
    <row r="62" customFormat="false" ht="15" hidden="false" customHeight="false" outlineLevel="0" collapsed="false">
      <c r="A62" s="0" t="s">
        <v>1510</v>
      </c>
      <c r="B62" s="0" t="s">
        <v>1262</v>
      </c>
      <c r="C62" s="0" t="s">
        <v>1097</v>
      </c>
      <c r="D62" s="0" t="s">
        <v>775</v>
      </c>
      <c r="E62" s="0" t="s">
        <v>142</v>
      </c>
      <c r="F62" s="0" t="n">
        <v>4</v>
      </c>
      <c r="G62" s="0" t="n">
        <v>10.3</v>
      </c>
      <c r="H62" s="0" t="n">
        <v>0.45</v>
      </c>
      <c r="I62" s="10" t="n">
        <v>0.561</v>
      </c>
      <c r="J62" s="0" t="n">
        <v>0.59</v>
      </c>
      <c r="K62" s="13" t="n">
        <f aca="false">IF(H62&lt;&gt;"",H62,IFERROR(G62/INDEX(Players!$M$2:$M$105,MATCH(B62,Players!$A$2:$A$105,0)),""))</f>
        <v>0.45</v>
      </c>
    </row>
    <row r="63" customFormat="false" ht="15" hidden="false" customHeight="false" outlineLevel="0" collapsed="false">
      <c r="A63" s="0" t="s">
        <v>1511</v>
      </c>
      <c r="B63" s="0" t="s">
        <v>1262</v>
      </c>
      <c r="C63" s="0" t="s">
        <v>1097</v>
      </c>
      <c r="D63" s="0" t="s">
        <v>775</v>
      </c>
      <c r="E63" s="0" t="s">
        <v>149</v>
      </c>
      <c r="F63" s="0" t="n">
        <v>3</v>
      </c>
      <c r="G63" s="0" t="n">
        <v>10.3</v>
      </c>
      <c r="H63" s="0" t="n">
        <v>0.52</v>
      </c>
      <c r="I63" s="10" t="n">
        <v>0.484</v>
      </c>
      <c r="J63" s="0" t="n">
        <v>0.72</v>
      </c>
      <c r="K63" s="13" t="n">
        <f aca="false">IF(H63&lt;&gt;"",H63,IFERROR(G63/INDEX(Players!$M$2:$M$105,MATCH(B63,Players!$A$2:$A$105,0)),""))</f>
        <v>0.52</v>
      </c>
    </row>
    <row r="64" customFormat="false" ht="15" hidden="false" customHeight="false" outlineLevel="0" collapsed="false">
      <c r="A64" s="0" t="s">
        <v>1512</v>
      </c>
      <c r="B64" s="0" t="s">
        <v>1173</v>
      </c>
      <c r="C64" s="0" t="s">
        <v>909</v>
      </c>
      <c r="D64" s="0" t="s">
        <v>775</v>
      </c>
      <c r="E64" s="0" t="s">
        <v>142</v>
      </c>
      <c r="F64" s="0" t="n">
        <v>6</v>
      </c>
      <c r="G64" s="0" t="n">
        <v>15.5</v>
      </c>
      <c r="H64" s="0" t="n">
        <v>0.68</v>
      </c>
      <c r="I64" s="10" t="n">
        <v>0.538</v>
      </c>
      <c r="J64" s="0" t="n">
        <v>1</v>
      </c>
      <c r="K64" s="13" t="n">
        <f aca="false">IF(H64&lt;&gt;"",H64,IFERROR(G64/INDEX(Players!$M$2:$M$105,MATCH(B64,Players!$A$2:$A$105,0)),""))</f>
        <v>0.68</v>
      </c>
    </row>
    <row r="65" customFormat="false" ht="15" hidden="false" customHeight="false" outlineLevel="0" collapsed="false">
      <c r="A65" s="0" t="s">
        <v>1513</v>
      </c>
      <c r="B65" s="0" t="s">
        <v>1173</v>
      </c>
      <c r="C65" s="0" t="s">
        <v>909</v>
      </c>
      <c r="D65" s="0" t="s">
        <v>775</v>
      </c>
      <c r="E65" s="0" t="s">
        <v>109</v>
      </c>
      <c r="F65" s="0" t="n">
        <v>6</v>
      </c>
      <c r="G65" s="0" t="n">
        <v>14.3</v>
      </c>
      <c r="H65" s="0" t="n">
        <v>0.65</v>
      </c>
      <c r="I65" s="10" t="n">
        <v>0.605</v>
      </c>
      <c r="J65" s="0" t="n">
        <v>1</v>
      </c>
      <c r="K65" s="13" t="n">
        <f aca="false">IF(H65&lt;&gt;"",H65,IFERROR(G65/INDEX(Players!$M$2:$M$105,MATCH(B65,Players!$A$2:$A$105,0)),""))</f>
        <v>0.65</v>
      </c>
    </row>
    <row r="66" customFormat="false" ht="15" hidden="false" customHeight="false" outlineLevel="0" collapsed="false">
      <c r="A66" s="0" t="s">
        <v>1514</v>
      </c>
      <c r="B66" s="0" t="s">
        <v>1173</v>
      </c>
      <c r="C66" s="0" t="s">
        <v>909</v>
      </c>
      <c r="D66" s="0" t="s">
        <v>775</v>
      </c>
      <c r="E66" s="0" t="s">
        <v>96</v>
      </c>
      <c r="F66" s="0" t="n">
        <v>6</v>
      </c>
      <c r="G66" s="0" t="n">
        <v>14.8</v>
      </c>
      <c r="H66" s="0" t="n">
        <v>0.59</v>
      </c>
      <c r="I66" s="10" t="n">
        <v>0.663</v>
      </c>
      <c r="J66" s="0" t="n">
        <v>0.84</v>
      </c>
      <c r="K66" s="13" t="n">
        <f aca="false">IF(H66&lt;&gt;"",H66,IFERROR(G66/INDEX(Players!$M$2:$M$105,MATCH(B66,Players!$A$2:$A$105,0)),""))</f>
        <v>0.59</v>
      </c>
    </row>
    <row r="67" customFormat="false" ht="15" hidden="false" customHeight="false" outlineLevel="0" collapsed="false">
      <c r="A67" s="0" t="s">
        <v>1515</v>
      </c>
      <c r="B67" s="0" t="s">
        <v>1173</v>
      </c>
      <c r="C67" s="0" t="s">
        <v>909</v>
      </c>
      <c r="D67" s="0" t="s">
        <v>775</v>
      </c>
      <c r="E67" s="0" t="s">
        <v>131</v>
      </c>
      <c r="F67" s="0" t="n">
        <v>5</v>
      </c>
      <c r="G67" s="0" t="n">
        <v>12.4</v>
      </c>
      <c r="H67" s="0" t="n">
        <v>0.57</v>
      </c>
      <c r="I67" s="10" t="n">
        <v>0.452</v>
      </c>
      <c r="J67" s="0" t="n">
        <v>0.77</v>
      </c>
      <c r="K67" s="13" t="n">
        <f aca="false">IF(H67&lt;&gt;"",H67,IFERROR(G67/INDEX(Players!$M$2:$M$105,MATCH(B67,Players!$A$2:$A$105,0)),""))</f>
        <v>0.57</v>
      </c>
    </row>
    <row r="68" customFormat="false" ht="15" hidden="false" customHeight="false" outlineLevel="0" collapsed="false">
      <c r="A68" s="0" t="s">
        <v>1516</v>
      </c>
      <c r="B68" s="0" t="s">
        <v>1173</v>
      </c>
      <c r="C68" s="0" t="s">
        <v>909</v>
      </c>
      <c r="D68" s="0" t="s">
        <v>775</v>
      </c>
      <c r="E68" s="0" t="s">
        <v>118</v>
      </c>
      <c r="F68" s="0" t="n">
        <v>5</v>
      </c>
      <c r="G68" s="0" t="n">
        <v>11</v>
      </c>
      <c r="H68" s="0" t="n">
        <v>0.49</v>
      </c>
      <c r="I68" s="10" t="n">
        <v>0.691</v>
      </c>
      <c r="J68" s="0" t="n">
        <v>0.63</v>
      </c>
      <c r="K68" s="13" t="n">
        <f aca="false">IF(H68&lt;&gt;"",H68,IFERROR(G68/INDEX(Players!$M$2:$M$105,MATCH(B68,Players!$A$2:$A$105,0)),""))</f>
        <v>0.49</v>
      </c>
    </row>
    <row r="69" customFormat="false" ht="15" hidden="false" customHeight="false" outlineLevel="0" collapsed="false">
      <c r="A69" s="0" t="s">
        <v>1517</v>
      </c>
      <c r="B69" s="0" t="s">
        <v>1173</v>
      </c>
      <c r="C69" s="0" t="s">
        <v>909</v>
      </c>
      <c r="D69" s="0" t="s">
        <v>775</v>
      </c>
      <c r="E69" s="0" t="s">
        <v>82</v>
      </c>
      <c r="F69" s="0" t="n">
        <v>4</v>
      </c>
      <c r="G69" s="0" t="n">
        <v>21.5</v>
      </c>
      <c r="H69" s="0" t="n">
        <v>0.89</v>
      </c>
      <c r="I69" s="10" t="n">
        <v>0.581</v>
      </c>
      <c r="J69" s="0" t="n">
        <v>1.43</v>
      </c>
      <c r="K69" s="13" t="n">
        <f aca="false">IF(H69&lt;&gt;"",H69,IFERROR(G69/INDEX(Players!$M$2:$M$105,MATCH(B69,Players!$A$2:$A$105,0)),""))</f>
        <v>0.89</v>
      </c>
    </row>
    <row r="70" customFormat="false" ht="15" hidden="false" customHeight="false" outlineLevel="0" collapsed="false">
      <c r="A70" s="0" t="s">
        <v>1518</v>
      </c>
      <c r="B70" s="0" t="s">
        <v>1177</v>
      </c>
      <c r="C70" s="0" t="s">
        <v>917</v>
      </c>
      <c r="D70" s="0" t="s">
        <v>775</v>
      </c>
      <c r="E70" s="0" t="s">
        <v>131</v>
      </c>
      <c r="F70" s="0" t="n">
        <v>8</v>
      </c>
      <c r="G70" s="0" t="n">
        <v>13.1</v>
      </c>
      <c r="H70" s="0" t="n">
        <v>0.66</v>
      </c>
      <c r="I70" s="10" t="n">
        <v>0.552</v>
      </c>
      <c r="J70" s="0" t="n">
        <v>1.19</v>
      </c>
      <c r="K70" s="13" t="n">
        <f aca="false">IF(H70&lt;&gt;"",H70,IFERROR(G70/INDEX(Players!$M$2:$M$105,MATCH(B70,Players!$A$2:$A$105,0)),""))</f>
        <v>0.66</v>
      </c>
    </row>
    <row r="71" customFormat="false" ht="15" hidden="false" customHeight="false" outlineLevel="0" collapsed="false">
      <c r="A71" s="0" t="s">
        <v>1519</v>
      </c>
      <c r="B71" s="0" t="s">
        <v>1177</v>
      </c>
      <c r="C71" s="0" t="s">
        <v>917</v>
      </c>
      <c r="D71" s="0" t="s">
        <v>775</v>
      </c>
      <c r="E71" s="0" t="s">
        <v>118</v>
      </c>
      <c r="F71" s="0" t="n">
        <v>6</v>
      </c>
      <c r="G71" s="0" t="n">
        <v>11.7</v>
      </c>
      <c r="H71" s="0" t="n">
        <v>0.6</v>
      </c>
      <c r="I71" s="10" t="n">
        <v>0.514</v>
      </c>
      <c r="J71" s="0" t="n">
        <v>1.01</v>
      </c>
      <c r="K71" s="13" t="n">
        <f aca="false">IF(H71&lt;&gt;"",H71,IFERROR(G71/INDEX(Players!$M$2:$M$105,MATCH(B71,Players!$A$2:$A$105,0)),""))</f>
        <v>0.6</v>
      </c>
    </row>
    <row r="72" customFormat="false" ht="15" hidden="false" customHeight="false" outlineLevel="0" collapsed="false">
      <c r="A72" s="0" t="s">
        <v>1520</v>
      </c>
      <c r="B72" s="0" t="s">
        <v>1177</v>
      </c>
      <c r="C72" s="0" t="s">
        <v>917</v>
      </c>
      <c r="D72" s="0" t="s">
        <v>775</v>
      </c>
      <c r="E72" s="0" t="s">
        <v>96</v>
      </c>
      <c r="F72" s="0" t="n">
        <v>5</v>
      </c>
      <c r="G72" s="0" t="n">
        <v>11.2</v>
      </c>
      <c r="H72" s="0" t="n">
        <v>0.54</v>
      </c>
      <c r="I72" s="10" t="n">
        <v>0.446</v>
      </c>
      <c r="J72" s="0" t="n">
        <v>0.84</v>
      </c>
      <c r="K72" s="13" t="n">
        <f aca="false">IF(H72&lt;&gt;"",H72,IFERROR(G72/INDEX(Players!$M$2:$M$105,MATCH(B72,Players!$A$2:$A$105,0)),""))</f>
        <v>0.54</v>
      </c>
    </row>
    <row r="73" customFormat="false" ht="15" hidden="false" customHeight="false" outlineLevel="0" collapsed="false">
      <c r="A73" s="0" t="s">
        <v>1521</v>
      </c>
      <c r="B73" s="0" t="s">
        <v>1177</v>
      </c>
      <c r="C73" s="0" t="s">
        <v>917</v>
      </c>
      <c r="D73" s="0" t="s">
        <v>775</v>
      </c>
      <c r="E73" s="0" t="s">
        <v>82</v>
      </c>
      <c r="F73" s="0" t="n">
        <v>3</v>
      </c>
      <c r="G73" s="0" t="n">
        <v>16.3</v>
      </c>
      <c r="H73" s="0" t="n">
        <v>0.94</v>
      </c>
      <c r="I73" s="10" t="n">
        <v>0.531</v>
      </c>
      <c r="J73" s="0" t="n">
        <v>1.88</v>
      </c>
      <c r="K73" s="13" t="n">
        <f aca="false">IF(H73&lt;&gt;"",H73,IFERROR(G73/INDEX(Players!$M$2:$M$105,MATCH(B73,Players!$A$2:$A$105,0)),""))</f>
        <v>0.94</v>
      </c>
    </row>
    <row r="74" customFormat="false" ht="15" hidden="false" customHeight="false" outlineLevel="0" collapsed="false">
      <c r="A74" s="0" t="s">
        <v>1522</v>
      </c>
      <c r="B74" s="0" t="s">
        <v>1177</v>
      </c>
      <c r="C74" s="0" t="s">
        <v>917</v>
      </c>
      <c r="D74" s="0" t="s">
        <v>775</v>
      </c>
      <c r="E74" s="0" t="s">
        <v>142</v>
      </c>
      <c r="F74" s="0" t="n">
        <v>3</v>
      </c>
      <c r="G74" s="0" t="n">
        <v>14.7</v>
      </c>
      <c r="H74" s="0" t="n">
        <v>0.49</v>
      </c>
      <c r="I74" s="10" t="n">
        <v>0.455</v>
      </c>
      <c r="J74" s="0" t="n">
        <v>0.8</v>
      </c>
      <c r="K74" s="13" t="n">
        <f aca="false">IF(H74&lt;&gt;"",H74,IFERROR(G74/INDEX(Players!$M$2:$M$105,MATCH(B74,Players!$A$2:$A$105,0)),""))</f>
        <v>0.49</v>
      </c>
    </row>
    <row r="75" customFormat="false" ht="15" hidden="false" customHeight="false" outlineLevel="0" collapsed="false">
      <c r="A75" s="0" t="s">
        <v>1523</v>
      </c>
      <c r="B75" s="0" t="s">
        <v>1177</v>
      </c>
      <c r="C75" s="0" t="s">
        <v>917</v>
      </c>
      <c r="D75" s="0" t="s">
        <v>775</v>
      </c>
      <c r="E75" s="0" t="s">
        <v>149</v>
      </c>
      <c r="F75" s="0" t="n">
        <v>2</v>
      </c>
      <c r="G75" s="0" t="n">
        <v>12</v>
      </c>
      <c r="H75" s="0" t="n">
        <v>0.6</v>
      </c>
      <c r="I75" s="10" t="n">
        <v>0.375</v>
      </c>
      <c r="J75" s="0" t="n">
        <v>0.69</v>
      </c>
      <c r="K75" s="13" t="n">
        <f aca="false">IF(H75&lt;&gt;"",H75,IFERROR(G75/INDEX(Players!$M$2:$M$105,MATCH(B75,Players!$A$2:$A$105,0)),""))</f>
        <v>0.6</v>
      </c>
    </row>
    <row r="76" customFormat="false" ht="15" hidden="false" customHeight="false" outlineLevel="0" collapsed="false">
      <c r="A76" s="0" t="s">
        <v>1524</v>
      </c>
      <c r="B76" s="0" t="s">
        <v>1177</v>
      </c>
      <c r="C76" s="0" t="s">
        <v>917</v>
      </c>
      <c r="D76" s="0" t="s">
        <v>775</v>
      </c>
      <c r="E76" s="0" t="s">
        <v>109</v>
      </c>
      <c r="F76" s="0" t="n">
        <v>1</v>
      </c>
      <c r="G76" s="0" t="n">
        <v>7</v>
      </c>
      <c r="H76" s="0" t="n">
        <v>0.33</v>
      </c>
      <c r="I76" s="10" t="n">
        <v>0.286</v>
      </c>
      <c r="J76" s="0" t="n">
        <v>0.41</v>
      </c>
      <c r="K76" s="13" t="n">
        <f aca="false">IF(H76&lt;&gt;"",H76,IFERROR(G76/INDEX(Players!$M$2:$M$105,MATCH(B76,Players!$A$2:$A$105,0)),""))</f>
        <v>0.33</v>
      </c>
    </row>
    <row r="77" customFormat="false" ht="15" hidden="false" customHeight="false" outlineLevel="0" collapsed="false">
      <c r="A77" s="0" t="s">
        <v>1525</v>
      </c>
      <c r="B77" s="0" t="s">
        <v>1257</v>
      </c>
      <c r="C77" s="0" t="s">
        <v>1087</v>
      </c>
      <c r="D77" s="0" t="s">
        <v>775</v>
      </c>
      <c r="E77" s="0" t="s">
        <v>142</v>
      </c>
      <c r="F77" s="0" t="n">
        <v>9</v>
      </c>
      <c r="G77" s="0" t="n">
        <v>14.2</v>
      </c>
      <c r="H77" s="0" t="n">
        <v>0.72</v>
      </c>
      <c r="I77" s="10" t="n">
        <v>0.586</v>
      </c>
      <c r="J77" s="0" t="n">
        <v>1.09</v>
      </c>
      <c r="K77" s="13" t="n">
        <f aca="false">IF(H77&lt;&gt;"",H77,IFERROR(G77/INDEX(Players!$M$2:$M$105,MATCH(B77,Players!$A$2:$A$105,0)),""))</f>
        <v>0.72</v>
      </c>
    </row>
    <row r="78" customFormat="false" ht="15" hidden="false" customHeight="false" outlineLevel="0" collapsed="false">
      <c r="A78" s="0" t="s">
        <v>1526</v>
      </c>
      <c r="B78" s="0" t="s">
        <v>1257</v>
      </c>
      <c r="C78" s="0" t="s">
        <v>1087</v>
      </c>
      <c r="D78" s="0" t="s">
        <v>775</v>
      </c>
      <c r="E78" s="0" t="s">
        <v>118</v>
      </c>
      <c r="F78" s="0" t="n">
        <v>6</v>
      </c>
      <c r="G78" s="0" t="n">
        <v>12.7</v>
      </c>
      <c r="H78" s="0" t="n">
        <v>0.64</v>
      </c>
      <c r="I78" s="10" t="n">
        <v>0.697</v>
      </c>
      <c r="J78" s="0" t="n">
        <v>0.84</v>
      </c>
      <c r="K78" s="13" t="n">
        <f aca="false">IF(H78&lt;&gt;"",H78,IFERROR(G78/INDEX(Players!$M$2:$M$105,MATCH(B78,Players!$A$2:$A$105,0)),""))</f>
        <v>0.64</v>
      </c>
    </row>
    <row r="79" customFormat="false" ht="15" hidden="false" customHeight="false" outlineLevel="0" collapsed="false">
      <c r="A79" s="0" t="s">
        <v>1527</v>
      </c>
      <c r="B79" s="0" t="s">
        <v>1257</v>
      </c>
      <c r="C79" s="0" t="s">
        <v>1087</v>
      </c>
      <c r="D79" s="0" t="s">
        <v>775</v>
      </c>
      <c r="E79" s="0" t="s">
        <v>131</v>
      </c>
      <c r="F79" s="0" t="n">
        <v>5</v>
      </c>
      <c r="G79" s="0" t="n">
        <v>16.8</v>
      </c>
      <c r="H79" s="0" t="n">
        <v>0.73</v>
      </c>
      <c r="I79" s="10" t="n">
        <v>0.631</v>
      </c>
      <c r="J79" s="0" t="n">
        <v>1</v>
      </c>
      <c r="K79" s="13" t="n">
        <f aca="false">IF(H79&lt;&gt;"",H79,IFERROR(G79/INDEX(Players!$M$2:$M$105,MATCH(B79,Players!$A$2:$A$105,0)),""))</f>
        <v>0.73</v>
      </c>
    </row>
    <row r="80" customFormat="false" ht="15" hidden="false" customHeight="false" outlineLevel="0" collapsed="false">
      <c r="A80" s="0" t="s">
        <v>1528</v>
      </c>
      <c r="B80" s="0" t="s">
        <v>1257</v>
      </c>
      <c r="C80" s="0" t="s">
        <v>1087</v>
      </c>
      <c r="D80" s="0" t="s">
        <v>775</v>
      </c>
      <c r="E80" s="0" t="s">
        <v>96</v>
      </c>
      <c r="F80" s="0" t="n">
        <v>5</v>
      </c>
      <c r="G80" s="0" t="n">
        <v>14</v>
      </c>
      <c r="H80" s="0" t="n">
        <v>0.67</v>
      </c>
      <c r="I80" s="10" t="n">
        <v>0.514</v>
      </c>
      <c r="J80" s="0" t="n">
        <v>0.96</v>
      </c>
      <c r="K80" s="13" t="n">
        <f aca="false">IF(H80&lt;&gt;"",H80,IFERROR(G80/INDEX(Players!$M$2:$M$105,MATCH(B80,Players!$A$2:$A$105,0)),""))</f>
        <v>0.67</v>
      </c>
    </row>
    <row r="81" customFormat="false" ht="15" hidden="false" customHeight="false" outlineLevel="0" collapsed="false">
      <c r="A81" s="0" t="s">
        <v>1529</v>
      </c>
      <c r="B81" s="0" t="s">
        <v>1257</v>
      </c>
      <c r="C81" s="0" t="s">
        <v>1087</v>
      </c>
      <c r="D81" s="0" t="s">
        <v>775</v>
      </c>
      <c r="E81" s="0" t="s">
        <v>82</v>
      </c>
      <c r="F81" s="0" t="n">
        <v>4</v>
      </c>
      <c r="G81" s="0" t="n">
        <v>13</v>
      </c>
      <c r="H81" s="0" t="n">
        <v>0.61</v>
      </c>
      <c r="I81" s="10" t="n">
        <v>0.519</v>
      </c>
      <c r="J81" s="0" t="n">
        <v>1.04</v>
      </c>
      <c r="K81" s="13" t="n">
        <f aca="false">IF(H81&lt;&gt;"",H81,IFERROR(G81/INDEX(Players!$M$2:$M$105,MATCH(B81,Players!$A$2:$A$105,0)),""))</f>
        <v>0.61</v>
      </c>
    </row>
    <row r="82" customFormat="false" ht="15" hidden="false" customHeight="false" outlineLevel="0" collapsed="false">
      <c r="A82" s="0" t="s">
        <v>1530</v>
      </c>
      <c r="B82" s="0" t="s">
        <v>1257</v>
      </c>
      <c r="C82" s="0" t="s">
        <v>1087</v>
      </c>
      <c r="D82" s="0" t="s">
        <v>775</v>
      </c>
      <c r="E82" s="0" t="s">
        <v>109</v>
      </c>
      <c r="F82" s="0" t="n">
        <v>1</v>
      </c>
      <c r="G82" s="0" t="n">
        <v>5</v>
      </c>
      <c r="H82" s="0" t="n">
        <v>0.38</v>
      </c>
      <c r="I82" s="10" t="n">
        <v>0.8</v>
      </c>
      <c r="J82" s="0" t="n">
        <v>0.42</v>
      </c>
      <c r="K82" s="13" t="n">
        <f aca="false">IF(H82&lt;&gt;"",H82,IFERROR(G82/INDEX(Players!$M$2:$M$105,MATCH(B82,Players!$A$2:$A$105,0)),""))</f>
        <v>0.38</v>
      </c>
    </row>
    <row r="83" customFormat="false" ht="15" hidden="false" customHeight="false" outlineLevel="0" collapsed="false">
      <c r="A83" s="0" t="s">
        <v>1531</v>
      </c>
      <c r="B83" s="0" t="s">
        <v>1187</v>
      </c>
      <c r="C83" s="0" t="s">
        <v>938</v>
      </c>
      <c r="D83" s="0" t="s">
        <v>775</v>
      </c>
      <c r="E83" s="0" t="s">
        <v>149</v>
      </c>
      <c r="F83" s="0" t="n">
        <v>7</v>
      </c>
      <c r="G83" s="0" t="n">
        <v>14.7</v>
      </c>
      <c r="H83" s="0" t="n">
        <v>0.8</v>
      </c>
      <c r="I83" s="10" t="n">
        <v>0.612</v>
      </c>
      <c r="J83" s="0" t="n">
        <v>1.49</v>
      </c>
      <c r="K83" s="13" t="n">
        <f aca="false">IF(H83&lt;&gt;"",H83,IFERROR(G83/INDEX(Players!$M$2:$M$105,MATCH(B83,Players!$A$2:$A$105,0)),""))</f>
        <v>0.8</v>
      </c>
    </row>
    <row r="84" customFormat="false" ht="15" hidden="false" customHeight="false" outlineLevel="0" collapsed="false">
      <c r="A84" s="0" t="s">
        <v>1532</v>
      </c>
      <c r="B84" s="0" t="s">
        <v>1187</v>
      </c>
      <c r="C84" s="0" t="s">
        <v>938</v>
      </c>
      <c r="D84" s="0" t="s">
        <v>775</v>
      </c>
      <c r="E84" s="0" t="s">
        <v>142</v>
      </c>
      <c r="F84" s="0" t="n">
        <v>6</v>
      </c>
      <c r="G84" s="0" t="n">
        <v>15.7</v>
      </c>
      <c r="H84" s="0" t="n">
        <v>0.73</v>
      </c>
      <c r="I84" s="10" t="n">
        <v>0.66</v>
      </c>
      <c r="J84" s="0" t="n">
        <v>1.06</v>
      </c>
      <c r="K84" s="13" t="n">
        <f aca="false">IF(H84&lt;&gt;"",H84,IFERROR(G84/INDEX(Players!$M$2:$M$105,MATCH(B84,Players!$A$2:$A$105,0)),""))</f>
        <v>0.73</v>
      </c>
    </row>
    <row r="85" customFormat="false" ht="15" hidden="false" customHeight="false" outlineLevel="0" collapsed="false">
      <c r="A85" s="0" t="s">
        <v>1533</v>
      </c>
      <c r="B85" s="0" t="s">
        <v>1187</v>
      </c>
      <c r="C85" s="0" t="s">
        <v>938</v>
      </c>
      <c r="D85" s="0" t="s">
        <v>775</v>
      </c>
      <c r="E85" s="0" t="s">
        <v>118</v>
      </c>
      <c r="F85" s="0" t="n">
        <v>6</v>
      </c>
      <c r="G85" s="0" t="n">
        <v>16.2</v>
      </c>
      <c r="H85" s="0" t="n">
        <v>0.68</v>
      </c>
      <c r="I85" s="10" t="n">
        <v>0.619</v>
      </c>
      <c r="J85" s="0" t="n">
        <v>1.03</v>
      </c>
      <c r="K85" s="13" t="n">
        <f aca="false">IF(H85&lt;&gt;"",H85,IFERROR(G85/INDEX(Players!$M$2:$M$105,MATCH(B85,Players!$A$2:$A$105,0)),""))</f>
        <v>0.68</v>
      </c>
    </row>
    <row r="86" customFormat="false" ht="15" hidden="false" customHeight="false" outlineLevel="0" collapsed="false">
      <c r="A86" s="0" t="s">
        <v>1534</v>
      </c>
      <c r="B86" s="0" t="s">
        <v>1187</v>
      </c>
      <c r="C86" s="0" t="s">
        <v>938</v>
      </c>
      <c r="D86" s="0" t="s">
        <v>775</v>
      </c>
      <c r="E86" s="0" t="s">
        <v>82</v>
      </c>
      <c r="F86" s="0" t="n">
        <v>6</v>
      </c>
      <c r="G86" s="0" t="n">
        <v>13.2</v>
      </c>
      <c r="H86" s="0" t="n">
        <v>0.62</v>
      </c>
      <c r="I86" s="10" t="n">
        <v>0.646</v>
      </c>
      <c r="J86" s="0" t="n">
        <v>0.96</v>
      </c>
      <c r="K86" s="13" t="n">
        <f aca="false">IF(H86&lt;&gt;"",H86,IFERROR(G86/INDEX(Players!$M$2:$M$105,MATCH(B86,Players!$A$2:$A$105,0)),""))</f>
        <v>0.62</v>
      </c>
    </row>
    <row r="87" customFormat="false" ht="15" hidden="false" customHeight="false" outlineLevel="0" collapsed="false">
      <c r="A87" s="0" t="s">
        <v>1535</v>
      </c>
      <c r="B87" s="0" t="s">
        <v>1187</v>
      </c>
      <c r="C87" s="0" t="s">
        <v>938</v>
      </c>
      <c r="D87" s="0" t="s">
        <v>775</v>
      </c>
      <c r="E87" s="0" t="s">
        <v>131</v>
      </c>
      <c r="F87" s="0" t="n">
        <v>4</v>
      </c>
      <c r="G87" s="0" t="n">
        <v>14.3</v>
      </c>
      <c r="H87" s="0" t="n">
        <v>0.74</v>
      </c>
      <c r="I87" s="10" t="n">
        <v>0.632</v>
      </c>
      <c r="J87" s="0" t="n">
        <v>1.33</v>
      </c>
      <c r="K87" s="13" t="n">
        <f aca="false">IF(H87&lt;&gt;"",H87,IFERROR(G87/INDEX(Players!$M$2:$M$105,MATCH(B87,Players!$A$2:$A$105,0)),""))</f>
        <v>0.74</v>
      </c>
    </row>
    <row r="88" customFormat="false" ht="15" hidden="false" customHeight="false" outlineLevel="0" collapsed="false">
      <c r="A88" s="0" t="s">
        <v>1536</v>
      </c>
      <c r="B88" s="0" t="s">
        <v>1187</v>
      </c>
      <c r="C88" s="0" t="s">
        <v>938</v>
      </c>
      <c r="D88" s="0" t="s">
        <v>775</v>
      </c>
      <c r="E88" s="0" t="s">
        <v>96</v>
      </c>
      <c r="F88" s="0" t="n">
        <v>4</v>
      </c>
      <c r="G88" s="0" t="n">
        <v>15.3</v>
      </c>
      <c r="H88" s="0" t="n">
        <v>0.66</v>
      </c>
      <c r="I88" s="10" t="n">
        <v>0.656</v>
      </c>
      <c r="J88" s="0" t="n">
        <v>0.98</v>
      </c>
      <c r="K88" s="13" t="n">
        <f aca="false">IF(H88&lt;&gt;"",H88,IFERROR(G88/INDEX(Players!$M$2:$M$105,MATCH(B88,Players!$A$2:$A$105,0)),""))</f>
        <v>0.66</v>
      </c>
    </row>
    <row r="89" customFormat="false" ht="15" hidden="false" customHeight="false" outlineLevel="0" collapsed="false">
      <c r="A89" s="0" t="s">
        <v>1537</v>
      </c>
      <c r="B89" s="0" t="s">
        <v>1187</v>
      </c>
      <c r="C89" s="0" t="s">
        <v>938</v>
      </c>
      <c r="D89" s="0" t="s">
        <v>775</v>
      </c>
      <c r="E89" s="0" t="s">
        <v>109</v>
      </c>
      <c r="F89" s="0" t="n">
        <v>1</v>
      </c>
      <c r="G89" s="0" t="n">
        <v>21</v>
      </c>
      <c r="H89" s="0" t="n">
        <v>1.11</v>
      </c>
      <c r="I89" s="10" t="n">
        <v>0.524</v>
      </c>
      <c r="J89" s="0" t="n">
        <v>2.63</v>
      </c>
      <c r="K89" s="13" t="n">
        <f aca="false">IF(H89&lt;&gt;"",H89,IFERROR(G89/INDEX(Players!$M$2:$M$105,MATCH(B89,Players!$A$2:$A$105,0)),""))</f>
        <v>1.11</v>
      </c>
    </row>
    <row r="90" customFormat="false" ht="15" hidden="false" customHeight="false" outlineLevel="0" collapsed="false">
      <c r="A90" s="0" t="s">
        <v>1538</v>
      </c>
      <c r="B90" s="0" t="s">
        <v>1201</v>
      </c>
      <c r="C90" s="0" t="s">
        <v>968</v>
      </c>
      <c r="D90" s="0" t="s">
        <v>775</v>
      </c>
      <c r="E90" s="0" t="s">
        <v>131</v>
      </c>
      <c r="F90" s="0" t="n">
        <v>11</v>
      </c>
      <c r="G90" s="0" t="n">
        <v>15.8</v>
      </c>
      <c r="H90" s="0" t="n">
        <v>0.75</v>
      </c>
      <c r="I90" s="10" t="n">
        <v>0.448</v>
      </c>
      <c r="J90" s="0" t="n">
        <v>1.21</v>
      </c>
      <c r="K90" s="13" t="n">
        <f aca="false">IF(H90&lt;&gt;"",H90,IFERROR(G90/INDEX(Players!$M$2:$M$105,MATCH(B90,Players!$A$2:$A$105,0)),""))</f>
        <v>0.75</v>
      </c>
    </row>
    <row r="91" customFormat="false" ht="15" hidden="false" customHeight="false" outlineLevel="0" collapsed="false">
      <c r="A91" s="0" t="s">
        <v>1539</v>
      </c>
      <c r="B91" s="0" t="s">
        <v>1201</v>
      </c>
      <c r="C91" s="0" t="s">
        <v>968</v>
      </c>
      <c r="D91" s="0" t="s">
        <v>775</v>
      </c>
      <c r="E91" s="0" t="s">
        <v>142</v>
      </c>
      <c r="F91" s="0" t="n">
        <v>8</v>
      </c>
      <c r="G91" s="0" t="n">
        <v>17.3</v>
      </c>
      <c r="H91" s="0" t="n">
        <v>0.79</v>
      </c>
      <c r="I91" s="10" t="n">
        <v>0.399</v>
      </c>
      <c r="J91" s="0" t="n">
        <v>1.35</v>
      </c>
      <c r="K91" s="13" t="n">
        <f aca="false">IF(H91&lt;&gt;"",H91,IFERROR(G91/INDEX(Players!$M$2:$M$105,MATCH(B91,Players!$A$2:$A$105,0)),""))</f>
        <v>0.79</v>
      </c>
    </row>
    <row r="92" customFormat="false" ht="15" hidden="false" customHeight="false" outlineLevel="0" collapsed="false">
      <c r="A92" s="0" t="s">
        <v>1540</v>
      </c>
      <c r="B92" s="0" t="s">
        <v>1201</v>
      </c>
      <c r="C92" s="0" t="s">
        <v>968</v>
      </c>
      <c r="D92" s="0" t="s">
        <v>775</v>
      </c>
      <c r="E92" s="0" t="s">
        <v>109</v>
      </c>
      <c r="F92" s="0" t="n">
        <v>7</v>
      </c>
      <c r="G92" s="0" t="n">
        <v>13.7</v>
      </c>
      <c r="H92" s="0" t="n">
        <v>0.67</v>
      </c>
      <c r="I92" s="10" t="n">
        <v>0.521</v>
      </c>
      <c r="J92" s="0" t="n">
        <v>1.1</v>
      </c>
      <c r="K92" s="13" t="n">
        <f aca="false">IF(H92&lt;&gt;"",H92,IFERROR(G92/INDEX(Players!$M$2:$M$105,MATCH(B92,Players!$A$2:$A$105,0)),""))</f>
        <v>0.67</v>
      </c>
    </row>
    <row r="93" customFormat="false" ht="15" hidden="false" customHeight="false" outlineLevel="0" collapsed="false">
      <c r="A93" s="0" t="s">
        <v>1541</v>
      </c>
      <c r="B93" s="0" t="s">
        <v>1201</v>
      </c>
      <c r="C93" s="0" t="s">
        <v>968</v>
      </c>
      <c r="D93" s="0" t="s">
        <v>775</v>
      </c>
      <c r="E93" s="0" t="s">
        <v>82</v>
      </c>
      <c r="F93" s="0" t="n">
        <v>6</v>
      </c>
      <c r="G93" s="0" t="n">
        <v>18.3</v>
      </c>
      <c r="H93" s="0" t="n">
        <v>0.76</v>
      </c>
      <c r="I93" s="10" t="n">
        <v>0.473</v>
      </c>
      <c r="J93" s="0" t="n">
        <v>1.33</v>
      </c>
      <c r="K93" s="13" t="n">
        <f aca="false">IF(H93&lt;&gt;"",H93,IFERROR(G93/INDEX(Players!$M$2:$M$105,MATCH(B93,Players!$A$2:$A$105,0)),""))</f>
        <v>0.76</v>
      </c>
    </row>
    <row r="94" customFormat="false" ht="15" hidden="false" customHeight="false" outlineLevel="0" collapsed="false">
      <c r="A94" s="0" t="s">
        <v>1542</v>
      </c>
      <c r="B94" s="0" t="s">
        <v>1201</v>
      </c>
      <c r="C94" s="0" t="s">
        <v>968</v>
      </c>
      <c r="D94" s="0" t="s">
        <v>775</v>
      </c>
      <c r="E94" s="0" t="s">
        <v>96</v>
      </c>
      <c r="F94" s="0" t="n">
        <v>3</v>
      </c>
      <c r="G94" s="0" t="n">
        <v>18.3</v>
      </c>
      <c r="H94" s="0" t="n">
        <v>0.83</v>
      </c>
      <c r="I94" s="10" t="n">
        <v>0.709</v>
      </c>
      <c r="J94" s="0" t="n">
        <v>1.53</v>
      </c>
      <c r="K94" s="13" t="n">
        <f aca="false">IF(H94&lt;&gt;"",H94,IFERROR(G94/INDEX(Players!$M$2:$M$105,MATCH(B94,Players!$A$2:$A$105,0)),""))</f>
        <v>0.83</v>
      </c>
    </row>
    <row r="95" customFormat="false" ht="15" hidden="false" customHeight="false" outlineLevel="0" collapsed="false">
      <c r="A95" s="0" t="s">
        <v>1543</v>
      </c>
      <c r="B95" s="0" t="s">
        <v>1201</v>
      </c>
      <c r="C95" s="0" t="s">
        <v>968</v>
      </c>
      <c r="D95" s="0" t="s">
        <v>775</v>
      </c>
      <c r="E95" s="0" t="s">
        <v>118</v>
      </c>
      <c r="F95" s="0" t="n">
        <v>2</v>
      </c>
      <c r="G95" s="0" t="n">
        <v>15</v>
      </c>
      <c r="H95" s="0" t="n">
        <v>0.65</v>
      </c>
      <c r="I95" s="10" t="n">
        <v>0.467</v>
      </c>
      <c r="J95" s="0" t="n">
        <v>1.25</v>
      </c>
      <c r="K95" s="13" t="n">
        <f aca="false">IF(H95&lt;&gt;"",H95,IFERROR(G95/INDEX(Players!$M$2:$M$105,MATCH(B95,Players!$A$2:$A$105,0)),""))</f>
        <v>0.65</v>
      </c>
    </row>
    <row r="96" customFormat="false" ht="15" hidden="false" customHeight="false" outlineLevel="0" collapsed="false">
      <c r="A96" s="0" t="s">
        <v>1544</v>
      </c>
      <c r="B96" s="0" t="s">
        <v>1206</v>
      </c>
      <c r="C96" s="0" t="s">
        <v>979</v>
      </c>
      <c r="D96" s="0" t="s">
        <v>775</v>
      </c>
      <c r="E96" s="0" t="s">
        <v>109</v>
      </c>
      <c r="F96" s="0" t="n">
        <v>9</v>
      </c>
      <c r="G96" s="0" t="n">
        <v>13.1</v>
      </c>
      <c r="H96" s="0" t="n">
        <v>0.64</v>
      </c>
      <c r="I96" s="10" t="n">
        <v>0.449</v>
      </c>
      <c r="J96" s="0" t="n">
        <v>0.92</v>
      </c>
      <c r="K96" s="13" t="n">
        <f aca="false">IF(H96&lt;&gt;"",H96,IFERROR(G96/INDEX(Players!$M$2:$M$105,MATCH(B96,Players!$A$2:$A$105,0)),""))</f>
        <v>0.64</v>
      </c>
    </row>
    <row r="97" customFormat="false" ht="15" hidden="false" customHeight="false" outlineLevel="0" collapsed="false">
      <c r="A97" s="0" t="s">
        <v>1545</v>
      </c>
      <c r="B97" s="0" t="s">
        <v>1206</v>
      </c>
      <c r="C97" s="0" t="s">
        <v>979</v>
      </c>
      <c r="D97" s="0" t="s">
        <v>775</v>
      </c>
      <c r="E97" s="0" t="s">
        <v>142</v>
      </c>
      <c r="F97" s="0" t="n">
        <v>7</v>
      </c>
      <c r="G97" s="0" t="n">
        <v>13.9</v>
      </c>
      <c r="H97" s="0" t="n">
        <v>0.64</v>
      </c>
      <c r="I97" s="10" t="n">
        <v>0.546</v>
      </c>
      <c r="J97" s="0" t="n">
        <v>0.92</v>
      </c>
      <c r="K97" s="13" t="n">
        <f aca="false">IF(H97&lt;&gt;"",H97,IFERROR(G97/INDEX(Players!$M$2:$M$105,MATCH(B97,Players!$A$2:$A$105,0)),""))</f>
        <v>0.64</v>
      </c>
    </row>
    <row r="98" customFormat="false" ht="15" hidden="false" customHeight="false" outlineLevel="0" collapsed="false">
      <c r="A98" s="0" t="s">
        <v>1546</v>
      </c>
      <c r="B98" s="0" t="s">
        <v>1206</v>
      </c>
      <c r="C98" s="0" t="s">
        <v>979</v>
      </c>
      <c r="D98" s="0" t="s">
        <v>775</v>
      </c>
      <c r="E98" s="0" t="s">
        <v>96</v>
      </c>
      <c r="F98" s="0" t="n">
        <v>6</v>
      </c>
      <c r="G98" s="0" t="n">
        <v>17</v>
      </c>
      <c r="H98" s="0" t="n">
        <v>0.68</v>
      </c>
      <c r="I98" s="10" t="n">
        <v>0.5</v>
      </c>
      <c r="J98" s="0" t="n">
        <v>1.07</v>
      </c>
      <c r="K98" s="13" t="n">
        <f aca="false">IF(H98&lt;&gt;"",H98,IFERROR(G98/INDEX(Players!$M$2:$M$105,MATCH(B98,Players!$A$2:$A$105,0)),""))</f>
        <v>0.68</v>
      </c>
    </row>
    <row r="99" customFormat="false" ht="15" hidden="false" customHeight="false" outlineLevel="0" collapsed="false">
      <c r="A99" s="0" t="s">
        <v>1547</v>
      </c>
      <c r="B99" s="0" t="s">
        <v>1206</v>
      </c>
      <c r="C99" s="0" t="s">
        <v>979</v>
      </c>
      <c r="D99" s="0" t="s">
        <v>775</v>
      </c>
      <c r="E99" s="0" t="s">
        <v>118</v>
      </c>
      <c r="F99" s="0" t="n">
        <v>6</v>
      </c>
      <c r="G99" s="0" t="n">
        <v>16</v>
      </c>
      <c r="H99" s="0" t="n">
        <v>0.71</v>
      </c>
      <c r="I99" s="10" t="n">
        <v>0.531</v>
      </c>
      <c r="J99" s="0" t="n">
        <v>0.94</v>
      </c>
      <c r="K99" s="13" t="n">
        <f aca="false">IF(H99&lt;&gt;"",H99,IFERROR(G99/INDEX(Players!$M$2:$M$105,MATCH(B99,Players!$A$2:$A$105,0)),""))</f>
        <v>0.71</v>
      </c>
    </row>
    <row r="100" customFormat="false" ht="15" hidden="false" customHeight="false" outlineLevel="0" collapsed="false">
      <c r="A100" s="0" t="s">
        <v>1548</v>
      </c>
      <c r="B100" s="0" t="s">
        <v>1206</v>
      </c>
      <c r="C100" s="0" t="s">
        <v>979</v>
      </c>
      <c r="D100" s="0" t="s">
        <v>775</v>
      </c>
      <c r="E100" s="0" t="s">
        <v>82</v>
      </c>
      <c r="F100" s="0" t="n">
        <v>5</v>
      </c>
      <c r="G100" s="0" t="n">
        <v>16</v>
      </c>
      <c r="H100" s="0" t="n">
        <v>0.7</v>
      </c>
      <c r="I100" s="10" t="n">
        <v>0.5</v>
      </c>
      <c r="J100" s="0" t="n">
        <v>0.98</v>
      </c>
      <c r="K100" s="13" t="n">
        <f aca="false">IF(H100&lt;&gt;"",H100,IFERROR(G100/INDEX(Players!$M$2:$M$105,MATCH(B100,Players!$A$2:$A$105,0)),""))</f>
        <v>0.7</v>
      </c>
    </row>
    <row r="101" customFormat="false" ht="15" hidden="false" customHeight="false" outlineLevel="0" collapsed="false">
      <c r="A101" s="0" t="s">
        <v>1549</v>
      </c>
      <c r="B101" s="0" t="s">
        <v>1206</v>
      </c>
      <c r="C101" s="0" t="s">
        <v>979</v>
      </c>
      <c r="D101" s="0" t="s">
        <v>775</v>
      </c>
      <c r="E101" s="0" t="s">
        <v>1292</v>
      </c>
      <c r="F101" s="0" t="n">
        <v>2</v>
      </c>
      <c r="G101" s="0" t="n">
        <v>14</v>
      </c>
      <c r="H101" s="0" t="n">
        <v>0.76</v>
      </c>
      <c r="I101" s="10" t="n">
        <v>0.5</v>
      </c>
      <c r="J101" s="0" t="n">
        <v>1.04</v>
      </c>
      <c r="K101" s="13" t="n">
        <f aca="false">IF(H101&lt;&gt;"",H101,IFERROR(G101/INDEX(Players!$M$2:$M$105,MATCH(B101,Players!$A$2:$A$105,0)),""))</f>
        <v>0.76</v>
      </c>
    </row>
    <row r="102" customFormat="false" ht="15" hidden="false" customHeight="false" outlineLevel="0" collapsed="false">
      <c r="A102" s="0" t="s">
        <v>1550</v>
      </c>
      <c r="B102" s="0" t="s">
        <v>1206</v>
      </c>
      <c r="C102" s="0" t="s">
        <v>979</v>
      </c>
      <c r="D102" s="0" t="s">
        <v>775</v>
      </c>
      <c r="E102" s="0" t="s">
        <v>131</v>
      </c>
      <c r="F102" s="0" t="n">
        <v>1</v>
      </c>
      <c r="G102" s="0" t="n">
        <v>16</v>
      </c>
      <c r="H102" s="0" t="n">
        <v>0.76</v>
      </c>
      <c r="I102" s="10" t="n">
        <v>0.375</v>
      </c>
      <c r="J102" s="0" t="n">
        <v>1.14</v>
      </c>
      <c r="K102" s="13" t="n">
        <f aca="false">IF(H102&lt;&gt;"",H102,IFERROR(G102/INDEX(Players!$M$2:$M$105,MATCH(B102,Players!$A$2:$A$105,0)),""))</f>
        <v>0.76</v>
      </c>
    </row>
    <row r="103" customFormat="false" ht="15" hidden="false" customHeight="false" outlineLevel="0" collapsed="false">
      <c r="A103" s="0" t="s">
        <v>1551</v>
      </c>
      <c r="B103" s="0" t="s">
        <v>1243</v>
      </c>
      <c r="C103" s="0" t="s">
        <v>1057</v>
      </c>
      <c r="D103" s="0" t="s">
        <v>775</v>
      </c>
      <c r="E103" s="0" t="s">
        <v>109</v>
      </c>
      <c r="F103" s="0" t="n">
        <v>12</v>
      </c>
      <c r="G103" s="0" t="n">
        <v>14.3</v>
      </c>
      <c r="H103" s="0" t="n">
        <v>0.63</v>
      </c>
      <c r="I103" s="10" t="n">
        <v>0.616</v>
      </c>
      <c r="J103" s="0" t="n">
        <v>0.87</v>
      </c>
      <c r="K103" s="13" t="n">
        <f aca="false">IF(H103&lt;&gt;"",H103,IFERROR(G103/INDEX(Players!$M$2:$M$105,MATCH(B103,Players!$A$2:$A$105,0)),""))</f>
        <v>0.63</v>
      </c>
    </row>
    <row r="104" customFormat="false" ht="15" hidden="false" customHeight="false" outlineLevel="0" collapsed="false">
      <c r="A104" s="0" t="s">
        <v>1552</v>
      </c>
      <c r="B104" s="0" t="s">
        <v>1243</v>
      </c>
      <c r="C104" s="0" t="s">
        <v>1057</v>
      </c>
      <c r="D104" s="0" t="s">
        <v>775</v>
      </c>
      <c r="E104" s="0" t="s">
        <v>96</v>
      </c>
      <c r="F104" s="0" t="n">
        <v>7</v>
      </c>
      <c r="G104" s="0" t="n">
        <v>15.4</v>
      </c>
      <c r="H104" s="0" t="n">
        <v>0.71</v>
      </c>
      <c r="I104" s="10" t="n">
        <v>0.611</v>
      </c>
      <c r="J104" s="0" t="n">
        <v>0.94</v>
      </c>
      <c r="K104" s="13" t="n">
        <f aca="false">IF(H104&lt;&gt;"",H104,IFERROR(G104/INDEX(Players!$M$2:$M$105,MATCH(B104,Players!$A$2:$A$105,0)),""))</f>
        <v>0.71</v>
      </c>
    </row>
    <row r="105" customFormat="false" ht="15" hidden="false" customHeight="false" outlineLevel="0" collapsed="false">
      <c r="A105" s="0" t="s">
        <v>1553</v>
      </c>
      <c r="B105" s="0" t="s">
        <v>1243</v>
      </c>
      <c r="C105" s="0" t="s">
        <v>1057</v>
      </c>
      <c r="D105" s="0" t="s">
        <v>775</v>
      </c>
      <c r="E105" s="0" t="s">
        <v>82</v>
      </c>
      <c r="F105" s="0" t="n">
        <v>6</v>
      </c>
      <c r="G105" s="0" t="n">
        <v>15.5</v>
      </c>
      <c r="H105" s="0" t="n">
        <v>0.69</v>
      </c>
      <c r="I105" s="10" t="n">
        <v>0.538</v>
      </c>
      <c r="J105" s="0" t="n">
        <v>0.96</v>
      </c>
      <c r="K105" s="13" t="n">
        <f aca="false">IF(H105&lt;&gt;"",H105,IFERROR(G105/INDEX(Players!$M$2:$M$105,MATCH(B105,Players!$A$2:$A$105,0)),""))</f>
        <v>0.69</v>
      </c>
    </row>
    <row r="106" customFormat="false" ht="15" hidden="false" customHeight="false" outlineLevel="0" collapsed="false">
      <c r="A106" s="0" t="s">
        <v>1554</v>
      </c>
      <c r="B106" s="0" t="s">
        <v>1243</v>
      </c>
      <c r="C106" s="0" t="s">
        <v>1057</v>
      </c>
      <c r="D106" s="0" t="s">
        <v>775</v>
      </c>
      <c r="E106" s="0" t="s">
        <v>131</v>
      </c>
      <c r="F106" s="0" t="n">
        <v>4</v>
      </c>
      <c r="G106" s="0" t="n">
        <v>14.8</v>
      </c>
      <c r="H106" s="0" t="n">
        <v>0.77</v>
      </c>
      <c r="I106" s="10" t="n">
        <v>0.542</v>
      </c>
      <c r="J106" s="0" t="n">
        <v>0.92</v>
      </c>
      <c r="K106" s="13" t="n">
        <f aca="false">IF(H106&lt;&gt;"",H106,IFERROR(G106/INDEX(Players!$M$2:$M$105,MATCH(B106,Players!$A$2:$A$105,0)),""))</f>
        <v>0.77</v>
      </c>
    </row>
    <row r="107" customFormat="false" ht="15" hidden="false" customHeight="false" outlineLevel="0" collapsed="false">
      <c r="A107" s="0" t="s">
        <v>1555</v>
      </c>
      <c r="B107" s="0" t="s">
        <v>1243</v>
      </c>
      <c r="C107" s="0" t="s">
        <v>1057</v>
      </c>
      <c r="D107" s="0" t="s">
        <v>775</v>
      </c>
      <c r="E107" s="0" t="s">
        <v>118</v>
      </c>
      <c r="F107" s="0" t="n">
        <v>3</v>
      </c>
      <c r="G107" s="0" t="n">
        <v>19</v>
      </c>
      <c r="H107" s="0" t="n">
        <v>0.81</v>
      </c>
      <c r="I107" s="10" t="n">
        <v>0.649</v>
      </c>
      <c r="J107" s="0" t="n">
        <v>1.08</v>
      </c>
      <c r="K107" s="13" t="n">
        <f aca="false">IF(H107&lt;&gt;"",H107,IFERROR(G107/INDEX(Players!$M$2:$M$105,MATCH(B107,Players!$A$2:$A$105,0)),""))</f>
        <v>0.81</v>
      </c>
    </row>
    <row r="108" customFormat="false" ht="15" hidden="false" customHeight="false" outlineLevel="0" collapsed="false">
      <c r="A108" s="0" t="s">
        <v>1556</v>
      </c>
      <c r="B108" s="0" t="s">
        <v>1243</v>
      </c>
      <c r="C108" s="0" t="s">
        <v>1057</v>
      </c>
      <c r="D108" s="0" t="s">
        <v>775</v>
      </c>
      <c r="E108" s="0" t="s">
        <v>142</v>
      </c>
      <c r="F108" s="0" t="n">
        <v>1</v>
      </c>
      <c r="G108" s="0" t="n">
        <v>23</v>
      </c>
      <c r="H108" s="0" t="n">
        <v>1.05</v>
      </c>
      <c r="I108" s="10" t="n">
        <v>0.565</v>
      </c>
      <c r="J108" s="0" t="n">
        <v>1.92</v>
      </c>
      <c r="K108" s="13" t="n">
        <f aca="false">IF(H108&lt;&gt;"",H108,IFERROR(G108/INDEX(Players!$M$2:$M$105,MATCH(B108,Players!$A$2:$A$105,0)),""))</f>
        <v>1.05</v>
      </c>
    </row>
    <row r="109" customFormat="false" ht="15" hidden="false" customHeight="false" outlineLevel="0" collapsed="false">
      <c r="A109" s="0" t="s">
        <v>1557</v>
      </c>
      <c r="B109" s="0" t="s">
        <v>1188</v>
      </c>
      <c r="C109" s="0" t="s">
        <v>941</v>
      </c>
      <c r="D109" s="0" t="s">
        <v>775</v>
      </c>
      <c r="E109" s="0" t="s">
        <v>118</v>
      </c>
      <c r="F109" s="0" t="n">
        <v>8</v>
      </c>
      <c r="G109" s="0" t="n">
        <v>13</v>
      </c>
      <c r="H109" s="0" t="n">
        <v>0.54</v>
      </c>
      <c r="I109" s="10" t="n">
        <v>0.615</v>
      </c>
      <c r="J109" s="0" t="n">
        <v>0.76</v>
      </c>
      <c r="K109" s="13" t="n">
        <f aca="false">IF(H109&lt;&gt;"",H109,IFERROR(G109/INDEX(Players!$M$2:$M$105,MATCH(B109,Players!$A$2:$A$105,0)),""))</f>
        <v>0.54</v>
      </c>
    </row>
    <row r="110" customFormat="false" ht="15" hidden="false" customHeight="false" outlineLevel="0" collapsed="false">
      <c r="A110" s="0" t="s">
        <v>1558</v>
      </c>
      <c r="B110" s="0" t="s">
        <v>1188</v>
      </c>
      <c r="C110" s="0" t="s">
        <v>941</v>
      </c>
      <c r="D110" s="0" t="s">
        <v>775</v>
      </c>
      <c r="E110" s="0" t="s">
        <v>149</v>
      </c>
      <c r="F110" s="0" t="n">
        <v>7</v>
      </c>
      <c r="G110" s="0" t="n">
        <v>12.7</v>
      </c>
      <c r="H110" s="0" t="n">
        <v>0.69</v>
      </c>
      <c r="I110" s="10" t="n">
        <v>0.64</v>
      </c>
      <c r="J110" s="0" t="n">
        <v>1.14</v>
      </c>
      <c r="K110" s="13" t="n">
        <f aca="false">IF(H110&lt;&gt;"",H110,IFERROR(G110/INDEX(Players!$M$2:$M$105,MATCH(B110,Players!$A$2:$A$105,0)),""))</f>
        <v>0.69</v>
      </c>
    </row>
    <row r="111" customFormat="false" ht="15" hidden="false" customHeight="false" outlineLevel="0" collapsed="false">
      <c r="A111" s="0" t="s">
        <v>1559</v>
      </c>
      <c r="B111" s="0" t="s">
        <v>1188</v>
      </c>
      <c r="C111" s="0" t="s">
        <v>941</v>
      </c>
      <c r="D111" s="0" t="s">
        <v>775</v>
      </c>
      <c r="E111" s="0" t="s">
        <v>82</v>
      </c>
      <c r="F111" s="0" t="n">
        <v>7</v>
      </c>
      <c r="G111" s="0" t="n">
        <v>13.4</v>
      </c>
      <c r="H111" s="0" t="n">
        <v>0.65</v>
      </c>
      <c r="I111" s="10" t="n">
        <v>0.5</v>
      </c>
      <c r="J111" s="0" t="n">
        <v>0.93</v>
      </c>
      <c r="K111" s="13" t="n">
        <f aca="false">IF(H111&lt;&gt;"",H111,IFERROR(G111/INDEX(Players!$M$2:$M$105,MATCH(B111,Players!$A$2:$A$105,0)),""))</f>
        <v>0.65</v>
      </c>
    </row>
    <row r="112" customFormat="false" ht="15" hidden="false" customHeight="false" outlineLevel="0" collapsed="false">
      <c r="A112" s="0" t="s">
        <v>1560</v>
      </c>
      <c r="B112" s="0" t="s">
        <v>1188</v>
      </c>
      <c r="C112" s="0" t="s">
        <v>941</v>
      </c>
      <c r="D112" s="0" t="s">
        <v>775</v>
      </c>
      <c r="E112" s="0" t="s">
        <v>96</v>
      </c>
      <c r="F112" s="0" t="n">
        <v>5</v>
      </c>
      <c r="G112" s="0" t="n">
        <v>14.2</v>
      </c>
      <c r="H112" s="0" t="n">
        <v>0.58</v>
      </c>
      <c r="I112" s="10" t="n">
        <v>0.521</v>
      </c>
      <c r="J112" s="0" t="n">
        <v>0.8</v>
      </c>
      <c r="K112" s="13" t="n">
        <f aca="false">IF(H112&lt;&gt;"",H112,IFERROR(G112/INDEX(Players!$M$2:$M$105,MATCH(B112,Players!$A$2:$A$105,0)),""))</f>
        <v>0.58</v>
      </c>
    </row>
    <row r="113" customFormat="false" ht="15" hidden="false" customHeight="false" outlineLevel="0" collapsed="false">
      <c r="A113" s="0" t="s">
        <v>1561</v>
      </c>
      <c r="B113" s="0" t="s">
        <v>1188</v>
      </c>
      <c r="C113" s="0" t="s">
        <v>941</v>
      </c>
      <c r="D113" s="0" t="s">
        <v>775</v>
      </c>
      <c r="E113" s="0" t="s">
        <v>142</v>
      </c>
      <c r="F113" s="0" t="n">
        <v>4</v>
      </c>
      <c r="G113" s="0" t="n">
        <v>14.3</v>
      </c>
      <c r="H113" s="0" t="n">
        <v>0.55</v>
      </c>
      <c r="I113" s="10" t="n">
        <v>0.491</v>
      </c>
      <c r="J113" s="0" t="n">
        <v>0.73</v>
      </c>
      <c r="K113" s="13" t="n">
        <f aca="false">IF(H113&lt;&gt;"",H113,IFERROR(G113/INDEX(Players!$M$2:$M$105,MATCH(B113,Players!$A$2:$A$105,0)),""))</f>
        <v>0.55</v>
      </c>
    </row>
    <row r="114" customFormat="false" ht="15" hidden="false" customHeight="false" outlineLevel="0" collapsed="false">
      <c r="A114" s="0" t="s">
        <v>1562</v>
      </c>
      <c r="B114" s="0" t="s">
        <v>1188</v>
      </c>
      <c r="C114" s="0" t="s">
        <v>941</v>
      </c>
      <c r="D114" s="0" t="s">
        <v>775</v>
      </c>
      <c r="E114" s="0" t="s">
        <v>109</v>
      </c>
      <c r="F114" s="0" t="n">
        <v>3</v>
      </c>
      <c r="G114" s="0" t="n">
        <v>10.7</v>
      </c>
      <c r="H114" s="0" t="n">
        <v>0.48</v>
      </c>
      <c r="I114" s="10" t="n">
        <v>0.625</v>
      </c>
      <c r="J114" s="0" t="n">
        <v>0.68</v>
      </c>
      <c r="K114" s="13" t="n">
        <f aca="false">IF(H114&lt;&gt;"",H114,IFERROR(G114/INDEX(Players!$M$2:$M$105,MATCH(B114,Players!$A$2:$A$105,0)),""))</f>
        <v>0.48</v>
      </c>
    </row>
    <row r="115" customFormat="false" ht="15" hidden="false" customHeight="false" outlineLevel="0" collapsed="false">
      <c r="A115" s="0" t="s">
        <v>1563</v>
      </c>
      <c r="B115" s="0" t="s">
        <v>1188</v>
      </c>
      <c r="C115" s="0" t="s">
        <v>941</v>
      </c>
      <c r="D115" s="0" t="s">
        <v>775</v>
      </c>
      <c r="E115" s="0" t="s">
        <v>131</v>
      </c>
      <c r="F115" s="0" t="n">
        <v>1</v>
      </c>
      <c r="G115" s="0" t="n">
        <v>16</v>
      </c>
      <c r="H115" s="0" t="n">
        <v>1</v>
      </c>
      <c r="I115" s="10" t="n">
        <v>0.688</v>
      </c>
      <c r="J115" s="0" t="n">
        <v>2.29</v>
      </c>
      <c r="K115" s="13" t="n">
        <f aca="false">IF(H115&lt;&gt;"",H115,IFERROR(G115/INDEX(Players!$M$2:$M$105,MATCH(B115,Players!$A$2:$A$105,0)),""))</f>
        <v>1</v>
      </c>
    </row>
    <row r="116" customFormat="false" ht="15" hidden="false" customHeight="false" outlineLevel="0" collapsed="false">
      <c r="A116" s="0" t="s">
        <v>1564</v>
      </c>
      <c r="B116" s="0" t="s">
        <v>1220</v>
      </c>
      <c r="C116" s="0" t="s">
        <v>1011</v>
      </c>
      <c r="D116" s="0" t="s">
        <v>775</v>
      </c>
      <c r="E116" s="0" t="s">
        <v>131</v>
      </c>
      <c r="F116" s="0" t="n">
        <v>9</v>
      </c>
      <c r="G116" s="0" t="n">
        <v>16.8</v>
      </c>
      <c r="H116" s="0" t="n">
        <v>0.82</v>
      </c>
      <c r="I116" s="10" t="n">
        <v>0.563</v>
      </c>
      <c r="J116" s="0" t="n">
        <v>1.4</v>
      </c>
      <c r="K116" s="13" t="n">
        <f aca="false">IF(H116&lt;&gt;"",H116,IFERROR(G116/INDEX(Players!$M$2:$M$105,MATCH(B116,Players!$A$2:$A$105,0)),""))</f>
        <v>0.82</v>
      </c>
    </row>
    <row r="117" customFormat="false" ht="15" hidden="false" customHeight="false" outlineLevel="0" collapsed="false">
      <c r="A117" s="0" t="s">
        <v>1565</v>
      </c>
      <c r="B117" s="0" t="s">
        <v>1220</v>
      </c>
      <c r="C117" s="0" t="s">
        <v>1011</v>
      </c>
      <c r="D117" s="0" t="s">
        <v>775</v>
      </c>
      <c r="E117" s="0" t="s">
        <v>96</v>
      </c>
      <c r="F117" s="0" t="n">
        <v>8</v>
      </c>
      <c r="G117" s="0" t="n">
        <v>11.4</v>
      </c>
      <c r="H117" s="0" t="n">
        <v>0.59</v>
      </c>
      <c r="I117" s="10" t="n">
        <v>0.56</v>
      </c>
      <c r="J117" s="0" t="n">
        <v>0.97</v>
      </c>
      <c r="K117" s="13" t="n">
        <f aca="false">IF(H117&lt;&gt;"",H117,IFERROR(G117/INDEX(Players!$M$2:$M$105,MATCH(B117,Players!$A$2:$A$105,0)),""))</f>
        <v>0.59</v>
      </c>
    </row>
    <row r="118" customFormat="false" ht="15" hidden="false" customHeight="false" outlineLevel="0" collapsed="false">
      <c r="A118" s="0" t="s">
        <v>1566</v>
      </c>
      <c r="B118" s="0" t="s">
        <v>1220</v>
      </c>
      <c r="C118" s="0" t="s">
        <v>1011</v>
      </c>
      <c r="D118" s="0" t="s">
        <v>775</v>
      </c>
      <c r="E118" s="0" t="s">
        <v>109</v>
      </c>
      <c r="F118" s="0" t="n">
        <v>7</v>
      </c>
      <c r="G118" s="0" t="n">
        <v>17.1</v>
      </c>
      <c r="H118" s="0" t="n">
        <v>0.86</v>
      </c>
      <c r="I118" s="10" t="n">
        <v>0.533</v>
      </c>
      <c r="J118" s="0" t="n">
        <v>1.43</v>
      </c>
      <c r="K118" s="13" t="n">
        <f aca="false">IF(H118&lt;&gt;"",H118,IFERROR(G118/INDEX(Players!$M$2:$M$105,MATCH(B118,Players!$A$2:$A$105,0)),""))</f>
        <v>0.86</v>
      </c>
    </row>
    <row r="119" customFormat="false" ht="15" hidden="false" customHeight="false" outlineLevel="0" collapsed="false">
      <c r="A119" s="0" t="s">
        <v>1567</v>
      </c>
      <c r="B119" s="0" t="s">
        <v>1220</v>
      </c>
      <c r="C119" s="0" t="s">
        <v>1011</v>
      </c>
      <c r="D119" s="0" t="s">
        <v>775</v>
      </c>
      <c r="E119" s="0" t="s">
        <v>82</v>
      </c>
      <c r="F119" s="0" t="n">
        <v>7</v>
      </c>
      <c r="G119" s="0" t="n">
        <v>16.7</v>
      </c>
      <c r="H119" s="0" t="n">
        <v>0.77</v>
      </c>
      <c r="I119" s="10" t="n">
        <v>0.53</v>
      </c>
      <c r="J119" s="0" t="n">
        <v>1.26</v>
      </c>
      <c r="K119" s="13" t="n">
        <f aca="false">IF(H119&lt;&gt;"",H119,IFERROR(G119/INDEX(Players!$M$2:$M$105,MATCH(B119,Players!$A$2:$A$105,0)),""))</f>
        <v>0.77</v>
      </c>
    </row>
    <row r="120" customFormat="false" ht="15" hidden="false" customHeight="false" outlineLevel="0" collapsed="false">
      <c r="A120" s="0" t="s">
        <v>1568</v>
      </c>
      <c r="B120" s="0" t="s">
        <v>1220</v>
      </c>
      <c r="C120" s="0" t="s">
        <v>1011</v>
      </c>
      <c r="D120" s="0" t="s">
        <v>775</v>
      </c>
      <c r="E120" s="0" t="s">
        <v>142</v>
      </c>
      <c r="F120" s="0" t="n">
        <v>6</v>
      </c>
      <c r="G120" s="0" t="n">
        <v>13.8</v>
      </c>
      <c r="H120" s="0" t="n">
        <v>0.6</v>
      </c>
      <c r="I120" s="10" t="n">
        <v>0.506</v>
      </c>
      <c r="J120" s="0" t="n">
        <v>0.99</v>
      </c>
      <c r="K120" s="13" t="n">
        <f aca="false">IF(H120&lt;&gt;"",H120,IFERROR(G120/INDEX(Players!$M$2:$M$105,MATCH(B120,Players!$A$2:$A$105,0)),""))</f>
        <v>0.6</v>
      </c>
    </row>
    <row r="121" customFormat="false" ht="15" hidden="false" customHeight="false" outlineLevel="0" collapsed="false">
      <c r="A121" s="0" t="s">
        <v>1569</v>
      </c>
      <c r="B121" s="0" t="s">
        <v>1220</v>
      </c>
      <c r="C121" s="0" t="s">
        <v>1011</v>
      </c>
      <c r="D121" s="0" t="s">
        <v>775</v>
      </c>
      <c r="E121" s="0" t="s">
        <v>118</v>
      </c>
      <c r="F121" s="0" t="n">
        <v>3</v>
      </c>
      <c r="G121" s="0" t="n">
        <v>16</v>
      </c>
      <c r="H121" s="0" t="n">
        <v>0.74</v>
      </c>
      <c r="I121" s="10" t="n">
        <v>0.542</v>
      </c>
      <c r="J121" s="0" t="n">
        <v>1.17</v>
      </c>
      <c r="K121" s="13" t="n">
        <f aca="false">IF(H121&lt;&gt;"",H121,IFERROR(G121/INDEX(Players!$M$2:$M$105,MATCH(B121,Players!$A$2:$A$105,0)),""))</f>
        <v>0.74</v>
      </c>
    </row>
    <row r="122" customFormat="false" ht="15" hidden="false" customHeight="false" outlineLevel="0" collapsed="false">
      <c r="A122" s="0" t="s">
        <v>1570</v>
      </c>
      <c r="B122" s="0" t="s">
        <v>1239</v>
      </c>
      <c r="C122" s="0" t="s">
        <v>1049</v>
      </c>
      <c r="D122" s="0" t="s">
        <v>775</v>
      </c>
      <c r="E122" s="0" t="s">
        <v>142</v>
      </c>
      <c r="F122" s="0" t="n">
        <v>7</v>
      </c>
      <c r="G122" s="0" t="n">
        <v>16.1</v>
      </c>
      <c r="H122" s="0" t="n">
        <v>0.78</v>
      </c>
      <c r="I122" s="10" t="n">
        <v>0.487</v>
      </c>
      <c r="J122" s="0" t="n">
        <v>1.28</v>
      </c>
      <c r="K122" s="13" t="n">
        <f aca="false">IF(H122&lt;&gt;"",H122,IFERROR(G122/INDEX(Players!$M$2:$M$105,MATCH(B122,Players!$A$2:$A$105,0)),""))</f>
        <v>0.78</v>
      </c>
    </row>
    <row r="123" customFormat="false" ht="15" hidden="false" customHeight="false" outlineLevel="0" collapsed="false">
      <c r="A123" s="0" t="s">
        <v>1571</v>
      </c>
      <c r="B123" s="0" t="s">
        <v>1239</v>
      </c>
      <c r="C123" s="0" t="s">
        <v>1049</v>
      </c>
      <c r="D123" s="0" t="s">
        <v>775</v>
      </c>
      <c r="E123" s="0" t="s">
        <v>149</v>
      </c>
      <c r="F123" s="0" t="n">
        <v>7</v>
      </c>
      <c r="G123" s="0" t="n">
        <v>14</v>
      </c>
      <c r="H123" s="0" t="n">
        <v>0.64</v>
      </c>
      <c r="I123" s="10" t="n">
        <v>0.531</v>
      </c>
      <c r="J123" s="0" t="n">
        <v>0.95</v>
      </c>
      <c r="K123" s="13" t="n">
        <f aca="false">IF(H123&lt;&gt;"",H123,IFERROR(G123/INDEX(Players!$M$2:$M$105,MATCH(B123,Players!$A$2:$A$105,0)),""))</f>
        <v>0.64</v>
      </c>
    </row>
    <row r="124" customFormat="false" ht="15" hidden="false" customHeight="false" outlineLevel="0" collapsed="false">
      <c r="A124" s="0" t="s">
        <v>1572</v>
      </c>
      <c r="B124" s="0" t="s">
        <v>1239</v>
      </c>
      <c r="C124" s="0" t="s">
        <v>1049</v>
      </c>
      <c r="D124" s="0" t="s">
        <v>775</v>
      </c>
      <c r="E124" s="0" t="s">
        <v>131</v>
      </c>
      <c r="F124" s="0" t="n">
        <v>6</v>
      </c>
      <c r="G124" s="0" t="n">
        <v>15.3</v>
      </c>
      <c r="H124" s="0" t="n">
        <v>0.75</v>
      </c>
      <c r="I124" s="10" t="n">
        <v>0.587</v>
      </c>
      <c r="J124" s="0" t="n">
        <v>1.03</v>
      </c>
      <c r="K124" s="13" t="n">
        <f aca="false">IF(H124&lt;&gt;"",H124,IFERROR(G124/INDEX(Players!$M$2:$M$105,MATCH(B124,Players!$A$2:$A$105,0)),""))</f>
        <v>0.75</v>
      </c>
    </row>
    <row r="125" customFormat="false" ht="15" hidden="false" customHeight="false" outlineLevel="0" collapsed="false">
      <c r="A125" s="0" t="s">
        <v>1573</v>
      </c>
      <c r="B125" s="0" t="s">
        <v>1239</v>
      </c>
      <c r="C125" s="0" t="s">
        <v>1049</v>
      </c>
      <c r="D125" s="0" t="s">
        <v>775</v>
      </c>
      <c r="E125" s="0" t="s">
        <v>96</v>
      </c>
      <c r="F125" s="0" t="n">
        <v>3</v>
      </c>
      <c r="G125" s="0" t="n">
        <v>15.7</v>
      </c>
      <c r="H125" s="0" t="n">
        <v>0.64</v>
      </c>
      <c r="I125" s="10" t="n">
        <v>0.596</v>
      </c>
      <c r="J125" s="0" t="n">
        <v>0.89</v>
      </c>
      <c r="K125" s="13" t="n">
        <f aca="false">IF(H125&lt;&gt;"",H125,IFERROR(G125/INDEX(Players!$M$2:$M$105,MATCH(B125,Players!$A$2:$A$105,0)),""))</f>
        <v>0.64</v>
      </c>
    </row>
    <row r="126" customFormat="false" ht="15" hidden="false" customHeight="false" outlineLevel="0" collapsed="false">
      <c r="A126" s="0" t="s">
        <v>1574</v>
      </c>
      <c r="B126" s="0" t="s">
        <v>1239</v>
      </c>
      <c r="C126" s="0" t="s">
        <v>1049</v>
      </c>
      <c r="D126" s="0" t="s">
        <v>775</v>
      </c>
      <c r="E126" s="0" t="s">
        <v>109</v>
      </c>
      <c r="F126" s="0" t="n">
        <v>2</v>
      </c>
      <c r="G126" s="0" t="n">
        <v>20</v>
      </c>
      <c r="H126" s="0" t="n">
        <v>0.89</v>
      </c>
      <c r="I126" s="10" t="n">
        <v>0.475</v>
      </c>
      <c r="J126" s="0" t="n">
        <v>1.54</v>
      </c>
      <c r="K126" s="13" t="n">
        <f aca="false">IF(H126&lt;&gt;"",H126,IFERROR(G126/INDEX(Players!$M$2:$M$105,MATCH(B126,Players!$A$2:$A$105,0)),""))</f>
        <v>0.89</v>
      </c>
    </row>
    <row r="127" customFormat="false" ht="15" hidden="false" customHeight="false" outlineLevel="0" collapsed="false">
      <c r="A127" s="0" t="s">
        <v>1575</v>
      </c>
      <c r="B127" s="0" t="s">
        <v>1239</v>
      </c>
      <c r="C127" s="0" t="s">
        <v>1049</v>
      </c>
      <c r="D127" s="0" t="s">
        <v>775</v>
      </c>
      <c r="E127" s="0" t="s">
        <v>82</v>
      </c>
      <c r="F127" s="0" t="n">
        <v>1</v>
      </c>
      <c r="G127" s="0" t="n">
        <v>16</v>
      </c>
      <c r="H127" s="0" t="n">
        <v>0.7</v>
      </c>
      <c r="I127" s="10" t="n">
        <v>0.563</v>
      </c>
      <c r="J127" s="0" t="n">
        <v>0.94</v>
      </c>
      <c r="K127" s="13" t="n">
        <f aca="false">IF(H127&lt;&gt;"",H127,IFERROR(G127/INDEX(Players!$M$2:$M$105,MATCH(B127,Players!$A$2:$A$105,0)),""))</f>
        <v>0.7</v>
      </c>
    </row>
    <row r="128" customFormat="false" ht="15" hidden="false" customHeight="false" outlineLevel="0" collapsed="false">
      <c r="A128" s="0" t="s">
        <v>1576</v>
      </c>
      <c r="B128" s="0" t="s">
        <v>1210</v>
      </c>
      <c r="C128" s="0" t="s">
        <v>987</v>
      </c>
      <c r="D128" s="0" t="s">
        <v>775</v>
      </c>
      <c r="E128" s="0" t="s">
        <v>131</v>
      </c>
      <c r="F128" s="0" t="n">
        <v>9</v>
      </c>
      <c r="G128" s="0" t="n">
        <v>14.9</v>
      </c>
      <c r="H128" s="0" t="n">
        <v>0.67</v>
      </c>
      <c r="I128" s="10" t="n">
        <v>0.56</v>
      </c>
      <c r="J128" s="0" t="n">
        <v>0.97</v>
      </c>
      <c r="K128" s="13" t="n">
        <f aca="false">IF(H128&lt;&gt;"",H128,IFERROR(G128/INDEX(Players!$M$2:$M$105,MATCH(B128,Players!$A$2:$A$105,0)),""))</f>
        <v>0.67</v>
      </c>
    </row>
    <row r="129" customFormat="false" ht="15" hidden="false" customHeight="false" outlineLevel="0" collapsed="false">
      <c r="A129" s="0" t="s">
        <v>1577</v>
      </c>
      <c r="B129" s="0" t="s">
        <v>1210</v>
      </c>
      <c r="C129" s="0" t="s">
        <v>987</v>
      </c>
      <c r="D129" s="0" t="s">
        <v>775</v>
      </c>
      <c r="E129" s="0" t="s">
        <v>109</v>
      </c>
      <c r="F129" s="0" t="n">
        <v>8</v>
      </c>
      <c r="G129" s="0" t="n">
        <v>15.9</v>
      </c>
      <c r="H129" s="0" t="n">
        <v>0.75</v>
      </c>
      <c r="I129" s="10" t="n">
        <v>0.52</v>
      </c>
      <c r="J129" s="0" t="n">
        <v>1.25</v>
      </c>
      <c r="K129" s="13" t="n">
        <f aca="false">IF(H129&lt;&gt;"",H129,IFERROR(G129/INDEX(Players!$M$2:$M$105,MATCH(B129,Players!$A$2:$A$105,0)),""))</f>
        <v>0.75</v>
      </c>
    </row>
    <row r="130" customFormat="false" ht="15" hidden="false" customHeight="false" outlineLevel="0" collapsed="false">
      <c r="A130" s="0" t="s">
        <v>1578</v>
      </c>
      <c r="B130" s="0" t="s">
        <v>1210</v>
      </c>
      <c r="C130" s="0" t="s">
        <v>987</v>
      </c>
      <c r="D130" s="0" t="s">
        <v>775</v>
      </c>
      <c r="E130" s="0" t="s">
        <v>82</v>
      </c>
      <c r="F130" s="0" t="n">
        <v>7</v>
      </c>
      <c r="G130" s="0" t="n">
        <v>17.1</v>
      </c>
      <c r="H130" s="0" t="n">
        <v>0.86</v>
      </c>
      <c r="I130" s="10" t="n">
        <v>0.475</v>
      </c>
      <c r="J130" s="0" t="n">
        <v>1.3</v>
      </c>
      <c r="K130" s="13" t="n">
        <f aca="false">IF(H130&lt;&gt;"",H130,IFERROR(G130/INDEX(Players!$M$2:$M$105,MATCH(B130,Players!$A$2:$A$105,0)),""))</f>
        <v>0.86</v>
      </c>
    </row>
    <row r="131" customFormat="false" ht="15" hidden="false" customHeight="false" outlineLevel="0" collapsed="false">
      <c r="A131" s="0" t="s">
        <v>1579</v>
      </c>
      <c r="B131" s="0" t="s">
        <v>1210</v>
      </c>
      <c r="C131" s="0" t="s">
        <v>987</v>
      </c>
      <c r="D131" s="0" t="s">
        <v>775</v>
      </c>
      <c r="E131" s="0" t="s">
        <v>96</v>
      </c>
      <c r="F131" s="0" t="n">
        <v>6</v>
      </c>
      <c r="G131" s="0" t="n">
        <v>13.5</v>
      </c>
      <c r="H131" s="0" t="n">
        <v>0.66</v>
      </c>
      <c r="I131" s="10" t="n">
        <v>0.506</v>
      </c>
      <c r="J131" s="0" t="n">
        <v>0.96</v>
      </c>
      <c r="K131" s="13" t="n">
        <f aca="false">IF(H131&lt;&gt;"",H131,IFERROR(G131/INDEX(Players!$M$2:$M$105,MATCH(B131,Players!$A$2:$A$105,0)),""))</f>
        <v>0.66</v>
      </c>
    </row>
    <row r="132" customFormat="false" ht="15" hidden="false" customHeight="false" outlineLevel="0" collapsed="false">
      <c r="A132" s="0" t="s">
        <v>1580</v>
      </c>
      <c r="B132" s="0" t="s">
        <v>1210</v>
      </c>
      <c r="C132" s="0" t="s">
        <v>987</v>
      </c>
      <c r="D132" s="0" t="s">
        <v>775</v>
      </c>
      <c r="E132" s="0" t="s">
        <v>142</v>
      </c>
      <c r="F132" s="0" t="n">
        <v>4</v>
      </c>
      <c r="G132" s="0" t="n">
        <v>17</v>
      </c>
      <c r="H132" s="0" t="n">
        <v>0.77</v>
      </c>
      <c r="I132" s="10" t="n">
        <v>0.515</v>
      </c>
      <c r="J132" s="0" t="n">
        <v>1.24</v>
      </c>
      <c r="K132" s="13" t="n">
        <f aca="false">IF(H132&lt;&gt;"",H132,IFERROR(G132/INDEX(Players!$M$2:$M$105,MATCH(B132,Players!$A$2:$A$105,0)),""))</f>
        <v>0.77</v>
      </c>
    </row>
    <row r="133" customFormat="false" ht="15" hidden="false" customHeight="false" outlineLevel="0" collapsed="false">
      <c r="A133" s="0" t="s">
        <v>1581</v>
      </c>
      <c r="B133" s="0" t="s">
        <v>1210</v>
      </c>
      <c r="C133" s="0" t="s">
        <v>987</v>
      </c>
      <c r="D133" s="0" t="s">
        <v>775</v>
      </c>
      <c r="E133" s="0" t="s">
        <v>149</v>
      </c>
      <c r="F133" s="0" t="n">
        <v>2</v>
      </c>
      <c r="G133" s="0" t="n">
        <v>16.5</v>
      </c>
      <c r="H133" s="0" t="n">
        <v>0.7</v>
      </c>
      <c r="I133" s="10" t="n">
        <v>0.333</v>
      </c>
      <c r="J133" s="0" t="n">
        <v>0.97</v>
      </c>
      <c r="K133" s="13" t="n">
        <f aca="false">IF(H133&lt;&gt;"",H133,IFERROR(G133/INDEX(Players!$M$2:$M$105,MATCH(B133,Players!$A$2:$A$105,0)),""))</f>
        <v>0.7</v>
      </c>
    </row>
    <row r="134" customFormat="false" ht="15" hidden="false" customHeight="false" outlineLevel="0" collapsed="false">
      <c r="A134" s="0" t="s">
        <v>1582</v>
      </c>
      <c r="B134" s="0" t="s">
        <v>1168</v>
      </c>
      <c r="C134" s="0" t="s">
        <v>892</v>
      </c>
      <c r="D134" s="0" t="s">
        <v>775</v>
      </c>
      <c r="E134" s="0" t="s">
        <v>96</v>
      </c>
      <c r="F134" s="0" t="n">
        <v>13</v>
      </c>
      <c r="G134" s="0" t="n">
        <v>16.6</v>
      </c>
      <c r="H134" s="0" t="n">
        <v>0.82</v>
      </c>
      <c r="I134" s="10" t="n">
        <v>0.606</v>
      </c>
      <c r="J134" s="0" t="n">
        <v>1.18</v>
      </c>
      <c r="K134" s="13" t="n">
        <f aca="false">IF(H134&lt;&gt;"",H134,IFERROR(G134/INDEX(Players!$M$2:$M$105,MATCH(B134,Players!$A$2:$A$105,0)),""))</f>
        <v>0.82</v>
      </c>
    </row>
    <row r="135" customFormat="false" ht="15" hidden="false" customHeight="false" outlineLevel="0" collapsed="false">
      <c r="A135" s="0" t="s">
        <v>1583</v>
      </c>
      <c r="B135" s="0" t="s">
        <v>1168</v>
      </c>
      <c r="C135" s="0" t="s">
        <v>892</v>
      </c>
      <c r="D135" s="0" t="s">
        <v>775</v>
      </c>
      <c r="E135" s="0" t="s">
        <v>109</v>
      </c>
      <c r="F135" s="0" t="n">
        <v>8</v>
      </c>
      <c r="G135" s="0" t="n">
        <v>19.8</v>
      </c>
      <c r="H135" s="0" t="n">
        <v>0.91</v>
      </c>
      <c r="I135" s="10" t="n">
        <v>0.658</v>
      </c>
      <c r="J135" s="0" t="n">
        <v>1.46</v>
      </c>
      <c r="K135" s="13" t="n">
        <f aca="false">IF(H135&lt;&gt;"",H135,IFERROR(G135/INDEX(Players!$M$2:$M$105,MATCH(B135,Players!$A$2:$A$105,0)),""))</f>
        <v>0.91</v>
      </c>
    </row>
    <row r="136" customFormat="false" ht="15" hidden="false" customHeight="false" outlineLevel="0" collapsed="false">
      <c r="A136" s="0" t="s">
        <v>1584</v>
      </c>
      <c r="B136" s="0" t="s">
        <v>1168</v>
      </c>
      <c r="C136" s="0" t="s">
        <v>892</v>
      </c>
      <c r="D136" s="0" t="s">
        <v>775</v>
      </c>
      <c r="E136" s="0" t="s">
        <v>131</v>
      </c>
      <c r="F136" s="0" t="n">
        <v>7</v>
      </c>
      <c r="G136" s="0" t="n">
        <v>17.9</v>
      </c>
      <c r="H136" s="0" t="n">
        <v>0.83</v>
      </c>
      <c r="I136" s="10" t="n">
        <v>0.672</v>
      </c>
      <c r="J136" s="0" t="n">
        <v>1.19</v>
      </c>
      <c r="K136" s="13" t="n">
        <f aca="false">IF(H136&lt;&gt;"",H136,IFERROR(G136/INDEX(Players!$M$2:$M$105,MATCH(B136,Players!$A$2:$A$105,0)),""))</f>
        <v>0.83</v>
      </c>
    </row>
    <row r="137" customFormat="false" ht="15" hidden="false" customHeight="false" outlineLevel="0" collapsed="false">
      <c r="A137" s="0" t="s">
        <v>1585</v>
      </c>
      <c r="B137" s="0" t="s">
        <v>1168</v>
      </c>
      <c r="C137" s="0" t="s">
        <v>892</v>
      </c>
      <c r="D137" s="0" t="s">
        <v>775</v>
      </c>
      <c r="E137" s="0" t="s">
        <v>82</v>
      </c>
      <c r="F137" s="0" t="n">
        <v>6</v>
      </c>
      <c r="G137" s="0" t="n">
        <v>14</v>
      </c>
      <c r="H137" s="0" t="n">
        <v>0.69</v>
      </c>
      <c r="I137" s="10" t="n">
        <v>0.607</v>
      </c>
      <c r="J137" s="0" t="n">
        <v>0.95</v>
      </c>
      <c r="K137" s="13" t="n">
        <f aca="false">IF(H137&lt;&gt;"",H137,IFERROR(G137/INDEX(Players!$M$2:$M$105,MATCH(B137,Players!$A$2:$A$105,0)),""))</f>
        <v>0.69</v>
      </c>
    </row>
    <row r="138" customFormat="false" ht="15" hidden="false" customHeight="false" outlineLevel="0" collapsed="false">
      <c r="A138" s="0" t="s">
        <v>1586</v>
      </c>
      <c r="B138" s="0" t="s">
        <v>1168</v>
      </c>
      <c r="C138" s="0" t="s">
        <v>892</v>
      </c>
      <c r="D138" s="0" t="s">
        <v>775</v>
      </c>
      <c r="E138" s="0" t="s">
        <v>142</v>
      </c>
      <c r="F138" s="0" t="n">
        <v>3</v>
      </c>
      <c r="G138" s="0" t="n">
        <v>13</v>
      </c>
      <c r="H138" s="0" t="n">
        <v>0.65</v>
      </c>
      <c r="I138" s="10" t="n">
        <v>0.744</v>
      </c>
      <c r="J138" s="0" t="n">
        <v>0.87</v>
      </c>
      <c r="K138" s="13" t="n">
        <f aca="false">IF(H138&lt;&gt;"",H138,IFERROR(G138/INDEX(Players!$M$2:$M$105,MATCH(B138,Players!$A$2:$A$105,0)),""))</f>
        <v>0.65</v>
      </c>
    </row>
    <row r="139" customFormat="false" ht="15" hidden="false" customHeight="false" outlineLevel="0" collapsed="false">
      <c r="A139" s="0" t="s">
        <v>1587</v>
      </c>
      <c r="B139" s="0" t="s">
        <v>1168</v>
      </c>
      <c r="C139" s="0" t="s">
        <v>892</v>
      </c>
      <c r="D139" s="0" t="s">
        <v>775</v>
      </c>
      <c r="E139" s="0" t="s">
        <v>149</v>
      </c>
      <c r="F139" s="0" t="n">
        <v>2</v>
      </c>
      <c r="G139" s="0" t="n">
        <v>20.5</v>
      </c>
      <c r="H139" s="0" t="n">
        <v>0.77</v>
      </c>
      <c r="I139" s="10" t="n">
        <v>0.512</v>
      </c>
      <c r="J139" s="0" t="n">
        <v>1</v>
      </c>
      <c r="K139" s="13" t="n">
        <f aca="false">IF(H139&lt;&gt;"",H139,IFERROR(G139/INDEX(Players!$M$2:$M$105,MATCH(B139,Players!$A$2:$A$105,0)),""))</f>
        <v>0.77</v>
      </c>
    </row>
    <row r="140" customFormat="false" ht="15" hidden="false" customHeight="false" outlineLevel="0" collapsed="false">
      <c r="A140" s="0" t="s">
        <v>1588</v>
      </c>
      <c r="B140" s="0" t="s">
        <v>1221</v>
      </c>
      <c r="C140" s="0" t="s">
        <v>1013</v>
      </c>
      <c r="D140" s="0" t="s">
        <v>775</v>
      </c>
      <c r="E140" s="0" t="s">
        <v>131</v>
      </c>
      <c r="F140" s="0" t="n">
        <v>9</v>
      </c>
      <c r="G140" s="0" t="n">
        <v>14.6</v>
      </c>
      <c r="H140" s="0" t="n">
        <v>0.71</v>
      </c>
      <c r="I140" s="10" t="n">
        <v>0.55</v>
      </c>
      <c r="J140" s="0" t="n">
        <v>1.17</v>
      </c>
      <c r="K140" s="13" t="n">
        <f aca="false">IF(H140&lt;&gt;"",H140,IFERROR(G140/INDEX(Players!$M$2:$M$105,MATCH(B140,Players!$A$2:$A$105,0)),""))</f>
        <v>0.71</v>
      </c>
    </row>
    <row r="141" customFormat="false" ht="15" hidden="false" customHeight="false" outlineLevel="0" collapsed="false">
      <c r="A141" s="0" t="s">
        <v>1589</v>
      </c>
      <c r="B141" s="0" t="s">
        <v>1221</v>
      </c>
      <c r="C141" s="0" t="s">
        <v>1013</v>
      </c>
      <c r="D141" s="0" t="s">
        <v>775</v>
      </c>
      <c r="E141" s="0" t="s">
        <v>96</v>
      </c>
      <c r="F141" s="0" t="n">
        <v>8</v>
      </c>
      <c r="G141" s="0" t="n">
        <v>13.1</v>
      </c>
      <c r="H141" s="0" t="n">
        <v>0.68</v>
      </c>
      <c r="I141" s="10" t="n">
        <v>0.543</v>
      </c>
      <c r="J141" s="0" t="n">
        <v>1.02</v>
      </c>
      <c r="K141" s="13" t="n">
        <f aca="false">IF(H141&lt;&gt;"",H141,IFERROR(G141/INDEX(Players!$M$2:$M$105,MATCH(B141,Players!$A$2:$A$105,0)),""))</f>
        <v>0.68</v>
      </c>
    </row>
    <row r="142" customFormat="false" ht="15" hidden="false" customHeight="false" outlineLevel="0" collapsed="false">
      <c r="A142" s="0" t="s">
        <v>1590</v>
      </c>
      <c r="B142" s="0" t="s">
        <v>1221</v>
      </c>
      <c r="C142" s="0" t="s">
        <v>1013</v>
      </c>
      <c r="D142" s="0" t="s">
        <v>775</v>
      </c>
      <c r="E142" s="0" t="s">
        <v>109</v>
      </c>
      <c r="F142" s="0" t="n">
        <v>7</v>
      </c>
      <c r="G142" s="0" t="n">
        <v>12.6</v>
      </c>
      <c r="H142" s="0" t="n">
        <v>0.63</v>
      </c>
      <c r="I142" s="10" t="n">
        <v>0.545</v>
      </c>
      <c r="J142" s="0" t="n">
        <v>0.98</v>
      </c>
      <c r="K142" s="13" t="n">
        <f aca="false">IF(H142&lt;&gt;"",H142,IFERROR(G142/INDEX(Players!$M$2:$M$105,MATCH(B142,Players!$A$2:$A$105,0)),""))</f>
        <v>0.63</v>
      </c>
    </row>
    <row r="143" customFormat="false" ht="15" hidden="false" customHeight="false" outlineLevel="0" collapsed="false">
      <c r="A143" s="0" t="s">
        <v>1591</v>
      </c>
      <c r="B143" s="0" t="s">
        <v>1221</v>
      </c>
      <c r="C143" s="0" t="s">
        <v>1013</v>
      </c>
      <c r="D143" s="0" t="s">
        <v>775</v>
      </c>
      <c r="E143" s="0" t="s">
        <v>82</v>
      </c>
      <c r="F143" s="0" t="n">
        <v>7</v>
      </c>
      <c r="G143" s="0" t="n">
        <v>12.9</v>
      </c>
      <c r="H143" s="0" t="n">
        <v>0.6</v>
      </c>
      <c r="I143" s="10" t="n">
        <v>0.533</v>
      </c>
      <c r="J143" s="0" t="n">
        <v>0.87</v>
      </c>
      <c r="K143" s="13" t="n">
        <f aca="false">IF(H143&lt;&gt;"",H143,IFERROR(G143/INDEX(Players!$M$2:$M$105,MATCH(B143,Players!$A$2:$A$105,0)),""))</f>
        <v>0.6</v>
      </c>
    </row>
    <row r="144" customFormat="false" ht="15" hidden="false" customHeight="false" outlineLevel="0" collapsed="false">
      <c r="A144" s="0" t="s">
        <v>1592</v>
      </c>
      <c r="B144" s="0" t="s">
        <v>1221</v>
      </c>
      <c r="C144" s="0" t="s">
        <v>1013</v>
      </c>
      <c r="D144" s="0" t="s">
        <v>775</v>
      </c>
      <c r="E144" s="0" t="s">
        <v>142</v>
      </c>
      <c r="F144" s="0" t="n">
        <v>6</v>
      </c>
      <c r="G144" s="0" t="n">
        <v>16.2</v>
      </c>
      <c r="H144" s="0" t="n">
        <v>0.7</v>
      </c>
      <c r="I144" s="10" t="n">
        <v>0.546</v>
      </c>
      <c r="J144" s="0" t="n">
        <v>1.07</v>
      </c>
      <c r="K144" s="13" t="n">
        <f aca="false">IF(H144&lt;&gt;"",H144,IFERROR(G144/INDEX(Players!$M$2:$M$105,MATCH(B144,Players!$A$2:$A$105,0)),""))</f>
        <v>0.7</v>
      </c>
    </row>
    <row r="145" customFormat="false" ht="15" hidden="false" customHeight="false" outlineLevel="0" collapsed="false">
      <c r="A145" s="0" t="s">
        <v>1593</v>
      </c>
      <c r="B145" s="0" t="s">
        <v>1221</v>
      </c>
      <c r="C145" s="0" t="s">
        <v>1013</v>
      </c>
      <c r="D145" s="0" t="s">
        <v>775</v>
      </c>
      <c r="E145" s="0" t="s">
        <v>118</v>
      </c>
      <c r="F145" s="0" t="n">
        <v>3</v>
      </c>
      <c r="G145" s="0" t="n">
        <v>15.3</v>
      </c>
      <c r="H145" s="0" t="n">
        <v>0.71</v>
      </c>
      <c r="I145" s="10" t="n">
        <v>0.609</v>
      </c>
      <c r="J145" s="0" t="n">
        <v>1.05</v>
      </c>
      <c r="K145" s="13" t="n">
        <f aca="false">IF(H145&lt;&gt;"",H145,IFERROR(G145/INDEX(Players!$M$2:$M$105,MATCH(B145,Players!$A$2:$A$105,0)),""))</f>
        <v>0.71</v>
      </c>
    </row>
    <row r="146" customFormat="false" ht="15" hidden="false" customHeight="false" outlineLevel="0" collapsed="false">
      <c r="A146" s="0" t="s">
        <v>1594</v>
      </c>
      <c r="B146" s="0" t="s">
        <v>1207</v>
      </c>
      <c r="C146" s="0" t="s">
        <v>981</v>
      </c>
      <c r="D146" s="0" t="s">
        <v>775</v>
      </c>
      <c r="E146" s="0" t="s">
        <v>142</v>
      </c>
      <c r="F146" s="0" t="n">
        <v>10</v>
      </c>
      <c r="G146" s="0" t="n">
        <v>14.6</v>
      </c>
      <c r="H146" s="0" t="n">
        <v>0.62</v>
      </c>
      <c r="I146" s="10" t="n">
        <v>0.651</v>
      </c>
      <c r="J146" s="0" t="n">
        <v>0.87</v>
      </c>
      <c r="K146" s="13" t="n">
        <f aca="false">IF(H146&lt;&gt;"",H146,IFERROR(G146/INDEX(Players!$M$2:$M$105,MATCH(B146,Players!$A$2:$A$105,0)),""))</f>
        <v>0.62</v>
      </c>
    </row>
    <row r="147" customFormat="false" ht="15" hidden="false" customHeight="false" outlineLevel="0" collapsed="false">
      <c r="A147" s="0" t="s">
        <v>1595</v>
      </c>
      <c r="B147" s="0" t="s">
        <v>1207</v>
      </c>
      <c r="C147" s="0" t="s">
        <v>981</v>
      </c>
      <c r="D147" s="0" t="s">
        <v>775</v>
      </c>
      <c r="E147" s="0" t="s">
        <v>109</v>
      </c>
      <c r="F147" s="0" t="n">
        <v>8</v>
      </c>
      <c r="G147" s="0" t="n">
        <v>16.6</v>
      </c>
      <c r="H147" s="0" t="n">
        <v>0.74</v>
      </c>
      <c r="I147" s="10" t="n">
        <v>0.519</v>
      </c>
      <c r="J147" s="0" t="n">
        <v>1.11</v>
      </c>
      <c r="K147" s="13" t="n">
        <f aca="false">IF(H147&lt;&gt;"",H147,IFERROR(G147/INDEX(Players!$M$2:$M$105,MATCH(B147,Players!$A$2:$A$105,0)),""))</f>
        <v>0.74</v>
      </c>
    </row>
    <row r="148" customFormat="false" ht="15" hidden="false" customHeight="false" outlineLevel="0" collapsed="false">
      <c r="A148" s="0" t="s">
        <v>1596</v>
      </c>
      <c r="B148" s="0" t="s">
        <v>1207</v>
      </c>
      <c r="C148" s="0" t="s">
        <v>981</v>
      </c>
      <c r="D148" s="0" t="s">
        <v>775</v>
      </c>
      <c r="E148" s="0" t="s">
        <v>118</v>
      </c>
      <c r="F148" s="0" t="n">
        <v>6</v>
      </c>
      <c r="G148" s="0" t="n">
        <v>16.5</v>
      </c>
      <c r="H148" s="0" t="n">
        <v>0.73</v>
      </c>
      <c r="I148" s="10" t="n">
        <v>0.616</v>
      </c>
      <c r="J148" s="0" t="n">
        <v>1.09</v>
      </c>
      <c r="K148" s="13" t="n">
        <f aca="false">IF(H148&lt;&gt;"",H148,IFERROR(G148/INDEX(Players!$M$2:$M$105,MATCH(B148,Players!$A$2:$A$105,0)),""))</f>
        <v>0.73</v>
      </c>
    </row>
    <row r="149" customFormat="false" ht="15" hidden="false" customHeight="false" outlineLevel="0" collapsed="false">
      <c r="A149" s="0" t="s">
        <v>1597</v>
      </c>
      <c r="B149" s="0" t="s">
        <v>1207</v>
      </c>
      <c r="C149" s="0" t="s">
        <v>981</v>
      </c>
      <c r="D149" s="0" t="s">
        <v>775</v>
      </c>
      <c r="E149" s="0" t="s">
        <v>96</v>
      </c>
      <c r="F149" s="0" t="n">
        <v>5</v>
      </c>
      <c r="G149" s="0" t="n">
        <v>14.8</v>
      </c>
      <c r="H149" s="0" t="n">
        <v>0.67</v>
      </c>
      <c r="I149" s="10" t="n">
        <v>0.568</v>
      </c>
      <c r="J149" s="0" t="n">
        <v>1.1</v>
      </c>
      <c r="K149" s="13" t="n">
        <f aca="false">IF(H149&lt;&gt;"",H149,IFERROR(G149/INDEX(Players!$M$2:$M$105,MATCH(B149,Players!$A$2:$A$105,0)),""))</f>
        <v>0.67</v>
      </c>
    </row>
    <row r="150" customFormat="false" ht="15" hidden="false" customHeight="false" outlineLevel="0" collapsed="false">
      <c r="A150" s="0" t="s">
        <v>1598</v>
      </c>
      <c r="B150" s="0" t="s">
        <v>1207</v>
      </c>
      <c r="C150" s="0" t="s">
        <v>981</v>
      </c>
      <c r="D150" s="0" t="s">
        <v>775</v>
      </c>
      <c r="E150" s="0" t="s">
        <v>82</v>
      </c>
      <c r="F150" s="0" t="n">
        <v>5</v>
      </c>
      <c r="G150" s="0" t="n">
        <v>15</v>
      </c>
      <c r="H150" s="0" t="n">
        <v>0.68</v>
      </c>
      <c r="I150" s="10" t="n">
        <v>0.493</v>
      </c>
      <c r="J150" s="0" t="n">
        <v>0.97</v>
      </c>
      <c r="K150" s="13" t="n">
        <f aca="false">IF(H150&lt;&gt;"",H150,IFERROR(G150/INDEX(Players!$M$2:$M$105,MATCH(B150,Players!$A$2:$A$105,0)),""))</f>
        <v>0.68</v>
      </c>
    </row>
    <row r="151" customFormat="false" ht="15" hidden="false" customHeight="false" outlineLevel="0" collapsed="false">
      <c r="A151" s="0" t="s">
        <v>1599</v>
      </c>
      <c r="B151" s="0" t="s">
        <v>1207</v>
      </c>
      <c r="C151" s="0" t="s">
        <v>981</v>
      </c>
      <c r="D151" s="0" t="s">
        <v>775</v>
      </c>
      <c r="E151" s="0" t="s">
        <v>1292</v>
      </c>
      <c r="F151" s="0" t="n">
        <v>3</v>
      </c>
      <c r="G151" s="0" t="n">
        <v>14.7</v>
      </c>
      <c r="H151" s="0" t="n">
        <v>0.72</v>
      </c>
      <c r="I151" s="10" t="n">
        <v>0.636</v>
      </c>
      <c r="J151" s="0" t="n">
        <v>1.05</v>
      </c>
      <c r="K151" s="13" t="n">
        <f aca="false">IF(H151&lt;&gt;"",H151,IFERROR(G151/INDEX(Players!$M$2:$M$105,MATCH(B151,Players!$A$2:$A$105,0)),""))</f>
        <v>0.72</v>
      </c>
    </row>
    <row r="152" customFormat="false" ht="15" hidden="false" customHeight="false" outlineLevel="0" collapsed="false">
      <c r="A152" s="0" t="s">
        <v>1600</v>
      </c>
      <c r="B152" s="0" t="s">
        <v>1235</v>
      </c>
      <c r="C152" s="0" t="s">
        <v>1041</v>
      </c>
      <c r="D152" s="0" t="s">
        <v>775</v>
      </c>
      <c r="E152" s="0" t="s">
        <v>142</v>
      </c>
      <c r="F152" s="0" t="n">
        <v>7</v>
      </c>
      <c r="G152" s="0" t="n">
        <v>16.9</v>
      </c>
      <c r="H152" s="0" t="n">
        <v>0.8</v>
      </c>
      <c r="I152" s="10" t="n">
        <v>0.373</v>
      </c>
      <c r="J152" s="0" t="n">
        <v>1.27</v>
      </c>
      <c r="K152" s="13" t="n">
        <f aca="false">IF(H152&lt;&gt;"",H152,IFERROR(G152/INDEX(Players!$M$2:$M$105,MATCH(B152,Players!$A$2:$A$105,0)),""))</f>
        <v>0.8</v>
      </c>
    </row>
    <row r="153" customFormat="false" ht="15" hidden="false" customHeight="false" outlineLevel="0" collapsed="false">
      <c r="A153" s="0" t="s">
        <v>1601</v>
      </c>
      <c r="B153" s="0" t="s">
        <v>1235</v>
      </c>
      <c r="C153" s="0" t="s">
        <v>1041</v>
      </c>
      <c r="D153" s="0" t="s">
        <v>775</v>
      </c>
      <c r="E153" s="0" t="s">
        <v>109</v>
      </c>
      <c r="F153" s="0" t="n">
        <v>7</v>
      </c>
      <c r="G153" s="0" t="n">
        <v>14.9</v>
      </c>
      <c r="H153" s="0" t="n">
        <v>0.72</v>
      </c>
      <c r="I153" s="10" t="n">
        <v>0.317</v>
      </c>
      <c r="J153" s="0" t="n">
        <v>1.06</v>
      </c>
      <c r="K153" s="13" t="n">
        <f aca="false">IF(H153&lt;&gt;"",H153,IFERROR(G153/INDEX(Players!$M$2:$M$105,MATCH(B153,Players!$A$2:$A$105,0)),""))</f>
        <v>0.72</v>
      </c>
    </row>
    <row r="154" customFormat="false" ht="15" hidden="false" customHeight="false" outlineLevel="0" collapsed="false">
      <c r="A154" s="0" t="s">
        <v>1602</v>
      </c>
      <c r="B154" s="0" t="s">
        <v>1235</v>
      </c>
      <c r="C154" s="0" t="s">
        <v>1041</v>
      </c>
      <c r="D154" s="0" t="s">
        <v>775</v>
      </c>
      <c r="E154" s="0" t="s">
        <v>118</v>
      </c>
      <c r="F154" s="0" t="n">
        <v>6</v>
      </c>
      <c r="G154" s="0" t="n">
        <v>16</v>
      </c>
      <c r="H154" s="0" t="n">
        <v>0.69</v>
      </c>
      <c r="I154" s="10" t="n">
        <v>0.313</v>
      </c>
      <c r="J154" s="0" t="n">
        <v>1.19</v>
      </c>
      <c r="K154" s="13" t="n">
        <f aca="false">IF(H154&lt;&gt;"",H154,IFERROR(G154/INDEX(Players!$M$2:$M$105,MATCH(B154,Players!$A$2:$A$105,0)),""))</f>
        <v>0.69</v>
      </c>
    </row>
    <row r="155" customFormat="false" ht="15" hidden="false" customHeight="false" outlineLevel="0" collapsed="false">
      <c r="A155" s="0" t="s">
        <v>1603</v>
      </c>
      <c r="B155" s="0" t="s">
        <v>1235</v>
      </c>
      <c r="C155" s="0" t="s">
        <v>1041</v>
      </c>
      <c r="D155" s="0" t="s">
        <v>775</v>
      </c>
      <c r="E155" s="0" t="s">
        <v>82</v>
      </c>
      <c r="F155" s="0" t="n">
        <v>4</v>
      </c>
      <c r="G155" s="0" t="n">
        <v>15</v>
      </c>
      <c r="H155" s="0" t="n">
        <v>0.71</v>
      </c>
      <c r="I155" s="10" t="n">
        <v>0.367</v>
      </c>
      <c r="J155" s="0" t="n">
        <v>1.2</v>
      </c>
      <c r="K155" s="13" t="n">
        <f aca="false">IF(H155&lt;&gt;"",H155,IFERROR(G155/INDEX(Players!$M$2:$M$105,MATCH(B155,Players!$A$2:$A$105,0)),""))</f>
        <v>0.71</v>
      </c>
    </row>
    <row r="156" customFormat="false" ht="15" hidden="false" customHeight="false" outlineLevel="0" collapsed="false">
      <c r="A156" s="0" t="s">
        <v>1604</v>
      </c>
      <c r="B156" s="0" t="s">
        <v>1235</v>
      </c>
      <c r="C156" s="0" t="s">
        <v>1041</v>
      </c>
      <c r="D156" s="0" t="s">
        <v>775</v>
      </c>
      <c r="E156" s="0" t="s">
        <v>131</v>
      </c>
      <c r="F156" s="0" t="n">
        <v>4</v>
      </c>
      <c r="G156" s="0" t="n">
        <v>15</v>
      </c>
      <c r="H156" s="0" t="n">
        <v>0.75</v>
      </c>
      <c r="I156" s="10" t="n">
        <v>0.45</v>
      </c>
      <c r="J156" s="0" t="n">
        <v>1.05</v>
      </c>
      <c r="K156" s="13" t="n">
        <f aca="false">IF(H156&lt;&gt;"",H156,IFERROR(G156/INDEX(Players!$M$2:$M$105,MATCH(B156,Players!$A$2:$A$105,0)),""))</f>
        <v>0.75</v>
      </c>
    </row>
    <row r="157" customFormat="false" ht="15" hidden="false" customHeight="false" outlineLevel="0" collapsed="false">
      <c r="A157" s="0" t="s">
        <v>1605</v>
      </c>
      <c r="B157" s="0" t="s">
        <v>1235</v>
      </c>
      <c r="C157" s="0" t="s">
        <v>1041</v>
      </c>
      <c r="D157" s="0" t="s">
        <v>775</v>
      </c>
      <c r="E157" s="0" t="s">
        <v>149</v>
      </c>
      <c r="F157" s="0" t="n">
        <v>2</v>
      </c>
      <c r="G157" s="0" t="n">
        <v>11</v>
      </c>
      <c r="H157" s="0" t="n">
        <v>0.51</v>
      </c>
      <c r="I157" s="10" t="n">
        <v>0.5</v>
      </c>
      <c r="J157" s="0" t="n">
        <v>0.73</v>
      </c>
      <c r="K157" s="13" t="n">
        <f aca="false">IF(H157&lt;&gt;"",H157,IFERROR(G157/INDEX(Players!$M$2:$M$105,MATCH(B157,Players!$A$2:$A$105,0)),""))</f>
        <v>0.51</v>
      </c>
    </row>
    <row r="158" customFormat="false" ht="15" hidden="false" customHeight="false" outlineLevel="0" collapsed="false">
      <c r="A158" s="0" t="s">
        <v>1606</v>
      </c>
      <c r="B158" s="0" t="s">
        <v>1266</v>
      </c>
      <c r="C158" s="0" t="s">
        <v>1105</v>
      </c>
      <c r="D158" s="0" t="s">
        <v>775</v>
      </c>
      <c r="E158" s="0" t="s">
        <v>142</v>
      </c>
      <c r="F158" s="0" t="n">
        <v>8</v>
      </c>
      <c r="G158" s="0" t="n">
        <v>19.8</v>
      </c>
      <c r="H158" s="0" t="n">
        <v>0.84</v>
      </c>
      <c r="I158" s="10" t="n">
        <v>0.601</v>
      </c>
      <c r="J158" s="0" t="n">
        <v>1.22</v>
      </c>
      <c r="K158" s="13" t="n">
        <f aca="false">IF(H158&lt;&gt;"",H158,IFERROR(G158/INDEX(Players!$M$2:$M$105,MATCH(B158,Players!$A$2:$A$105,0)),""))</f>
        <v>0.84</v>
      </c>
    </row>
    <row r="159" customFormat="false" ht="15" hidden="false" customHeight="false" outlineLevel="0" collapsed="false">
      <c r="A159" s="0" t="s">
        <v>1607</v>
      </c>
      <c r="B159" s="0" t="s">
        <v>1266</v>
      </c>
      <c r="C159" s="0" t="s">
        <v>1105</v>
      </c>
      <c r="D159" s="0" t="s">
        <v>775</v>
      </c>
      <c r="E159" s="0" t="s">
        <v>131</v>
      </c>
      <c r="F159" s="0" t="n">
        <v>8</v>
      </c>
      <c r="G159" s="0" t="n">
        <v>18.1</v>
      </c>
      <c r="H159" s="0" t="n">
        <v>0.83</v>
      </c>
      <c r="I159" s="10" t="n">
        <v>0.552</v>
      </c>
      <c r="J159" s="0" t="n">
        <v>1.19</v>
      </c>
      <c r="K159" s="13" t="n">
        <f aca="false">IF(H159&lt;&gt;"",H159,IFERROR(G159/INDEX(Players!$M$2:$M$105,MATCH(B159,Players!$A$2:$A$105,0)),""))</f>
        <v>0.83</v>
      </c>
    </row>
    <row r="160" customFormat="false" ht="15" hidden="false" customHeight="false" outlineLevel="0" collapsed="false">
      <c r="A160" s="0" t="s">
        <v>1608</v>
      </c>
      <c r="B160" s="0" t="s">
        <v>1266</v>
      </c>
      <c r="C160" s="0" t="s">
        <v>1105</v>
      </c>
      <c r="D160" s="0" t="s">
        <v>775</v>
      </c>
      <c r="E160" s="0" t="s">
        <v>109</v>
      </c>
      <c r="F160" s="0" t="n">
        <v>5</v>
      </c>
      <c r="G160" s="0" t="n">
        <v>16.4</v>
      </c>
      <c r="H160" s="0" t="n">
        <v>0.89</v>
      </c>
      <c r="I160" s="10" t="n">
        <v>0.598</v>
      </c>
      <c r="J160" s="0" t="n">
        <v>1.52</v>
      </c>
      <c r="K160" s="13" t="n">
        <f aca="false">IF(H160&lt;&gt;"",H160,IFERROR(G160/INDEX(Players!$M$2:$M$105,MATCH(B160,Players!$A$2:$A$105,0)),""))</f>
        <v>0.89</v>
      </c>
    </row>
    <row r="161" customFormat="false" ht="15" hidden="false" customHeight="false" outlineLevel="0" collapsed="false">
      <c r="A161" s="0" t="s">
        <v>1609</v>
      </c>
      <c r="B161" s="0" t="s">
        <v>1266</v>
      </c>
      <c r="C161" s="0" t="s">
        <v>1105</v>
      </c>
      <c r="D161" s="0" t="s">
        <v>775</v>
      </c>
      <c r="E161" s="0" t="s">
        <v>118</v>
      </c>
      <c r="F161" s="0" t="n">
        <v>5</v>
      </c>
      <c r="G161" s="0" t="n">
        <v>15.4</v>
      </c>
      <c r="H161" s="0" t="n">
        <v>0.75</v>
      </c>
      <c r="I161" s="10" t="n">
        <v>0.532</v>
      </c>
      <c r="J161" s="0" t="n">
        <v>1</v>
      </c>
      <c r="K161" s="13" t="n">
        <f aca="false">IF(H161&lt;&gt;"",H161,IFERROR(G161/INDEX(Players!$M$2:$M$105,MATCH(B161,Players!$A$2:$A$105,0)),""))</f>
        <v>0.75</v>
      </c>
    </row>
    <row r="162" customFormat="false" ht="15" hidden="false" customHeight="false" outlineLevel="0" collapsed="false">
      <c r="A162" s="0" t="s">
        <v>1610</v>
      </c>
      <c r="B162" s="0" t="s">
        <v>1266</v>
      </c>
      <c r="C162" s="0" t="s">
        <v>1105</v>
      </c>
      <c r="D162" s="0" t="s">
        <v>775</v>
      </c>
      <c r="E162" s="0" t="s">
        <v>96</v>
      </c>
      <c r="F162" s="0" t="n">
        <v>3</v>
      </c>
      <c r="G162" s="0" t="n">
        <v>11.7</v>
      </c>
      <c r="H162" s="0" t="n">
        <v>0.61</v>
      </c>
      <c r="I162" s="10" t="n">
        <v>0.571</v>
      </c>
      <c r="J162" s="0" t="n">
        <v>0.85</v>
      </c>
      <c r="K162" s="13" t="n">
        <f aca="false">IF(H162&lt;&gt;"",H162,IFERROR(G162/INDEX(Players!$M$2:$M$105,MATCH(B162,Players!$A$2:$A$105,0)),""))</f>
        <v>0.61</v>
      </c>
    </row>
    <row r="163" customFormat="false" ht="15" hidden="false" customHeight="false" outlineLevel="0" collapsed="false">
      <c r="A163" s="0" t="s">
        <v>1611</v>
      </c>
      <c r="B163" s="0" t="s">
        <v>1266</v>
      </c>
      <c r="C163" s="0" t="s">
        <v>1105</v>
      </c>
      <c r="D163" s="0" t="s">
        <v>775</v>
      </c>
      <c r="E163" s="0" t="s">
        <v>149</v>
      </c>
      <c r="F163" s="0" t="n">
        <v>2</v>
      </c>
      <c r="G163" s="0" t="n">
        <v>15.5</v>
      </c>
      <c r="H163" s="0" t="n">
        <v>0.84</v>
      </c>
      <c r="I163" s="10" t="n">
        <v>0.581</v>
      </c>
      <c r="J163" s="0" t="n">
        <v>1.82</v>
      </c>
      <c r="K163" s="13" t="n">
        <f aca="false">IF(H163&lt;&gt;"",H163,IFERROR(G163/INDEX(Players!$M$2:$M$105,MATCH(B163,Players!$A$2:$A$105,0)),""))</f>
        <v>0.84</v>
      </c>
    </row>
    <row r="164" customFormat="false" ht="15" hidden="false" customHeight="false" outlineLevel="0" collapsed="false">
      <c r="A164" s="0" t="s">
        <v>1612</v>
      </c>
      <c r="B164" s="0" t="s">
        <v>1244</v>
      </c>
      <c r="C164" s="0" t="s">
        <v>1059</v>
      </c>
      <c r="D164" s="0" t="s">
        <v>775</v>
      </c>
      <c r="E164" s="0" t="s">
        <v>109</v>
      </c>
      <c r="F164" s="0" t="n">
        <v>10</v>
      </c>
      <c r="G164" s="0" t="n">
        <v>19.4</v>
      </c>
      <c r="H164" s="0" t="n">
        <v>0.87</v>
      </c>
      <c r="I164" s="10" t="n">
        <v>0.366</v>
      </c>
      <c r="J164" s="0" t="n">
        <v>1.45</v>
      </c>
      <c r="K164" s="13" t="n">
        <f aca="false">IF(H164&lt;&gt;"",H164,IFERROR(G164/INDEX(Players!$M$2:$M$105,MATCH(B164,Players!$A$2:$A$105,0)),""))</f>
        <v>0.87</v>
      </c>
    </row>
    <row r="165" customFormat="false" ht="15" hidden="false" customHeight="false" outlineLevel="0" collapsed="false">
      <c r="A165" s="0" t="s">
        <v>1613</v>
      </c>
      <c r="B165" s="0" t="s">
        <v>1244</v>
      </c>
      <c r="C165" s="0" t="s">
        <v>1059</v>
      </c>
      <c r="D165" s="0" t="s">
        <v>775</v>
      </c>
      <c r="E165" s="0" t="s">
        <v>96</v>
      </c>
      <c r="F165" s="0" t="n">
        <v>7</v>
      </c>
      <c r="G165" s="0" t="n">
        <v>14.1</v>
      </c>
      <c r="H165" s="0" t="n">
        <v>0.68</v>
      </c>
      <c r="I165" s="10" t="n">
        <v>0.343</v>
      </c>
      <c r="J165" s="0" t="n">
        <v>1</v>
      </c>
      <c r="K165" s="13" t="n">
        <f aca="false">IF(H165&lt;&gt;"",H165,IFERROR(G165/INDEX(Players!$M$2:$M$105,MATCH(B165,Players!$A$2:$A$105,0)),""))</f>
        <v>0.68</v>
      </c>
    </row>
    <row r="166" customFormat="false" ht="15" hidden="false" customHeight="false" outlineLevel="0" collapsed="false">
      <c r="A166" s="0" t="s">
        <v>1614</v>
      </c>
      <c r="B166" s="0" t="s">
        <v>1244</v>
      </c>
      <c r="C166" s="0" t="s">
        <v>1059</v>
      </c>
      <c r="D166" s="0" t="s">
        <v>775</v>
      </c>
      <c r="E166" s="0" t="s">
        <v>82</v>
      </c>
      <c r="F166" s="0" t="n">
        <v>6</v>
      </c>
      <c r="G166" s="0" t="n">
        <v>16.7</v>
      </c>
      <c r="H166" s="0" t="n">
        <v>0.72</v>
      </c>
      <c r="I166" s="10" t="n">
        <v>0.31</v>
      </c>
      <c r="J166" s="0" t="n">
        <v>1.1</v>
      </c>
      <c r="K166" s="13" t="n">
        <f aca="false">IF(H166&lt;&gt;"",H166,IFERROR(G166/INDEX(Players!$M$2:$M$105,MATCH(B166,Players!$A$2:$A$105,0)),""))</f>
        <v>0.72</v>
      </c>
    </row>
    <row r="167" customFormat="false" ht="15" hidden="false" customHeight="false" outlineLevel="0" collapsed="false">
      <c r="A167" s="0" t="s">
        <v>1615</v>
      </c>
      <c r="B167" s="0" t="s">
        <v>1244</v>
      </c>
      <c r="C167" s="0" t="s">
        <v>1059</v>
      </c>
      <c r="D167" s="0" t="s">
        <v>775</v>
      </c>
      <c r="E167" s="0" t="s">
        <v>131</v>
      </c>
      <c r="F167" s="0" t="n">
        <v>5</v>
      </c>
      <c r="G167" s="0" t="n">
        <v>15</v>
      </c>
      <c r="H167" s="0" t="n">
        <v>0.7</v>
      </c>
      <c r="I167" s="10" t="n">
        <v>0.213</v>
      </c>
      <c r="J167" s="0" t="n">
        <v>1.01</v>
      </c>
      <c r="K167" s="13" t="n">
        <f aca="false">IF(H167&lt;&gt;"",H167,IFERROR(G167/INDEX(Players!$M$2:$M$105,MATCH(B167,Players!$A$2:$A$105,0)),""))</f>
        <v>0.7</v>
      </c>
    </row>
    <row r="168" customFormat="false" ht="15" hidden="false" customHeight="false" outlineLevel="0" collapsed="false">
      <c r="A168" s="0" t="s">
        <v>1616</v>
      </c>
      <c r="B168" s="0" t="s">
        <v>1244</v>
      </c>
      <c r="C168" s="0" t="s">
        <v>1059</v>
      </c>
      <c r="D168" s="0" t="s">
        <v>775</v>
      </c>
      <c r="E168" s="0" t="s">
        <v>142</v>
      </c>
      <c r="F168" s="0" t="n">
        <v>3</v>
      </c>
      <c r="G168" s="0" t="n">
        <v>23</v>
      </c>
      <c r="H168" s="0" t="n">
        <v>0.92</v>
      </c>
      <c r="I168" s="10" t="n">
        <v>0.275</v>
      </c>
      <c r="J168" s="0" t="n">
        <v>1.44</v>
      </c>
      <c r="K168" s="13" t="n">
        <f aca="false">IF(H168&lt;&gt;"",H168,IFERROR(G168/INDEX(Players!$M$2:$M$105,MATCH(B168,Players!$A$2:$A$105,0)),""))</f>
        <v>0.92</v>
      </c>
    </row>
    <row r="169" customFormat="false" ht="15" hidden="false" customHeight="false" outlineLevel="0" collapsed="false">
      <c r="A169" s="0" t="s">
        <v>1617</v>
      </c>
      <c r="B169" s="0" t="s">
        <v>1244</v>
      </c>
      <c r="C169" s="0" t="s">
        <v>1059</v>
      </c>
      <c r="D169" s="0" t="s">
        <v>775</v>
      </c>
      <c r="E169" s="0" t="s">
        <v>118</v>
      </c>
      <c r="F169" s="0" t="n">
        <v>2</v>
      </c>
      <c r="G169" s="0" t="n">
        <v>17</v>
      </c>
      <c r="H169" s="0" t="n">
        <v>0.72</v>
      </c>
      <c r="I169" s="10" t="n">
        <v>0.412</v>
      </c>
      <c r="J169" s="0" t="n">
        <v>1.36</v>
      </c>
      <c r="K169" s="13" t="n">
        <f aca="false">IF(H169&lt;&gt;"",H169,IFERROR(G169/INDEX(Players!$M$2:$M$105,MATCH(B169,Players!$A$2:$A$105,0)),""))</f>
        <v>0.72</v>
      </c>
    </row>
    <row r="170" customFormat="false" ht="15" hidden="false" customHeight="false" outlineLevel="0" collapsed="false">
      <c r="A170" s="0" t="s">
        <v>1618</v>
      </c>
      <c r="B170" s="0" t="s">
        <v>1252</v>
      </c>
      <c r="C170" s="0" t="s">
        <v>1077</v>
      </c>
      <c r="D170" s="0" t="s">
        <v>775</v>
      </c>
      <c r="E170" s="0" t="s">
        <v>109</v>
      </c>
      <c r="F170" s="0" t="n">
        <v>4</v>
      </c>
      <c r="G170" s="0" t="n">
        <v>13.8</v>
      </c>
      <c r="H170" s="0" t="n">
        <v>0.79</v>
      </c>
      <c r="I170" s="10" t="n">
        <v>0.582</v>
      </c>
      <c r="J170" s="0" t="n">
        <v>1.53</v>
      </c>
      <c r="K170" s="13" t="n">
        <f aca="false">IF(H170&lt;&gt;"",H170,IFERROR(G170/INDEX(Players!$M$2:$M$105,MATCH(B170,Players!$A$2:$A$105,0)),""))</f>
        <v>0.79</v>
      </c>
    </row>
    <row r="171" customFormat="false" ht="15" hidden="false" customHeight="false" outlineLevel="0" collapsed="false">
      <c r="A171" s="0" t="s">
        <v>1619</v>
      </c>
      <c r="B171" s="0" t="s">
        <v>1252</v>
      </c>
      <c r="C171" s="0" t="s">
        <v>1077</v>
      </c>
      <c r="D171" s="0" t="s">
        <v>775</v>
      </c>
      <c r="E171" s="0" t="s">
        <v>131</v>
      </c>
      <c r="F171" s="0" t="n">
        <v>4</v>
      </c>
      <c r="G171" s="0" t="n">
        <v>18.5</v>
      </c>
      <c r="H171" s="0" t="n">
        <v>0.81</v>
      </c>
      <c r="I171" s="10" t="n">
        <v>0.432</v>
      </c>
      <c r="J171" s="0" t="n">
        <v>1.28</v>
      </c>
      <c r="K171" s="13" t="n">
        <f aca="false">IF(H171&lt;&gt;"",H171,IFERROR(G171/INDEX(Players!$M$2:$M$105,MATCH(B171,Players!$A$2:$A$105,0)),""))</f>
        <v>0.81</v>
      </c>
    </row>
    <row r="172" customFormat="false" ht="15" hidden="false" customHeight="false" outlineLevel="0" collapsed="false">
      <c r="A172" s="0" t="s">
        <v>1620</v>
      </c>
      <c r="B172" s="0" t="s">
        <v>1252</v>
      </c>
      <c r="C172" s="0" t="s">
        <v>1077</v>
      </c>
      <c r="D172" s="0" t="s">
        <v>775</v>
      </c>
      <c r="E172" s="0" t="s">
        <v>118</v>
      </c>
      <c r="F172" s="0" t="n">
        <v>4</v>
      </c>
      <c r="G172" s="0" t="n">
        <v>19</v>
      </c>
      <c r="H172" s="0" t="n">
        <v>0.83</v>
      </c>
      <c r="I172" s="10" t="n">
        <v>0.579</v>
      </c>
      <c r="J172" s="0" t="n">
        <v>1.25</v>
      </c>
      <c r="K172" s="13" t="n">
        <f aca="false">IF(H172&lt;&gt;"",H172,IFERROR(G172/INDEX(Players!$M$2:$M$105,MATCH(B172,Players!$A$2:$A$105,0)),""))</f>
        <v>0.83</v>
      </c>
    </row>
    <row r="173" customFormat="false" ht="15" hidden="false" customHeight="false" outlineLevel="0" collapsed="false">
      <c r="A173" s="0" t="s">
        <v>1621</v>
      </c>
      <c r="B173" s="0" t="s">
        <v>1252</v>
      </c>
      <c r="C173" s="0" t="s">
        <v>1077</v>
      </c>
      <c r="D173" s="0" t="s">
        <v>775</v>
      </c>
      <c r="E173" s="0" t="s">
        <v>82</v>
      </c>
      <c r="F173" s="0" t="n">
        <v>4</v>
      </c>
      <c r="G173" s="0" t="n">
        <v>16.5</v>
      </c>
      <c r="H173" s="0" t="n">
        <v>0.73</v>
      </c>
      <c r="I173" s="10" t="n">
        <v>0.5</v>
      </c>
      <c r="J173" s="0" t="n">
        <v>1.05</v>
      </c>
      <c r="K173" s="13" t="n">
        <f aca="false">IF(H173&lt;&gt;"",H173,IFERROR(G173/INDEX(Players!$M$2:$M$105,MATCH(B173,Players!$A$2:$A$105,0)),""))</f>
        <v>0.73</v>
      </c>
    </row>
    <row r="174" customFormat="false" ht="15" hidden="false" customHeight="false" outlineLevel="0" collapsed="false">
      <c r="A174" s="0" t="s">
        <v>1622</v>
      </c>
      <c r="B174" s="0" t="s">
        <v>1252</v>
      </c>
      <c r="C174" s="0" t="s">
        <v>1077</v>
      </c>
      <c r="D174" s="0" t="s">
        <v>775</v>
      </c>
      <c r="E174" s="0" t="s">
        <v>149</v>
      </c>
      <c r="F174" s="0" t="n">
        <v>4</v>
      </c>
      <c r="G174" s="0" t="n">
        <v>17.8</v>
      </c>
      <c r="H174" s="0" t="n">
        <v>0.6</v>
      </c>
      <c r="I174" s="10" t="n">
        <v>0.394</v>
      </c>
      <c r="J174" s="0" t="n">
        <v>0.86</v>
      </c>
      <c r="K174" s="13" t="n">
        <f aca="false">IF(H174&lt;&gt;"",H174,IFERROR(G174/INDEX(Players!$M$2:$M$105,MATCH(B174,Players!$A$2:$A$105,0)),""))</f>
        <v>0.6</v>
      </c>
    </row>
    <row r="175" customFormat="false" ht="15" hidden="false" customHeight="false" outlineLevel="0" collapsed="false">
      <c r="A175" s="0" t="s">
        <v>1623</v>
      </c>
      <c r="B175" s="0" t="s">
        <v>1252</v>
      </c>
      <c r="C175" s="0" t="s">
        <v>1077</v>
      </c>
      <c r="D175" s="0" t="s">
        <v>775</v>
      </c>
      <c r="E175" s="0" t="s">
        <v>96</v>
      </c>
      <c r="F175" s="0" t="n">
        <v>2</v>
      </c>
      <c r="G175" s="0" t="n">
        <v>10</v>
      </c>
      <c r="H175" s="0" t="n">
        <v>0.54</v>
      </c>
      <c r="I175" s="10" t="n">
        <v>0.5</v>
      </c>
      <c r="J175" s="0" t="n">
        <v>0.69</v>
      </c>
      <c r="K175" s="13" t="n">
        <f aca="false">IF(H175&lt;&gt;"",H175,IFERROR(G175/INDEX(Players!$M$2:$M$105,MATCH(B175,Players!$A$2:$A$105,0)),""))</f>
        <v>0.54</v>
      </c>
    </row>
    <row r="176" customFormat="false" ht="15" hidden="false" customHeight="false" outlineLevel="0" collapsed="false">
      <c r="A176" s="0" t="s">
        <v>1624</v>
      </c>
      <c r="B176" s="0" t="s">
        <v>1182</v>
      </c>
      <c r="C176" s="0" t="s">
        <v>928</v>
      </c>
      <c r="D176" s="0" t="s">
        <v>775</v>
      </c>
      <c r="E176" s="0" t="s">
        <v>118</v>
      </c>
      <c r="F176" s="0" t="n">
        <v>9</v>
      </c>
      <c r="G176" s="0" t="n">
        <v>15.8</v>
      </c>
      <c r="H176" s="0" t="n">
        <v>0.63</v>
      </c>
      <c r="I176" s="10" t="n">
        <v>0.634</v>
      </c>
      <c r="J176" s="0" t="n">
        <v>0.93</v>
      </c>
      <c r="K176" s="13" t="n">
        <f aca="false">IF(H176&lt;&gt;"",H176,IFERROR(G176/INDEX(Players!$M$2:$M$105,MATCH(B176,Players!$A$2:$A$105,0)),""))</f>
        <v>0.63</v>
      </c>
    </row>
    <row r="177" customFormat="false" ht="15" hidden="false" customHeight="false" outlineLevel="0" collapsed="false">
      <c r="A177" s="0" t="s">
        <v>1625</v>
      </c>
      <c r="B177" s="0" t="s">
        <v>1182</v>
      </c>
      <c r="C177" s="0" t="s">
        <v>928</v>
      </c>
      <c r="D177" s="0" t="s">
        <v>775</v>
      </c>
      <c r="E177" s="0" t="s">
        <v>142</v>
      </c>
      <c r="F177" s="0" t="n">
        <v>7</v>
      </c>
      <c r="G177" s="0" t="n">
        <v>14.6</v>
      </c>
      <c r="H177" s="0" t="n">
        <v>0.64</v>
      </c>
      <c r="I177" s="10" t="n">
        <v>0.618</v>
      </c>
      <c r="J177" s="0" t="n">
        <v>1</v>
      </c>
      <c r="K177" s="13" t="n">
        <f aca="false">IF(H177&lt;&gt;"",H177,IFERROR(G177/INDEX(Players!$M$2:$M$105,MATCH(B177,Players!$A$2:$A$105,0)),""))</f>
        <v>0.64</v>
      </c>
    </row>
    <row r="178" customFormat="false" ht="15" hidden="false" customHeight="false" outlineLevel="0" collapsed="false">
      <c r="A178" s="0" t="s">
        <v>1626</v>
      </c>
      <c r="B178" s="0" t="s">
        <v>1182</v>
      </c>
      <c r="C178" s="0" t="s">
        <v>928</v>
      </c>
      <c r="D178" s="0" t="s">
        <v>775</v>
      </c>
      <c r="E178" s="0" t="s">
        <v>109</v>
      </c>
      <c r="F178" s="0" t="n">
        <v>5</v>
      </c>
      <c r="G178" s="0" t="n">
        <v>11.8</v>
      </c>
      <c r="H178" s="0" t="n">
        <v>0.52</v>
      </c>
      <c r="I178" s="10" t="n">
        <v>0.492</v>
      </c>
      <c r="J178" s="0" t="n">
        <v>0.74</v>
      </c>
      <c r="K178" s="13" t="n">
        <f aca="false">IF(H178&lt;&gt;"",H178,IFERROR(G178/INDEX(Players!$M$2:$M$105,MATCH(B178,Players!$A$2:$A$105,0)),""))</f>
        <v>0.52</v>
      </c>
    </row>
    <row r="179" customFormat="false" ht="15" hidden="false" customHeight="false" outlineLevel="0" collapsed="false">
      <c r="A179" s="0" t="s">
        <v>1627</v>
      </c>
      <c r="B179" s="0" t="s">
        <v>1182</v>
      </c>
      <c r="C179" s="0" t="s">
        <v>928</v>
      </c>
      <c r="D179" s="0" t="s">
        <v>775</v>
      </c>
      <c r="E179" s="0" t="s">
        <v>131</v>
      </c>
      <c r="F179" s="0" t="n">
        <v>4</v>
      </c>
      <c r="G179" s="0" t="n">
        <v>17.8</v>
      </c>
      <c r="H179" s="0" t="n">
        <v>0.81</v>
      </c>
      <c r="I179" s="10" t="n">
        <v>0.592</v>
      </c>
      <c r="J179" s="0" t="n">
        <v>1.22</v>
      </c>
      <c r="K179" s="13" t="n">
        <f aca="false">IF(H179&lt;&gt;"",H179,IFERROR(G179/INDEX(Players!$M$2:$M$105,MATCH(B179,Players!$A$2:$A$105,0)),""))</f>
        <v>0.81</v>
      </c>
    </row>
    <row r="180" customFormat="false" ht="15" hidden="false" customHeight="false" outlineLevel="0" collapsed="false">
      <c r="A180" s="0" t="s">
        <v>1628</v>
      </c>
      <c r="B180" s="0" t="s">
        <v>1182</v>
      </c>
      <c r="C180" s="0" t="s">
        <v>928</v>
      </c>
      <c r="D180" s="0" t="s">
        <v>775</v>
      </c>
      <c r="E180" s="0" t="s">
        <v>82</v>
      </c>
      <c r="F180" s="0" t="n">
        <v>3</v>
      </c>
      <c r="G180" s="0" t="n">
        <v>14.3</v>
      </c>
      <c r="H180" s="0" t="n">
        <v>0.65</v>
      </c>
      <c r="I180" s="10" t="n">
        <v>0.488</v>
      </c>
      <c r="J180" s="0" t="n">
        <v>0.98</v>
      </c>
      <c r="K180" s="13" t="n">
        <f aca="false">IF(H180&lt;&gt;"",H180,IFERROR(G180/INDEX(Players!$M$2:$M$105,MATCH(B180,Players!$A$2:$A$105,0)),""))</f>
        <v>0.65</v>
      </c>
    </row>
    <row r="181" customFormat="false" ht="15" hidden="false" customHeight="false" outlineLevel="0" collapsed="false">
      <c r="A181" s="0" t="s">
        <v>1629</v>
      </c>
      <c r="B181" s="0" t="s">
        <v>1182</v>
      </c>
      <c r="C181" s="0" t="s">
        <v>928</v>
      </c>
      <c r="D181" s="0" t="s">
        <v>775</v>
      </c>
      <c r="E181" s="0" t="s">
        <v>149</v>
      </c>
      <c r="F181" s="0" t="n">
        <v>2</v>
      </c>
      <c r="G181" s="0" t="n">
        <v>13.5</v>
      </c>
      <c r="H181" s="0" t="n">
        <v>0.61</v>
      </c>
      <c r="I181" s="10" t="n">
        <v>0.704</v>
      </c>
      <c r="J181" s="0" t="n">
        <v>1</v>
      </c>
      <c r="K181" s="13" t="n">
        <f aca="false">IF(H181&lt;&gt;"",H181,IFERROR(G181/INDEX(Players!$M$2:$M$105,MATCH(B181,Players!$A$2:$A$105,0)),""))</f>
        <v>0.61</v>
      </c>
    </row>
    <row r="182" customFormat="false" ht="15" hidden="false" customHeight="false" outlineLevel="0" collapsed="false">
      <c r="A182" s="0" t="s">
        <v>1630</v>
      </c>
      <c r="B182" s="0" t="s">
        <v>1202</v>
      </c>
      <c r="C182" s="0" t="s">
        <v>970</v>
      </c>
      <c r="D182" s="0" t="s">
        <v>775</v>
      </c>
      <c r="E182" s="0" t="s">
        <v>131</v>
      </c>
      <c r="F182" s="0" t="n">
        <v>11</v>
      </c>
      <c r="G182" s="0" t="n">
        <v>13.2</v>
      </c>
      <c r="H182" s="0" t="n">
        <v>0.62</v>
      </c>
      <c r="I182" s="10" t="n">
        <v>0.648</v>
      </c>
      <c r="J182" s="0" t="n">
        <v>0.93</v>
      </c>
      <c r="K182" s="13" t="n">
        <f aca="false">IF(H182&lt;&gt;"",H182,IFERROR(G182/INDEX(Players!$M$2:$M$105,MATCH(B182,Players!$A$2:$A$105,0)),""))</f>
        <v>0.62</v>
      </c>
    </row>
    <row r="183" customFormat="false" ht="15" hidden="false" customHeight="false" outlineLevel="0" collapsed="false">
      <c r="A183" s="0" t="s">
        <v>1631</v>
      </c>
      <c r="B183" s="0" t="s">
        <v>1202</v>
      </c>
      <c r="C183" s="0" t="s">
        <v>970</v>
      </c>
      <c r="D183" s="0" t="s">
        <v>775</v>
      </c>
      <c r="E183" s="0" t="s">
        <v>142</v>
      </c>
      <c r="F183" s="0" t="n">
        <v>8</v>
      </c>
      <c r="G183" s="0" t="n">
        <v>12.5</v>
      </c>
      <c r="H183" s="0" t="n">
        <v>0.57</v>
      </c>
      <c r="I183" s="10" t="n">
        <v>0.6</v>
      </c>
      <c r="J183" s="0" t="n">
        <v>0.82</v>
      </c>
      <c r="K183" s="13" t="n">
        <f aca="false">IF(H183&lt;&gt;"",H183,IFERROR(G183/INDEX(Players!$M$2:$M$105,MATCH(B183,Players!$A$2:$A$105,0)),""))</f>
        <v>0.57</v>
      </c>
    </row>
    <row r="184" customFormat="false" ht="15" hidden="false" customHeight="false" outlineLevel="0" collapsed="false">
      <c r="A184" s="0" t="s">
        <v>1632</v>
      </c>
      <c r="B184" s="0" t="s">
        <v>1202</v>
      </c>
      <c r="C184" s="0" t="s">
        <v>970</v>
      </c>
      <c r="D184" s="0" t="s">
        <v>775</v>
      </c>
      <c r="E184" s="0" t="s">
        <v>109</v>
      </c>
      <c r="F184" s="0" t="n">
        <v>7</v>
      </c>
      <c r="G184" s="0" t="n">
        <v>14</v>
      </c>
      <c r="H184" s="0" t="n">
        <v>0.68</v>
      </c>
      <c r="I184" s="10" t="n">
        <v>0.561</v>
      </c>
      <c r="J184" s="0" t="n">
        <v>1.14</v>
      </c>
      <c r="K184" s="13" t="n">
        <f aca="false">IF(H184&lt;&gt;"",H184,IFERROR(G184/INDEX(Players!$M$2:$M$105,MATCH(B184,Players!$A$2:$A$105,0)),""))</f>
        <v>0.68</v>
      </c>
    </row>
    <row r="185" customFormat="false" ht="15" hidden="false" customHeight="false" outlineLevel="0" collapsed="false">
      <c r="A185" s="0" t="s">
        <v>1633</v>
      </c>
      <c r="B185" s="0" t="s">
        <v>1202</v>
      </c>
      <c r="C185" s="0" t="s">
        <v>970</v>
      </c>
      <c r="D185" s="0" t="s">
        <v>775</v>
      </c>
      <c r="E185" s="0" t="s">
        <v>82</v>
      </c>
      <c r="F185" s="0" t="n">
        <v>6</v>
      </c>
      <c r="G185" s="0" t="n">
        <v>17.3</v>
      </c>
      <c r="H185" s="0" t="n">
        <v>0.72</v>
      </c>
      <c r="I185" s="10" t="n">
        <v>0.644</v>
      </c>
      <c r="J185" s="0" t="n">
        <v>1.06</v>
      </c>
      <c r="K185" s="13" t="n">
        <f aca="false">IF(H185&lt;&gt;"",H185,IFERROR(G185/INDEX(Players!$M$2:$M$105,MATCH(B185,Players!$A$2:$A$105,0)),""))</f>
        <v>0.72</v>
      </c>
    </row>
    <row r="186" customFormat="false" ht="15" hidden="false" customHeight="false" outlineLevel="0" collapsed="false">
      <c r="A186" s="0" t="s">
        <v>1634</v>
      </c>
      <c r="B186" s="0" t="s">
        <v>1202</v>
      </c>
      <c r="C186" s="0" t="s">
        <v>970</v>
      </c>
      <c r="D186" s="0" t="s">
        <v>775</v>
      </c>
      <c r="E186" s="0" t="s">
        <v>96</v>
      </c>
      <c r="F186" s="0" t="n">
        <v>3</v>
      </c>
      <c r="G186" s="0" t="n">
        <v>13</v>
      </c>
      <c r="H186" s="0" t="n">
        <v>0.59</v>
      </c>
      <c r="I186" s="10" t="n">
        <v>0.564</v>
      </c>
      <c r="J186" s="0" t="n">
        <v>1.11</v>
      </c>
      <c r="K186" s="13" t="n">
        <f aca="false">IF(H186&lt;&gt;"",H186,IFERROR(G186/INDEX(Players!$M$2:$M$105,MATCH(B186,Players!$A$2:$A$105,0)),""))</f>
        <v>0.59</v>
      </c>
    </row>
    <row r="187" customFormat="false" ht="15" hidden="false" customHeight="false" outlineLevel="0" collapsed="false">
      <c r="A187" s="0" t="s">
        <v>1635</v>
      </c>
      <c r="B187" s="0" t="s">
        <v>1202</v>
      </c>
      <c r="C187" s="0" t="s">
        <v>970</v>
      </c>
      <c r="D187" s="0" t="s">
        <v>775</v>
      </c>
      <c r="E187" s="0" t="s">
        <v>118</v>
      </c>
      <c r="F187" s="0" t="n">
        <v>2</v>
      </c>
      <c r="G187" s="0" t="n">
        <v>13</v>
      </c>
      <c r="H187" s="0" t="n">
        <v>0.57</v>
      </c>
      <c r="I187" s="10" t="n">
        <v>0.692</v>
      </c>
      <c r="J187" s="0" t="n">
        <v>0.74</v>
      </c>
      <c r="K187" s="13" t="n">
        <f aca="false">IF(H187&lt;&gt;"",H187,IFERROR(G187/INDEX(Players!$M$2:$M$105,MATCH(B187,Players!$A$2:$A$105,0)),""))</f>
        <v>0.57</v>
      </c>
    </row>
    <row r="188" customFormat="false" ht="15" hidden="false" customHeight="false" outlineLevel="0" collapsed="false">
      <c r="A188" s="0" t="s">
        <v>1636</v>
      </c>
      <c r="B188" s="0" t="s">
        <v>1211</v>
      </c>
      <c r="C188" s="0" t="s">
        <v>990</v>
      </c>
      <c r="D188" s="0" t="s">
        <v>775</v>
      </c>
      <c r="E188" s="0" t="s">
        <v>131</v>
      </c>
      <c r="F188" s="0" t="n">
        <v>9</v>
      </c>
      <c r="G188" s="0" t="n">
        <v>12.4</v>
      </c>
      <c r="H188" s="0" t="n">
        <v>0.56</v>
      </c>
      <c r="I188" s="10" t="n">
        <v>0.393</v>
      </c>
      <c r="J188" s="0" t="n">
        <v>0.79</v>
      </c>
      <c r="K188" s="13" t="n">
        <f aca="false">IF(H188&lt;&gt;"",H188,IFERROR(G188/INDEX(Players!$M$2:$M$105,MATCH(B188,Players!$A$2:$A$105,0)),""))</f>
        <v>0.56</v>
      </c>
    </row>
    <row r="189" customFormat="false" ht="15" hidden="false" customHeight="false" outlineLevel="0" collapsed="false">
      <c r="A189" s="0" t="s">
        <v>1637</v>
      </c>
      <c r="B189" s="0" t="s">
        <v>1211</v>
      </c>
      <c r="C189" s="0" t="s">
        <v>990</v>
      </c>
      <c r="D189" s="0" t="s">
        <v>775</v>
      </c>
      <c r="E189" s="0" t="s">
        <v>109</v>
      </c>
      <c r="F189" s="0" t="n">
        <v>8</v>
      </c>
      <c r="G189" s="0" t="n">
        <v>10.5</v>
      </c>
      <c r="H189" s="0" t="n">
        <v>0.5</v>
      </c>
      <c r="I189" s="10" t="n">
        <v>0.488</v>
      </c>
      <c r="J189" s="0" t="n">
        <v>0.67</v>
      </c>
      <c r="K189" s="13" t="n">
        <f aca="false">IF(H189&lt;&gt;"",H189,IFERROR(G189/INDEX(Players!$M$2:$M$105,MATCH(B189,Players!$A$2:$A$105,0)),""))</f>
        <v>0.5</v>
      </c>
    </row>
    <row r="190" customFormat="false" ht="15" hidden="false" customHeight="false" outlineLevel="0" collapsed="false">
      <c r="A190" s="0" t="s">
        <v>1638</v>
      </c>
      <c r="B190" s="0" t="s">
        <v>1211</v>
      </c>
      <c r="C190" s="0" t="s">
        <v>990</v>
      </c>
      <c r="D190" s="0" t="s">
        <v>775</v>
      </c>
      <c r="E190" s="0" t="s">
        <v>82</v>
      </c>
      <c r="F190" s="0" t="n">
        <v>7</v>
      </c>
      <c r="G190" s="0" t="n">
        <v>11</v>
      </c>
      <c r="H190" s="0" t="n">
        <v>0.55</v>
      </c>
      <c r="I190" s="10" t="n">
        <v>0.403</v>
      </c>
      <c r="J190" s="0" t="n">
        <v>0.8</v>
      </c>
      <c r="K190" s="13" t="n">
        <f aca="false">IF(H190&lt;&gt;"",H190,IFERROR(G190/INDEX(Players!$M$2:$M$105,MATCH(B190,Players!$A$2:$A$105,0)),""))</f>
        <v>0.55</v>
      </c>
    </row>
    <row r="191" customFormat="false" ht="15" hidden="false" customHeight="false" outlineLevel="0" collapsed="false">
      <c r="A191" s="0" t="s">
        <v>1639</v>
      </c>
      <c r="B191" s="0" t="s">
        <v>1211</v>
      </c>
      <c r="C191" s="0" t="s">
        <v>990</v>
      </c>
      <c r="D191" s="0" t="s">
        <v>775</v>
      </c>
      <c r="E191" s="0" t="s">
        <v>96</v>
      </c>
      <c r="F191" s="0" t="n">
        <v>6</v>
      </c>
      <c r="G191" s="0" t="n">
        <v>12.5</v>
      </c>
      <c r="H191" s="0" t="n">
        <v>0.61</v>
      </c>
      <c r="I191" s="10" t="n">
        <v>0.507</v>
      </c>
      <c r="J191" s="0" t="n">
        <v>0.76</v>
      </c>
      <c r="K191" s="13" t="n">
        <f aca="false">IF(H191&lt;&gt;"",H191,IFERROR(G191/INDEX(Players!$M$2:$M$105,MATCH(B191,Players!$A$2:$A$105,0)),""))</f>
        <v>0.61</v>
      </c>
    </row>
    <row r="192" customFormat="false" ht="15" hidden="false" customHeight="false" outlineLevel="0" collapsed="false">
      <c r="A192" s="0" t="s">
        <v>1640</v>
      </c>
      <c r="B192" s="0" t="s">
        <v>1211</v>
      </c>
      <c r="C192" s="0" t="s">
        <v>990</v>
      </c>
      <c r="D192" s="0" t="s">
        <v>775</v>
      </c>
      <c r="E192" s="0" t="s">
        <v>142</v>
      </c>
      <c r="F192" s="0" t="n">
        <v>4</v>
      </c>
      <c r="G192" s="0" t="n">
        <v>10</v>
      </c>
      <c r="H192" s="0" t="n">
        <v>0.45</v>
      </c>
      <c r="I192" s="10" t="n">
        <v>0.35</v>
      </c>
      <c r="J192" s="0" t="n">
        <v>0.67</v>
      </c>
      <c r="K192" s="13" t="n">
        <f aca="false">IF(H192&lt;&gt;"",H192,IFERROR(G192/INDEX(Players!$M$2:$M$105,MATCH(B192,Players!$A$2:$A$105,0)),""))</f>
        <v>0.45</v>
      </c>
    </row>
    <row r="193" customFormat="false" ht="15" hidden="false" customHeight="false" outlineLevel="0" collapsed="false">
      <c r="A193" s="0" t="s">
        <v>1641</v>
      </c>
      <c r="B193" s="0" t="s">
        <v>1211</v>
      </c>
      <c r="C193" s="0" t="s">
        <v>990</v>
      </c>
      <c r="D193" s="0" t="s">
        <v>775</v>
      </c>
      <c r="E193" s="0" t="s">
        <v>149</v>
      </c>
      <c r="F193" s="0" t="n">
        <v>2</v>
      </c>
      <c r="G193" s="0" t="n">
        <v>14</v>
      </c>
      <c r="H193" s="0" t="n">
        <v>0.6</v>
      </c>
      <c r="I193" s="10" t="n">
        <v>0.429</v>
      </c>
      <c r="J193" s="0" t="n">
        <v>1</v>
      </c>
      <c r="K193" s="13" t="n">
        <f aca="false">IF(H193&lt;&gt;"",H193,IFERROR(G193/INDEX(Players!$M$2:$M$105,MATCH(B193,Players!$A$2:$A$105,0)),""))</f>
        <v>0.6</v>
      </c>
    </row>
    <row r="194" customFormat="false" ht="15" hidden="false" customHeight="false" outlineLevel="0" collapsed="false">
      <c r="A194" s="0" t="s">
        <v>1642</v>
      </c>
      <c r="B194" s="0" t="s">
        <v>1215</v>
      </c>
      <c r="C194" s="0" t="s">
        <v>998</v>
      </c>
      <c r="D194" s="0" t="s">
        <v>775</v>
      </c>
      <c r="E194" s="0" t="s">
        <v>82</v>
      </c>
      <c r="F194" s="0" t="n">
        <v>9</v>
      </c>
      <c r="G194" s="0" t="n">
        <v>14.4</v>
      </c>
      <c r="H194" s="0" t="n">
        <v>0.7</v>
      </c>
      <c r="I194" s="10" t="n">
        <v>0.631</v>
      </c>
      <c r="J194" s="0" t="n">
        <v>1.18</v>
      </c>
      <c r="K194" s="13" t="n">
        <f aca="false">IF(H194&lt;&gt;"",H194,IFERROR(G194/INDEX(Players!$M$2:$M$105,MATCH(B194,Players!$A$2:$A$105,0)),""))</f>
        <v>0.7</v>
      </c>
    </row>
    <row r="195" customFormat="false" ht="15" hidden="false" customHeight="false" outlineLevel="0" collapsed="false">
      <c r="A195" s="0" t="s">
        <v>1643</v>
      </c>
      <c r="B195" s="0" t="s">
        <v>1215</v>
      </c>
      <c r="C195" s="0" t="s">
        <v>998</v>
      </c>
      <c r="D195" s="0" t="s">
        <v>775</v>
      </c>
      <c r="E195" s="0" t="s">
        <v>109</v>
      </c>
      <c r="F195" s="0" t="n">
        <v>9</v>
      </c>
      <c r="G195" s="0" t="n">
        <v>13.1</v>
      </c>
      <c r="H195" s="0" t="n">
        <v>0.59</v>
      </c>
      <c r="I195" s="10" t="n">
        <v>0.559</v>
      </c>
      <c r="J195" s="0" t="n">
        <v>0.82</v>
      </c>
      <c r="K195" s="13" t="n">
        <f aca="false">IF(H195&lt;&gt;"",H195,IFERROR(G195/INDEX(Players!$M$2:$M$105,MATCH(B195,Players!$A$2:$A$105,0)),""))</f>
        <v>0.59</v>
      </c>
    </row>
    <row r="196" customFormat="false" ht="15" hidden="false" customHeight="false" outlineLevel="0" collapsed="false">
      <c r="A196" s="0" t="s">
        <v>1644</v>
      </c>
      <c r="B196" s="0" t="s">
        <v>1215</v>
      </c>
      <c r="C196" s="0" t="s">
        <v>998</v>
      </c>
      <c r="D196" s="0" t="s">
        <v>775</v>
      </c>
      <c r="E196" s="0" t="s">
        <v>96</v>
      </c>
      <c r="F196" s="0" t="n">
        <v>6</v>
      </c>
      <c r="G196" s="0" t="n">
        <v>10.7</v>
      </c>
      <c r="H196" s="0" t="n">
        <v>0.54</v>
      </c>
      <c r="I196" s="10" t="n">
        <v>0.516</v>
      </c>
      <c r="J196" s="0" t="n">
        <v>0.77</v>
      </c>
      <c r="K196" s="13" t="n">
        <f aca="false">IF(H196&lt;&gt;"",H196,IFERROR(G196/INDEX(Players!$M$2:$M$105,MATCH(B196,Players!$A$2:$A$105,0)),""))</f>
        <v>0.54</v>
      </c>
    </row>
    <row r="197" customFormat="false" ht="15" hidden="false" customHeight="false" outlineLevel="0" collapsed="false">
      <c r="A197" s="0" t="s">
        <v>1645</v>
      </c>
      <c r="B197" s="0" t="s">
        <v>1215</v>
      </c>
      <c r="C197" s="0" t="s">
        <v>998</v>
      </c>
      <c r="D197" s="0" t="s">
        <v>775</v>
      </c>
      <c r="E197" s="0" t="s">
        <v>142</v>
      </c>
      <c r="F197" s="0" t="n">
        <v>5</v>
      </c>
      <c r="G197" s="0" t="n">
        <v>12.2</v>
      </c>
      <c r="H197" s="0" t="n">
        <v>0.56</v>
      </c>
      <c r="I197" s="10" t="n">
        <v>0.492</v>
      </c>
      <c r="J197" s="0" t="n">
        <v>0.84</v>
      </c>
      <c r="K197" s="13" t="n">
        <f aca="false">IF(H197&lt;&gt;"",H197,IFERROR(G197/INDEX(Players!$M$2:$M$105,MATCH(B197,Players!$A$2:$A$105,0)),""))</f>
        <v>0.56</v>
      </c>
    </row>
    <row r="198" customFormat="false" ht="15" hidden="false" customHeight="false" outlineLevel="0" collapsed="false">
      <c r="A198" s="0" t="s">
        <v>1646</v>
      </c>
      <c r="B198" s="0" t="s">
        <v>1215</v>
      </c>
      <c r="C198" s="0" t="s">
        <v>998</v>
      </c>
      <c r="D198" s="0" t="s">
        <v>775</v>
      </c>
      <c r="E198" s="0" t="s">
        <v>149</v>
      </c>
      <c r="F198" s="0" t="n">
        <v>4</v>
      </c>
      <c r="G198" s="0" t="n">
        <v>11.8</v>
      </c>
      <c r="H198" s="0" t="n">
        <v>0.63</v>
      </c>
      <c r="I198" s="10" t="n">
        <v>0.532</v>
      </c>
      <c r="J198" s="0" t="n">
        <v>0.84</v>
      </c>
      <c r="K198" s="13" t="n">
        <f aca="false">IF(H198&lt;&gt;"",H198,IFERROR(G198/INDEX(Players!$M$2:$M$105,MATCH(B198,Players!$A$2:$A$105,0)),""))</f>
        <v>0.63</v>
      </c>
    </row>
    <row r="199" customFormat="false" ht="15" hidden="false" customHeight="false" outlineLevel="0" collapsed="false">
      <c r="A199" s="0" t="s">
        <v>1647</v>
      </c>
      <c r="B199" s="0" t="s">
        <v>1215</v>
      </c>
      <c r="C199" s="0" t="s">
        <v>998</v>
      </c>
      <c r="D199" s="0" t="s">
        <v>775</v>
      </c>
      <c r="E199" s="0" t="s">
        <v>131</v>
      </c>
      <c r="F199" s="0" t="n">
        <v>2</v>
      </c>
      <c r="G199" s="0" t="n">
        <v>18</v>
      </c>
      <c r="H199" s="0" t="n">
        <v>0.77</v>
      </c>
      <c r="I199" s="10" t="n">
        <v>0.556</v>
      </c>
      <c r="J199" s="0" t="n">
        <v>1.16</v>
      </c>
      <c r="K199" s="13" t="n">
        <f aca="false">IF(H199&lt;&gt;"",H199,IFERROR(G199/INDEX(Players!$M$2:$M$105,MATCH(B199,Players!$A$2:$A$105,0)),""))</f>
        <v>0.77</v>
      </c>
    </row>
    <row r="200" customFormat="false" ht="15" hidden="false" customHeight="false" outlineLevel="0" collapsed="false">
      <c r="A200" s="0" t="s">
        <v>1648</v>
      </c>
      <c r="B200" s="0" t="s">
        <v>1183</v>
      </c>
      <c r="C200" s="0" t="s">
        <v>930</v>
      </c>
      <c r="D200" s="0" t="s">
        <v>775</v>
      </c>
      <c r="E200" s="0" t="s">
        <v>118</v>
      </c>
      <c r="F200" s="0" t="n">
        <v>9</v>
      </c>
      <c r="G200" s="0" t="n">
        <v>17.3</v>
      </c>
      <c r="H200" s="0" t="n">
        <v>0.69</v>
      </c>
      <c r="I200" s="10" t="n">
        <v>0.353</v>
      </c>
      <c r="J200" s="0" t="n">
        <v>1.2</v>
      </c>
      <c r="K200" s="13" t="n">
        <f aca="false">IF(H200&lt;&gt;"",H200,IFERROR(G200/INDEX(Players!$M$2:$M$105,MATCH(B200,Players!$A$2:$A$105,0)),""))</f>
        <v>0.69</v>
      </c>
    </row>
    <row r="201" customFormat="false" ht="15" hidden="false" customHeight="false" outlineLevel="0" collapsed="false">
      <c r="A201" s="0" t="s">
        <v>1649</v>
      </c>
      <c r="B201" s="0" t="s">
        <v>1183</v>
      </c>
      <c r="C201" s="0" t="s">
        <v>930</v>
      </c>
      <c r="D201" s="0" t="s">
        <v>775</v>
      </c>
      <c r="E201" s="0" t="s">
        <v>142</v>
      </c>
      <c r="F201" s="0" t="n">
        <v>7</v>
      </c>
      <c r="G201" s="0" t="n">
        <v>20.6</v>
      </c>
      <c r="H201" s="0" t="n">
        <v>0.9</v>
      </c>
      <c r="I201" s="10" t="n">
        <v>0.347</v>
      </c>
      <c r="J201" s="0" t="n">
        <v>1.52</v>
      </c>
      <c r="K201" s="13" t="n">
        <f aca="false">IF(H201&lt;&gt;"",H201,IFERROR(G201/INDEX(Players!$M$2:$M$105,MATCH(B201,Players!$A$2:$A$105,0)),""))</f>
        <v>0.9</v>
      </c>
    </row>
    <row r="202" customFormat="false" ht="15" hidden="false" customHeight="false" outlineLevel="0" collapsed="false">
      <c r="A202" s="0" t="s">
        <v>1650</v>
      </c>
      <c r="B202" s="0" t="s">
        <v>1183</v>
      </c>
      <c r="C202" s="0" t="s">
        <v>930</v>
      </c>
      <c r="D202" s="0" t="s">
        <v>775</v>
      </c>
      <c r="E202" s="0" t="s">
        <v>109</v>
      </c>
      <c r="F202" s="0" t="n">
        <v>5</v>
      </c>
      <c r="G202" s="0" t="n">
        <v>18</v>
      </c>
      <c r="H202" s="0" t="n">
        <v>0.79</v>
      </c>
      <c r="I202" s="10" t="n">
        <v>0.378</v>
      </c>
      <c r="J202" s="0" t="n">
        <v>1.25</v>
      </c>
      <c r="K202" s="13" t="n">
        <f aca="false">IF(H202&lt;&gt;"",H202,IFERROR(G202/INDEX(Players!$M$2:$M$105,MATCH(B202,Players!$A$2:$A$105,0)),""))</f>
        <v>0.79</v>
      </c>
    </row>
    <row r="203" customFormat="false" ht="15" hidden="false" customHeight="false" outlineLevel="0" collapsed="false">
      <c r="A203" s="0" t="s">
        <v>1651</v>
      </c>
      <c r="B203" s="0" t="s">
        <v>1183</v>
      </c>
      <c r="C203" s="0" t="s">
        <v>930</v>
      </c>
      <c r="D203" s="0" t="s">
        <v>775</v>
      </c>
      <c r="E203" s="0" t="s">
        <v>131</v>
      </c>
      <c r="F203" s="0" t="n">
        <v>4</v>
      </c>
      <c r="G203" s="0" t="n">
        <v>18.5</v>
      </c>
      <c r="H203" s="0" t="n">
        <v>0.84</v>
      </c>
      <c r="I203" s="10" t="n">
        <v>0.27</v>
      </c>
      <c r="J203" s="0" t="n">
        <v>1.35</v>
      </c>
      <c r="K203" s="13" t="n">
        <f aca="false">IF(H203&lt;&gt;"",H203,IFERROR(G203/INDEX(Players!$M$2:$M$105,MATCH(B203,Players!$A$2:$A$105,0)),""))</f>
        <v>0.84</v>
      </c>
    </row>
    <row r="204" customFormat="false" ht="15" hidden="false" customHeight="false" outlineLevel="0" collapsed="false">
      <c r="A204" s="0" t="s">
        <v>1652</v>
      </c>
      <c r="B204" s="0" t="s">
        <v>1183</v>
      </c>
      <c r="C204" s="0" t="s">
        <v>930</v>
      </c>
      <c r="D204" s="0" t="s">
        <v>775</v>
      </c>
      <c r="E204" s="0" t="s">
        <v>82</v>
      </c>
      <c r="F204" s="0" t="n">
        <v>3</v>
      </c>
      <c r="G204" s="0" t="n">
        <v>17.7</v>
      </c>
      <c r="H204" s="0" t="n">
        <v>0.8</v>
      </c>
      <c r="I204" s="10" t="n">
        <v>0.321</v>
      </c>
      <c r="J204" s="0" t="n">
        <v>1.29</v>
      </c>
      <c r="K204" s="13" t="n">
        <f aca="false">IF(H204&lt;&gt;"",H204,IFERROR(G204/INDEX(Players!$M$2:$M$105,MATCH(B204,Players!$A$2:$A$105,0)),""))</f>
        <v>0.8</v>
      </c>
    </row>
    <row r="205" customFormat="false" ht="15" hidden="false" customHeight="false" outlineLevel="0" collapsed="false">
      <c r="A205" s="0" t="s">
        <v>1653</v>
      </c>
      <c r="B205" s="0" t="s">
        <v>1183</v>
      </c>
      <c r="C205" s="0" t="s">
        <v>930</v>
      </c>
      <c r="D205" s="0" t="s">
        <v>775</v>
      </c>
      <c r="E205" s="0" t="s">
        <v>149</v>
      </c>
      <c r="F205" s="0" t="n">
        <v>2</v>
      </c>
      <c r="G205" s="0" t="n">
        <v>12</v>
      </c>
      <c r="H205" s="0" t="n">
        <v>0.55</v>
      </c>
      <c r="I205" s="10" t="n">
        <v>0.5</v>
      </c>
      <c r="J205" s="0" t="n">
        <v>0.92</v>
      </c>
      <c r="K205" s="13" t="n">
        <f aca="false">IF(H205&lt;&gt;"",H205,IFERROR(G205/INDEX(Players!$M$2:$M$105,MATCH(B205,Players!$A$2:$A$105,0)),""))</f>
        <v>0.55</v>
      </c>
    </row>
    <row r="206" customFormat="false" ht="15" hidden="false" customHeight="false" outlineLevel="0" collapsed="false">
      <c r="A206" s="0" t="s">
        <v>1654</v>
      </c>
      <c r="B206" s="0" t="s">
        <v>1203</v>
      </c>
      <c r="C206" s="0" t="s">
        <v>973</v>
      </c>
      <c r="D206" s="0" t="s">
        <v>775</v>
      </c>
      <c r="E206" s="0" t="s">
        <v>131</v>
      </c>
      <c r="F206" s="0" t="n">
        <v>11</v>
      </c>
      <c r="G206" s="0" t="n">
        <v>14</v>
      </c>
      <c r="H206" s="0" t="n">
        <v>0.66</v>
      </c>
      <c r="I206" s="10" t="n">
        <v>0.279</v>
      </c>
      <c r="J206" s="0" t="n">
        <v>1.08</v>
      </c>
      <c r="K206" s="13" t="n">
        <f aca="false">IF(H206&lt;&gt;"",H206,IFERROR(G206/INDEX(Players!$M$2:$M$105,MATCH(B206,Players!$A$2:$A$105,0)),""))</f>
        <v>0.66</v>
      </c>
    </row>
    <row r="207" customFormat="false" ht="15" hidden="false" customHeight="false" outlineLevel="0" collapsed="false">
      <c r="A207" s="0" t="s">
        <v>1655</v>
      </c>
      <c r="B207" s="0" t="s">
        <v>1203</v>
      </c>
      <c r="C207" s="0" t="s">
        <v>973</v>
      </c>
      <c r="D207" s="0" t="s">
        <v>775</v>
      </c>
      <c r="E207" s="0" t="s">
        <v>142</v>
      </c>
      <c r="F207" s="0" t="n">
        <v>8</v>
      </c>
      <c r="G207" s="0" t="n">
        <v>17</v>
      </c>
      <c r="H207" s="0" t="n">
        <v>0.78</v>
      </c>
      <c r="I207" s="10" t="n">
        <v>0.257</v>
      </c>
      <c r="J207" s="0" t="n">
        <v>1.25</v>
      </c>
      <c r="K207" s="13" t="n">
        <f aca="false">IF(H207&lt;&gt;"",H207,IFERROR(G207/INDEX(Players!$M$2:$M$105,MATCH(B207,Players!$A$2:$A$105,0)),""))</f>
        <v>0.78</v>
      </c>
    </row>
    <row r="208" customFormat="false" ht="15" hidden="false" customHeight="false" outlineLevel="0" collapsed="false">
      <c r="A208" s="0" t="s">
        <v>1656</v>
      </c>
      <c r="B208" s="0" t="s">
        <v>1203</v>
      </c>
      <c r="C208" s="0" t="s">
        <v>973</v>
      </c>
      <c r="D208" s="0" t="s">
        <v>775</v>
      </c>
      <c r="E208" s="0" t="s">
        <v>109</v>
      </c>
      <c r="F208" s="0" t="n">
        <v>7</v>
      </c>
      <c r="G208" s="0" t="n">
        <v>14</v>
      </c>
      <c r="H208" s="0" t="n">
        <v>0.68</v>
      </c>
      <c r="I208" s="10" t="n">
        <v>0.327</v>
      </c>
      <c r="J208" s="0" t="n">
        <v>1.05</v>
      </c>
      <c r="K208" s="13" t="n">
        <f aca="false">IF(H208&lt;&gt;"",H208,IFERROR(G208/INDEX(Players!$M$2:$M$105,MATCH(B208,Players!$A$2:$A$105,0)),""))</f>
        <v>0.68</v>
      </c>
    </row>
    <row r="209" customFormat="false" ht="15" hidden="false" customHeight="false" outlineLevel="0" collapsed="false">
      <c r="A209" s="0" t="s">
        <v>1657</v>
      </c>
      <c r="B209" s="0" t="s">
        <v>1203</v>
      </c>
      <c r="C209" s="0" t="s">
        <v>973</v>
      </c>
      <c r="D209" s="0" t="s">
        <v>775</v>
      </c>
      <c r="E209" s="0" t="s">
        <v>82</v>
      </c>
      <c r="F209" s="0" t="n">
        <v>6</v>
      </c>
      <c r="G209" s="0" t="n">
        <v>14.3</v>
      </c>
      <c r="H209" s="0" t="n">
        <v>0.6</v>
      </c>
      <c r="I209" s="10" t="n">
        <v>0.256</v>
      </c>
      <c r="J209" s="0" t="n">
        <v>0.98</v>
      </c>
      <c r="K209" s="13" t="n">
        <f aca="false">IF(H209&lt;&gt;"",H209,IFERROR(G209/INDEX(Players!$M$2:$M$105,MATCH(B209,Players!$A$2:$A$105,0)),""))</f>
        <v>0.6</v>
      </c>
    </row>
    <row r="210" customFormat="false" ht="15" hidden="false" customHeight="false" outlineLevel="0" collapsed="false">
      <c r="A210" s="0" t="s">
        <v>1658</v>
      </c>
      <c r="B210" s="0" t="s">
        <v>1203</v>
      </c>
      <c r="C210" s="0" t="s">
        <v>973</v>
      </c>
      <c r="D210" s="0" t="s">
        <v>775</v>
      </c>
      <c r="E210" s="0" t="s">
        <v>96</v>
      </c>
      <c r="F210" s="0" t="n">
        <v>3</v>
      </c>
      <c r="G210" s="0" t="n">
        <v>20.7</v>
      </c>
      <c r="H210" s="0" t="n">
        <v>0.94</v>
      </c>
      <c r="I210" s="10" t="n">
        <v>0.306</v>
      </c>
      <c r="J210" s="0" t="n">
        <v>1.77</v>
      </c>
      <c r="K210" s="13" t="n">
        <f aca="false">IF(H210&lt;&gt;"",H210,IFERROR(G210/INDEX(Players!$M$2:$M$105,MATCH(B210,Players!$A$2:$A$105,0)),""))</f>
        <v>0.94</v>
      </c>
    </row>
    <row r="211" customFormat="false" ht="15" hidden="false" customHeight="false" outlineLevel="0" collapsed="false">
      <c r="A211" s="0" t="s">
        <v>1659</v>
      </c>
      <c r="B211" s="0" t="s">
        <v>1203</v>
      </c>
      <c r="C211" s="0" t="s">
        <v>973</v>
      </c>
      <c r="D211" s="0" t="s">
        <v>775</v>
      </c>
      <c r="E211" s="0" t="s">
        <v>118</v>
      </c>
      <c r="F211" s="0" t="n">
        <v>2</v>
      </c>
      <c r="G211" s="0" t="n">
        <v>19.5</v>
      </c>
      <c r="H211" s="0" t="n">
        <v>0.85</v>
      </c>
      <c r="I211" s="10" t="n">
        <v>0.308</v>
      </c>
      <c r="J211" s="0" t="n">
        <v>1.39</v>
      </c>
      <c r="K211" s="13" t="n">
        <f aca="false">IF(H211&lt;&gt;"",H211,IFERROR(G211/INDEX(Players!$M$2:$M$105,MATCH(B211,Players!$A$2:$A$105,0)),""))</f>
        <v>0.85</v>
      </c>
    </row>
    <row r="212" customFormat="false" ht="15" hidden="false" customHeight="false" outlineLevel="0" collapsed="false">
      <c r="A212" s="0" t="s">
        <v>1660</v>
      </c>
      <c r="B212" s="0" t="s">
        <v>1248</v>
      </c>
      <c r="C212" s="0" t="s">
        <v>1067</v>
      </c>
      <c r="D212" s="0" t="s">
        <v>775</v>
      </c>
      <c r="E212" s="0" t="s">
        <v>142</v>
      </c>
      <c r="F212" s="0" t="n">
        <v>8</v>
      </c>
      <c r="G212" s="0" t="n">
        <v>16.5</v>
      </c>
      <c r="H212" s="0" t="n">
        <v>0.84</v>
      </c>
      <c r="I212" s="10" t="n">
        <v>0.545</v>
      </c>
      <c r="J212" s="0" t="n">
        <v>1.23</v>
      </c>
      <c r="K212" s="13" t="n">
        <f aca="false">IF(H212&lt;&gt;"",H212,IFERROR(G212/INDEX(Players!$M$2:$M$105,MATCH(B212,Players!$A$2:$A$105,0)),""))</f>
        <v>0.84</v>
      </c>
    </row>
    <row r="213" customFormat="false" ht="15" hidden="false" customHeight="false" outlineLevel="0" collapsed="false">
      <c r="A213" s="0" t="s">
        <v>1661</v>
      </c>
      <c r="B213" s="0" t="s">
        <v>1248</v>
      </c>
      <c r="C213" s="0" t="s">
        <v>1067</v>
      </c>
      <c r="D213" s="0" t="s">
        <v>775</v>
      </c>
      <c r="E213" s="0" t="s">
        <v>96</v>
      </c>
      <c r="F213" s="0" t="n">
        <v>6</v>
      </c>
      <c r="G213" s="0" t="n">
        <v>20.2</v>
      </c>
      <c r="H213" s="0" t="n">
        <v>0.86</v>
      </c>
      <c r="I213" s="10" t="n">
        <v>0.537</v>
      </c>
      <c r="J213" s="0" t="n">
        <v>1.19</v>
      </c>
      <c r="K213" s="13" t="n">
        <f aca="false">IF(H213&lt;&gt;"",H213,IFERROR(G213/INDEX(Players!$M$2:$M$105,MATCH(B213,Players!$A$2:$A$105,0)),""))</f>
        <v>0.86</v>
      </c>
    </row>
    <row r="214" customFormat="false" ht="15" hidden="false" customHeight="false" outlineLevel="0" collapsed="false">
      <c r="A214" s="0" t="s">
        <v>1662</v>
      </c>
      <c r="B214" s="0" t="s">
        <v>1248</v>
      </c>
      <c r="C214" s="0" t="s">
        <v>1067</v>
      </c>
      <c r="D214" s="0" t="s">
        <v>775</v>
      </c>
      <c r="E214" s="0" t="s">
        <v>82</v>
      </c>
      <c r="F214" s="0" t="n">
        <v>6</v>
      </c>
      <c r="G214" s="0" t="n">
        <v>17.2</v>
      </c>
      <c r="H214" s="0" t="n">
        <v>0.75</v>
      </c>
      <c r="I214" s="10" t="n">
        <v>0.495</v>
      </c>
      <c r="J214" s="0" t="n">
        <v>1.07</v>
      </c>
      <c r="K214" s="13" t="n">
        <f aca="false">IF(H214&lt;&gt;"",H214,IFERROR(G214/INDEX(Players!$M$2:$M$105,MATCH(B214,Players!$A$2:$A$105,0)),""))</f>
        <v>0.75</v>
      </c>
    </row>
    <row r="215" customFormat="false" ht="15" hidden="false" customHeight="false" outlineLevel="0" collapsed="false">
      <c r="A215" s="0" t="s">
        <v>1663</v>
      </c>
      <c r="B215" s="0" t="s">
        <v>1248</v>
      </c>
      <c r="C215" s="0" t="s">
        <v>1067</v>
      </c>
      <c r="D215" s="0" t="s">
        <v>775</v>
      </c>
      <c r="E215" s="0" t="s">
        <v>131</v>
      </c>
      <c r="F215" s="0" t="n">
        <v>6</v>
      </c>
      <c r="G215" s="0" t="n">
        <v>13.5</v>
      </c>
      <c r="H215" s="0" t="n">
        <v>0.6</v>
      </c>
      <c r="I215" s="10" t="n">
        <v>0.395</v>
      </c>
      <c r="J215" s="0" t="n">
        <v>0.76</v>
      </c>
      <c r="K215" s="13" t="n">
        <f aca="false">IF(H215&lt;&gt;"",H215,IFERROR(G215/INDEX(Players!$M$2:$M$105,MATCH(B215,Players!$A$2:$A$105,0)),""))</f>
        <v>0.6</v>
      </c>
    </row>
    <row r="216" customFormat="false" ht="15" hidden="false" customHeight="false" outlineLevel="0" collapsed="false">
      <c r="A216" s="0" t="s">
        <v>1664</v>
      </c>
      <c r="B216" s="0" t="s">
        <v>1248</v>
      </c>
      <c r="C216" s="0" t="s">
        <v>1067</v>
      </c>
      <c r="D216" s="0" t="s">
        <v>775</v>
      </c>
      <c r="E216" s="0" t="s">
        <v>149</v>
      </c>
      <c r="F216" s="0" t="n">
        <v>4</v>
      </c>
      <c r="G216" s="0" t="n">
        <v>18.8</v>
      </c>
      <c r="H216" s="0" t="n">
        <v>0.81</v>
      </c>
      <c r="I216" s="10" t="n">
        <v>0.4</v>
      </c>
      <c r="J216" s="0" t="n">
        <v>1.14</v>
      </c>
      <c r="K216" s="13" t="n">
        <f aca="false">IF(H216&lt;&gt;"",H216,IFERROR(G216/INDEX(Players!$M$2:$M$105,MATCH(B216,Players!$A$2:$A$105,0)),""))</f>
        <v>0.81</v>
      </c>
    </row>
    <row r="217" customFormat="false" ht="15" hidden="false" customHeight="false" outlineLevel="0" collapsed="false">
      <c r="A217" s="0" t="s">
        <v>1665</v>
      </c>
      <c r="B217" s="0" t="s">
        <v>1248</v>
      </c>
      <c r="C217" s="0" t="s">
        <v>1067</v>
      </c>
      <c r="D217" s="0" t="s">
        <v>775</v>
      </c>
      <c r="E217" s="0" t="s">
        <v>118</v>
      </c>
      <c r="F217" s="0" t="n">
        <v>3</v>
      </c>
      <c r="G217" s="0" t="n">
        <v>14.7</v>
      </c>
      <c r="H217" s="0" t="n">
        <v>0.68</v>
      </c>
      <c r="I217" s="10" t="n">
        <v>0.636</v>
      </c>
      <c r="J217" s="0" t="n">
        <v>0.85</v>
      </c>
      <c r="K217" s="13" t="n">
        <f aca="false">IF(H217&lt;&gt;"",H217,IFERROR(G217/INDEX(Players!$M$2:$M$105,MATCH(B217,Players!$A$2:$A$105,0)),""))</f>
        <v>0.68</v>
      </c>
    </row>
    <row r="218" customFormat="false" ht="15" hidden="false" customHeight="false" outlineLevel="0" collapsed="false">
      <c r="A218" s="0" t="s">
        <v>1666</v>
      </c>
      <c r="B218" s="0" t="s">
        <v>1216</v>
      </c>
      <c r="C218" s="0" t="s">
        <v>1001</v>
      </c>
      <c r="D218" s="0" t="s">
        <v>775</v>
      </c>
      <c r="E218" s="0" t="s">
        <v>82</v>
      </c>
      <c r="F218" s="0" t="n">
        <v>9</v>
      </c>
      <c r="G218" s="0" t="n">
        <v>15.6</v>
      </c>
      <c r="H218" s="0" t="n">
        <v>0.68</v>
      </c>
      <c r="I218" s="10" t="n">
        <v>0.536</v>
      </c>
      <c r="J218" s="0" t="n">
        <v>1.19</v>
      </c>
      <c r="K218" s="13" t="n">
        <f aca="false">IF(H218&lt;&gt;"",H218,IFERROR(G218/INDEX(Players!$M$2:$M$105,MATCH(B218,Players!$A$2:$A$105,0)),""))</f>
        <v>0.68</v>
      </c>
    </row>
    <row r="219" customFormat="false" ht="15" hidden="false" customHeight="false" outlineLevel="0" collapsed="false">
      <c r="A219" s="0" t="s">
        <v>1667</v>
      </c>
      <c r="B219" s="0" t="s">
        <v>1216</v>
      </c>
      <c r="C219" s="0" t="s">
        <v>1001</v>
      </c>
      <c r="D219" s="0" t="s">
        <v>775</v>
      </c>
      <c r="E219" s="0" t="s">
        <v>142</v>
      </c>
      <c r="F219" s="0" t="n">
        <v>9</v>
      </c>
      <c r="G219" s="0" t="n">
        <v>11.2</v>
      </c>
      <c r="H219" s="0" t="n">
        <v>0.55</v>
      </c>
      <c r="I219" s="10" t="n">
        <v>0.485</v>
      </c>
      <c r="J219" s="0" t="n">
        <v>0.86</v>
      </c>
      <c r="K219" s="13" t="n">
        <f aca="false">IF(H219&lt;&gt;"",H219,IFERROR(G219/INDEX(Players!$M$2:$M$105,MATCH(B219,Players!$A$2:$A$105,0)),""))</f>
        <v>0.55</v>
      </c>
    </row>
    <row r="220" customFormat="false" ht="15" hidden="false" customHeight="false" outlineLevel="0" collapsed="false">
      <c r="A220" s="0" t="s">
        <v>1668</v>
      </c>
      <c r="B220" s="0" t="s">
        <v>1216</v>
      </c>
      <c r="C220" s="0" t="s">
        <v>1001</v>
      </c>
      <c r="D220" s="0" t="s">
        <v>775</v>
      </c>
      <c r="E220" s="0" t="s">
        <v>96</v>
      </c>
      <c r="F220" s="0" t="n">
        <v>7</v>
      </c>
      <c r="G220" s="0" t="n">
        <v>12.3</v>
      </c>
      <c r="H220" s="0" t="n">
        <v>0.56</v>
      </c>
      <c r="I220" s="10" t="n">
        <v>0.547</v>
      </c>
      <c r="J220" s="0" t="n">
        <v>0.8</v>
      </c>
      <c r="K220" s="13" t="n">
        <f aca="false">IF(H220&lt;&gt;"",H220,IFERROR(G220/INDEX(Players!$M$2:$M$105,MATCH(B220,Players!$A$2:$A$105,0)),""))</f>
        <v>0.56</v>
      </c>
    </row>
    <row r="221" customFormat="false" ht="15" hidden="false" customHeight="false" outlineLevel="0" collapsed="false">
      <c r="A221" s="0" t="s">
        <v>1669</v>
      </c>
      <c r="B221" s="0" t="s">
        <v>1216</v>
      </c>
      <c r="C221" s="0" t="s">
        <v>1001</v>
      </c>
      <c r="D221" s="0" t="s">
        <v>775</v>
      </c>
      <c r="E221" s="0" t="s">
        <v>109</v>
      </c>
      <c r="F221" s="0" t="n">
        <v>6</v>
      </c>
      <c r="G221" s="0" t="n">
        <v>11.8</v>
      </c>
      <c r="H221" s="0" t="n">
        <v>0.59</v>
      </c>
      <c r="I221" s="10" t="n">
        <v>0.394</v>
      </c>
      <c r="J221" s="0" t="n">
        <v>0.86</v>
      </c>
      <c r="K221" s="13" t="n">
        <f aca="false">IF(H221&lt;&gt;"",H221,IFERROR(G221/INDEX(Players!$M$2:$M$105,MATCH(B221,Players!$A$2:$A$105,0)),""))</f>
        <v>0.59</v>
      </c>
    </row>
    <row r="222" customFormat="false" ht="15" hidden="false" customHeight="false" outlineLevel="0" collapsed="false">
      <c r="A222" s="0" t="s">
        <v>1670</v>
      </c>
      <c r="B222" s="0" t="s">
        <v>1216</v>
      </c>
      <c r="C222" s="0" t="s">
        <v>1001</v>
      </c>
      <c r="D222" s="0" t="s">
        <v>775</v>
      </c>
      <c r="E222" s="0" t="s">
        <v>149</v>
      </c>
      <c r="F222" s="0" t="n">
        <v>4</v>
      </c>
      <c r="G222" s="0" t="n">
        <v>8</v>
      </c>
      <c r="H222" s="0" t="n">
        <v>0.37</v>
      </c>
      <c r="I222" s="10" t="n">
        <v>0.469</v>
      </c>
      <c r="J222" s="0" t="n">
        <v>0.44</v>
      </c>
      <c r="K222" s="13" t="n">
        <f aca="false">IF(H222&lt;&gt;"",H222,IFERROR(G222/INDEX(Players!$M$2:$M$105,MATCH(B222,Players!$A$2:$A$105,0)),""))</f>
        <v>0.37</v>
      </c>
    </row>
    <row r="223" customFormat="false" ht="15" hidden="false" customHeight="false" outlineLevel="0" collapsed="false">
      <c r="A223" s="0" t="s">
        <v>1671</v>
      </c>
      <c r="B223" s="0" t="s">
        <v>1216</v>
      </c>
      <c r="C223" s="0" t="s">
        <v>1001</v>
      </c>
      <c r="D223" s="0" t="s">
        <v>775</v>
      </c>
      <c r="E223" s="0" t="s">
        <v>131</v>
      </c>
      <c r="F223" s="0" t="n">
        <v>3</v>
      </c>
      <c r="G223" s="0" t="n">
        <v>14.7</v>
      </c>
      <c r="H223" s="0" t="n">
        <v>0.56</v>
      </c>
      <c r="I223" s="10" t="n">
        <v>0.364</v>
      </c>
      <c r="J223" s="0" t="n">
        <v>0.85</v>
      </c>
      <c r="K223" s="13" t="n">
        <f aca="false">IF(H223&lt;&gt;"",H223,IFERROR(G223/INDEX(Players!$M$2:$M$105,MATCH(B223,Players!$A$2:$A$105,0)),""))</f>
        <v>0.56</v>
      </c>
    </row>
    <row r="224" customFormat="false" ht="15" hidden="false" customHeight="false" outlineLevel="0" collapsed="false">
      <c r="A224" s="0" t="s">
        <v>1672</v>
      </c>
      <c r="B224" s="0" t="s">
        <v>1212</v>
      </c>
      <c r="C224" s="0" t="s">
        <v>992</v>
      </c>
      <c r="D224" s="0" t="s">
        <v>775</v>
      </c>
      <c r="E224" s="0" t="s">
        <v>131</v>
      </c>
      <c r="F224" s="0" t="n">
        <v>9</v>
      </c>
      <c r="G224" s="0" t="n">
        <v>16</v>
      </c>
      <c r="H224" s="0" t="n">
        <v>0.72</v>
      </c>
      <c r="I224" s="10" t="n">
        <v>0.604</v>
      </c>
      <c r="J224" s="0" t="n">
        <v>1.11</v>
      </c>
      <c r="K224" s="13" t="n">
        <f aca="false">IF(H224&lt;&gt;"",H224,IFERROR(G224/INDEX(Players!$M$2:$M$105,MATCH(B224,Players!$A$2:$A$105,0)),""))</f>
        <v>0.72</v>
      </c>
    </row>
    <row r="225" customFormat="false" ht="15" hidden="false" customHeight="false" outlineLevel="0" collapsed="false">
      <c r="A225" s="0" t="s">
        <v>1673</v>
      </c>
      <c r="B225" s="0" t="s">
        <v>1212</v>
      </c>
      <c r="C225" s="0" t="s">
        <v>992</v>
      </c>
      <c r="D225" s="0" t="s">
        <v>775</v>
      </c>
      <c r="E225" s="0" t="s">
        <v>109</v>
      </c>
      <c r="F225" s="0" t="n">
        <v>8</v>
      </c>
      <c r="G225" s="0" t="n">
        <v>14.5</v>
      </c>
      <c r="H225" s="0" t="n">
        <v>0.69</v>
      </c>
      <c r="I225" s="10" t="n">
        <v>0.543</v>
      </c>
      <c r="J225" s="0" t="n">
        <v>1.08</v>
      </c>
      <c r="K225" s="13" t="n">
        <f aca="false">IF(H225&lt;&gt;"",H225,IFERROR(G225/INDEX(Players!$M$2:$M$105,MATCH(B225,Players!$A$2:$A$105,0)),""))</f>
        <v>0.69</v>
      </c>
    </row>
    <row r="226" customFormat="false" ht="15" hidden="false" customHeight="false" outlineLevel="0" collapsed="false">
      <c r="A226" s="0" t="s">
        <v>1674</v>
      </c>
      <c r="B226" s="0" t="s">
        <v>1212</v>
      </c>
      <c r="C226" s="0" t="s">
        <v>992</v>
      </c>
      <c r="D226" s="0" t="s">
        <v>775</v>
      </c>
      <c r="E226" s="0" t="s">
        <v>82</v>
      </c>
      <c r="F226" s="0" t="n">
        <v>7</v>
      </c>
      <c r="G226" s="0" t="n">
        <v>14.3</v>
      </c>
      <c r="H226" s="0" t="n">
        <v>0.71</v>
      </c>
      <c r="I226" s="10" t="n">
        <v>0.58</v>
      </c>
      <c r="J226" s="0" t="n">
        <v>1.11</v>
      </c>
      <c r="K226" s="13" t="n">
        <f aca="false">IF(H226&lt;&gt;"",H226,IFERROR(G226/INDEX(Players!$M$2:$M$105,MATCH(B226,Players!$A$2:$A$105,0)),""))</f>
        <v>0.71</v>
      </c>
    </row>
    <row r="227" customFormat="false" ht="15" hidden="false" customHeight="false" outlineLevel="0" collapsed="false">
      <c r="A227" s="0" t="s">
        <v>1675</v>
      </c>
      <c r="B227" s="0" t="s">
        <v>1212</v>
      </c>
      <c r="C227" s="0" t="s">
        <v>992</v>
      </c>
      <c r="D227" s="0" t="s">
        <v>775</v>
      </c>
      <c r="E227" s="0" t="s">
        <v>96</v>
      </c>
      <c r="F227" s="0" t="n">
        <v>6</v>
      </c>
      <c r="G227" s="0" t="n">
        <v>14.2</v>
      </c>
      <c r="H227" s="0" t="n">
        <v>0.69</v>
      </c>
      <c r="I227" s="10" t="n">
        <v>0.518</v>
      </c>
      <c r="J227" s="0" t="n">
        <v>1</v>
      </c>
      <c r="K227" s="13" t="n">
        <f aca="false">IF(H227&lt;&gt;"",H227,IFERROR(G227/INDEX(Players!$M$2:$M$105,MATCH(B227,Players!$A$2:$A$105,0)),""))</f>
        <v>0.69</v>
      </c>
    </row>
    <row r="228" customFormat="false" ht="15" hidden="false" customHeight="false" outlineLevel="0" collapsed="false">
      <c r="A228" s="0" t="s">
        <v>1676</v>
      </c>
      <c r="B228" s="0" t="s">
        <v>1212</v>
      </c>
      <c r="C228" s="0" t="s">
        <v>992</v>
      </c>
      <c r="D228" s="0" t="s">
        <v>775</v>
      </c>
      <c r="E228" s="0" t="s">
        <v>142</v>
      </c>
      <c r="F228" s="0" t="n">
        <v>4</v>
      </c>
      <c r="G228" s="0" t="n">
        <v>14.3</v>
      </c>
      <c r="H228" s="0" t="n">
        <v>0.65</v>
      </c>
      <c r="I228" s="10" t="n">
        <v>0.579</v>
      </c>
      <c r="J228" s="0" t="n">
        <v>1.06</v>
      </c>
      <c r="K228" s="13" t="n">
        <f aca="false">IF(H228&lt;&gt;"",H228,IFERROR(G228/INDEX(Players!$M$2:$M$105,MATCH(B228,Players!$A$2:$A$105,0)),""))</f>
        <v>0.65</v>
      </c>
    </row>
    <row r="229" customFormat="false" ht="15" hidden="false" customHeight="false" outlineLevel="0" collapsed="false">
      <c r="A229" s="0" t="s">
        <v>1677</v>
      </c>
      <c r="B229" s="0" t="s">
        <v>1212</v>
      </c>
      <c r="C229" s="0" t="s">
        <v>992</v>
      </c>
      <c r="D229" s="0" t="s">
        <v>775</v>
      </c>
      <c r="E229" s="0" t="s">
        <v>149</v>
      </c>
      <c r="F229" s="0" t="n">
        <v>2</v>
      </c>
      <c r="G229" s="0" t="n">
        <v>15.5</v>
      </c>
      <c r="H229" s="0" t="n">
        <v>0.66</v>
      </c>
      <c r="I229" s="10" t="n">
        <v>0.774</v>
      </c>
      <c r="J229" s="0" t="n">
        <v>0.89</v>
      </c>
      <c r="K229" s="13" t="n">
        <f aca="false">IF(H229&lt;&gt;"",H229,IFERROR(G229/INDEX(Players!$M$2:$M$105,MATCH(B229,Players!$A$2:$A$105,0)),""))</f>
        <v>0.66</v>
      </c>
    </row>
    <row r="230" customFormat="false" ht="15" hidden="false" customHeight="false" outlineLevel="0" collapsed="false">
      <c r="A230" s="0" t="s">
        <v>1678</v>
      </c>
      <c r="B230" s="0" t="s">
        <v>1213</v>
      </c>
      <c r="C230" s="0" t="s">
        <v>994</v>
      </c>
      <c r="D230" s="0" t="s">
        <v>775</v>
      </c>
      <c r="E230" s="0" t="s">
        <v>131</v>
      </c>
      <c r="F230" s="0" t="n">
        <v>9</v>
      </c>
      <c r="G230" s="0" t="n">
        <v>15.6</v>
      </c>
      <c r="H230" s="0" t="n">
        <v>0.7</v>
      </c>
      <c r="I230" s="10" t="n">
        <v>0.336</v>
      </c>
      <c r="J230" s="0" t="n">
        <v>1.09</v>
      </c>
      <c r="K230" s="13" t="n">
        <f aca="false">IF(H230&lt;&gt;"",H230,IFERROR(G230/INDEX(Players!$M$2:$M$105,MATCH(B230,Players!$A$2:$A$105,0)),""))</f>
        <v>0.7</v>
      </c>
    </row>
    <row r="231" customFormat="false" ht="15" hidden="false" customHeight="false" outlineLevel="0" collapsed="false">
      <c r="A231" s="0" t="s">
        <v>1679</v>
      </c>
      <c r="B231" s="0" t="s">
        <v>1213</v>
      </c>
      <c r="C231" s="0" t="s">
        <v>994</v>
      </c>
      <c r="D231" s="0" t="s">
        <v>775</v>
      </c>
      <c r="E231" s="0" t="s">
        <v>109</v>
      </c>
      <c r="F231" s="0" t="n">
        <v>8</v>
      </c>
      <c r="G231" s="0" t="n">
        <v>16.6</v>
      </c>
      <c r="H231" s="0" t="n">
        <v>0.79</v>
      </c>
      <c r="I231" s="10" t="n">
        <v>0.361</v>
      </c>
      <c r="J231" s="0" t="n">
        <v>1.33</v>
      </c>
      <c r="K231" s="13" t="n">
        <f aca="false">IF(H231&lt;&gt;"",H231,IFERROR(G231/INDEX(Players!$M$2:$M$105,MATCH(B231,Players!$A$2:$A$105,0)),""))</f>
        <v>0.79</v>
      </c>
    </row>
    <row r="232" customFormat="false" ht="15" hidden="false" customHeight="false" outlineLevel="0" collapsed="false">
      <c r="A232" s="0" t="s">
        <v>1680</v>
      </c>
      <c r="B232" s="0" t="s">
        <v>1213</v>
      </c>
      <c r="C232" s="0" t="s">
        <v>994</v>
      </c>
      <c r="D232" s="0" t="s">
        <v>775</v>
      </c>
      <c r="E232" s="0" t="s">
        <v>82</v>
      </c>
      <c r="F232" s="0" t="n">
        <v>7</v>
      </c>
      <c r="G232" s="0" t="n">
        <v>14.9</v>
      </c>
      <c r="H232" s="0" t="n">
        <v>0.74</v>
      </c>
      <c r="I232" s="10" t="n">
        <v>0.317</v>
      </c>
      <c r="J232" s="0" t="n">
        <v>1.2</v>
      </c>
      <c r="K232" s="13" t="n">
        <f aca="false">IF(H232&lt;&gt;"",H232,IFERROR(G232/INDEX(Players!$M$2:$M$105,MATCH(B232,Players!$A$2:$A$105,0)),""))</f>
        <v>0.74</v>
      </c>
    </row>
    <row r="233" customFormat="false" ht="15" hidden="false" customHeight="false" outlineLevel="0" collapsed="false">
      <c r="A233" s="0" t="s">
        <v>1681</v>
      </c>
      <c r="B233" s="0" t="s">
        <v>1213</v>
      </c>
      <c r="C233" s="0" t="s">
        <v>994</v>
      </c>
      <c r="D233" s="0" t="s">
        <v>775</v>
      </c>
      <c r="E233" s="0" t="s">
        <v>96</v>
      </c>
      <c r="F233" s="0" t="n">
        <v>6</v>
      </c>
      <c r="G233" s="0" t="n">
        <v>15</v>
      </c>
      <c r="H233" s="0" t="n">
        <v>0.73</v>
      </c>
      <c r="I233" s="10" t="n">
        <v>0.433</v>
      </c>
      <c r="J233" s="0" t="n">
        <v>1.07</v>
      </c>
      <c r="K233" s="13" t="n">
        <f aca="false">IF(H233&lt;&gt;"",H233,IFERROR(G233/INDEX(Players!$M$2:$M$105,MATCH(B233,Players!$A$2:$A$105,0)),""))</f>
        <v>0.73</v>
      </c>
    </row>
    <row r="234" customFormat="false" ht="15" hidden="false" customHeight="false" outlineLevel="0" collapsed="false">
      <c r="A234" s="0" t="s">
        <v>1682</v>
      </c>
      <c r="B234" s="0" t="s">
        <v>1213</v>
      </c>
      <c r="C234" s="0" t="s">
        <v>994</v>
      </c>
      <c r="D234" s="0" t="s">
        <v>775</v>
      </c>
      <c r="E234" s="0" t="s">
        <v>142</v>
      </c>
      <c r="F234" s="0" t="n">
        <v>4</v>
      </c>
      <c r="G234" s="0" t="n">
        <v>14.3</v>
      </c>
      <c r="H234" s="0" t="n">
        <v>0.65</v>
      </c>
      <c r="I234" s="10" t="n">
        <v>0.386</v>
      </c>
      <c r="J234" s="0" t="n">
        <v>1.08</v>
      </c>
      <c r="K234" s="13" t="n">
        <f aca="false">IF(H234&lt;&gt;"",H234,IFERROR(G234/INDEX(Players!$M$2:$M$105,MATCH(B234,Players!$A$2:$A$105,0)),""))</f>
        <v>0.65</v>
      </c>
    </row>
    <row r="235" customFormat="false" ht="15" hidden="false" customHeight="false" outlineLevel="0" collapsed="false">
      <c r="A235" s="0" t="s">
        <v>1683</v>
      </c>
      <c r="B235" s="0" t="s">
        <v>1213</v>
      </c>
      <c r="C235" s="0" t="s">
        <v>994</v>
      </c>
      <c r="D235" s="0" t="s">
        <v>775</v>
      </c>
      <c r="E235" s="0" t="s">
        <v>149</v>
      </c>
      <c r="F235" s="0" t="n">
        <v>2</v>
      </c>
      <c r="G235" s="0" t="n">
        <v>20</v>
      </c>
      <c r="H235" s="0" t="n">
        <v>0.85</v>
      </c>
      <c r="I235" s="10" t="n">
        <v>0.3</v>
      </c>
      <c r="J235" s="0" t="n">
        <v>1.54</v>
      </c>
      <c r="K235" s="13" t="n">
        <f aca="false">IF(H235&lt;&gt;"",H235,IFERROR(G235/INDEX(Players!$M$2:$M$105,MATCH(B235,Players!$A$2:$A$105,0)),""))</f>
        <v>0.85</v>
      </c>
    </row>
    <row r="236" customFormat="false" ht="15" hidden="false" customHeight="false" outlineLevel="0" collapsed="false">
      <c r="A236" s="0" t="s">
        <v>1684</v>
      </c>
      <c r="B236" s="0" t="s">
        <v>1217</v>
      </c>
      <c r="C236" s="0" t="s">
        <v>1003</v>
      </c>
      <c r="D236" s="0" t="s">
        <v>775</v>
      </c>
      <c r="E236" s="0" t="s">
        <v>109</v>
      </c>
      <c r="F236" s="0" t="n">
        <v>9</v>
      </c>
      <c r="G236" s="0" t="n">
        <v>14.9</v>
      </c>
      <c r="H236" s="0" t="n">
        <v>0.67</v>
      </c>
      <c r="I236" s="10" t="n">
        <v>0.299</v>
      </c>
      <c r="J236" s="0" t="n">
        <v>1.33</v>
      </c>
      <c r="K236" s="13" t="n">
        <f aca="false">IF(H236&lt;&gt;"",H236,IFERROR(G236/INDEX(Players!$M$2:$M$105,MATCH(B236,Players!$A$2:$A$105,0)),""))</f>
        <v>0.67</v>
      </c>
    </row>
    <row r="237" customFormat="false" ht="15" hidden="false" customHeight="false" outlineLevel="0" collapsed="false">
      <c r="A237" s="0" t="s">
        <v>1685</v>
      </c>
      <c r="B237" s="0" t="s">
        <v>1217</v>
      </c>
      <c r="C237" s="0" t="s">
        <v>1003</v>
      </c>
      <c r="D237" s="0" t="s">
        <v>775</v>
      </c>
      <c r="E237" s="0" t="s">
        <v>82</v>
      </c>
      <c r="F237" s="0" t="n">
        <v>9</v>
      </c>
      <c r="G237" s="0" t="n">
        <v>13</v>
      </c>
      <c r="H237" s="0" t="n">
        <v>0.63</v>
      </c>
      <c r="I237" s="10" t="n">
        <v>0.325</v>
      </c>
      <c r="J237" s="0" t="n">
        <v>1.31</v>
      </c>
      <c r="K237" s="13" t="n">
        <f aca="false">IF(H237&lt;&gt;"",H237,IFERROR(G237/INDEX(Players!$M$2:$M$105,MATCH(B237,Players!$A$2:$A$105,0)),""))</f>
        <v>0.63</v>
      </c>
    </row>
    <row r="238" customFormat="false" ht="15" hidden="false" customHeight="false" outlineLevel="0" collapsed="false">
      <c r="A238" s="0" t="s">
        <v>1686</v>
      </c>
      <c r="B238" s="0" t="s">
        <v>1217</v>
      </c>
      <c r="C238" s="0" t="s">
        <v>1003</v>
      </c>
      <c r="D238" s="0" t="s">
        <v>775</v>
      </c>
      <c r="E238" s="0" t="s">
        <v>96</v>
      </c>
      <c r="F238" s="0" t="n">
        <v>6</v>
      </c>
      <c r="G238" s="0" t="n">
        <v>11.5</v>
      </c>
      <c r="H238" s="0" t="n">
        <v>0.58</v>
      </c>
      <c r="I238" s="10" t="n">
        <v>0.261</v>
      </c>
      <c r="J238" s="0" t="n">
        <v>0.92</v>
      </c>
      <c r="K238" s="13" t="n">
        <f aca="false">IF(H238&lt;&gt;"",H238,IFERROR(G238/INDEX(Players!$M$2:$M$105,MATCH(B238,Players!$A$2:$A$105,0)),""))</f>
        <v>0.58</v>
      </c>
    </row>
    <row r="239" customFormat="false" ht="15" hidden="false" customHeight="false" outlineLevel="0" collapsed="false">
      <c r="A239" s="0" t="s">
        <v>1687</v>
      </c>
      <c r="B239" s="0" t="s">
        <v>1217</v>
      </c>
      <c r="C239" s="0" t="s">
        <v>1003</v>
      </c>
      <c r="D239" s="0" t="s">
        <v>775</v>
      </c>
      <c r="E239" s="0" t="s">
        <v>142</v>
      </c>
      <c r="F239" s="0" t="n">
        <v>5</v>
      </c>
      <c r="G239" s="0" t="n">
        <v>13.4</v>
      </c>
      <c r="H239" s="0" t="n">
        <v>0.61</v>
      </c>
      <c r="I239" s="10" t="n">
        <v>0.343</v>
      </c>
      <c r="J239" s="0" t="n">
        <v>1.02</v>
      </c>
      <c r="K239" s="13" t="n">
        <f aca="false">IF(H239&lt;&gt;"",H239,IFERROR(G239/INDEX(Players!$M$2:$M$105,MATCH(B239,Players!$A$2:$A$105,0)),""))</f>
        <v>0.61</v>
      </c>
    </row>
    <row r="240" customFormat="false" ht="15" hidden="false" customHeight="false" outlineLevel="0" collapsed="false">
      <c r="A240" s="0" t="s">
        <v>1688</v>
      </c>
      <c r="B240" s="0" t="s">
        <v>1217</v>
      </c>
      <c r="C240" s="0" t="s">
        <v>1003</v>
      </c>
      <c r="D240" s="0" t="s">
        <v>775</v>
      </c>
      <c r="E240" s="0" t="s">
        <v>149</v>
      </c>
      <c r="F240" s="0" t="n">
        <v>4</v>
      </c>
      <c r="G240" s="0" t="n">
        <v>13.3</v>
      </c>
      <c r="H240" s="0" t="n">
        <v>0.71</v>
      </c>
      <c r="I240" s="10" t="n">
        <v>0.302</v>
      </c>
      <c r="J240" s="0" t="n">
        <v>1.06</v>
      </c>
      <c r="K240" s="13" t="n">
        <f aca="false">IF(H240&lt;&gt;"",H240,IFERROR(G240/INDEX(Players!$M$2:$M$105,MATCH(B240,Players!$A$2:$A$105,0)),""))</f>
        <v>0.71</v>
      </c>
    </row>
    <row r="241" customFormat="false" ht="15" hidden="false" customHeight="false" outlineLevel="0" collapsed="false">
      <c r="A241" s="0" t="s">
        <v>1689</v>
      </c>
      <c r="B241" s="0" t="s">
        <v>1217</v>
      </c>
      <c r="C241" s="0" t="s">
        <v>1003</v>
      </c>
      <c r="D241" s="0" t="s">
        <v>775</v>
      </c>
      <c r="E241" s="0" t="s">
        <v>131</v>
      </c>
      <c r="F241" s="0" t="n">
        <v>2</v>
      </c>
      <c r="G241" s="0" t="n">
        <v>11.5</v>
      </c>
      <c r="H241" s="0" t="n">
        <v>0.49</v>
      </c>
      <c r="I241" s="10" t="n">
        <v>0.174</v>
      </c>
      <c r="J241" s="0" t="n">
        <v>0.82</v>
      </c>
      <c r="K241" s="13" t="n">
        <f aca="false">IF(H241&lt;&gt;"",H241,IFERROR(G241/INDEX(Players!$M$2:$M$105,MATCH(B241,Players!$A$2:$A$105,0)),""))</f>
        <v>0.49</v>
      </c>
    </row>
    <row r="242" customFormat="false" ht="15" hidden="false" customHeight="false" outlineLevel="0" collapsed="false">
      <c r="A242" s="0" t="s">
        <v>1690</v>
      </c>
      <c r="B242" s="0" t="s">
        <v>1204</v>
      </c>
      <c r="C242" s="0" t="s">
        <v>975</v>
      </c>
      <c r="D242" s="0" t="s">
        <v>775</v>
      </c>
      <c r="E242" s="0" t="s">
        <v>131</v>
      </c>
      <c r="F242" s="0" t="n">
        <v>11</v>
      </c>
      <c r="G242" s="0" t="n">
        <v>14.4</v>
      </c>
      <c r="H242" s="0" t="n">
        <v>0.68</v>
      </c>
      <c r="I242" s="10" t="n">
        <v>0.525</v>
      </c>
      <c r="J242" s="0" t="n">
        <v>0.95</v>
      </c>
      <c r="K242" s="13" t="n">
        <f aca="false">IF(H242&lt;&gt;"",H242,IFERROR(G242/INDEX(Players!$M$2:$M$105,MATCH(B242,Players!$A$2:$A$105,0)),""))</f>
        <v>0.68</v>
      </c>
    </row>
    <row r="243" customFormat="false" ht="15" hidden="false" customHeight="false" outlineLevel="0" collapsed="false">
      <c r="A243" s="0" t="s">
        <v>1691</v>
      </c>
      <c r="B243" s="0" t="s">
        <v>1204</v>
      </c>
      <c r="C243" s="0" t="s">
        <v>975</v>
      </c>
      <c r="D243" s="0" t="s">
        <v>775</v>
      </c>
      <c r="E243" s="0" t="s">
        <v>142</v>
      </c>
      <c r="F243" s="0" t="n">
        <v>8</v>
      </c>
      <c r="G243" s="0" t="n">
        <v>15.9</v>
      </c>
      <c r="H243" s="0" t="n">
        <v>0.73</v>
      </c>
      <c r="I243" s="10" t="n">
        <v>0.559</v>
      </c>
      <c r="J243" s="0" t="n">
        <v>1.04</v>
      </c>
      <c r="K243" s="13" t="n">
        <f aca="false">IF(H243&lt;&gt;"",H243,IFERROR(G243/INDEX(Players!$M$2:$M$105,MATCH(B243,Players!$A$2:$A$105,0)),""))</f>
        <v>0.73</v>
      </c>
    </row>
    <row r="244" customFormat="false" ht="15" hidden="false" customHeight="false" outlineLevel="0" collapsed="false">
      <c r="A244" s="0" t="s">
        <v>1692</v>
      </c>
      <c r="B244" s="0" t="s">
        <v>1204</v>
      </c>
      <c r="C244" s="0" t="s">
        <v>975</v>
      </c>
      <c r="D244" s="0" t="s">
        <v>775</v>
      </c>
      <c r="E244" s="0" t="s">
        <v>109</v>
      </c>
      <c r="F244" s="0" t="n">
        <v>7</v>
      </c>
      <c r="G244" s="0" t="n">
        <v>13</v>
      </c>
      <c r="H244" s="0" t="n">
        <v>0.63</v>
      </c>
      <c r="I244" s="10" t="n">
        <v>0.582</v>
      </c>
      <c r="J244" s="0" t="n">
        <v>0.96</v>
      </c>
      <c r="K244" s="13" t="n">
        <f aca="false">IF(H244&lt;&gt;"",H244,IFERROR(G244/INDEX(Players!$M$2:$M$105,MATCH(B244,Players!$A$2:$A$105,0)),""))</f>
        <v>0.63</v>
      </c>
    </row>
    <row r="245" customFormat="false" ht="15" hidden="false" customHeight="false" outlineLevel="0" collapsed="false">
      <c r="A245" s="0" t="s">
        <v>1693</v>
      </c>
      <c r="B245" s="0" t="s">
        <v>1204</v>
      </c>
      <c r="C245" s="0" t="s">
        <v>975</v>
      </c>
      <c r="D245" s="0" t="s">
        <v>775</v>
      </c>
      <c r="E245" s="0" t="s">
        <v>82</v>
      </c>
      <c r="F245" s="0" t="n">
        <v>6</v>
      </c>
      <c r="G245" s="0" t="n">
        <v>11.7</v>
      </c>
      <c r="H245" s="0" t="n">
        <v>0.49</v>
      </c>
      <c r="I245" s="10" t="n">
        <v>0.614</v>
      </c>
      <c r="J245" s="0" t="n">
        <v>0.64</v>
      </c>
      <c r="K245" s="13" t="n">
        <f aca="false">IF(H245&lt;&gt;"",H245,IFERROR(G245/INDEX(Players!$M$2:$M$105,MATCH(B245,Players!$A$2:$A$105,0)),""))</f>
        <v>0.49</v>
      </c>
    </row>
    <row r="246" customFormat="false" ht="15" hidden="false" customHeight="false" outlineLevel="0" collapsed="false">
      <c r="A246" s="0" t="s">
        <v>1694</v>
      </c>
      <c r="B246" s="0" t="s">
        <v>1204</v>
      </c>
      <c r="C246" s="0" t="s">
        <v>975</v>
      </c>
      <c r="D246" s="0" t="s">
        <v>775</v>
      </c>
      <c r="E246" s="0" t="s">
        <v>96</v>
      </c>
      <c r="F246" s="0" t="n">
        <v>3</v>
      </c>
      <c r="G246" s="0" t="n">
        <v>12.3</v>
      </c>
      <c r="H246" s="0" t="n">
        <v>0.56</v>
      </c>
      <c r="I246" s="10" t="n">
        <v>0.595</v>
      </c>
      <c r="J246" s="0" t="n">
        <v>0.9</v>
      </c>
      <c r="K246" s="13" t="n">
        <f aca="false">IF(H246&lt;&gt;"",H246,IFERROR(G246/INDEX(Players!$M$2:$M$105,MATCH(B246,Players!$A$2:$A$105,0)),""))</f>
        <v>0.56</v>
      </c>
    </row>
    <row r="247" customFormat="false" ht="15" hidden="false" customHeight="false" outlineLevel="0" collapsed="false">
      <c r="A247" s="0" t="s">
        <v>1695</v>
      </c>
      <c r="B247" s="0" t="s">
        <v>1204</v>
      </c>
      <c r="C247" s="0" t="s">
        <v>975</v>
      </c>
      <c r="D247" s="0" t="s">
        <v>775</v>
      </c>
      <c r="E247" s="0" t="s">
        <v>118</v>
      </c>
      <c r="F247" s="0" t="n">
        <v>2</v>
      </c>
      <c r="G247" s="0" t="n">
        <v>11</v>
      </c>
      <c r="H247" s="0" t="n">
        <v>0.48</v>
      </c>
      <c r="I247" s="10" t="n">
        <v>0.545</v>
      </c>
      <c r="J247" s="0" t="n">
        <v>0.67</v>
      </c>
      <c r="K247" s="13" t="n">
        <f aca="false">IF(H247&lt;&gt;"",H247,IFERROR(G247/INDEX(Players!$M$2:$M$105,MATCH(B247,Players!$A$2:$A$105,0)),""))</f>
        <v>0.48</v>
      </c>
    </row>
    <row r="248" customFormat="false" ht="15" hidden="false" customHeight="false" outlineLevel="0" collapsed="false">
      <c r="A248" s="0" t="s">
        <v>1696</v>
      </c>
      <c r="B248" s="0" t="s">
        <v>1178</v>
      </c>
      <c r="C248" s="0" t="s">
        <v>919</v>
      </c>
      <c r="D248" s="0" t="s">
        <v>775</v>
      </c>
      <c r="E248" s="0" t="s">
        <v>131</v>
      </c>
      <c r="F248" s="0" t="n">
        <v>8</v>
      </c>
      <c r="G248" s="0" t="n">
        <v>18.8</v>
      </c>
      <c r="H248" s="0" t="n">
        <v>0.94</v>
      </c>
      <c r="I248" s="10" t="n">
        <v>0.507</v>
      </c>
      <c r="J248" s="0" t="n">
        <v>1.74</v>
      </c>
      <c r="K248" s="13" t="n">
        <f aca="false">IF(H248&lt;&gt;"",H248,IFERROR(G248/INDEX(Players!$M$2:$M$105,MATCH(B248,Players!$A$2:$A$105,0)),""))</f>
        <v>0.94</v>
      </c>
    </row>
    <row r="249" customFormat="false" ht="15" hidden="false" customHeight="false" outlineLevel="0" collapsed="false">
      <c r="A249" s="0" t="s">
        <v>1697</v>
      </c>
      <c r="B249" s="0" t="s">
        <v>1178</v>
      </c>
      <c r="C249" s="0" t="s">
        <v>919</v>
      </c>
      <c r="D249" s="0" t="s">
        <v>775</v>
      </c>
      <c r="E249" s="0" t="s">
        <v>118</v>
      </c>
      <c r="F249" s="0" t="n">
        <v>6</v>
      </c>
      <c r="G249" s="0" t="n">
        <v>13.8</v>
      </c>
      <c r="H249" s="0" t="n">
        <v>0.71</v>
      </c>
      <c r="I249" s="10" t="n">
        <v>0.482</v>
      </c>
      <c r="J249" s="0" t="n">
        <v>1.28</v>
      </c>
      <c r="K249" s="13" t="n">
        <f aca="false">IF(H249&lt;&gt;"",H249,IFERROR(G249/INDEX(Players!$M$2:$M$105,MATCH(B249,Players!$A$2:$A$105,0)),""))</f>
        <v>0.71</v>
      </c>
    </row>
    <row r="250" customFormat="false" ht="15" hidden="false" customHeight="false" outlineLevel="0" collapsed="false">
      <c r="A250" s="0" t="s">
        <v>1698</v>
      </c>
      <c r="B250" s="0" t="s">
        <v>1178</v>
      </c>
      <c r="C250" s="0" t="s">
        <v>919</v>
      </c>
      <c r="D250" s="0" t="s">
        <v>775</v>
      </c>
      <c r="E250" s="0" t="s">
        <v>96</v>
      </c>
      <c r="F250" s="0" t="n">
        <v>5</v>
      </c>
      <c r="G250" s="0" t="n">
        <v>14.4</v>
      </c>
      <c r="H250" s="0" t="n">
        <v>0.69</v>
      </c>
      <c r="I250" s="10" t="n">
        <v>0.472</v>
      </c>
      <c r="J250" s="0" t="n">
        <v>1</v>
      </c>
      <c r="K250" s="13" t="n">
        <f aca="false">IF(H250&lt;&gt;"",H250,IFERROR(G250/INDEX(Players!$M$2:$M$105,MATCH(B250,Players!$A$2:$A$105,0)),""))</f>
        <v>0.69</v>
      </c>
    </row>
    <row r="251" customFormat="false" ht="15" hidden="false" customHeight="false" outlineLevel="0" collapsed="false">
      <c r="A251" s="0" t="s">
        <v>1699</v>
      </c>
      <c r="B251" s="0" t="s">
        <v>1178</v>
      </c>
      <c r="C251" s="0" t="s">
        <v>919</v>
      </c>
      <c r="D251" s="0" t="s">
        <v>775</v>
      </c>
      <c r="E251" s="0" t="s">
        <v>82</v>
      </c>
      <c r="F251" s="0" t="n">
        <v>3</v>
      </c>
      <c r="G251" s="0" t="n">
        <v>11</v>
      </c>
      <c r="H251" s="0" t="n">
        <v>0.63</v>
      </c>
      <c r="I251" s="10" t="n">
        <v>0.303</v>
      </c>
      <c r="J251" s="0" t="n">
        <v>1.1</v>
      </c>
      <c r="K251" s="13" t="n">
        <f aca="false">IF(H251&lt;&gt;"",H251,IFERROR(G251/INDEX(Players!$M$2:$M$105,MATCH(B251,Players!$A$2:$A$105,0)),""))</f>
        <v>0.63</v>
      </c>
    </row>
    <row r="252" customFormat="false" ht="15" hidden="false" customHeight="false" outlineLevel="0" collapsed="false">
      <c r="A252" s="0" t="s">
        <v>1700</v>
      </c>
      <c r="B252" s="0" t="s">
        <v>1178</v>
      </c>
      <c r="C252" s="0" t="s">
        <v>919</v>
      </c>
      <c r="D252" s="0" t="s">
        <v>775</v>
      </c>
      <c r="E252" s="0" t="s">
        <v>142</v>
      </c>
      <c r="F252" s="0" t="n">
        <v>3</v>
      </c>
      <c r="G252" s="0" t="n">
        <v>20</v>
      </c>
      <c r="H252" s="0" t="n">
        <v>0.67</v>
      </c>
      <c r="I252" s="10" t="n">
        <v>0.383</v>
      </c>
      <c r="J252" s="0" t="n">
        <v>1.09</v>
      </c>
      <c r="K252" s="13" t="n">
        <f aca="false">IF(H252&lt;&gt;"",H252,IFERROR(G252/INDEX(Players!$M$2:$M$105,MATCH(B252,Players!$A$2:$A$105,0)),""))</f>
        <v>0.67</v>
      </c>
    </row>
    <row r="253" customFormat="false" ht="15" hidden="false" customHeight="false" outlineLevel="0" collapsed="false">
      <c r="A253" s="0" t="s">
        <v>1701</v>
      </c>
      <c r="B253" s="0" t="s">
        <v>1178</v>
      </c>
      <c r="C253" s="0" t="s">
        <v>919</v>
      </c>
      <c r="D253" s="0" t="s">
        <v>775</v>
      </c>
      <c r="E253" s="0" t="s">
        <v>149</v>
      </c>
      <c r="F253" s="0" t="n">
        <v>2</v>
      </c>
      <c r="G253" s="0" t="n">
        <v>16</v>
      </c>
      <c r="H253" s="0" t="n">
        <v>0.8</v>
      </c>
      <c r="I253" s="10" t="n">
        <v>0.438</v>
      </c>
      <c r="J253" s="0" t="n">
        <v>1</v>
      </c>
      <c r="K253" s="13" t="n">
        <f aca="false">IF(H253&lt;&gt;"",H253,IFERROR(G253/INDEX(Players!$M$2:$M$105,MATCH(B253,Players!$A$2:$A$105,0)),""))</f>
        <v>0.8</v>
      </c>
    </row>
    <row r="254" customFormat="false" ht="15" hidden="false" customHeight="false" outlineLevel="0" collapsed="false">
      <c r="A254" s="0" t="s">
        <v>1702</v>
      </c>
      <c r="B254" s="0" t="s">
        <v>1178</v>
      </c>
      <c r="C254" s="0" t="s">
        <v>919</v>
      </c>
      <c r="D254" s="0" t="s">
        <v>775</v>
      </c>
      <c r="E254" s="0" t="s">
        <v>109</v>
      </c>
      <c r="F254" s="0" t="n">
        <v>1</v>
      </c>
      <c r="G254" s="0" t="n">
        <v>18</v>
      </c>
      <c r="H254" s="0" t="n">
        <v>0.86</v>
      </c>
      <c r="I254" s="10" t="n">
        <v>0.778</v>
      </c>
      <c r="J254" s="0" t="n">
        <v>1.13</v>
      </c>
      <c r="K254" s="13" t="n">
        <f aca="false">IF(H254&lt;&gt;"",H254,IFERROR(G254/INDEX(Players!$M$2:$M$105,MATCH(B254,Players!$A$2:$A$105,0)),""))</f>
        <v>0.86</v>
      </c>
    </row>
    <row r="255" customFormat="false" ht="15" hidden="false" customHeight="false" outlineLevel="0" collapsed="false">
      <c r="A255" s="0" t="s">
        <v>1703</v>
      </c>
      <c r="B255" s="0" t="s">
        <v>1267</v>
      </c>
      <c r="C255" s="0" t="s">
        <v>1107</v>
      </c>
      <c r="D255" s="0" t="s">
        <v>775</v>
      </c>
      <c r="E255" s="0" t="s">
        <v>131</v>
      </c>
      <c r="F255" s="0" t="n">
        <v>8</v>
      </c>
      <c r="G255" s="0" t="n">
        <v>14.9</v>
      </c>
      <c r="H255" s="0" t="n">
        <v>0.68</v>
      </c>
      <c r="I255" s="10" t="n">
        <v>0.429</v>
      </c>
      <c r="J255" s="0" t="n">
        <v>1.18</v>
      </c>
      <c r="K255" s="13" t="n">
        <f aca="false">IF(H255&lt;&gt;"",H255,IFERROR(G255/INDEX(Players!$M$2:$M$105,MATCH(B255,Players!$A$2:$A$105,0)),""))</f>
        <v>0.68</v>
      </c>
    </row>
    <row r="256" customFormat="false" ht="15" hidden="false" customHeight="false" outlineLevel="0" collapsed="false">
      <c r="A256" s="0" t="s">
        <v>1704</v>
      </c>
      <c r="B256" s="0" t="s">
        <v>1267</v>
      </c>
      <c r="C256" s="0" t="s">
        <v>1107</v>
      </c>
      <c r="D256" s="0" t="s">
        <v>775</v>
      </c>
      <c r="E256" s="0" t="s">
        <v>142</v>
      </c>
      <c r="F256" s="0" t="n">
        <v>8</v>
      </c>
      <c r="G256" s="0" t="n">
        <v>15.6</v>
      </c>
      <c r="H256" s="0" t="n">
        <v>0.67</v>
      </c>
      <c r="I256" s="10" t="n">
        <v>0.32</v>
      </c>
      <c r="J256" s="0" t="n">
        <v>1.17</v>
      </c>
      <c r="K256" s="13" t="n">
        <f aca="false">IF(H256&lt;&gt;"",H256,IFERROR(G256/INDEX(Players!$M$2:$M$105,MATCH(B256,Players!$A$2:$A$105,0)),""))</f>
        <v>0.67</v>
      </c>
    </row>
    <row r="257" customFormat="false" ht="15" hidden="false" customHeight="false" outlineLevel="0" collapsed="false">
      <c r="A257" s="0" t="s">
        <v>1705</v>
      </c>
      <c r="B257" s="0" t="s">
        <v>1267</v>
      </c>
      <c r="C257" s="0" t="s">
        <v>1107</v>
      </c>
      <c r="D257" s="0" t="s">
        <v>775</v>
      </c>
      <c r="E257" s="0" t="s">
        <v>109</v>
      </c>
      <c r="F257" s="0" t="n">
        <v>5</v>
      </c>
      <c r="G257" s="0" t="n">
        <v>13.8</v>
      </c>
      <c r="H257" s="0" t="n">
        <v>0.75</v>
      </c>
      <c r="I257" s="10" t="n">
        <v>0.29</v>
      </c>
      <c r="J257" s="0" t="n">
        <v>1.47</v>
      </c>
      <c r="K257" s="13" t="n">
        <f aca="false">IF(H257&lt;&gt;"",H257,IFERROR(G257/INDEX(Players!$M$2:$M$105,MATCH(B257,Players!$A$2:$A$105,0)),""))</f>
        <v>0.75</v>
      </c>
    </row>
    <row r="258" customFormat="false" ht="15" hidden="false" customHeight="false" outlineLevel="0" collapsed="false">
      <c r="A258" s="0" t="s">
        <v>1706</v>
      </c>
      <c r="B258" s="0" t="s">
        <v>1267</v>
      </c>
      <c r="C258" s="0" t="s">
        <v>1107</v>
      </c>
      <c r="D258" s="0" t="s">
        <v>775</v>
      </c>
      <c r="E258" s="0" t="s">
        <v>118</v>
      </c>
      <c r="F258" s="0" t="n">
        <v>5</v>
      </c>
      <c r="G258" s="0" t="n">
        <v>13.6</v>
      </c>
      <c r="H258" s="0" t="n">
        <v>0.66</v>
      </c>
      <c r="I258" s="10" t="n">
        <v>0.235</v>
      </c>
      <c r="J258" s="0" t="n">
        <v>1</v>
      </c>
      <c r="K258" s="13" t="n">
        <f aca="false">IF(H258&lt;&gt;"",H258,IFERROR(G258/INDEX(Players!$M$2:$M$105,MATCH(B258,Players!$A$2:$A$105,0)),""))</f>
        <v>0.66</v>
      </c>
    </row>
    <row r="259" customFormat="false" ht="15" hidden="false" customHeight="false" outlineLevel="0" collapsed="false">
      <c r="A259" s="0" t="s">
        <v>1707</v>
      </c>
      <c r="B259" s="0" t="s">
        <v>1267</v>
      </c>
      <c r="C259" s="0" t="s">
        <v>1107</v>
      </c>
      <c r="D259" s="0" t="s">
        <v>775</v>
      </c>
      <c r="E259" s="0" t="s">
        <v>96</v>
      </c>
      <c r="F259" s="0" t="n">
        <v>3</v>
      </c>
      <c r="G259" s="0" t="n">
        <v>12</v>
      </c>
      <c r="H259" s="0" t="n">
        <v>0.63</v>
      </c>
      <c r="I259" s="10" t="n">
        <v>0.278</v>
      </c>
      <c r="J259" s="0" t="n">
        <v>0.88</v>
      </c>
      <c r="K259" s="13" t="n">
        <f aca="false">IF(H259&lt;&gt;"",H259,IFERROR(G259/INDEX(Players!$M$2:$M$105,MATCH(B259,Players!$A$2:$A$105,0)),""))</f>
        <v>0.63</v>
      </c>
    </row>
    <row r="260" customFormat="false" ht="15" hidden="false" customHeight="false" outlineLevel="0" collapsed="false">
      <c r="A260" s="0" t="s">
        <v>1708</v>
      </c>
      <c r="B260" s="0" t="s">
        <v>1267</v>
      </c>
      <c r="C260" s="0" t="s">
        <v>1107</v>
      </c>
      <c r="D260" s="0" t="s">
        <v>775</v>
      </c>
      <c r="E260" s="0" t="s">
        <v>149</v>
      </c>
      <c r="F260" s="0" t="n">
        <v>2</v>
      </c>
      <c r="G260" s="0" t="n">
        <v>13.5</v>
      </c>
      <c r="H260" s="0" t="n">
        <v>0.73</v>
      </c>
      <c r="I260" s="10" t="n">
        <v>0.259</v>
      </c>
      <c r="J260" s="0" t="n">
        <v>1.8</v>
      </c>
      <c r="K260" s="13" t="n">
        <f aca="false">IF(H260&lt;&gt;"",H260,IFERROR(G260/INDEX(Players!$M$2:$M$105,MATCH(B260,Players!$A$2:$A$105,0)),""))</f>
        <v>0.73</v>
      </c>
    </row>
    <row r="261" customFormat="false" ht="15" hidden="false" customHeight="false" outlineLevel="0" collapsed="false">
      <c r="A261" s="0" t="s">
        <v>1709</v>
      </c>
      <c r="B261" s="0" t="s">
        <v>1225</v>
      </c>
      <c r="C261" s="0" t="s">
        <v>1021</v>
      </c>
      <c r="D261" s="0" t="s">
        <v>775</v>
      </c>
      <c r="E261" s="0" t="s">
        <v>96</v>
      </c>
      <c r="F261" s="0" t="n">
        <v>8</v>
      </c>
      <c r="G261" s="0" t="n">
        <v>19.5</v>
      </c>
      <c r="H261" s="0" t="n">
        <v>0.81</v>
      </c>
      <c r="I261" s="10" t="n">
        <v>0.647</v>
      </c>
      <c r="J261" s="0" t="n">
        <v>1.2</v>
      </c>
      <c r="K261" s="13" t="n">
        <f aca="false">IF(H261&lt;&gt;"",H261,IFERROR(G261/INDEX(Players!$M$2:$M$105,MATCH(B261,Players!$A$2:$A$105,0)),""))</f>
        <v>0.81</v>
      </c>
    </row>
    <row r="262" customFormat="false" ht="15" hidden="false" customHeight="false" outlineLevel="0" collapsed="false">
      <c r="A262" s="0" t="s">
        <v>1710</v>
      </c>
      <c r="B262" s="0" t="s">
        <v>1225</v>
      </c>
      <c r="C262" s="0" t="s">
        <v>1021</v>
      </c>
      <c r="D262" s="0" t="s">
        <v>775</v>
      </c>
      <c r="E262" s="0" t="s">
        <v>149</v>
      </c>
      <c r="F262" s="0" t="n">
        <v>7</v>
      </c>
      <c r="G262" s="0" t="n">
        <v>19.9</v>
      </c>
      <c r="H262" s="0" t="n">
        <v>0.81</v>
      </c>
      <c r="I262" s="10" t="n">
        <v>0.59</v>
      </c>
      <c r="J262" s="0" t="n">
        <v>1.3</v>
      </c>
      <c r="K262" s="13" t="n">
        <f aca="false">IF(H262&lt;&gt;"",H262,IFERROR(G262/INDEX(Players!$M$2:$M$105,MATCH(B262,Players!$A$2:$A$105,0)),""))</f>
        <v>0.81</v>
      </c>
    </row>
    <row r="263" customFormat="false" ht="15" hidden="false" customHeight="false" outlineLevel="0" collapsed="false">
      <c r="A263" s="0" t="s">
        <v>1711</v>
      </c>
      <c r="B263" s="0" t="s">
        <v>1225</v>
      </c>
      <c r="C263" s="0" t="s">
        <v>1021</v>
      </c>
      <c r="D263" s="0" t="s">
        <v>775</v>
      </c>
      <c r="E263" s="0" t="s">
        <v>131</v>
      </c>
      <c r="F263" s="0" t="n">
        <v>6</v>
      </c>
      <c r="G263" s="0" t="n">
        <v>16.7</v>
      </c>
      <c r="H263" s="0" t="n">
        <v>0.82</v>
      </c>
      <c r="I263" s="10" t="n">
        <v>0.61</v>
      </c>
      <c r="J263" s="0" t="n">
        <v>1.18</v>
      </c>
      <c r="K263" s="13" t="n">
        <f aca="false">IF(H263&lt;&gt;"",H263,IFERROR(G263/INDEX(Players!$M$2:$M$105,MATCH(B263,Players!$A$2:$A$105,0)),""))</f>
        <v>0.82</v>
      </c>
    </row>
    <row r="264" customFormat="false" ht="15" hidden="false" customHeight="false" outlineLevel="0" collapsed="false">
      <c r="A264" s="0" t="s">
        <v>1712</v>
      </c>
      <c r="B264" s="0" t="s">
        <v>1225</v>
      </c>
      <c r="C264" s="0" t="s">
        <v>1021</v>
      </c>
      <c r="D264" s="0" t="s">
        <v>775</v>
      </c>
      <c r="E264" s="0" t="s">
        <v>82</v>
      </c>
      <c r="F264" s="0" t="n">
        <v>5</v>
      </c>
      <c r="G264" s="0" t="n">
        <v>17.2</v>
      </c>
      <c r="H264" s="0" t="n">
        <v>0.85</v>
      </c>
      <c r="I264" s="10" t="n">
        <v>0.558</v>
      </c>
      <c r="J264" s="0" t="n">
        <v>1.69</v>
      </c>
      <c r="K264" s="13" t="n">
        <f aca="false">IF(H264&lt;&gt;"",H264,IFERROR(G264/INDEX(Players!$M$2:$M$105,MATCH(B264,Players!$A$2:$A$105,0)),""))</f>
        <v>0.85</v>
      </c>
    </row>
    <row r="265" customFormat="false" ht="15" hidden="false" customHeight="false" outlineLevel="0" collapsed="false">
      <c r="A265" s="0" t="s">
        <v>1713</v>
      </c>
      <c r="B265" s="0" t="s">
        <v>1225</v>
      </c>
      <c r="C265" s="0" t="s">
        <v>1021</v>
      </c>
      <c r="D265" s="0" t="s">
        <v>775</v>
      </c>
      <c r="E265" s="0" t="s">
        <v>142</v>
      </c>
      <c r="F265" s="0" t="n">
        <v>3</v>
      </c>
      <c r="G265" s="0" t="n">
        <v>18.7</v>
      </c>
      <c r="H265" s="0" t="n">
        <v>0.77</v>
      </c>
      <c r="I265" s="10" t="n">
        <v>0.625</v>
      </c>
      <c r="J265" s="0" t="n">
        <v>1.19</v>
      </c>
      <c r="K265" s="13" t="n">
        <f aca="false">IF(H265&lt;&gt;"",H265,IFERROR(G265/INDEX(Players!$M$2:$M$105,MATCH(B265,Players!$A$2:$A$105,0)),""))</f>
        <v>0.77</v>
      </c>
    </row>
    <row r="266" customFormat="false" ht="15" hidden="false" customHeight="false" outlineLevel="0" collapsed="false">
      <c r="A266" s="0" t="s">
        <v>1714</v>
      </c>
      <c r="B266" s="0" t="s">
        <v>1225</v>
      </c>
      <c r="C266" s="0" t="s">
        <v>1021</v>
      </c>
      <c r="D266" s="0" t="s">
        <v>775</v>
      </c>
      <c r="E266" s="0" t="s">
        <v>109</v>
      </c>
      <c r="F266" s="0" t="n">
        <v>1</v>
      </c>
      <c r="G266" s="0" t="n">
        <v>18</v>
      </c>
      <c r="H266" s="0" t="n">
        <v>0.75</v>
      </c>
      <c r="I266" s="10" t="n">
        <v>0.778</v>
      </c>
      <c r="J266" s="0" t="n">
        <v>1.13</v>
      </c>
      <c r="K266" s="13" t="n">
        <f aca="false">IF(H266&lt;&gt;"",H266,IFERROR(G266/INDEX(Players!$M$2:$M$105,MATCH(B266,Players!$A$2:$A$105,0)),""))</f>
        <v>0.75</v>
      </c>
    </row>
    <row r="267" customFormat="false" ht="15" hidden="false" customHeight="false" outlineLevel="0" collapsed="false">
      <c r="A267" s="0" t="s">
        <v>1715</v>
      </c>
      <c r="B267" s="0" t="s">
        <v>1268</v>
      </c>
      <c r="C267" s="0" t="s">
        <v>1109</v>
      </c>
      <c r="D267" s="0" t="s">
        <v>775</v>
      </c>
      <c r="E267" s="0" t="s">
        <v>131</v>
      </c>
      <c r="F267" s="0" t="n">
        <v>8</v>
      </c>
      <c r="G267" s="0" t="n">
        <v>12.1</v>
      </c>
      <c r="H267" s="0" t="n">
        <v>0.55</v>
      </c>
      <c r="I267" s="10" t="n">
        <v>0.557</v>
      </c>
      <c r="J267" s="0" t="n">
        <v>0.9</v>
      </c>
      <c r="K267" s="13" t="n">
        <f aca="false">IF(H267&lt;&gt;"",H267,IFERROR(G267/INDEX(Players!$M$2:$M$105,MATCH(B267,Players!$A$2:$A$105,0)),""))</f>
        <v>0.55</v>
      </c>
    </row>
    <row r="268" customFormat="false" ht="15" hidden="false" customHeight="false" outlineLevel="0" collapsed="false">
      <c r="A268" s="0" t="s">
        <v>1716</v>
      </c>
      <c r="B268" s="0" t="s">
        <v>1268</v>
      </c>
      <c r="C268" s="0" t="s">
        <v>1109</v>
      </c>
      <c r="D268" s="0" t="s">
        <v>775</v>
      </c>
      <c r="E268" s="0" t="s">
        <v>142</v>
      </c>
      <c r="F268" s="0" t="n">
        <v>8</v>
      </c>
      <c r="G268" s="0" t="n">
        <v>11.8</v>
      </c>
      <c r="H268" s="0" t="n">
        <v>0.5</v>
      </c>
      <c r="I268" s="10" t="n">
        <v>0.5</v>
      </c>
      <c r="J268" s="0" t="n">
        <v>0.72</v>
      </c>
      <c r="K268" s="13" t="n">
        <f aca="false">IF(H268&lt;&gt;"",H268,IFERROR(G268/INDEX(Players!$M$2:$M$105,MATCH(B268,Players!$A$2:$A$105,0)),""))</f>
        <v>0.5</v>
      </c>
    </row>
    <row r="269" customFormat="false" ht="15" hidden="false" customHeight="false" outlineLevel="0" collapsed="false">
      <c r="A269" s="0" t="s">
        <v>1717</v>
      </c>
      <c r="B269" s="0" t="s">
        <v>1268</v>
      </c>
      <c r="C269" s="0" t="s">
        <v>1109</v>
      </c>
      <c r="D269" s="0" t="s">
        <v>775</v>
      </c>
      <c r="E269" s="0" t="s">
        <v>118</v>
      </c>
      <c r="F269" s="0" t="n">
        <v>5</v>
      </c>
      <c r="G269" s="0" t="n">
        <v>13</v>
      </c>
      <c r="H269" s="0" t="n">
        <v>0.63</v>
      </c>
      <c r="I269" s="10" t="n">
        <v>0.508</v>
      </c>
      <c r="J269" s="0" t="n">
        <v>0.78</v>
      </c>
      <c r="K269" s="13" t="n">
        <f aca="false">IF(H269&lt;&gt;"",H269,IFERROR(G269/INDEX(Players!$M$2:$M$105,MATCH(B269,Players!$A$2:$A$105,0)),""))</f>
        <v>0.63</v>
      </c>
    </row>
    <row r="270" customFormat="false" ht="15" hidden="false" customHeight="false" outlineLevel="0" collapsed="false">
      <c r="A270" s="0" t="s">
        <v>1718</v>
      </c>
      <c r="B270" s="0" t="s">
        <v>1268</v>
      </c>
      <c r="C270" s="0" t="s">
        <v>1109</v>
      </c>
      <c r="D270" s="0" t="s">
        <v>775</v>
      </c>
      <c r="E270" s="0" t="s">
        <v>109</v>
      </c>
      <c r="F270" s="0" t="n">
        <v>5</v>
      </c>
      <c r="G270" s="0" t="n">
        <v>7.2</v>
      </c>
      <c r="H270" s="0" t="n">
        <v>0.39</v>
      </c>
      <c r="I270" s="10" t="n">
        <v>0.556</v>
      </c>
      <c r="J270" s="0" t="n">
        <v>0.72</v>
      </c>
      <c r="K270" s="13" t="n">
        <f aca="false">IF(H270&lt;&gt;"",H270,IFERROR(G270/INDEX(Players!$M$2:$M$105,MATCH(B270,Players!$A$2:$A$105,0)),""))</f>
        <v>0.39</v>
      </c>
    </row>
    <row r="271" customFormat="false" ht="15" hidden="false" customHeight="false" outlineLevel="0" collapsed="false">
      <c r="A271" s="0" t="s">
        <v>1719</v>
      </c>
      <c r="B271" s="0" t="s">
        <v>1268</v>
      </c>
      <c r="C271" s="0" t="s">
        <v>1109</v>
      </c>
      <c r="D271" s="0" t="s">
        <v>775</v>
      </c>
      <c r="E271" s="0" t="s">
        <v>96</v>
      </c>
      <c r="F271" s="0" t="n">
        <v>3</v>
      </c>
      <c r="G271" s="0" t="n">
        <v>11.3</v>
      </c>
      <c r="H271" s="0" t="n">
        <v>0.6</v>
      </c>
      <c r="I271" s="10" t="n">
        <v>0.676</v>
      </c>
      <c r="J271" s="0" t="n">
        <v>0.79</v>
      </c>
      <c r="K271" s="13" t="n">
        <f aca="false">IF(H271&lt;&gt;"",H271,IFERROR(G271/INDEX(Players!$M$2:$M$105,MATCH(B271,Players!$A$2:$A$105,0)),""))</f>
        <v>0.6</v>
      </c>
    </row>
    <row r="272" customFormat="false" ht="15" hidden="false" customHeight="false" outlineLevel="0" collapsed="false">
      <c r="A272" s="0" t="s">
        <v>1720</v>
      </c>
      <c r="B272" s="0" t="s">
        <v>1268</v>
      </c>
      <c r="C272" s="0" t="s">
        <v>1109</v>
      </c>
      <c r="D272" s="0" t="s">
        <v>775</v>
      </c>
      <c r="E272" s="0" t="s">
        <v>149</v>
      </c>
      <c r="F272" s="0" t="n">
        <v>2</v>
      </c>
      <c r="G272" s="0" t="n">
        <v>10</v>
      </c>
      <c r="H272" s="0" t="n">
        <v>0.54</v>
      </c>
      <c r="I272" s="10" t="n">
        <v>0.55</v>
      </c>
      <c r="J272" s="0" t="n">
        <v>0.77</v>
      </c>
      <c r="K272" s="13" t="n">
        <f aca="false">IF(H272&lt;&gt;"",H272,IFERROR(G272/INDEX(Players!$M$2:$M$105,MATCH(B272,Players!$A$2:$A$105,0)),""))</f>
        <v>0.54</v>
      </c>
    </row>
    <row r="273" customFormat="false" ht="15" hidden="false" customHeight="false" outlineLevel="0" collapsed="false">
      <c r="A273" s="0" t="s">
        <v>1721</v>
      </c>
      <c r="B273" s="0" t="s">
        <v>1169</v>
      </c>
      <c r="C273" s="0" t="s">
        <v>897</v>
      </c>
      <c r="D273" s="0" t="s">
        <v>775</v>
      </c>
      <c r="E273" s="0" t="s">
        <v>96</v>
      </c>
      <c r="F273" s="0" t="n">
        <v>14</v>
      </c>
      <c r="G273" s="0" t="n">
        <v>15.9</v>
      </c>
      <c r="H273" s="0" t="n">
        <v>0.78</v>
      </c>
      <c r="I273" s="10" t="n">
        <v>0.493</v>
      </c>
      <c r="J273" s="0" t="n">
        <v>1.33</v>
      </c>
      <c r="K273" s="13" t="n">
        <f aca="false">IF(H273&lt;&gt;"",H273,IFERROR(G273/INDEX(Players!$M$2:$M$105,MATCH(B273,Players!$A$2:$A$105,0)),""))</f>
        <v>0.78</v>
      </c>
    </row>
    <row r="274" customFormat="false" ht="15" hidden="false" customHeight="false" outlineLevel="0" collapsed="false">
      <c r="A274" s="0" t="s">
        <v>1722</v>
      </c>
      <c r="B274" s="0" t="s">
        <v>1169</v>
      </c>
      <c r="C274" s="0" t="s">
        <v>897</v>
      </c>
      <c r="D274" s="0" t="s">
        <v>775</v>
      </c>
      <c r="E274" s="0" t="s">
        <v>82</v>
      </c>
      <c r="F274" s="0" t="n">
        <v>9</v>
      </c>
      <c r="G274" s="0" t="n">
        <v>13</v>
      </c>
      <c r="H274" s="0" t="n">
        <v>0.63</v>
      </c>
      <c r="I274" s="10" t="n">
        <v>0.333</v>
      </c>
      <c r="J274" s="0" t="n">
        <v>0.99</v>
      </c>
      <c r="K274" s="13" t="n">
        <f aca="false">IF(H274&lt;&gt;"",H274,IFERROR(G274/INDEX(Players!$M$2:$M$105,MATCH(B274,Players!$A$2:$A$105,0)),""))</f>
        <v>0.63</v>
      </c>
    </row>
    <row r="275" customFormat="false" ht="15" hidden="false" customHeight="false" outlineLevel="0" collapsed="false">
      <c r="A275" s="0" t="s">
        <v>1723</v>
      </c>
      <c r="B275" s="0" t="s">
        <v>1169</v>
      </c>
      <c r="C275" s="0" t="s">
        <v>897</v>
      </c>
      <c r="D275" s="0" t="s">
        <v>775</v>
      </c>
      <c r="E275" s="0" t="s">
        <v>109</v>
      </c>
      <c r="F275" s="0" t="n">
        <v>7</v>
      </c>
      <c r="G275" s="0" t="n">
        <v>16.7</v>
      </c>
      <c r="H275" s="0" t="n">
        <v>0.76</v>
      </c>
      <c r="I275" s="10" t="n">
        <v>0.359</v>
      </c>
      <c r="J275" s="0" t="n">
        <v>1.56</v>
      </c>
      <c r="K275" s="13" t="n">
        <f aca="false">IF(H275&lt;&gt;"",H275,IFERROR(G275/INDEX(Players!$M$2:$M$105,MATCH(B275,Players!$A$2:$A$105,0)),""))</f>
        <v>0.76</v>
      </c>
    </row>
    <row r="276" customFormat="false" ht="15" hidden="false" customHeight="false" outlineLevel="0" collapsed="false">
      <c r="A276" s="0" t="s">
        <v>1724</v>
      </c>
      <c r="B276" s="0" t="s">
        <v>1169</v>
      </c>
      <c r="C276" s="0" t="s">
        <v>897</v>
      </c>
      <c r="D276" s="0" t="s">
        <v>775</v>
      </c>
      <c r="E276" s="0" t="s">
        <v>131</v>
      </c>
      <c r="F276" s="0" t="n">
        <v>5</v>
      </c>
      <c r="G276" s="0" t="n">
        <v>14.2</v>
      </c>
      <c r="H276" s="0" t="n">
        <v>0.68</v>
      </c>
      <c r="I276" s="10" t="n">
        <v>0.352</v>
      </c>
      <c r="J276" s="0" t="n">
        <v>1.27</v>
      </c>
      <c r="K276" s="13" t="n">
        <f aca="false">IF(H276&lt;&gt;"",H276,IFERROR(G276/INDEX(Players!$M$2:$M$105,MATCH(B276,Players!$A$2:$A$105,0)),""))</f>
        <v>0.68</v>
      </c>
    </row>
    <row r="277" customFormat="false" ht="15" hidden="false" customHeight="false" outlineLevel="0" collapsed="false">
      <c r="A277" s="0" t="s">
        <v>1725</v>
      </c>
      <c r="B277" s="0" t="s">
        <v>1169</v>
      </c>
      <c r="C277" s="0" t="s">
        <v>897</v>
      </c>
      <c r="D277" s="0" t="s">
        <v>775</v>
      </c>
      <c r="E277" s="0" t="s">
        <v>142</v>
      </c>
      <c r="F277" s="0" t="n">
        <v>2</v>
      </c>
      <c r="G277" s="0" t="n">
        <v>12.5</v>
      </c>
      <c r="H277" s="0" t="n">
        <v>0.57</v>
      </c>
      <c r="I277" s="10" t="n">
        <v>0.32</v>
      </c>
      <c r="J277" s="0" t="n">
        <v>0.86</v>
      </c>
      <c r="K277" s="13" t="n">
        <f aca="false">IF(H277&lt;&gt;"",H277,IFERROR(G277/INDEX(Players!$M$2:$M$105,MATCH(B277,Players!$A$2:$A$105,0)),""))</f>
        <v>0.57</v>
      </c>
    </row>
    <row r="278" customFormat="false" ht="15" hidden="false" customHeight="false" outlineLevel="0" collapsed="false">
      <c r="A278" s="0" t="s">
        <v>1726</v>
      </c>
      <c r="B278" s="0" t="s">
        <v>1258</v>
      </c>
      <c r="C278" s="0" t="s">
        <v>1089</v>
      </c>
      <c r="D278" s="0" t="s">
        <v>775</v>
      </c>
      <c r="E278" s="0" t="s">
        <v>142</v>
      </c>
      <c r="F278" s="0" t="n">
        <v>9</v>
      </c>
      <c r="G278" s="0" t="n">
        <v>14.1</v>
      </c>
      <c r="H278" s="0" t="n">
        <v>0.71</v>
      </c>
      <c r="I278" s="10" t="n">
        <v>0.496</v>
      </c>
      <c r="J278" s="0" t="n">
        <v>0.98</v>
      </c>
      <c r="K278" s="13" t="n">
        <f aca="false">IF(H278&lt;&gt;"",H278,IFERROR(G278/INDEX(Players!$M$2:$M$105,MATCH(B278,Players!$A$2:$A$105,0)),""))</f>
        <v>0.71</v>
      </c>
    </row>
    <row r="279" customFormat="false" ht="15" hidden="false" customHeight="false" outlineLevel="0" collapsed="false">
      <c r="A279" s="0" t="s">
        <v>1727</v>
      </c>
      <c r="B279" s="0" t="s">
        <v>1258</v>
      </c>
      <c r="C279" s="0" t="s">
        <v>1089</v>
      </c>
      <c r="D279" s="0" t="s">
        <v>775</v>
      </c>
      <c r="E279" s="0" t="s">
        <v>118</v>
      </c>
      <c r="F279" s="0" t="n">
        <v>6</v>
      </c>
      <c r="G279" s="0" t="n">
        <v>12.2</v>
      </c>
      <c r="H279" s="0" t="n">
        <v>0.62</v>
      </c>
      <c r="I279" s="10" t="n">
        <v>0.548</v>
      </c>
      <c r="J279" s="0" t="n">
        <v>0.92</v>
      </c>
      <c r="K279" s="13" t="n">
        <f aca="false">IF(H279&lt;&gt;"",H279,IFERROR(G279/INDEX(Players!$M$2:$M$105,MATCH(B279,Players!$A$2:$A$105,0)),""))</f>
        <v>0.62</v>
      </c>
    </row>
    <row r="280" customFormat="false" ht="15" hidden="false" customHeight="false" outlineLevel="0" collapsed="false">
      <c r="A280" s="0" t="s">
        <v>1728</v>
      </c>
      <c r="B280" s="0" t="s">
        <v>1258</v>
      </c>
      <c r="C280" s="0" t="s">
        <v>1089</v>
      </c>
      <c r="D280" s="0" t="s">
        <v>775</v>
      </c>
      <c r="E280" s="0" t="s">
        <v>96</v>
      </c>
      <c r="F280" s="0" t="n">
        <v>5</v>
      </c>
      <c r="G280" s="0" t="n">
        <v>16</v>
      </c>
      <c r="H280" s="0" t="n">
        <v>0.76</v>
      </c>
      <c r="I280" s="10" t="n">
        <v>0.488</v>
      </c>
      <c r="J280" s="0" t="n">
        <v>1.04</v>
      </c>
      <c r="K280" s="13" t="n">
        <f aca="false">IF(H280&lt;&gt;"",H280,IFERROR(G280/INDEX(Players!$M$2:$M$105,MATCH(B280,Players!$A$2:$A$105,0)),""))</f>
        <v>0.76</v>
      </c>
    </row>
    <row r="281" customFormat="false" ht="15" hidden="false" customHeight="false" outlineLevel="0" collapsed="false">
      <c r="A281" s="0" t="s">
        <v>1729</v>
      </c>
      <c r="B281" s="0" t="s">
        <v>1258</v>
      </c>
      <c r="C281" s="0" t="s">
        <v>1089</v>
      </c>
      <c r="D281" s="0" t="s">
        <v>775</v>
      </c>
      <c r="E281" s="0" t="s">
        <v>131</v>
      </c>
      <c r="F281" s="0" t="n">
        <v>5</v>
      </c>
      <c r="G281" s="0" t="n">
        <v>15</v>
      </c>
      <c r="H281" s="0" t="n">
        <v>0.65</v>
      </c>
      <c r="I281" s="10" t="n">
        <v>0.427</v>
      </c>
      <c r="J281" s="0" t="n">
        <v>0.96</v>
      </c>
      <c r="K281" s="13" t="n">
        <f aca="false">IF(H281&lt;&gt;"",H281,IFERROR(G281/INDEX(Players!$M$2:$M$105,MATCH(B281,Players!$A$2:$A$105,0)),""))</f>
        <v>0.65</v>
      </c>
    </row>
    <row r="282" customFormat="false" ht="15" hidden="false" customHeight="false" outlineLevel="0" collapsed="false">
      <c r="A282" s="0" t="s">
        <v>1730</v>
      </c>
      <c r="B282" s="0" t="s">
        <v>1258</v>
      </c>
      <c r="C282" s="0" t="s">
        <v>1089</v>
      </c>
      <c r="D282" s="0" t="s">
        <v>775</v>
      </c>
      <c r="E282" s="0" t="s">
        <v>82</v>
      </c>
      <c r="F282" s="0" t="n">
        <v>4</v>
      </c>
      <c r="G282" s="0" t="n">
        <v>12.8</v>
      </c>
      <c r="H282" s="0" t="n">
        <v>0.6</v>
      </c>
      <c r="I282" s="10" t="n">
        <v>0.451</v>
      </c>
      <c r="J282" s="0" t="n">
        <v>0.93</v>
      </c>
      <c r="K282" s="13" t="n">
        <f aca="false">IF(H282&lt;&gt;"",H282,IFERROR(G282/INDEX(Players!$M$2:$M$105,MATCH(B282,Players!$A$2:$A$105,0)),""))</f>
        <v>0.6</v>
      </c>
    </row>
    <row r="283" customFormat="false" ht="15" hidden="false" customHeight="false" outlineLevel="0" collapsed="false">
      <c r="A283" s="0" t="s">
        <v>1731</v>
      </c>
      <c r="B283" s="0" t="s">
        <v>1258</v>
      </c>
      <c r="C283" s="0" t="s">
        <v>1089</v>
      </c>
      <c r="D283" s="0" t="s">
        <v>775</v>
      </c>
      <c r="E283" s="0" t="s">
        <v>109</v>
      </c>
      <c r="F283" s="0" t="n">
        <v>1</v>
      </c>
      <c r="G283" s="0" t="n">
        <v>3</v>
      </c>
      <c r="H283" s="0" t="n">
        <v>0.23</v>
      </c>
      <c r="I283" s="10" t="n">
        <v>1</v>
      </c>
      <c r="J283" s="0" t="n">
        <v>0.27</v>
      </c>
      <c r="K283" s="13" t="n">
        <f aca="false">IF(H283&lt;&gt;"",H283,IFERROR(G283/INDEX(Players!$M$2:$M$105,MATCH(B283,Players!$A$2:$A$105,0)),""))</f>
        <v>0.23</v>
      </c>
    </row>
    <row r="284" customFormat="false" ht="15" hidden="false" customHeight="false" outlineLevel="0" collapsed="false">
      <c r="A284" s="0" t="s">
        <v>1732</v>
      </c>
      <c r="B284" s="0" t="s">
        <v>1253</v>
      </c>
      <c r="C284" s="0" t="s">
        <v>1079</v>
      </c>
      <c r="D284" s="0" t="s">
        <v>775</v>
      </c>
      <c r="E284" s="0" t="s">
        <v>131</v>
      </c>
      <c r="F284" s="0" t="n">
        <v>4</v>
      </c>
      <c r="G284" s="0" t="n">
        <v>19.8</v>
      </c>
      <c r="H284" s="0" t="n">
        <v>0.87</v>
      </c>
      <c r="I284" s="10" t="n">
        <v>0.506</v>
      </c>
      <c r="J284" s="0" t="n">
        <v>1.52</v>
      </c>
      <c r="K284" s="13" t="n">
        <f aca="false">IF(H284&lt;&gt;"",H284,IFERROR(G284/INDEX(Players!$M$2:$M$105,MATCH(B284,Players!$A$2:$A$105,0)),""))</f>
        <v>0.87</v>
      </c>
    </row>
    <row r="285" customFormat="false" ht="15" hidden="false" customHeight="false" outlineLevel="0" collapsed="false">
      <c r="A285" s="0" t="s">
        <v>1733</v>
      </c>
      <c r="B285" s="0" t="s">
        <v>1253</v>
      </c>
      <c r="C285" s="0" t="s">
        <v>1079</v>
      </c>
      <c r="D285" s="0" t="s">
        <v>775</v>
      </c>
      <c r="E285" s="0" t="s">
        <v>109</v>
      </c>
      <c r="F285" s="0" t="n">
        <v>4</v>
      </c>
      <c r="G285" s="0" t="n">
        <v>14.5</v>
      </c>
      <c r="H285" s="0" t="n">
        <v>0.83</v>
      </c>
      <c r="I285" s="10" t="n">
        <v>0.569</v>
      </c>
      <c r="J285" s="0" t="n">
        <v>1.45</v>
      </c>
      <c r="K285" s="13" t="n">
        <f aca="false">IF(H285&lt;&gt;"",H285,IFERROR(G285/INDEX(Players!$M$2:$M$105,MATCH(B285,Players!$A$2:$A$105,0)),""))</f>
        <v>0.83</v>
      </c>
    </row>
    <row r="286" customFormat="false" ht="15" hidden="false" customHeight="false" outlineLevel="0" collapsed="false">
      <c r="A286" s="0" t="s">
        <v>1734</v>
      </c>
      <c r="B286" s="0" t="s">
        <v>1253</v>
      </c>
      <c r="C286" s="0" t="s">
        <v>1079</v>
      </c>
      <c r="D286" s="0" t="s">
        <v>775</v>
      </c>
      <c r="E286" s="0" t="s">
        <v>149</v>
      </c>
      <c r="F286" s="0" t="n">
        <v>4</v>
      </c>
      <c r="G286" s="0" t="n">
        <v>25.5</v>
      </c>
      <c r="H286" s="0" t="n">
        <v>0.86</v>
      </c>
      <c r="I286" s="10" t="n">
        <v>0.343</v>
      </c>
      <c r="J286" s="0" t="n">
        <v>1.36</v>
      </c>
      <c r="K286" s="13" t="n">
        <f aca="false">IF(H286&lt;&gt;"",H286,IFERROR(G286/INDEX(Players!$M$2:$M$105,MATCH(B286,Players!$A$2:$A$105,0)),""))</f>
        <v>0.86</v>
      </c>
    </row>
    <row r="287" customFormat="false" ht="15" hidden="false" customHeight="false" outlineLevel="0" collapsed="false">
      <c r="A287" s="0" t="s">
        <v>1735</v>
      </c>
      <c r="B287" s="0" t="s">
        <v>1253</v>
      </c>
      <c r="C287" s="0" t="s">
        <v>1079</v>
      </c>
      <c r="D287" s="0" t="s">
        <v>775</v>
      </c>
      <c r="E287" s="0" t="s">
        <v>82</v>
      </c>
      <c r="F287" s="0" t="n">
        <v>4</v>
      </c>
      <c r="G287" s="0" t="n">
        <v>18</v>
      </c>
      <c r="H287" s="0" t="n">
        <v>0.79</v>
      </c>
      <c r="I287" s="10" t="n">
        <v>0.458</v>
      </c>
      <c r="J287" s="0" t="n">
        <v>1.11</v>
      </c>
      <c r="K287" s="13" t="n">
        <f aca="false">IF(H287&lt;&gt;"",H287,IFERROR(G287/INDEX(Players!$M$2:$M$105,MATCH(B287,Players!$A$2:$A$105,0)),""))</f>
        <v>0.79</v>
      </c>
    </row>
    <row r="288" customFormat="false" ht="15" hidden="false" customHeight="false" outlineLevel="0" collapsed="false">
      <c r="A288" s="0" t="s">
        <v>1736</v>
      </c>
      <c r="B288" s="0" t="s">
        <v>1253</v>
      </c>
      <c r="C288" s="0" t="s">
        <v>1079</v>
      </c>
      <c r="D288" s="0" t="s">
        <v>775</v>
      </c>
      <c r="E288" s="0" t="s">
        <v>118</v>
      </c>
      <c r="F288" s="0" t="n">
        <v>4</v>
      </c>
      <c r="G288" s="0" t="n">
        <v>11</v>
      </c>
      <c r="H288" s="0" t="n">
        <v>0.48</v>
      </c>
      <c r="I288" s="10" t="n">
        <v>0.614</v>
      </c>
      <c r="J288" s="0" t="n">
        <v>0.63</v>
      </c>
      <c r="K288" s="13" t="n">
        <f aca="false">IF(H288&lt;&gt;"",H288,IFERROR(G288/INDEX(Players!$M$2:$M$105,MATCH(B288,Players!$A$2:$A$105,0)),""))</f>
        <v>0.48</v>
      </c>
    </row>
    <row r="289" customFormat="false" ht="15" hidden="false" customHeight="false" outlineLevel="0" collapsed="false">
      <c r="A289" s="0" t="s">
        <v>1737</v>
      </c>
      <c r="B289" s="0" t="s">
        <v>1253</v>
      </c>
      <c r="C289" s="0" t="s">
        <v>1079</v>
      </c>
      <c r="D289" s="0" t="s">
        <v>775</v>
      </c>
      <c r="E289" s="0" t="s">
        <v>96</v>
      </c>
      <c r="F289" s="0" t="n">
        <v>2</v>
      </c>
      <c r="G289" s="0" t="n">
        <v>8</v>
      </c>
      <c r="H289" s="0" t="n">
        <v>0.43</v>
      </c>
      <c r="I289" s="10" t="n">
        <v>0.563</v>
      </c>
      <c r="J289" s="0" t="n">
        <v>0.55</v>
      </c>
      <c r="K289" s="13" t="n">
        <f aca="false">IF(H289&lt;&gt;"",H289,IFERROR(G289/INDEX(Players!$M$2:$M$105,MATCH(B289,Players!$A$2:$A$105,0)),""))</f>
        <v>0.43</v>
      </c>
    </row>
    <row r="290" customFormat="false" ht="15" hidden="false" customHeight="false" outlineLevel="0" collapsed="false">
      <c r="A290" s="0" t="s">
        <v>1738</v>
      </c>
      <c r="B290" s="0" t="s">
        <v>1226</v>
      </c>
      <c r="C290" s="0" t="s">
        <v>1023</v>
      </c>
      <c r="D290" s="0" t="s">
        <v>775</v>
      </c>
      <c r="E290" s="0" t="s">
        <v>96</v>
      </c>
      <c r="F290" s="0" t="n">
        <v>8</v>
      </c>
      <c r="G290" s="0" t="n">
        <v>16.5</v>
      </c>
      <c r="H290" s="0" t="n">
        <v>0.68</v>
      </c>
      <c r="I290" s="10" t="n">
        <v>0.591</v>
      </c>
      <c r="J290" s="0" t="n">
        <v>0.93</v>
      </c>
      <c r="K290" s="13" t="n">
        <f aca="false">IF(H290&lt;&gt;"",H290,IFERROR(G290/INDEX(Players!$M$2:$M$105,MATCH(B290,Players!$A$2:$A$105,0)),""))</f>
        <v>0.68</v>
      </c>
    </row>
    <row r="291" customFormat="false" ht="15" hidden="false" customHeight="false" outlineLevel="0" collapsed="false">
      <c r="A291" s="0" t="s">
        <v>1739</v>
      </c>
      <c r="B291" s="0" t="s">
        <v>1226</v>
      </c>
      <c r="C291" s="0" t="s">
        <v>1023</v>
      </c>
      <c r="D291" s="0" t="s">
        <v>775</v>
      </c>
      <c r="E291" s="0" t="s">
        <v>149</v>
      </c>
      <c r="F291" s="0" t="n">
        <v>7</v>
      </c>
      <c r="G291" s="0" t="n">
        <v>15.7</v>
      </c>
      <c r="H291" s="0" t="n">
        <v>0.64</v>
      </c>
      <c r="I291" s="10" t="n">
        <v>0.582</v>
      </c>
      <c r="J291" s="0" t="n">
        <v>0.96</v>
      </c>
      <c r="K291" s="13" t="n">
        <f aca="false">IF(H291&lt;&gt;"",H291,IFERROR(G291/INDEX(Players!$M$2:$M$105,MATCH(B291,Players!$A$2:$A$105,0)),""))</f>
        <v>0.64</v>
      </c>
    </row>
    <row r="292" customFormat="false" ht="15" hidden="false" customHeight="false" outlineLevel="0" collapsed="false">
      <c r="A292" s="0" t="s">
        <v>1740</v>
      </c>
      <c r="B292" s="0" t="s">
        <v>1226</v>
      </c>
      <c r="C292" s="0" t="s">
        <v>1023</v>
      </c>
      <c r="D292" s="0" t="s">
        <v>775</v>
      </c>
      <c r="E292" s="0" t="s">
        <v>131</v>
      </c>
      <c r="F292" s="0" t="n">
        <v>6</v>
      </c>
      <c r="G292" s="0" t="n">
        <v>12.7</v>
      </c>
      <c r="H292" s="0" t="n">
        <v>0.62</v>
      </c>
      <c r="I292" s="10" t="n">
        <v>0.513</v>
      </c>
      <c r="J292" s="0" t="n">
        <v>0.85</v>
      </c>
      <c r="K292" s="13" t="n">
        <f aca="false">IF(H292&lt;&gt;"",H292,IFERROR(G292/INDEX(Players!$M$2:$M$105,MATCH(B292,Players!$A$2:$A$105,0)),""))</f>
        <v>0.62</v>
      </c>
    </row>
    <row r="293" customFormat="false" ht="15" hidden="false" customHeight="false" outlineLevel="0" collapsed="false">
      <c r="A293" s="0" t="s">
        <v>1741</v>
      </c>
      <c r="B293" s="0" t="s">
        <v>1226</v>
      </c>
      <c r="C293" s="0" t="s">
        <v>1023</v>
      </c>
      <c r="D293" s="0" t="s">
        <v>775</v>
      </c>
      <c r="E293" s="0" t="s">
        <v>82</v>
      </c>
      <c r="F293" s="0" t="n">
        <v>5</v>
      </c>
      <c r="G293" s="0" t="n">
        <v>17.2</v>
      </c>
      <c r="H293" s="0" t="n">
        <v>0.85</v>
      </c>
      <c r="I293" s="10" t="n">
        <v>0.547</v>
      </c>
      <c r="J293" s="0" t="n">
        <v>1.3</v>
      </c>
      <c r="K293" s="13" t="n">
        <f aca="false">IF(H293&lt;&gt;"",H293,IFERROR(G293/INDEX(Players!$M$2:$M$105,MATCH(B293,Players!$A$2:$A$105,0)),""))</f>
        <v>0.85</v>
      </c>
    </row>
    <row r="294" customFormat="false" ht="15" hidden="false" customHeight="false" outlineLevel="0" collapsed="false">
      <c r="A294" s="0" t="s">
        <v>1742</v>
      </c>
      <c r="B294" s="0" t="s">
        <v>1226</v>
      </c>
      <c r="C294" s="0" t="s">
        <v>1023</v>
      </c>
      <c r="D294" s="0" t="s">
        <v>775</v>
      </c>
      <c r="E294" s="0" t="s">
        <v>142</v>
      </c>
      <c r="F294" s="0" t="n">
        <v>3</v>
      </c>
      <c r="G294" s="0" t="n">
        <v>16.7</v>
      </c>
      <c r="H294" s="0" t="n">
        <v>0.68</v>
      </c>
      <c r="I294" s="10" t="n">
        <v>0.7</v>
      </c>
      <c r="J294" s="0" t="n">
        <v>0.98</v>
      </c>
      <c r="K294" s="13" t="n">
        <f aca="false">IF(H294&lt;&gt;"",H294,IFERROR(G294/INDEX(Players!$M$2:$M$105,MATCH(B294,Players!$A$2:$A$105,0)),""))</f>
        <v>0.68</v>
      </c>
    </row>
    <row r="295" customFormat="false" ht="15" hidden="false" customHeight="false" outlineLevel="0" collapsed="false">
      <c r="A295" s="0" t="s">
        <v>1743</v>
      </c>
      <c r="B295" s="0" t="s">
        <v>1226</v>
      </c>
      <c r="C295" s="0" t="s">
        <v>1023</v>
      </c>
      <c r="D295" s="0" t="s">
        <v>775</v>
      </c>
      <c r="E295" s="0" t="s">
        <v>109</v>
      </c>
      <c r="F295" s="0" t="n">
        <v>1</v>
      </c>
      <c r="G295" s="0" t="n">
        <v>20</v>
      </c>
      <c r="H295" s="0" t="n">
        <v>0.83</v>
      </c>
      <c r="I295" s="10" t="n">
        <v>0.7</v>
      </c>
      <c r="J295" s="0" t="n">
        <v>1.25</v>
      </c>
      <c r="K295" s="13" t="n">
        <f aca="false">IF(H295&lt;&gt;"",H295,IFERROR(G295/INDEX(Players!$M$2:$M$105,MATCH(B295,Players!$A$2:$A$105,0)),""))</f>
        <v>0.83</v>
      </c>
    </row>
    <row r="296" customFormat="false" ht="15" hidden="false" customHeight="false" outlineLevel="0" collapsed="false">
      <c r="A296" s="0" t="s">
        <v>1744</v>
      </c>
      <c r="B296" s="0" t="s">
        <v>1230</v>
      </c>
      <c r="C296" s="0" t="s">
        <v>1031</v>
      </c>
      <c r="D296" s="0" t="s">
        <v>775</v>
      </c>
      <c r="E296" s="0" t="s">
        <v>82</v>
      </c>
      <c r="F296" s="0" t="n">
        <v>9</v>
      </c>
      <c r="G296" s="0" t="n">
        <v>14.4</v>
      </c>
      <c r="H296" s="0" t="n">
        <v>0.64</v>
      </c>
      <c r="I296" s="10" t="n">
        <v>0.662</v>
      </c>
      <c r="J296" s="0" t="n">
        <v>1.05</v>
      </c>
      <c r="K296" s="13" t="n">
        <f aca="false">IF(H296&lt;&gt;"",H296,IFERROR(G296/INDEX(Players!$M$2:$M$105,MATCH(B296,Players!$A$2:$A$105,0)),""))</f>
        <v>0.64</v>
      </c>
    </row>
    <row r="297" customFormat="false" ht="15" hidden="false" customHeight="false" outlineLevel="0" collapsed="false">
      <c r="A297" s="0" t="s">
        <v>1745</v>
      </c>
      <c r="B297" s="0" t="s">
        <v>1230</v>
      </c>
      <c r="C297" s="0" t="s">
        <v>1031</v>
      </c>
      <c r="D297" s="0" t="s">
        <v>775</v>
      </c>
      <c r="E297" s="0" t="s">
        <v>96</v>
      </c>
      <c r="F297" s="0" t="n">
        <v>6</v>
      </c>
      <c r="G297" s="0" t="n">
        <v>15.5</v>
      </c>
      <c r="H297" s="0" t="n">
        <v>0.66</v>
      </c>
      <c r="I297" s="10" t="n">
        <v>0.516</v>
      </c>
      <c r="J297" s="0" t="n">
        <v>0.87</v>
      </c>
      <c r="K297" s="13" t="n">
        <f aca="false">IF(H297&lt;&gt;"",H297,IFERROR(G297/INDEX(Players!$M$2:$M$105,MATCH(B297,Players!$A$2:$A$105,0)),""))</f>
        <v>0.66</v>
      </c>
    </row>
    <row r="298" customFormat="false" ht="15" hidden="false" customHeight="false" outlineLevel="0" collapsed="false">
      <c r="A298" s="0" t="s">
        <v>1746</v>
      </c>
      <c r="B298" s="0" t="s">
        <v>1230</v>
      </c>
      <c r="C298" s="0" t="s">
        <v>1031</v>
      </c>
      <c r="D298" s="0" t="s">
        <v>775</v>
      </c>
      <c r="E298" s="0" t="s">
        <v>142</v>
      </c>
      <c r="F298" s="0" t="n">
        <v>4</v>
      </c>
      <c r="G298" s="0" t="n">
        <v>17.8</v>
      </c>
      <c r="H298" s="0" t="n">
        <v>0.66</v>
      </c>
      <c r="I298" s="10" t="n">
        <v>0.521</v>
      </c>
      <c r="J298" s="0" t="n">
        <v>1.01</v>
      </c>
      <c r="K298" s="13" t="n">
        <f aca="false">IF(H298&lt;&gt;"",H298,IFERROR(G298/INDEX(Players!$M$2:$M$105,MATCH(B298,Players!$A$2:$A$105,0)),""))</f>
        <v>0.66</v>
      </c>
    </row>
    <row r="299" customFormat="false" ht="15" hidden="false" customHeight="false" outlineLevel="0" collapsed="false">
      <c r="A299" s="0" t="s">
        <v>1747</v>
      </c>
      <c r="B299" s="0" t="s">
        <v>1230</v>
      </c>
      <c r="C299" s="0" t="s">
        <v>1031</v>
      </c>
      <c r="D299" s="0" t="s">
        <v>775</v>
      </c>
      <c r="E299" s="0" t="s">
        <v>109</v>
      </c>
      <c r="F299" s="0" t="n">
        <v>4</v>
      </c>
      <c r="G299" s="0" t="n">
        <v>14</v>
      </c>
      <c r="H299" s="0" t="n">
        <v>0.62</v>
      </c>
      <c r="I299" s="10" t="n">
        <v>0.625</v>
      </c>
      <c r="J299" s="0" t="n">
        <v>0.98</v>
      </c>
      <c r="K299" s="13" t="n">
        <f aca="false">IF(H299&lt;&gt;"",H299,IFERROR(G299/INDEX(Players!$M$2:$M$105,MATCH(B299,Players!$A$2:$A$105,0)),""))</f>
        <v>0.62</v>
      </c>
    </row>
    <row r="300" customFormat="false" ht="15" hidden="false" customHeight="false" outlineLevel="0" collapsed="false">
      <c r="A300" s="0" t="s">
        <v>1748</v>
      </c>
      <c r="B300" s="0" t="s">
        <v>1230</v>
      </c>
      <c r="C300" s="0" t="s">
        <v>1031</v>
      </c>
      <c r="D300" s="0" t="s">
        <v>775</v>
      </c>
      <c r="E300" s="0" t="s">
        <v>118</v>
      </c>
      <c r="F300" s="0" t="n">
        <v>3</v>
      </c>
      <c r="G300" s="0" t="n">
        <v>16.3</v>
      </c>
      <c r="H300" s="0" t="n">
        <v>0.77</v>
      </c>
      <c r="I300" s="10" t="n">
        <v>0.551</v>
      </c>
      <c r="J300" s="0" t="n">
        <v>1.26</v>
      </c>
      <c r="K300" s="13" t="n">
        <f aca="false">IF(H300&lt;&gt;"",H300,IFERROR(G300/INDEX(Players!$M$2:$M$105,MATCH(B300,Players!$A$2:$A$105,0)),""))</f>
        <v>0.77</v>
      </c>
    </row>
    <row r="301" customFormat="false" ht="15" hidden="false" customHeight="false" outlineLevel="0" collapsed="false">
      <c r="A301" s="0" t="s">
        <v>1749</v>
      </c>
      <c r="B301" s="0" t="s">
        <v>1230</v>
      </c>
      <c r="C301" s="0" t="s">
        <v>1031</v>
      </c>
      <c r="D301" s="0" t="s">
        <v>775</v>
      </c>
      <c r="E301" s="0" t="s">
        <v>131</v>
      </c>
      <c r="F301" s="0" t="n">
        <v>1</v>
      </c>
      <c r="G301" s="0" t="n">
        <v>11</v>
      </c>
      <c r="H301" s="0" t="n">
        <v>0.52</v>
      </c>
      <c r="I301" s="10" t="n">
        <v>0.636</v>
      </c>
      <c r="J301" s="0" t="n">
        <v>0.92</v>
      </c>
      <c r="K301" s="13" t="n">
        <f aca="false">IF(H301&lt;&gt;"",H301,IFERROR(G301/INDEX(Players!$M$2:$M$105,MATCH(B301,Players!$A$2:$A$105,0)),""))</f>
        <v>0.52</v>
      </c>
    </row>
    <row r="302" customFormat="false" ht="15" hidden="false" customHeight="false" outlineLevel="0" collapsed="false">
      <c r="A302" s="0" t="s">
        <v>1750</v>
      </c>
      <c r="B302" s="0" t="s">
        <v>1170</v>
      </c>
      <c r="C302" s="0" t="s">
        <v>899</v>
      </c>
      <c r="D302" s="0" t="s">
        <v>775</v>
      </c>
      <c r="E302" s="0" t="s">
        <v>96</v>
      </c>
      <c r="F302" s="0" t="n">
        <v>13</v>
      </c>
      <c r="G302" s="0" t="n">
        <v>14.5</v>
      </c>
      <c r="H302" s="0" t="n">
        <v>0.71</v>
      </c>
      <c r="I302" s="10" t="n">
        <v>0.577</v>
      </c>
      <c r="J302" s="0" t="n">
        <v>1.05</v>
      </c>
      <c r="K302" s="13" t="n">
        <f aca="false">IF(H302&lt;&gt;"",H302,IFERROR(G302/INDEX(Players!$M$2:$M$105,MATCH(B302,Players!$A$2:$A$105,0)),""))</f>
        <v>0.71</v>
      </c>
    </row>
    <row r="303" customFormat="false" ht="15" hidden="false" customHeight="false" outlineLevel="0" collapsed="false">
      <c r="A303" s="0" t="s">
        <v>1751</v>
      </c>
      <c r="B303" s="0" t="s">
        <v>1170</v>
      </c>
      <c r="C303" s="0" t="s">
        <v>899</v>
      </c>
      <c r="D303" s="0" t="s">
        <v>775</v>
      </c>
      <c r="E303" s="0" t="s">
        <v>109</v>
      </c>
      <c r="F303" s="0" t="n">
        <v>8</v>
      </c>
      <c r="G303" s="0" t="n">
        <v>15.5</v>
      </c>
      <c r="H303" s="0" t="n">
        <v>0.71</v>
      </c>
      <c r="I303" s="10" t="n">
        <v>0.597</v>
      </c>
      <c r="J303" s="0" t="n">
        <v>1.13</v>
      </c>
      <c r="K303" s="13" t="n">
        <f aca="false">IF(H303&lt;&gt;"",H303,IFERROR(G303/INDEX(Players!$M$2:$M$105,MATCH(B303,Players!$A$2:$A$105,0)),""))</f>
        <v>0.71</v>
      </c>
    </row>
    <row r="304" customFormat="false" ht="15" hidden="false" customHeight="false" outlineLevel="0" collapsed="false">
      <c r="A304" s="0" t="s">
        <v>1752</v>
      </c>
      <c r="B304" s="0" t="s">
        <v>1170</v>
      </c>
      <c r="C304" s="0" t="s">
        <v>899</v>
      </c>
      <c r="D304" s="0" t="s">
        <v>775</v>
      </c>
      <c r="E304" s="0" t="s">
        <v>131</v>
      </c>
      <c r="F304" s="0" t="n">
        <v>7</v>
      </c>
      <c r="G304" s="0" t="n">
        <v>16.1</v>
      </c>
      <c r="H304" s="0" t="n">
        <v>0.75</v>
      </c>
      <c r="I304" s="10" t="n">
        <v>0.611</v>
      </c>
      <c r="J304" s="0" t="n">
        <v>1.11</v>
      </c>
      <c r="K304" s="13" t="n">
        <f aca="false">IF(H304&lt;&gt;"",H304,IFERROR(G304/INDEX(Players!$M$2:$M$105,MATCH(B304,Players!$A$2:$A$105,0)),""))</f>
        <v>0.75</v>
      </c>
    </row>
    <row r="305" customFormat="false" ht="15" hidden="false" customHeight="false" outlineLevel="0" collapsed="false">
      <c r="A305" s="0" t="s">
        <v>1753</v>
      </c>
      <c r="B305" s="0" t="s">
        <v>1170</v>
      </c>
      <c r="C305" s="0" t="s">
        <v>899</v>
      </c>
      <c r="D305" s="0" t="s">
        <v>775</v>
      </c>
      <c r="E305" s="0" t="s">
        <v>82</v>
      </c>
      <c r="F305" s="0" t="n">
        <v>6</v>
      </c>
      <c r="G305" s="0" t="n">
        <v>13.2</v>
      </c>
      <c r="H305" s="0" t="n">
        <v>0.65</v>
      </c>
      <c r="I305" s="10" t="n">
        <v>0.557</v>
      </c>
      <c r="J305" s="0" t="n">
        <v>0.95</v>
      </c>
      <c r="K305" s="13" t="n">
        <f aca="false">IF(H305&lt;&gt;"",H305,IFERROR(G305/INDEX(Players!$M$2:$M$105,MATCH(B305,Players!$A$2:$A$105,0)),""))</f>
        <v>0.65</v>
      </c>
    </row>
    <row r="306" customFormat="false" ht="15" hidden="false" customHeight="false" outlineLevel="0" collapsed="false">
      <c r="A306" s="0" t="s">
        <v>1754</v>
      </c>
      <c r="B306" s="0" t="s">
        <v>1170</v>
      </c>
      <c r="C306" s="0" t="s">
        <v>899</v>
      </c>
      <c r="D306" s="0" t="s">
        <v>775</v>
      </c>
      <c r="E306" s="0" t="s">
        <v>142</v>
      </c>
      <c r="F306" s="0" t="n">
        <v>3</v>
      </c>
      <c r="G306" s="0" t="n">
        <v>13.3</v>
      </c>
      <c r="H306" s="0" t="n">
        <v>0.67</v>
      </c>
      <c r="I306" s="10" t="n">
        <v>0.475</v>
      </c>
      <c r="J306" s="0" t="n">
        <v>0.8</v>
      </c>
      <c r="K306" s="13" t="n">
        <f aca="false">IF(H306&lt;&gt;"",H306,IFERROR(G306/INDEX(Players!$M$2:$M$105,MATCH(B306,Players!$A$2:$A$105,0)),""))</f>
        <v>0.67</v>
      </c>
    </row>
    <row r="307" customFormat="false" ht="15" hidden="false" customHeight="false" outlineLevel="0" collapsed="false">
      <c r="A307" s="0" t="s">
        <v>1755</v>
      </c>
      <c r="B307" s="0" t="s">
        <v>1170</v>
      </c>
      <c r="C307" s="0" t="s">
        <v>899</v>
      </c>
      <c r="D307" s="0" t="s">
        <v>775</v>
      </c>
      <c r="E307" s="0" t="s">
        <v>149</v>
      </c>
      <c r="F307" s="0" t="n">
        <v>2</v>
      </c>
      <c r="G307" s="0" t="n">
        <v>20.5</v>
      </c>
      <c r="H307" s="0" t="n">
        <v>0.77</v>
      </c>
      <c r="I307" s="10" t="n">
        <v>0.732</v>
      </c>
      <c r="J307" s="0" t="n">
        <v>1.14</v>
      </c>
      <c r="K307" s="13" t="n">
        <f aca="false">IF(H307&lt;&gt;"",H307,IFERROR(G307/INDEX(Players!$M$2:$M$105,MATCH(B307,Players!$A$2:$A$105,0)),""))</f>
        <v>0.77</v>
      </c>
    </row>
    <row r="308" customFormat="false" ht="15" hidden="false" customHeight="false" outlineLevel="0" collapsed="false">
      <c r="A308" s="0" t="s">
        <v>1756</v>
      </c>
      <c r="B308" s="0" t="s">
        <v>1192</v>
      </c>
      <c r="C308" s="0" t="s">
        <v>949</v>
      </c>
      <c r="D308" s="0" t="s">
        <v>775</v>
      </c>
      <c r="E308" s="0" t="s">
        <v>131</v>
      </c>
      <c r="F308" s="0" t="n">
        <v>8</v>
      </c>
      <c r="G308" s="0" t="n">
        <v>16</v>
      </c>
      <c r="H308" s="0" t="n">
        <v>0.72</v>
      </c>
      <c r="I308" s="10" t="n">
        <v>0.508</v>
      </c>
      <c r="J308" s="0" t="n">
        <v>1.03</v>
      </c>
      <c r="K308" s="13" t="n">
        <f aca="false">IF(H308&lt;&gt;"",H308,IFERROR(G308/INDEX(Players!$M$2:$M$105,MATCH(B308,Players!$A$2:$A$105,0)),""))</f>
        <v>0.72</v>
      </c>
    </row>
    <row r="309" customFormat="false" ht="15" hidden="false" customHeight="false" outlineLevel="0" collapsed="false">
      <c r="A309" s="0" t="s">
        <v>1757</v>
      </c>
      <c r="B309" s="0" t="s">
        <v>1192</v>
      </c>
      <c r="C309" s="0" t="s">
        <v>949</v>
      </c>
      <c r="D309" s="0" t="s">
        <v>775</v>
      </c>
      <c r="E309" s="0" t="s">
        <v>142</v>
      </c>
      <c r="F309" s="0" t="n">
        <v>7</v>
      </c>
      <c r="G309" s="0" t="n">
        <v>17.1</v>
      </c>
      <c r="H309" s="0" t="n">
        <v>0.82</v>
      </c>
      <c r="I309" s="10" t="n">
        <v>0.433</v>
      </c>
      <c r="J309" s="0" t="n">
        <v>1.29</v>
      </c>
      <c r="K309" s="13" t="n">
        <f aca="false">IF(H309&lt;&gt;"",H309,IFERROR(G309/INDEX(Players!$M$2:$M$105,MATCH(B309,Players!$A$2:$A$105,0)),""))</f>
        <v>0.82</v>
      </c>
    </row>
    <row r="310" customFormat="false" ht="15" hidden="false" customHeight="false" outlineLevel="0" collapsed="false">
      <c r="A310" s="0" t="s">
        <v>1758</v>
      </c>
      <c r="B310" s="0" t="s">
        <v>1192</v>
      </c>
      <c r="C310" s="0" t="s">
        <v>949</v>
      </c>
      <c r="D310" s="0" t="s">
        <v>775</v>
      </c>
      <c r="E310" s="0" t="s">
        <v>82</v>
      </c>
      <c r="F310" s="0" t="n">
        <v>5</v>
      </c>
      <c r="G310" s="0" t="n">
        <v>12.4</v>
      </c>
      <c r="H310" s="0" t="n">
        <v>0.71</v>
      </c>
      <c r="I310" s="10" t="n">
        <v>0.516</v>
      </c>
      <c r="J310" s="0" t="n">
        <v>1.11</v>
      </c>
      <c r="K310" s="13" t="n">
        <f aca="false">IF(H310&lt;&gt;"",H310,IFERROR(G310/INDEX(Players!$M$2:$M$105,MATCH(B310,Players!$A$2:$A$105,0)),""))</f>
        <v>0.71</v>
      </c>
    </row>
    <row r="311" customFormat="false" ht="15" hidden="false" customHeight="false" outlineLevel="0" collapsed="false">
      <c r="A311" s="0" t="s">
        <v>1759</v>
      </c>
      <c r="B311" s="0" t="s">
        <v>1192</v>
      </c>
      <c r="C311" s="0" t="s">
        <v>949</v>
      </c>
      <c r="D311" s="0" t="s">
        <v>775</v>
      </c>
      <c r="E311" s="0" t="s">
        <v>118</v>
      </c>
      <c r="F311" s="0" t="n">
        <v>5</v>
      </c>
      <c r="G311" s="0" t="n">
        <v>14.4</v>
      </c>
      <c r="H311" s="0" t="n">
        <v>0.72</v>
      </c>
      <c r="I311" s="10" t="n">
        <v>0.639</v>
      </c>
      <c r="J311" s="0" t="n">
        <v>1.03</v>
      </c>
      <c r="K311" s="13" t="n">
        <f aca="false">IF(H311&lt;&gt;"",H311,IFERROR(G311/INDEX(Players!$M$2:$M$105,MATCH(B311,Players!$A$2:$A$105,0)),""))</f>
        <v>0.72</v>
      </c>
    </row>
    <row r="312" customFormat="false" ht="15" hidden="false" customHeight="false" outlineLevel="0" collapsed="false">
      <c r="A312" s="0" t="s">
        <v>1760</v>
      </c>
      <c r="B312" s="0" t="s">
        <v>1192</v>
      </c>
      <c r="C312" s="0" t="s">
        <v>949</v>
      </c>
      <c r="D312" s="0" t="s">
        <v>775</v>
      </c>
      <c r="E312" s="0" t="s">
        <v>109</v>
      </c>
      <c r="F312" s="0" t="n">
        <v>4</v>
      </c>
      <c r="G312" s="0" t="n">
        <v>18.5</v>
      </c>
      <c r="H312" s="0" t="n">
        <v>0.8</v>
      </c>
      <c r="I312" s="10" t="n">
        <v>0.662</v>
      </c>
      <c r="J312" s="0" t="n">
        <v>1.25</v>
      </c>
      <c r="K312" s="13" t="n">
        <f aca="false">IF(H312&lt;&gt;"",H312,IFERROR(G312/INDEX(Players!$M$2:$M$105,MATCH(B312,Players!$A$2:$A$105,0)),""))</f>
        <v>0.8</v>
      </c>
    </row>
    <row r="313" customFormat="false" ht="15" hidden="false" customHeight="false" outlineLevel="0" collapsed="false">
      <c r="A313" s="0" t="s">
        <v>1761</v>
      </c>
      <c r="B313" s="0" t="s">
        <v>1192</v>
      </c>
      <c r="C313" s="0" t="s">
        <v>949</v>
      </c>
      <c r="D313" s="0" t="s">
        <v>775</v>
      </c>
      <c r="E313" s="0" t="s">
        <v>149</v>
      </c>
      <c r="F313" s="0" t="n">
        <v>2</v>
      </c>
      <c r="G313" s="0" t="n">
        <v>21</v>
      </c>
      <c r="H313" s="0" t="n">
        <v>0.7</v>
      </c>
      <c r="I313" s="10" t="n">
        <v>0.524</v>
      </c>
      <c r="J313" s="0" t="n">
        <v>0.98</v>
      </c>
      <c r="K313" s="13" t="n">
        <f aca="false">IF(H313&lt;&gt;"",H313,IFERROR(G313/INDEX(Players!$M$2:$M$105,MATCH(B313,Players!$A$2:$A$105,0)),""))</f>
        <v>0.7</v>
      </c>
    </row>
    <row r="314" customFormat="false" ht="15" hidden="false" customHeight="false" outlineLevel="0" collapsed="false">
      <c r="A314" s="0" t="s">
        <v>1762</v>
      </c>
      <c r="B314" s="0" t="s">
        <v>1174</v>
      </c>
      <c r="C314" s="0" t="s">
        <v>911</v>
      </c>
      <c r="D314" s="0" t="s">
        <v>775</v>
      </c>
      <c r="E314" s="0" t="s">
        <v>142</v>
      </c>
      <c r="F314" s="0" t="n">
        <v>6</v>
      </c>
      <c r="G314" s="0" t="n">
        <v>17.7</v>
      </c>
      <c r="H314" s="0" t="n">
        <v>0.78</v>
      </c>
      <c r="I314" s="10" t="n">
        <v>0.5</v>
      </c>
      <c r="J314" s="0" t="n">
        <v>1.23</v>
      </c>
      <c r="K314" s="13" t="n">
        <f aca="false">IF(H314&lt;&gt;"",H314,IFERROR(G314/INDEX(Players!$M$2:$M$105,MATCH(B314,Players!$A$2:$A$105,0)),""))</f>
        <v>0.78</v>
      </c>
    </row>
    <row r="315" customFormat="false" ht="15" hidden="false" customHeight="false" outlineLevel="0" collapsed="false">
      <c r="A315" s="0" t="s">
        <v>1763</v>
      </c>
      <c r="B315" s="0" t="s">
        <v>1174</v>
      </c>
      <c r="C315" s="0" t="s">
        <v>911</v>
      </c>
      <c r="D315" s="0" t="s">
        <v>775</v>
      </c>
      <c r="E315" s="0" t="s">
        <v>109</v>
      </c>
      <c r="F315" s="0" t="n">
        <v>6</v>
      </c>
      <c r="G315" s="0" t="n">
        <v>13.2</v>
      </c>
      <c r="H315" s="0" t="n">
        <v>0.59</v>
      </c>
      <c r="I315" s="10" t="n">
        <v>0.582</v>
      </c>
      <c r="J315" s="0" t="n">
        <v>0.93</v>
      </c>
      <c r="K315" s="13" t="n">
        <f aca="false">IF(H315&lt;&gt;"",H315,IFERROR(G315/INDEX(Players!$M$2:$M$105,MATCH(B315,Players!$A$2:$A$105,0)),""))</f>
        <v>0.59</v>
      </c>
    </row>
    <row r="316" customFormat="false" ht="15" hidden="false" customHeight="false" outlineLevel="0" collapsed="false">
      <c r="A316" s="0" t="s">
        <v>1764</v>
      </c>
      <c r="B316" s="0" t="s">
        <v>1174</v>
      </c>
      <c r="C316" s="0" t="s">
        <v>911</v>
      </c>
      <c r="D316" s="0" t="s">
        <v>775</v>
      </c>
      <c r="E316" s="0" t="s">
        <v>96</v>
      </c>
      <c r="F316" s="0" t="n">
        <v>6</v>
      </c>
      <c r="G316" s="0" t="n">
        <v>16.8</v>
      </c>
      <c r="H316" s="0" t="n">
        <v>0.67</v>
      </c>
      <c r="I316" s="10" t="n">
        <v>0.525</v>
      </c>
      <c r="J316" s="0" t="n">
        <v>0.91</v>
      </c>
      <c r="K316" s="13" t="n">
        <f aca="false">IF(H316&lt;&gt;"",H316,IFERROR(G316/INDEX(Players!$M$2:$M$105,MATCH(B316,Players!$A$2:$A$105,0)),""))</f>
        <v>0.67</v>
      </c>
    </row>
    <row r="317" customFormat="false" ht="15" hidden="false" customHeight="false" outlineLevel="0" collapsed="false">
      <c r="A317" s="0" t="s">
        <v>1765</v>
      </c>
      <c r="B317" s="0" t="s">
        <v>1174</v>
      </c>
      <c r="C317" s="0" t="s">
        <v>911</v>
      </c>
      <c r="D317" s="0" t="s">
        <v>775</v>
      </c>
      <c r="E317" s="0" t="s">
        <v>131</v>
      </c>
      <c r="F317" s="0" t="n">
        <v>5</v>
      </c>
      <c r="G317" s="0" t="n">
        <v>17</v>
      </c>
      <c r="H317" s="0" t="n">
        <v>0.78</v>
      </c>
      <c r="I317" s="10" t="n">
        <v>0.459</v>
      </c>
      <c r="J317" s="0" t="n">
        <v>1.1</v>
      </c>
      <c r="K317" s="13" t="n">
        <f aca="false">IF(H317&lt;&gt;"",H317,IFERROR(G317/INDEX(Players!$M$2:$M$105,MATCH(B317,Players!$A$2:$A$105,0)),""))</f>
        <v>0.78</v>
      </c>
    </row>
    <row r="318" customFormat="false" ht="15" hidden="false" customHeight="false" outlineLevel="0" collapsed="false">
      <c r="A318" s="0" t="s">
        <v>1766</v>
      </c>
      <c r="B318" s="0" t="s">
        <v>1174</v>
      </c>
      <c r="C318" s="0" t="s">
        <v>911</v>
      </c>
      <c r="D318" s="0" t="s">
        <v>775</v>
      </c>
      <c r="E318" s="0" t="s">
        <v>118</v>
      </c>
      <c r="F318" s="0" t="n">
        <v>5</v>
      </c>
      <c r="G318" s="0" t="n">
        <v>10.2</v>
      </c>
      <c r="H318" s="0" t="n">
        <v>0.45</v>
      </c>
      <c r="I318" s="10" t="n">
        <v>0.529</v>
      </c>
      <c r="J318" s="0" t="n">
        <v>0.62</v>
      </c>
      <c r="K318" s="13" t="n">
        <f aca="false">IF(H318&lt;&gt;"",H318,IFERROR(G318/INDEX(Players!$M$2:$M$105,MATCH(B318,Players!$A$2:$A$105,0)),""))</f>
        <v>0.45</v>
      </c>
    </row>
    <row r="319" customFormat="false" ht="15" hidden="false" customHeight="false" outlineLevel="0" collapsed="false">
      <c r="A319" s="0" t="s">
        <v>1767</v>
      </c>
      <c r="B319" s="0" t="s">
        <v>1174</v>
      </c>
      <c r="C319" s="0" t="s">
        <v>911</v>
      </c>
      <c r="D319" s="0" t="s">
        <v>775</v>
      </c>
      <c r="E319" s="0" t="s">
        <v>82</v>
      </c>
      <c r="F319" s="0" t="n">
        <v>4</v>
      </c>
      <c r="G319" s="0" t="n">
        <v>13.3</v>
      </c>
      <c r="H319" s="0" t="n">
        <v>0.55</v>
      </c>
      <c r="I319" s="10" t="n">
        <v>0.642</v>
      </c>
      <c r="J319" s="0" t="n">
        <v>0.87</v>
      </c>
      <c r="K319" s="13" t="n">
        <f aca="false">IF(H319&lt;&gt;"",H319,IFERROR(G319/INDEX(Players!$M$2:$M$105,MATCH(B319,Players!$A$2:$A$105,0)),""))</f>
        <v>0.55</v>
      </c>
    </row>
    <row r="320" customFormat="false" ht="15" hidden="false" customHeight="false" outlineLevel="0" collapsed="false">
      <c r="A320" s="0" t="s">
        <v>1768</v>
      </c>
      <c r="B320" s="0" t="s">
        <v>1240</v>
      </c>
      <c r="C320" s="0" t="s">
        <v>1051</v>
      </c>
      <c r="D320" s="0" t="s">
        <v>775</v>
      </c>
      <c r="E320" s="0" t="s">
        <v>142</v>
      </c>
      <c r="F320" s="0" t="n">
        <v>7</v>
      </c>
      <c r="G320" s="0" t="n">
        <v>17.7</v>
      </c>
      <c r="H320" s="0" t="n">
        <v>0.86</v>
      </c>
      <c r="I320" s="10" t="n">
        <v>0.331</v>
      </c>
      <c r="J320" s="0" t="n">
        <v>1.65</v>
      </c>
      <c r="K320" s="13" t="n">
        <f aca="false">IF(H320&lt;&gt;"",H320,IFERROR(G320/INDEX(Players!$M$2:$M$105,MATCH(B320,Players!$A$2:$A$105,0)),""))</f>
        <v>0.86</v>
      </c>
    </row>
    <row r="321" customFormat="false" ht="15" hidden="false" customHeight="false" outlineLevel="0" collapsed="false">
      <c r="A321" s="0" t="s">
        <v>1769</v>
      </c>
      <c r="B321" s="0" t="s">
        <v>1240</v>
      </c>
      <c r="C321" s="0" t="s">
        <v>1051</v>
      </c>
      <c r="D321" s="0" t="s">
        <v>775</v>
      </c>
      <c r="E321" s="0" t="s">
        <v>149</v>
      </c>
      <c r="F321" s="0" t="n">
        <v>7</v>
      </c>
      <c r="G321" s="0" t="n">
        <v>16.7</v>
      </c>
      <c r="H321" s="0" t="n">
        <v>0.76</v>
      </c>
      <c r="I321" s="10" t="n">
        <v>0.368</v>
      </c>
      <c r="J321" s="0" t="n">
        <v>1.27</v>
      </c>
      <c r="K321" s="13" t="n">
        <f aca="false">IF(H321&lt;&gt;"",H321,IFERROR(G321/INDEX(Players!$M$2:$M$105,MATCH(B321,Players!$A$2:$A$105,0)),""))</f>
        <v>0.76</v>
      </c>
    </row>
    <row r="322" customFormat="false" ht="15" hidden="false" customHeight="false" outlineLevel="0" collapsed="false">
      <c r="A322" s="0" t="s">
        <v>1770</v>
      </c>
      <c r="B322" s="0" t="s">
        <v>1240</v>
      </c>
      <c r="C322" s="0" t="s">
        <v>1051</v>
      </c>
      <c r="D322" s="0" t="s">
        <v>775</v>
      </c>
      <c r="E322" s="0" t="s">
        <v>131</v>
      </c>
      <c r="F322" s="0" t="n">
        <v>6</v>
      </c>
      <c r="G322" s="0" t="n">
        <v>14.8</v>
      </c>
      <c r="H322" s="0" t="n">
        <v>0.73</v>
      </c>
      <c r="I322" s="10" t="n">
        <v>0.326</v>
      </c>
      <c r="J322" s="0" t="n">
        <v>1.16</v>
      </c>
      <c r="K322" s="13" t="n">
        <f aca="false">IF(H322&lt;&gt;"",H322,IFERROR(G322/INDEX(Players!$M$2:$M$105,MATCH(B322,Players!$A$2:$A$105,0)),""))</f>
        <v>0.73</v>
      </c>
    </row>
    <row r="323" customFormat="false" ht="15" hidden="false" customHeight="false" outlineLevel="0" collapsed="false">
      <c r="A323" s="0" t="s">
        <v>1771</v>
      </c>
      <c r="B323" s="0" t="s">
        <v>1240</v>
      </c>
      <c r="C323" s="0" t="s">
        <v>1051</v>
      </c>
      <c r="D323" s="0" t="s">
        <v>775</v>
      </c>
      <c r="E323" s="0" t="s">
        <v>96</v>
      </c>
      <c r="F323" s="0" t="n">
        <v>3</v>
      </c>
      <c r="G323" s="0" t="n">
        <v>17.3</v>
      </c>
      <c r="H323" s="0" t="n">
        <v>0.71</v>
      </c>
      <c r="I323" s="10" t="n">
        <v>0.327</v>
      </c>
      <c r="J323" s="0" t="n">
        <v>1.11</v>
      </c>
      <c r="K323" s="13" t="n">
        <f aca="false">IF(H323&lt;&gt;"",H323,IFERROR(G323/INDEX(Players!$M$2:$M$105,MATCH(B323,Players!$A$2:$A$105,0)),""))</f>
        <v>0.71</v>
      </c>
    </row>
    <row r="324" customFormat="false" ht="15" hidden="false" customHeight="false" outlineLevel="0" collapsed="false">
      <c r="A324" s="0" t="s">
        <v>1772</v>
      </c>
      <c r="B324" s="0" t="s">
        <v>1240</v>
      </c>
      <c r="C324" s="0" t="s">
        <v>1051</v>
      </c>
      <c r="D324" s="0" t="s">
        <v>775</v>
      </c>
      <c r="E324" s="0" t="s">
        <v>109</v>
      </c>
      <c r="F324" s="0" t="n">
        <v>2</v>
      </c>
      <c r="G324" s="0" t="n">
        <v>19</v>
      </c>
      <c r="H324" s="0" t="n">
        <v>0.84</v>
      </c>
      <c r="I324" s="10" t="n">
        <v>0.316</v>
      </c>
      <c r="J324" s="0" t="n">
        <v>1.36</v>
      </c>
      <c r="K324" s="13" t="n">
        <f aca="false">IF(H324&lt;&gt;"",H324,IFERROR(G324/INDEX(Players!$M$2:$M$105,MATCH(B324,Players!$A$2:$A$105,0)),""))</f>
        <v>0.84</v>
      </c>
    </row>
    <row r="325" customFormat="false" ht="15" hidden="false" customHeight="false" outlineLevel="0" collapsed="false">
      <c r="A325" s="0" t="s">
        <v>1773</v>
      </c>
      <c r="B325" s="0" t="s">
        <v>1240</v>
      </c>
      <c r="C325" s="0" t="s">
        <v>1051</v>
      </c>
      <c r="D325" s="0" t="s">
        <v>775</v>
      </c>
      <c r="E325" s="0" t="s">
        <v>82</v>
      </c>
      <c r="F325" s="0" t="n">
        <v>1</v>
      </c>
      <c r="G325" s="0" t="n">
        <v>18</v>
      </c>
      <c r="H325" s="0" t="n">
        <v>0.78</v>
      </c>
      <c r="I325" s="10" t="n">
        <v>0.167</v>
      </c>
      <c r="J325" s="0" t="n">
        <v>1.2</v>
      </c>
      <c r="K325" s="13" t="n">
        <f aca="false">IF(H325&lt;&gt;"",H325,IFERROR(G325/INDEX(Players!$M$2:$M$105,MATCH(B325,Players!$A$2:$A$105,0)),""))</f>
        <v>0.78</v>
      </c>
    </row>
    <row r="326" customFormat="false" ht="15" hidden="false" customHeight="false" outlineLevel="0" collapsed="false">
      <c r="A326" s="0" t="s">
        <v>1774</v>
      </c>
      <c r="B326" s="0" t="s">
        <v>1197</v>
      </c>
      <c r="C326" s="0" t="s">
        <v>960</v>
      </c>
      <c r="D326" s="0" t="s">
        <v>775</v>
      </c>
      <c r="E326" s="0" t="s">
        <v>131</v>
      </c>
      <c r="F326" s="0" t="n">
        <v>6</v>
      </c>
      <c r="G326" s="0" t="n">
        <v>11.8</v>
      </c>
      <c r="H326" s="0" t="n">
        <v>0.55</v>
      </c>
      <c r="I326" s="10" t="n">
        <v>0.648</v>
      </c>
      <c r="J326" s="0" t="n">
        <v>0.99</v>
      </c>
      <c r="K326" s="13" t="n">
        <f aca="false">IF(H326&lt;&gt;"",H326,IFERROR(G326/INDEX(Players!$M$2:$M$105,MATCH(B326,Players!$A$2:$A$105,0)),""))</f>
        <v>0.55</v>
      </c>
    </row>
    <row r="327" customFormat="false" ht="15" hidden="false" customHeight="false" outlineLevel="0" collapsed="false">
      <c r="A327" s="0" t="s">
        <v>1775</v>
      </c>
      <c r="B327" s="0" t="s">
        <v>1197</v>
      </c>
      <c r="C327" s="0" t="s">
        <v>960</v>
      </c>
      <c r="D327" s="0" t="s">
        <v>775</v>
      </c>
      <c r="E327" s="0" t="s">
        <v>118</v>
      </c>
      <c r="F327" s="0" t="n">
        <v>6</v>
      </c>
      <c r="G327" s="0" t="n">
        <v>17.5</v>
      </c>
      <c r="H327" s="0" t="n">
        <v>0.64</v>
      </c>
      <c r="I327" s="10" t="n">
        <v>0.543</v>
      </c>
      <c r="J327" s="0" t="n">
        <v>0.95</v>
      </c>
      <c r="K327" s="13" t="n">
        <f aca="false">IF(H327&lt;&gt;"",H327,IFERROR(G327/INDEX(Players!$M$2:$M$105,MATCH(B327,Players!$A$2:$A$105,0)),""))</f>
        <v>0.64</v>
      </c>
    </row>
    <row r="328" customFormat="false" ht="15" hidden="false" customHeight="false" outlineLevel="0" collapsed="false">
      <c r="A328" s="0" t="s">
        <v>1776</v>
      </c>
      <c r="B328" s="0" t="s">
        <v>1197</v>
      </c>
      <c r="C328" s="0" t="s">
        <v>960</v>
      </c>
      <c r="D328" s="0" t="s">
        <v>775</v>
      </c>
      <c r="E328" s="0" t="s">
        <v>96</v>
      </c>
      <c r="F328" s="0" t="n">
        <v>4</v>
      </c>
      <c r="G328" s="0" t="n">
        <v>13.5</v>
      </c>
      <c r="H328" s="0" t="n">
        <v>0.72</v>
      </c>
      <c r="I328" s="10" t="n">
        <v>0.574</v>
      </c>
      <c r="J328" s="0" t="n">
        <v>1.42</v>
      </c>
      <c r="K328" s="13" t="n">
        <f aca="false">IF(H328&lt;&gt;"",H328,IFERROR(G328/INDEX(Players!$M$2:$M$105,MATCH(B328,Players!$A$2:$A$105,0)),""))</f>
        <v>0.72</v>
      </c>
    </row>
    <row r="329" customFormat="false" ht="15" hidden="false" customHeight="false" outlineLevel="0" collapsed="false">
      <c r="A329" s="0" t="s">
        <v>1777</v>
      </c>
      <c r="B329" s="0" t="s">
        <v>1197</v>
      </c>
      <c r="C329" s="0" t="s">
        <v>960</v>
      </c>
      <c r="D329" s="0" t="s">
        <v>775</v>
      </c>
      <c r="E329" s="0" t="s">
        <v>109</v>
      </c>
      <c r="F329" s="0" t="n">
        <v>4</v>
      </c>
      <c r="G329" s="0" t="n">
        <v>13.3</v>
      </c>
      <c r="H329" s="0" t="n">
        <v>0.62</v>
      </c>
      <c r="I329" s="10" t="n">
        <v>0.453</v>
      </c>
      <c r="J329" s="0" t="n">
        <v>1.02</v>
      </c>
      <c r="K329" s="13" t="n">
        <f aca="false">IF(H329&lt;&gt;"",H329,IFERROR(G329/INDEX(Players!$M$2:$M$105,MATCH(B329,Players!$A$2:$A$105,0)),""))</f>
        <v>0.62</v>
      </c>
    </row>
    <row r="330" customFormat="false" ht="15" hidden="false" customHeight="false" outlineLevel="0" collapsed="false">
      <c r="A330" s="0" t="s">
        <v>1778</v>
      </c>
      <c r="B330" s="0" t="s">
        <v>1197</v>
      </c>
      <c r="C330" s="0" t="s">
        <v>960</v>
      </c>
      <c r="D330" s="0" t="s">
        <v>775</v>
      </c>
      <c r="E330" s="0" t="s">
        <v>82</v>
      </c>
      <c r="F330" s="0" t="n">
        <v>3</v>
      </c>
      <c r="G330" s="0" t="n">
        <v>13</v>
      </c>
      <c r="H330" s="0" t="n">
        <v>0.64</v>
      </c>
      <c r="I330" s="10" t="n">
        <v>0.564</v>
      </c>
      <c r="J330" s="0" t="n">
        <v>0.97</v>
      </c>
      <c r="K330" s="13" t="n">
        <f aca="false">IF(H330&lt;&gt;"",H330,IFERROR(G330/INDEX(Players!$M$2:$M$105,MATCH(B330,Players!$A$2:$A$105,0)),""))</f>
        <v>0.64</v>
      </c>
    </row>
    <row r="331" customFormat="false" ht="15" hidden="false" customHeight="false" outlineLevel="0" collapsed="false">
      <c r="A331" s="0" t="s">
        <v>1779</v>
      </c>
      <c r="B331" s="0" t="s">
        <v>1197</v>
      </c>
      <c r="C331" s="0" t="s">
        <v>960</v>
      </c>
      <c r="D331" s="0" t="s">
        <v>775</v>
      </c>
      <c r="E331" s="0" t="s">
        <v>142</v>
      </c>
      <c r="F331" s="0" t="n">
        <v>3</v>
      </c>
      <c r="G331" s="0" t="n">
        <v>13.7</v>
      </c>
      <c r="H331" s="0" t="n">
        <v>0.59</v>
      </c>
      <c r="I331" s="10" t="n">
        <v>0.512</v>
      </c>
      <c r="J331" s="0" t="n">
        <v>0.85</v>
      </c>
      <c r="K331" s="13" t="n">
        <f aca="false">IF(H331&lt;&gt;"",H331,IFERROR(G331/INDEX(Players!$M$2:$M$105,MATCH(B331,Players!$A$2:$A$105,0)),""))</f>
        <v>0.59</v>
      </c>
    </row>
    <row r="332" customFormat="false" ht="15" hidden="false" customHeight="false" outlineLevel="0" collapsed="false">
      <c r="A332" s="0" t="s">
        <v>1780</v>
      </c>
      <c r="B332" s="0" t="s">
        <v>1197</v>
      </c>
      <c r="C332" s="0" t="s">
        <v>960</v>
      </c>
      <c r="D332" s="0" t="s">
        <v>775</v>
      </c>
      <c r="E332" s="0" t="s">
        <v>149</v>
      </c>
      <c r="F332" s="0" t="n">
        <v>1</v>
      </c>
      <c r="G332" s="0" t="n">
        <v>14</v>
      </c>
      <c r="H332" s="0" t="n">
        <v>0.58</v>
      </c>
      <c r="I332" s="10" t="n">
        <v>0.643</v>
      </c>
      <c r="J332" s="0" t="n">
        <v>0.78</v>
      </c>
      <c r="K332" s="13" t="n">
        <f aca="false">IF(H332&lt;&gt;"",H332,IFERROR(G332/INDEX(Players!$M$2:$M$105,MATCH(B332,Players!$A$2:$A$105,0)),""))</f>
        <v>0.58</v>
      </c>
    </row>
    <row r="333" customFormat="false" ht="15" hidden="false" customHeight="false" outlineLevel="0" collapsed="false">
      <c r="A333" s="0" t="s">
        <v>1781</v>
      </c>
      <c r="B333" s="0" t="s">
        <v>1184</v>
      </c>
      <c r="C333" s="0" t="s">
        <v>932</v>
      </c>
      <c r="D333" s="0" t="s">
        <v>775</v>
      </c>
      <c r="E333" s="0" t="s">
        <v>118</v>
      </c>
      <c r="F333" s="0" t="n">
        <v>9</v>
      </c>
      <c r="G333" s="0" t="n">
        <v>16.9</v>
      </c>
      <c r="H333" s="0" t="n">
        <v>0.67</v>
      </c>
      <c r="I333" s="10" t="n">
        <v>0.671</v>
      </c>
      <c r="J333" s="0" t="n">
        <v>1.02</v>
      </c>
      <c r="K333" s="13" t="n">
        <f aca="false">IF(H333&lt;&gt;"",H333,IFERROR(G333/INDEX(Players!$M$2:$M$105,MATCH(B333,Players!$A$2:$A$105,0)),""))</f>
        <v>0.67</v>
      </c>
    </row>
    <row r="334" customFormat="false" ht="15" hidden="false" customHeight="false" outlineLevel="0" collapsed="false">
      <c r="A334" s="0" t="s">
        <v>1782</v>
      </c>
      <c r="B334" s="0" t="s">
        <v>1184</v>
      </c>
      <c r="C334" s="0" t="s">
        <v>932</v>
      </c>
      <c r="D334" s="0" t="s">
        <v>775</v>
      </c>
      <c r="E334" s="0" t="s">
        <v>142</v>
      </c>
      <c r="F334" s="0" t="n">
        <v>7</v>
      </c>
      <c r="G334" s="0" t="n">
        <v>18</v>
      </c>
      <c r="H334" s="0" t="n">
        <v>0.79</v>
      </c>
      <c r="I334" s="10" t="n">
        <v>0.667</v>
      </c>
      <c r="J334" s="0" t="n">
        <v>1.35</v>
      </c>
      <c r="K334" s="13" t="n">
        <f aca="false">IF(H334&lt;&gt;"",H334,IFERROR(G334/INDEX(Players!$M$2:$M$105,MATCH(B334,Players!$A$2:$A$105,0)),""))</f>
        <v>0.79</v>
      </c>
    </row>
    <row r="335" customFormat="false" ht="15" hidden="false" customHeight="false" outlineLevel="0" collapsed="false">
      <c r="A335" s="0" t="s">
        <v>1783</v>
      </c>
      <c r="B335" s="0" t="s">
        <v>1184</v>
      </c>
      <c r="C335" s="0" t="s">
        <v>932</v>
      </c>
      <c r="D335" s="0" t="s">
        <v>775</v>
      </c>
      <c r="E335" s="0" t="s">
        <v>109</v>
      </c>
      <c r="F335" s="0" t="n">
        <v>5</v>
      </c>
      <c r="G335" s="0" t="n">
        <v>16.2</v>
      </c>
      <c r="H335" s="0" t="n">
        <v>0.71</v>
      </c>
      <c r="I335" s="10" t="n">
        <v>0.63</v>
      </c>
      <c r="J335" s="0" t="n">
        <v>1.21</v>
      </c>
      <c r="K335" s="13" t="n">
        <f aca="false">IF(H335&lt;&gt;"",H335,IFERROR(G335/INDEX(Players!$M$2:$M$105,MATCH(B335,Players!$A$2:$A$105,0)),""))</f>
        <v>0.71</v>
      </c>
    </row>
    <row r="336" customFormat="false" ht="15" hidden="false" customHeight="false" outlineLevel="0" collapsed="false">
      <c r="A336" s="0" t="s">
        <v>1784</v>
      </c>
      <c r="B336" s="0" t="s">
        <v>1184</v>
      </c>
      <c r="C336" s="0" t="s">
        <v>932</v>
      </c>
      <c r="D336" s="0" t="s">
        <v>775</v>
      </c>
      <c r="E336" s="0" t="s">
        <v>131</v>
      </c>
      <c r="F336" s="0" t="n">
        <v>4</v>
      </c>
      <c r="G336" s="0" t="n">
        <v>14.5</v>
      </c>
      <c r="H336" s="0" t="n">
        <v>0.66</v>
      </c>
      <c r="I336" s="10" t="n">
        <v>0.534</v>
      </c>
      <c r="J336" s="0" t="n">
        <v>0.98</v>
      </c>
      <c r="K336" s="13" t="n">
        <f aca="false">IF(H336&lt;&gt;"",H336,IFERROR(G336/INDEX(Players!$M$2:$M$105,MATCH(B336,Players!$A$2:$A$105,0)),""))</f>
        <v>0.66</v>
      </c>
    </row>
    <row r="337" customFormat="false" ht="15" hidden="false" customHeight="false" outlineLevel="0" collapsed="false">
      <c r="A337" s="0" t="s">
        <v>1785</v>
      </c>
      <c r="B337" s="0" t="s">
        <v>1184</v>
      </c>
      <c r="C337" s="0" t="s">
        <v>932</v>
      </c>
      <c r="D337" s="0" t="s">
        <v>775</v>
      </c>
      <c r="E337" s="0" t="s">
        <v>82</v>
      </c>
      <c r="F337" s="0" t="n">
        <v>3</v>
      </c>
      <c r="G337" s="0" t="n">
        <v>16</v>
      </c>
      <c r="H337" s="0" t="n">
        <v>0.73</v>
      </c>
      <c r="I337" s="10" t="n">
        <v>0.792</v>
      </c>
      <c r="J337" s="0" t="n">
        <v>1.07</v>
      </c>
      <c r="K337" s="13" t="n">
        <f aca="false">IF(H337&lt;&gt;"",H337,IFERROR(G337/INDEX(Players!$M$2:$M$105,MATCH(B337,Players!$A$2:$A$105,0)),""))</f>
        <v>0.73</v>
      </c>
    </row>
    <row r="338" customFormat="false" ht="15" hidden="false" customHeight="false" outlineLevel="0" collapsed="false">
      <c r="A338" s="0" t="s">
        <v>1786</v>
      </c>
      <c r="B338" s="0" t="s">
        <v>1184</v>
      </c>
      <c r="C338" s="0" t="s">
        <v>932</v>
      </c>
      <c r="D338" s="0" t="s">
        <v>775</v>
      </c>
      <c r="E338" s="0" t="s">
        <v>149</v>
      </c>
      <c r="F338" s="0" t="n">
        <v>2</v>
      </c>
      <c r="G338" s="0" t="n">
        <v>11.5</v>
      </c>
      <c r="H338" s="0" t="n">
        <v>0.52</v>
      </c>
      <c r="I338" s="10" t="n">
        <v>0.826</v>
      </c>
      <c r="J338" s="0" t="n">
        <v>0.82</v>
      </c>
      <c r="K338" s="13" t="n">
        <f aca="false">IF(H338&lt;&gt;"",H338,IFERROR(G338/INDEX(Players!$M$2:$M$105,MATCH(B338,Players!$A$2:$A$105,0)),""))</f>
        <v>0.52</v>
      </c>
    </row>
    <row r="339" customFormat="false" ht="15" hidden="false" customHeight="false" outlineLevel="0" collapsed="false">
      <c r="A339" s="0" t="s">
        <v>1787</v>
      </c>
      <c r="B339" s="0" t="s">
        <v>1269</v>
      </c>
      <c r="C339" s="0" t="s">
        <v>1111</v>
      </c>
      <c r="D339" s="0" t="s">
        <v>775</v>
      </c>
      <c r="E339" s="0" t="s">
        <v>131</v>
      </c>
      <c r="F339" s="0" t="n">
        <v>8</v>
      </c>
      <c r="G339" s="0" t="n">
        <v>14.3</v>
      </c>
      <c r="H339" s="0" t="n">
        <v>0.65</v>
      </c>
      <c r="I339" s="10" t="n">
        <v>0.605</v>
      </c>
      <c r="J339" s="0" t="n">
        <v>0.95</v>
      </c>
      <c r="K339" s="13" t="n">
        <f aca="false">IF(H339&lt;&gt;"",H339,IFERROR(G339/INDEX(Players!$M$2:$M$105,MATCH(B339,Players!$A$2:$A$105,0)),""))</f>
        <v>0.65</v>
      </c>
    </row>
    <row r="340" customFormat="false" ht="15" hidden="false" customHeight="false" outlineLevel="0" collapsed="false">
      <c r="A340" s="0" t="s">
        <v>1788</v>
      </c>
      <c r="B340" s="0" t="s">
        <v>1269</v>
      </c>
      <c r="C340" s="0" t="s">
        <v>1111</v>
      </c>
      <c r="D340" s="0" t="s">
        <v>775</v>
      </c>
      <c r="E340" s="0" t="s">
        <v>142</v>
      </c>
      <c r="F340" s="0" t="n">
        <v>7</v>
      </c>
      <c r="G340" s="0" t="n">
        <v>18.3</v>
      </c>
      <c r="H340" s="0" t="n">
        <v>0.84</v>
      </c>
      <c r="I340" s="10" t="n">
        <v>0.688</v>
      </c>
      <c r="J340" s="0" t="n">
        <v>1.33</v>
      </c>
      <c r="K340" s="13" t="n">
        <f aca="false">IF(H340&lt;&gt;"",H340,IFERROR(G340/INDEX(Players!$M$2:$M$105,MATCH(B340,Players!$A$2:$A$105,0)),""))</f>
        <v>0.84</v>
      </c>
    </row>
    <row r="341" customFormat="false" ht="15" hidden="false" customHeight="false" outlineLevel="0" collapsed="false">
      <c r="A341" s="0" t="s">
        <v>1789</v>
      </c>
      <c r="B341" s="0" t="s">
        <v>1269</v>
      </c>
      <c r="C341" s="0" t="s">
        <v>1111</v>
      </c>
      <c r="D341" s="0" t="s">
        <v>775</v>
      </c>
      <c r="E341" s="0" t="s">
        <v>118</v>
      </c>
      <c r="F341" s="0" t="n">
        <v>7</v>
      </c>
      <c r="G341" s="0" t="n">
        <v>14</v>
      </c>
      <c r="H341" s="0" t="n">
        <v>0.68</v>
      </c>
      <c r="I341" s="10" t="n">
        <v>0.663</v>
      </c>
      <c r="J341" s="0" t="n">
        <v>0.95</v>
      </c>
      <c r="K341" s="13" t="n">
        <f aca="false">IF(H341&lt;&gt;"",H341,IFERROR(G341/INDEX(Players!$M$2:$M$105,MATCH(B341,Players!$A$2:$A$105,0)),""))</f>
        <v>0.68</v>
      </c>
    </row>
    <row r="342" customFormat="false" ht="15" hidden="false" customHeight="false" outlineLevel="0" collapsed="false">
      <c r="A342" s="0" t="s">
        <v>1790</v>
      </c>
      <c r="B342" s="0" t="s">
        <v>1269</v>
      </c>
      <c r="C342" s="0" t="s">
        <v>1111</v>
      </c>
      <c r="D342" s="0" t="s">
        <v>775</v>
      </c>
      <c r="E342" s="0" t="s">
        <v>109</v>
      </c>
      <c r="F342" s="0" t="n">
        <v>6</v>
      </c>
      <c r="G342" s="0" t="n">
        <v>16.7</v>
      </c>
      <c r="H342" s="0" t="n">
        <v>0.83</v>
      </c>
      <c r="I342" s="10" t="n">
        <v>0.63</v>
      </c>
      <c r="J342" s="0" t="n">
        <v>1.33</v>
      </c>
      <c r="K342" s="13" t="n">
        <f aca="false">IF(H342&lt;&gt;"",H342,IFERROR(G342/INDEX(Players!$M$2:$M$105,MATCH(B342,Players!$A$2:$A$105,0)),""))</f>
        <v>0.83</v>
      </c>
    </row>
    <row r="343" customFormat="false" ht="15" hidden="false" customHeight="false" outlineLevel="0" collapsed="false">
      <c r="A343" s="0" t="s">
        <v>1791</v>
      </c>
      <c r="B343" s="0" t="s">
        <v>1269</v>
      </c>
      <c r="C343" s="0" t="s">
        <v>1111</v>
      </c>
      <c r="D343" s="0" t="s">
        <v>775</v>
      </c>
      <c r="E343" s="0" t="s">
        <v>149</v>
      </c>
      <c r="F343" s="0" t="n">
        <v>5</v>
      </c>
      <c r="G343" s="0" t="n">
        <v>16.6</v>
      </c>
      <c r="H343" s="0" t="n">
        <v>0.81</v>
      </c>
      <c r="I343" s="10" t="n">
        <v>0.663</v>
      </c>
      <c r="J343" s="0" t="n">
        <v>1.36</v>
      </c>
      <c r="K343" s="13" t="n">
        <f aca="false">IF(H343&lt;&gt;"",H343,IFERROR(G343/INDEX(Players!$M$2:$M$105,MATCH(B343,Players!$A$2:$A$105,0)),""))</f>
        <v>0.81</v>
      </c>
    </row>
    <row r="344" customFormat="false" ht="15" hidden="false" customHeight="false" outlineLevel="0" collapsed="false">
      <c r="A344" s="0" t="s">
        <v>1792</v>
      </c>
      <c r="B344" s="0" t="s">
        <v>1269</v>
      </c>
      <c r="C344" s="0" t="s">
        <v>1111</v>
      </c>
      <c r="D344" s="0" t="s">
        <v>775</v>
      </c>
      <c r="E344" s="0" t="s">
        <v>96</v>
      </c>
      <c r="F344" s="0" t="n">
        <v>5</v>
      </c>
      <c r="G344" s="0" t="n">
        <v>8.6</v>
      </c>
      <c r="H344" s="0" t="n">
        <v>0.46</v>
      </c>
      <c r="I344" s="10" t="n">
        <v>0.814</v>
      </c>
      <c r="J344" s="0" t="n">
        <v>0.58</v>
      </c>
      <c r="K344" s="13" t="n">
        <f aca="false">IF(H344&lt;&gt;"",H344,IFERROR(G344/INDEX(Players!$M$2:$M$105,MATCH(B344,Players!$A$2:$A$105,0)),""))</f>
        <v>0.46</v>
      </c>
    </row>
    <row r="345" customFormat="false" ht="15" hidden="false" customHeight="false" outlineLevel="0" collapsed="false">
      <c r="A345" s="0" t="s">
        <v>1793</v>
      </c>
      <c r="B345" s="0" t="s">
        <v>1269</v>
      </c>
      <c r="C345" s="0" t="s">
        <v>1111</v>
      </c>
      <c r="D345" s="0" t="s">
        <v>775</v>
      </c>
      <c r="E345" s="0" t="s">
        <v>82</v>
      </c>
      <c r="F345" s="0" t="n">
        <v>1</v>
      </c>
      <c r="G345" s="0" t="n">
        <v>11</v>
      </c>
      <c r="H345" s="0" t="n">
        <v>0.48</v>
      </c>
      <c r="I345" s="10" t="n">
        <v>0.727</v>
      </c>
      <c r="J345" s="0" t="n">
        <v>0.55</v>
      </c>
      <c r="K345" s="13" t="n">
        <f aca="false">IF(H345&lt;&gt;"",H345,IFERROR(G345/INDEX(Players!$M$2:$M$105,MATCH(B345,Players!$A$2:$A$105,0)),""))</f>
        <v>0.48</v>
      </c>
    </row>
    <row r="346" customFormat="false" ht="15" hidden="false" customHeight="false" outlineLevel="0" collapsed="false">
      <c r="A346" s="0" t="s">
        <v>1794</v>
      </c>
      <c r="B346" s="0" t="s">
        <v>1222</v>
      </c>
      <c r="C346" s="0" t="s">
        <v>1015</v>
      </c>
      <c r="D346" s="0" t="s">
        <v>775</v>
      </c>
      <c r="E346" s="0" t="s">
        <v>131</v>
      </c>
      <c r="F346" s="0" t="n">
        <v>9</v>
      </c>
      <c r="G346" s="0" t="n">
        <v>12.2</v>
      </c>
      <c r="H346" s="0" t="n">
        <v>0.6</v>
      </c>
      <c r="I346" s="10" t="n">
        <v>0.382</v>
      </c>
      <c r="J346" s="0" t="n">
        <v>1.09</v>
      </c>
      <c r="K346" s="13" t="n">
        <f aca="false">IF(H346&lt;&gt;"",H346,IFERROR(G346/INDEX(Players!$M$2:$M$105,MATCH(B346,Players!$A$2:$A$105,0)),""))</f>
        <v>0.6</v>
      </c>
    </row>
    <row r="347" customFormat="false" ht="15" hidden="false" customHeight="false" outlineLevel="0" collapsed="false">
      <c r="A347" s="0" t="s">
        <v>1795</v>
      </c>
      <c r="B347" s="0" t="s">
        <v>1222</v>
      </c>
      <c r="C347" s="0" t="s">
        <v>1015</v>
      </c>
      <c r="D347" s="0" t="s">
        <v>775</v>
      </c>
      <c r="E347" s="0" t="s">
        <v>96</v>
      </c>
      <c r="F347" s="0" t="n">
        <v>8</v>
      </c>
      <c r="G347" s="0" t="n">
        <v>13.3</v>
      </c>
      <c r="H347" s="0" t="n">
        <v>0.68</v>
      </c>
      <c r="I347" s="10" t="n">
        <v>0.321</v>
      </c>
      <c r="J347" s="0" t="n">
        <v>1.23</v>
      </c>
      <c r="K347" s="13" t="n">
        <f aca="false">IF(H347&lt;&gt;"",H347,IFERROR(G347/INDEX(Players!$M$2:$M$105,MATCH(B347,Players!$A$2:$A$105,0)),""))</f>
        <v>0.68</v>
      </c>
    </row>
    <row r="348" customFormat="false" ht="15" hidden="false" customHeight="false" outlineLevel="0" collapsed="false">
      <c r="A348" s="0" t="s">
        <v>1796</v>
      </c>
      <c r="B348" s="0" t="s">
        <v>1222</v>
      </c>
      <c r="C348" s="0" t="s">
        <v>1015</v>
      </c>
      <c r="D348" s="0" t="s">
        <v>775</v>
      </c>
      <c r="E348" s="0" t="s">
        <v>82</v>
      </c>
      <c r="F348" s="0" t="n">
        <v>7</v>
      </c>
      <c r="G348" s="0" t="n">
        <v>16.9</v>
      </c>
      <c r="H348" s="0" t="n">
        <v>0.78</v>
      </c>
      <c r="I348" s="10" t="n">
        <v>0.331</v>
      </c>
      <c r="J348" s="0" t="n">
        <v>1.39</v>
      </c>
      <c r="K348" s="13" t="n">
        <f aca="false">IF(H348&lt;&gt;"",H348,IFERROR(G348/INDEX(Players!$M$2:$M$105,MATCH(B348,Players!$A$2:$A$105,0)),""))</f>
        <v>0.78</v>
      </c>
    </row>
    <row r="349" customFormat="false" ht="15" hidden="false" customHeight="false" outlineLevel="0" collapsed="false">
      <c r="A349" s="0" t="s">
        <v>1797</v>
      </c>
      <c r="B349" s="0" t="s">
        <v>1222</v>
      </c>
      <c r="C349" s="0" t="s">
        <v>1015</v>
      </c>
      <c r="D349" s="0" t="s">
        <v>775</v>
      </c>
      <c r="E349" s="0" t="s">
        <v>109</v>
      </c>
      <c r="F349" s="0" t="n">
        <v>7</v>
      </c>
      <c r="G349" s="0" t="n">
        <v>12.1</v>
      </c>
      <c r="H349" s="0" t="n">
        <v>0.61</v>
      </c>
      <c r="I349" s="10" t="n">
        <v>0.482</v>
      </c>
      <c r="J349" s="0" t="n">
        <v>1.08</v>
      </c>
      <c r="K349" s="13" t="n">
        <f aca="false">IF(H349&lt;&gt;"",H349,IFERROR(G349/INDEX(Players!$M$2:$M$105,MATCH(B349,Players!$A$2:$A$105,0)),""))</f>
        <v>0.61</v>
      </c>
    </row>
    <row r="350" customFormat="false" ht="15" hidden="false" customHeight="false" outlineLevel="0" collapsed="false">
      <c r="A350" s="0" t="s">
        <v>1798</v>
      </c>
      <c r="B350" s="0" t="s">
        <v>1222</v>
      </c>
      <c r="C350" s="0" t="s">
        <v>1015</v>
      </c>
      <c r="D350" s="0" t="s">
        <v>775</v>
      </c>
      <c r="E350" s="0" t="s">
        <v>142</v>
      </c>
      <c r="F350" s="0" t="n">
        <v>6</v>
      </c>
      <c r="G350" s="0" t="n">
        <v>13.7</v>
      </c>
      <c r="H350" s="0" t="n">
        <v>0.59</v>
      </c>
      <c r="I350" s="10" t="n">
        <v>0.439</v>
      </c>
      <c r="J350" s="0" t="n">
        <v>1</v>
      </c>
      <c r="K350" s="13" t="n">
        <f aca="false">IF(H350&lt;&gt;"",H350,IFERROR(G350/INDEX(Players!$M$2:$M$105,MATCH(B350,Players!$A$2:$A$105,0)),""))</f>
        <v>0.59</v>
      </c>
    </row>
    <row r="351" customFormat="false" ht="15" hidden="false" customHeight="false" outlineLevel="0" collapsed="false">
      <c r="A351" s="0" t="s">
        <v>1799</v>
      </c>
      <c r="B351" s="0" t="s">
        <v>1222</v>
      </c>
      <c r="C351" s="0" t="s">
        <v>1015</v>
      </c>
      <c r="D351" s="0" t="s">
        <v>775</v>
      </c>
      <c r="E351" s="0" t="s">
        <v>118</v>
      </c>
      <c r="F351" s="0" t="n">
        <v>3</v>
      </c>
      <c r="G351" s="0" t="n">
        <v>12.7</v>
      </c>
      <c r="H351" s="0" t="n">
        <v>0.58</v>
      </c>
      <c r="I351" s="10" t="n">
        <v>0.395</v>
      </c>
      <c r="J351" s="0" t="n">
        <v>1.03</v>
      </c>
      <c r="K351" s="13" t="n">
        <f aca="false">IF(H351&lt;&gt;"",H351,IFERROR(G351/INDEX(Players!$M$2:$M$105,MATCH(B351,Players!$A$2:$A$105,0)),""))</f>
        <v>0.58</v>
      </c>
    </row>
    <row r="352" customFormat="false" ht="15" hidden="false" customHeight="false" outlineLevel="0" collapsed="false">
      <c r="A352" s="0" t="s">
        <v>1800</v>
      </c>
      <c r="B352" s="0" t="s">
        <v>1263</v>
      </c>
      <c r="C352" s="0" t="s">
        <v>1099</v>
      </c>
      <c r="D352" s="0" t="s">
        <v>775</v>
      </c>
      <c r="E352" s="0" t="s">
        <v>82</v>
      </c>
      <c r="F352" s="0" t="n">
        <v>14</v>
      </c>
      <c r="G352" s="0" t="n">
        <v>12.6</v>
      </c>
      <c r="H352" s="0" t="n">
        <v>0.6</v>
      </c>
      <c r="I352" s="10" t="n">
        <v>0.599</v>
      </c>
      <c r="J352" s="0" t="n">
        <v>0.86</v>
      </c>
      <c r="K352" s="13" t="n">
        <f aca="false">IF(H352&lt;&gt;"",H352,IFERROR(G352/INDEX(Players!$M$2:$M$105,MATCH(B352,Players!$A$2:$A$105,0)),""))</f>
        <v>0.6</v>
      </c>
    </row>
    <row r="353" customFormat="false" ht="15" hidden="false" customHeight="false" outlineLevel="0" collapsed="false">
      <c r="A353" s="0" t="s">
        <v>1801</v>
      </c>
      <c r="B353" s="0" t="s">
        <v>1263</v>
      </c>
      <c r="C353" s="0" t="s">
        <v>1099</v>
      </c>
      <c r="D353" s="0" t="s">
        <v>775</v>
      </c>
      <c r="E353" s="0" t="s">
        <v>96</v>
      </c>
      <c r="F353" s="0" t="n">
        <v>6</v>
      </c>
      <c r="G353" s="0" t="n">
        <v>14.8</v>
      </c>
      <c r="H353" s="0" t="n">
        <v>0.71</v>
      </c>
      <c r="I353" s="10" t="n">
        <v>0.652</v>
      </c>
      <c r="J353" s="0" t="n">
        <v>1.03</v>
      </c>
      <c r="K353" s="13" t="n">
        <f aca="false">IF(H353&lt;&gt;"",H353,IFERROR(G353/INDEX(Players!$M$2:$M$105,MATCH(B353,Players!$A$2:$A$105,0)),""))</f>
        <v>0.71</v>
      </c>
    </row>
    <row r="354" customFormat="false" ht="15" hidden="false" customHeight="false" outlineLevel="0" collapsed="false">
      <c r="A354" s="0" t="s">
        <v>1802</v>
      </c>
      <c r="B354" s="0" t="s">
        <v>1263</v>
      </c>
      <c r="C354" s="0" t="s">
        <v>1099</v>
      </c>
      <c r="D354" s="0" t="s">
        <v>775</v>
      </c>
      <c r="E354" s="0" t="s">
        <v>142</v>
      </c>
      <c r="F354" s="0" t="n">
        <v>5</v>
      </c>
      <c r="G354" s="0" t="n">
        <v>13.8</v>
      </c>
      <c r="H354" s="0" t="n">
        <v>0.61</v>
      </c>
      <c r="I354" s="10" t="n">
        <v>0.71</v>
      </c>
      <c r="J354" s="0" t="n">
        <v>0.88</v>
      </c>
      <c r="K354" s="13" t="n">
        <f aca="false">IF(H354&lt;&gt;"",H354,IFERROR(G354/INDEX(Players!$M$2:$M$105,MATCH(B354,Players!$A$2:$A$105,0)),""))</f>
        <v>0.61</v>
      </c>
    </row>
    <row r="355" customFormat="false" ht="15" hidden="false" customHeight="false" outlineLevel="0" collapsed="false">
      <c r="A355" s="0" t="s">
        <v>1803</v>
      </c>
      <c r="B355" s="0" t="s">
        <v>1263</v>
      </c>
      <c r="C355" s="0" t="s">
        <v>1099</v>
      </c>
      <c r="D355" s="0" t="s">
        <v>775</v>
      </c>
      <c r="E355" s="0" t="s">
        <v>131</v>
      </c>
      <c r="F355" s="0" t="n">
        <v>5</v>
      </c>
      <c r="G355" s="0" t="n">
        <v>14.8</v>
      </c>
      <c r="H355" s="0" t="n">
        <v>0.54</v>
      </c>
      <c r="I355" s="10" t="n">
        <v>0.527</v>
      </c>
      <c r="J355" s="0" t="n">
        <v>0.87</v>
      </c>
      <c r="K355" s="13" t="n">
        <f aca="false">IF(H355&lt;&gt;"",H355,IFERROR(G355/INDEX(Players!$M$2:$M$105,MATCH(B355,Players!$A$2:$A$105,0)),""))</f>
        <v>0.54</v>
      </c>
    </row>
    <row r="356" customFormat="false" ht="15" hidden="false" customHeight="false" outlineLevel="0" collapsed="false">
      <c r="A356" s="0" t="s">
        <v>1804</v>
      </c>
      <c r="B356" s="0" t="s">
        <v>1263</v>
      </c>
      <c r="C356" s="0" t="s">
        <v>1099</v>
      </c>
      <c r="D356" s="0" t="s">
        <v>775</v>
      </c>
      <c r="E356" s="0" t="s">
        <v>109</v>
      </c>
      <c r="F356" s="0" t="n">
        <v>4</v>
      </c>
      <c r="G356" s="0" t="n">
        <v>16</v>
      </c>
      <c r="H356" s="0" t="n">
        <v>0.68</v>
      </c>
      <c r="I356" s="10" t="n">
        <v>0.594</v>
      </c>
      <c r="J356" s="0" t="n">
        <v>1.23</v>
      </c>
      <c r="K356" s="13" t="n">
        <f aca="false">IF(H356&lt;&gt;"",H356,IFERROR(G356/INDEX(Players!$M$2:$M$105,MATCH(B356,Players!$A$2:$A$105,0)),""))</f>
        <v>0.68</v>
      </c>
    </row>
    <row r="357" customFormat="false" ht="15" hidden="false" customHeight="false" outlineLevel="0" collapsed="false">
      <c r="A357" s="0" t="s">
        <v>1805</v>
      </c>
      <c r="B357" s="0" t="s">
        <v>1263</v>
      </c>
      <c r="C357" s="0" t="s">
        <v>1099</v>
      </c>
      <c r="D357" s="0" t="s">
        <v>775</v>
      </c>
      <c r="E357" s="0" t="s">
        <v>149</v>
      </c>
      <c r="F357" s="0" t="n">
        <v>2</v>
      </c>
      <c r="G357" s="0" t="n">
        <v>8</v>
      </c>
      <c r="H357" s="0" t="n">
        <v>0.4</v>
      </c>
      <c r="I357" s="10" t="n">
        <v>0.625</v>
      </c>
      <c r="J357" s="0" t="n">
        <v>0.57</v>
      </c>
      <c r="K357" s="13" t="n">
        <f aca="false">IF(H357&lt;&gt;"",H357,IFERROR(G357/INDEX(Players!$M$2:$M$105,MATCH(B357,Players!$A$2:$A$105,0)),""))</f>
        <v>0.4</v>
      </c>
    </row>
    <row r="358" customFormat="false" ht="15" hidden="false" customHeight="false" outlineLevel="0" collapsed="false">
      <c r="A358" s="0" t="s">
        <v>1806</v>
      </c>
      <c r="B358" s="0" t="s">
        <v>1179</v>
      </c>
      <c r="C358" s="0" t="s">
        <v>922</v>
      </c>
      <c r="D358" s="0" t="s">
        <v>775</v>
      </c>
      <c r="E358" s="0" t="s">
        <v>131</v>
      </c>
      <c r="F358" s="0" t="n">
        <v>8</v>
      </c>
      <c r="G358" s="0" t="n">
        <v>17.1</v>
      </c>
      <c r="H358" s="0" t="n">
        <v>0.86</v>
      </c>
      <c r="I358" s="10" t="n">
        <v>0.562</v>
      </c>
      <c r="J358" s="0" t="n">
        <v>1.33</v>
      </c>
      <c r="K358" s="13" t="n">
        <f aca="false">IF(H358&lt;&gt;"",H358,IFERROR(G358/INDEX(Players!$M$2:$M$105,MATCH(B358,Players!$A$2:$A$105,0)),""))</f>
        <v>0.86</v>
      </c>
    </row>
    <row r="359" customFormat="false" ht="15" hidden="false" customHeight="false" outlineLevel="0" collapsed="false">
      <c r="A359" s="0" t="s">
        <v>1807</v>
      </c>
      <c r="B359" s="0" t="s">
        <v>1179</v>
      </c>
      <c r="C359" s="0" t="s">
        <v>922</v>
      </c>
      <c r="D359" s="0" t="s">
        <v>775</v>
      </c>
      <c r="E359" s="0" t="s">
        <v>118</v>
      </c>
      <c r="F359" s="0" t="n">
        <v>6</v>
      </c>
      <c r="G359" s="0" t="n">
        <v>19.5</v>
      </c>
      <c r="H359" s="0" t="n">
        <v>1</v>
      </c>
      <c r="I359" s="10" t="n">
        <v>0.675</v>
      </c>
      <c r="J359" s="0" t="n">
        <v>1.63</v>
      </c>
      <c r="K359" s="13" t="n">
        <f aca="false">IF(H359&lt;&gt;"",H359,IFERROR(G359/INDEX(Players!$M$2:$M$105,MATCH(B359,Players!$A$2:$A$105,0)),""))</f>
        <v>1</v>
      </c>
    </row>
    <row r="360" customFormat="false" ht="15" hidden="false" customHeight="false" outlineLevel="0" collapsed="false">
      <c r="A360" s="0" t="s">
        <v>1808</v>
      </c>
      <c r="B360" s="0" t="s">
        <v>1179</v>
      </c>
      <c r="C360" s="0" t="s">
        <v>922</v>
      </c>
      <c r="D360" s="0" t="s">
        <v>775</v>
      </c>
      <c r="E360" s="0" t="s">
        <v>96</v>
      </c>
      <c r="F360" s="0" t="n">
        <v>5</v>
      </c>
      <c r="G360" s="0" t="n">
        <v>13.6</v>
      </c>
      <c r="H360" s="0" t="n">
        <v>0.65</v>
      </c>
      <c r="I360" s="10" t="n">
        <v>0.515</v>
      </c>
      <c r="J360" s="0" t="n">
        <v>0.91</v>
      </c>
      <c r="K360" s="13" t="n">
        <f aca="false">IF(H360&lt;&gt;"",H360,IFERROR(G360/INDEX(Players!$M$2:$M$105,MATCH(B360,Players!$A$2:$A$105,0)),""))</f>
        <v>0.65</v>
      </c>
    </row>
    <row r="361" customFormat="false" ht="15" hidden="false" customHeight="false" outlineLevel="0" collapsed="false">
      <c r="A361" s="0" t="s">
        <v>1809</v>
      </c>
      <c r="B361" s="0" t="s">
        <v>1179</v>
      </c>
      <c r="C361" s="0" t="s">
        <v>922</v>
      </c>
      <c r="D361" s="0" t="s">
        <v>775</v>
      </c>
      <c r="E361" s="0" t="s">
        <v>82</v>
      </c>
      <c r="F361" s="0" t="n">
        <v>3</v>
      </c>
      <c r="G361" s="0" t="n">
        <v>16.7</v>
      </c>
      <c r="H361" s="0" t="n">
        <v>0.96</v>
      </c>
      <c r="I361" s="10" t="n">
        <v>0.58</v>
      </c>
      <c r="J361" s="0" t="n">
        <v>1.56</v>
      </c>
      <c r="K361" s="13" t="n">
        <f aca="false">IF(H361&lt;&gt;"",H361,IFERROR(G361/INDEX(Players!$M$2:$M$105,MATCH(B361,Players!$A$2:$A$105,0)),""))</f>
        <v>0.96</v>
      </c>
    </row>
    <row r="362" customFormat="false" ht="15" hidden="false" customHeight="false" outlineLevel="0" collapsed="false">
      <c r="A362" s="0" t="s">
        <v>1810</v>
      </c>
      <c r="B362" s="0" t="s">
        <v>1179</v>
      </c>
      <c r="C362" s="0" t="s">
        <v>922</v>
      </c>
      <c r="D362" s="0" t="s">
        <v>775</v>
      </c>
      <c r="E362" s="0" t="s">
        <v>142</v>
      </c>
      <c r="F362" s="0" t="n">
        <v>3</v>
      </c>
      <c r="G362" s="0" t="n">
        <v>21</v>
      </c>
      <c r="H362" s="0" t="n">
        <v>0.7</v>
      </c>
      <c r="I362" s="10" t="n">
        <v>0.571</v>
      </c>
      <c r="J362" s="0" t="n">
        <v>0.93</v>
      </c>
      <c r="K362" s="13" t="n">
        <f aca="false">IF(H362&lt;&gt;"",H362,IFERROR(G362/INDEX(Players!$M$2:$M$105,MATCH(B362,Players!$A$2:$A$105,0)),""))</f>
        <v>0.7</v>
      </c>
    </row>
    <row r="363" customFormat="false" ht="15" hidden="false" customHeight="false" outlineLevel="0" collapsed="false">
      <c r="A363" s="0" t="s">
        <v>1811</v>
      </c>
      <c r="B363" s="0" t="s">
        <v>1179</v>
      </c>
      <c r="C363" s="0" t="s">
        <v>922</v>
      </c>
      <c r="D363" s="0" t="s">
        <v>775</v>
      </c>
      <c r="E363" s="0" t="s">
        <v>149</v>
      </c>
      <c r="F363" s="0" t="n">
        <v>2</v>
      </c>
      <c r="G363" s="0" t="n">
        <v>11.5</v>
      </c>
      <c r="H363" s="0" t="n">
        <v>0.57</v>
      </c>
      <c r="I363" s="10" t="n">
        <v>0.652</v>
      </c>
      <c r="J363" s="0" t="n">
        <v>0.82</v>
      </c>
      <c r="K363" s="13" t="n">
        <f aca="false">IF(H363&lt;&gt;"",H363,IFERROR(G363/INDEX(Players!$M$2:$M$105,MATCH(B363,Players!$A$2:$A$105,0)),""))</f>
        <v>0.57</v>
      </c>
    </row>
    <row r="364" customFormat="false" ht="15" hidden="false" customHeight="false" outlineLevel="0" collapsed="false">
      <c r="A364" s="0" t="s">
        <v>1812</v>
      </c>
      <c r="B364" s="0" t="s">
        <v>1179</v>
      </c>
      <c r="C364" s="0" t="s">
        <v>922</v>
      </c>
      <c r="D364" s="0" t="s">
        <v>775</v>
      </c>
      <c r="E364" s="0" t="s">
        <v>109</v>
      </c>
      <c r="F364" s="0" t="n">
        <v>1</v>
      </c>
      <c r="G364" s="0" t="n">
        <v>11</v>
      </c>
      <c r="H364" s="0" t="n">
        <v>0.52</v>
      </c>
      <c r="I364" s="10" t="n">
        <v>0.636</v>
      </c>
      <c r="J364" s="0" t="n">
        <v>0.58</v>
      </c>
      <c r="K364" s="13" t="n">
        <f aca="false">IF(H364&lt;&gt;"",H364,IFERROR(G364/INDEX(Players!$M$2:$M$105,MATCH(B364,Players!$A$2:$A$105,0)),""))</f>
        <v>0.52</v>
      </c>
    </row>
    <row r="365" customFormat="false" ht="15" hidden="false" customHeight="false" outlineLevel="0" collapsed="false">
      <c r="A365" s="0" t="s">
        <v>1813</v>
      </c>
      <c r="B365" s="0" t="s">
        <v>1214</v>
      </c>
      <c r="C365" s="0" t="s">
        <v>996</v>
      </c>
      <c r="D365" s="0" t="s">
        <v>775</v>
      </c>
      <c r="E365" s="0" t="s">
        <v>131</v>
      </c>
      <c r="F365" s="0" t="n">
        <v>9</v>
      </c>
      <c r="G365" s="0" t="n">
        <v>17.8</v>
      </c>
      <c r="H365" s="0" t="n">
        <v>0.8</v>
      </c>
      <c r="I365" s="10" t="n">
        <v>0.525</v>
      </c>
      <c r="J365" s="0" t="n">
        <v>1.17</v>
      </c>
      <c r="K365" s="13" t="n">
        <f aca="false">IF(H365&lt;&gt;"",H365,IFERROR(G365/INDEX(Players!$M$2:$M$105,MATCH(B365,Players!$A$2:$A$105,0)),""))</f>
        <v>0.8</v>
      </c>
    </row>
    <row r="366" customFormat="false" ht="15" hidden="false" customHeight="false" outlineLevel="0" collapsed="false">
      <c r="A366" s="0" t="s">
        <v>1814</v>
      </c>
      <c r="B366" s="0" t="s">
        <v>1214</v>
      </c>
      <c r="C366" s="0" t="s">
        <v>996</v>
      </c>
      <c r="D366" s="0" t="s">
        <v>775</v>
      </c>
      <c r="E366" s="0" t="s">
        <v>109</v>
      </c>
      <c r="F366" s="0" t="n">
        <v>8</v>
      </c>
      <c r="G366" s="0" t="n">
        <v>13</v>
      </c>
      <c r="H366" s="0" t="n">
        <v>0.62</v>
      </c>
      <c r="I366" s="10" t="n">
        <v>0.625</v>
      </c>
      <c r="J366" s="0" t="n">
        <v>0.98</v>
      </c>
      <c r="K366" s="13" t="n">
        <f aca="false">IF(H366&lt;&gt;"",H366,IFERROR(G366/INDEX(Players!$M$2:$M$105,MATCH(B366,Players!$A$2:$A$105,0)),""))</f>
        <v>0.62</v>
      </c>
    </row>
    <row r="367" customFormat="false" ht="15" hidden="false" customHeight="false" outlineLevel="0" collapsed="false">
      <c r="A367" s="0" t="s">
        <v>1815</v>
      </c>
      <c r="B367" s="0" t="s">
        <v>1214</v>
      </c>
      <c r="C367" s="0" t="s">
        <v>996</v>
      </c>
      <c r="D367" s="0" t="s">
        <v>775</v>
      </c>
      <c r="E367" s="0" t="s">
        <v>82</v>
      </c>
      <c r="F367" s="0" t="n">
        <v>7</v>
      </c>
      <c r="G367" s="0" t="n">
        <v>11.9</v>
      </c>
      <c r="H367" s="0" t="n">
        <v>0.59</v>
      </c>
      <c r="I367" s="10" t="n">
        <v>0.554</v>
      </c>
      <c r="J367" s="0" t="n">
        <v>0.9</v>
      </c>
      <c r="K367" s="13" t="n">
        <f aca="false">IF(H367&lt;&gt;"",H367,IFERROR(G367/INDEX(Players!$M$2:$M$105,MATCH(B367,Players!$A$2:$A$105,0)),""))</f>
        <v>0.59</v>
      </c>
    </row>
    <row r="368" customFormat="false" ht="15" hidden="false" customHeight="false" outlineLevel="0" collapsed="false">
      <c r="A368" s="0" t="s">
        <v>1816</v>
      </c>
      <c r="B368" s="0" t="s">
        <v>1214</v>
      </c>
      <c r="C368" s="0" t="s">
        <v>996</v>
      </c>
      <c r="D368" s="0" t="s">
        <v>775</v>
      </c>
      <c r="E368" s="0" t="s">
        <v>96</v>
      </c>
      <c r="F368" s="0" t="n">
        <v>6</v>
      </c>
      <c r="G368" s="0" t="n">
        <v>11.5</v>
      </c>
      <c r="H368" s="0" t="n">
        <v>0.56</v>
      </c>
      <c r="I368" s="10" t="n">
        <v>0.638</v>
      </c>
      <c r="J368" s="0" t="n">
        <v>0.79</v>
      </c>
      <c r="K368" s="13" t="n">
        <f aca="false">IF(H368&lt;&gt;"",H368,IFERROR(G368/INDEX(Players!$M$2:$M$105,MATCH(B368,Players!$A$2:$A$105,0)),""))</f>
        <v>0.56</v>
      </c>
    </row>
    <row r="369" customFormat="false" ht="15" hidden="false" customHeight="false" outlineLevel="0" collapsed="false">
      <c r="A369" s="0" t="s">
        <v>1817</v>
      </c>
      <c r="B369" s="0" t="s">
        <v>1214</v>
      </c>
      <c r="C369" s="0" t="s">
        <v>996</v>
      </c>
      <c r="D369" s="0" t="s">
        <v>775</v>
      </c>
      <c r="E369" s="0" t="s">
        <v>142</v>
      </c>
      <c r="F369" s="0" t="n">
        <v>4</v>
      </c>
      <c r="G369" s="0" t="n">
        <v>16</v>
      </c>
      <c r="H369" s="0" t="n">
        <v>0.73</v>
      </c>
      <c r="I369" s="10" t="n">
        <v>0.563</v>
      </c>
      <c r="J369" s="0" t="n">
        <v>1.14</v>
      </c>
      <c r="K369" s="13" t="n">
        <f aca="false">IF(H369&lt;&gt;"",H369,IFERROR(G369/INDEX(Players!$M$2:$M$105,MATCH(B369,Players!$A$2:$A$105,0)),""))</f>
        <v>0.73</v>
      </c>
    </row>
    <row r="370" customFormat="false" ht="15" hidden="false" customHeight="false" outlineLevel="0" collapsed="false">
      <c r="A370" s="0" t="s">
        <v>1818</v>
      </c>
      <c r="B370" s="0" t="s">
        <v>1214</v>
      </c>
      <c r="C370" s="0" t="s">
        <v>996</v>
      </c>
      <c r="D370" s="0" t="s">
        <v>775</v>
      </c>
      <c r="E370" s="0" t="s">
        <v>149</v>
      </c>
      <c r="F370" s="0" t="n">
        <v>2</v>
      </c>
      <c r="G370" s="0" t="n">
        <v>16.5</v>
      </c>
      <c r="H370" s="0" t="n">
        <v>0.7</v>
      </c>
      <c r="I370" s="10" t="n">
        <v>0.606</v>
      </c>
      <c r="J370" s="0" t="n">
        <v>0.97</v>
      </c>
      <c r="K370" s="13" t="n">
        <f aca="false">IF(H370&lt;&gt;"",H370,IFERROR(G370/INDEX(Players!$M$2:$M$105,MATCH(B370,Players!$A$2:$A$105,0)),""))</f>
        <v>0.7</v>
      </c>
    </row>
    <row r="371" customFormat="false" ht="15" hidden="false" customHeight="false" outlineLevel="0" collapsed="false">
      <c r="A371" s="0" t="s">
        <v>1819</v>
      </c>
      <c r="B371" s="0" t="s">
        <v>1227</v>
      </c>
      <c r="C371" s="0" t="s">
        <v>1025</v>
      </c>
      <c r="D371" s="0" t="s">
        <v>775</v>
      </c>
      <c r="E371" s="0" t="s">
        <v>96</v>
      </c>
      <c r="F371" s="0" t="n">
        <v>8</v>
      </c>
      <c r="G371" s="0" t="n">
        <v>14.6</v>
      </c>
      <c r="H371" s="0" t="n">
        <v>0.61</v>
      </c>
      <c r="I371" s="10" t="n">
        <v>0.547</v>
      </c>
      <c r="J371" s="0" t="n">
        <v>0.86</v>
      </c>
      <c r="K371" s="13" t="n">
        <f aca="false">IF(H371&lt;&gt;"",H371,IFERROR(G371/INDEX(Players!$M$2:$M$105,MATCH(B371,Players!$A$2:$A$105,0)),""))</f>
        <v>0.61</v>
      </c>
    </row>
    <row r="372" customFormat="false" ht="15" hidden="false" customHeight="false" outlineLevel="0" collapsed="false">
      <c r="A372" s="0" t="s">
        <v>1820</v>
      </c>
      <c r="B372" s="0" t="s">
        <v>1227</v>
      </c>
      <c r="C372" s="0" t="s">
        <v>1025</v>
      </c>
      <c r="D372" s="0" t="s">
        <v>775</v>
      </c>
      <c r="E372" s="0" t="s">
        <v>149</v>
      </c>
      <c r="F372" s="0" t="n">
        <v>7</v>
      </c>
      <c r="G372" s="0" t="n">
        <v>13.4</v>
      </c>
      <c r="H372" s="0" t="n">
        <v>0.55</v>
      </c>
      <c r="I372" s="10" t="n">
        <v>0.564</v>
      </c>
      <c r="J372" s="0" t="n">
        <v>0.78</v>
      </c>
      <c r="K372" s="13" t="n">
        <f aca="false">IF(H372&lt;&gt;"",H372,IFERROR(G372/INDEX(Players!$M$2:$M$105,MATCH(B372,Players!$A$2:$A$105,0)),""))</f>
        <v>0.55</v>
      </c>
    </row>
    <row r="373" customFormat="false" ht="15" hidden="false" customHeight="false" outlineLevel="0" collapsed="false">
      <c r="A373" s="0" t="s">
        <v>1821</v>
      </c>
      <c r="B373" s="0" t="s">
        <v>1227</v>
      </c>
      <c r="C373" s="0" t="s">
        <v>1025</v>
      </c>
      <c r="D373" s="0" t="s">
        <v>775</v>
      </c>
      <c r="E373" s="0" t="s">
        <v>131</v>
      </c>
      <c r="F373" s="0" t="n">
        <v>6</v>
      </c>
      <c r="G373" s="0" t="n">
        <v>10.3</v>
      </c>
      <c r="H373" s="0" t="n">
        <v>0.51</v>
      </c>
      <c r="I373" s="10" t="n">
        <v>0.516</v>
      </c>
      <c r="J373" s="0" t="n">
        <v>0.78</v>
      </c>
      <c r="K373" s="13" t="n">
        <f aca="false">IF(H373&lt;&gt;"",H373,IFERROR(G373/INDEX(Players!$M$2:$M$105,MATCH(B373,Players!$A$2:$A$105,0)),""))</f>
        <v>0.51</v>
      </c>
    </row>
    <row r="374" customFormat="false" ht="15" hidden="false" customHeight="false" outlineLevel="0" collapsed="false">
      <c r="A374" s="0" t="s">
        <v>1822</v>
      </c>
      <c r="B374" s="0" t="s">
        <v>1227</v>
      </c>
      <c r="C374" s="0" t="s">
        <v>1025</v>
      </c>
      <c r="D374" s="0" t="s">
        <v>775</v>
      </c>
      <c r="E374" s="0" t="s">
        <v>82</v>
      </c>
      <c r="F374" s="0" t="n">
        <v>5</v>
      </c>
      <c r="G374" s="0" t="n">
        <v>11.8</v>
      </c>
      <c r="H374" s="0" t="n">
        <v>0.58</v>
      </c>
      <c r="I374" s="10" t="n">
        <v>0.559</v>
      </c>
      <c r="J374" s="0" t="n">
        <v>0.94</v>
      </c>
      <c r="K374" s="13" t="n">
        <f aca="false">IF(H374&lt;&gt;"",H374,IFERROR(G374/INDEX(Players!$M$2:$M$105,MATCH(B374,Players!$A$2:$A$105,0)),""))</f>
        <v>0.58</v>
      </c>
    </row>
    <row r="375" customFormat="false" ht="15" hidden="false" customHeight="false" outlineLevel="0" collapsed="false">
      <c r="A375" s="0" t="s">
        <v>1823</v>
      </c>
      <c r="B375" s="0" t="s">
        <v>1227</v>
      </c>
      <c r="C375" s="0" t="s">
        <v>1025</v>
      </c>
      <c r="D375" s="0" t="s">
        <v>775</v>
      </c>
      <c r="E375" s="0" t="s">
        <v>142</v>
      </c>
      <c r="F375" s="0" t="n">
        <v>3</v>
      </c>
      <c r="G375" s="0" t="n">
        <v>16</v>
      </c>
      <c r="H375" s="0" t="n">
        <v>0.66</v>
      </c>
      <c r="I375" s="10" t="n">
        <v>0.563</v>
      </c>
      <c r="J375" s="0" t="n">
        <v>0.92</v>
      </c>
      <c r="K375" s="13" t="n">
        <f aca="false">IF(H375&lt;&gt;"",H375,IFERROR(G375/INDEX(Players!$M$2:$M$105,MATCH(B375,Players!$A$2:$A$105,0)),""))</f>
        <v>0.66</v>
      </c>
    </row>
    <row r="376" customFormat="false" ht="15" hidden="false" customHeight="false" outlineLevel="0" collapsed="false">
      <c r="A376" s="0" t="s">
        <v>1824</v>
      </c>
      <c r="B376" s="0" t="s">
        <v>1227</v>
      </c>
      <c r="C376" s="0" t="s">
        <v>1025</v>
      </c>
      <c r="D376" s="0" t="s">
        <v>775</v>
      </c>
      <c r="E376" s="0" t="s">
        <v>109</v>
      </c>
      <c r="F376" s="0" t="n">
        <v>1</v>
      </c>
      <c r="G376" s="0" t="n">
        <v>10</v>
      </c>
      <c r="H376" s="0" t="n">
        <v>0.42</v>
      </c>
      <c r="I376" s="10" t="n">
        <v>0.7</v>
      </c>
      <c r="J376" s="0" t="n">
        <v>0.59</v>
      </c>
      <c r="K376" s="13" t="n">
        <f aca="false">IF(H376&lt;&gt;"",H376,IFERROR(G376/INDEX(Players!$M$2:$M$105,MATCH(B376,Players!$A$2:$A$105,0)),""))</f>
        <v>0.42</v>
      </c>
    </row>
    <row r="377" customFormat="false" ht="15" hidden="false" customHeight="false" outlineLevel="0" collapsed="false">
      <c r="A377" s="0" t="s">
        <v>1825</v>
      </c>
      <c r="B377" s="0" t="s">
        <v>1193</v>
      </c>
      <c r="C377" s="0" t="s">
        <v>952</v>
      </c>
      <c r="D377" s="0" t="s">
        <v>775</v>
      </c>
      <c r="E377" s="0" t="s">
        <v>131</v>
      </c>
      <c r="F377" s="0" t="n">
        <v>8</v>
      </c>
      <c r="G377" s="0" t="n">
        <v>13.9</v>
      </c>
      <c r="H377" s="0" t="n">
        <v>0.6</v>
      </c>
      <c r="I377" s="10" t="n">
        <v>0.541</v>
      </c>
      <c r="J377" s="0" t="n">
        <v>0.97</v>
      </c>
      <c r="K377" s="13" t="n">
        <f aca="false">IF(H377&lt;&gt;"",H377,IFERROR(G377/INDEX(Players!$M$2:$M$105,MATCH(B377,Players!$A$2:$A$105,0)),""))</f>
        <v>0.6</v>
      </c>
    </row>
    <row r="378" customFormat="false" ht="15" hidden="false" customHeight="false" outlineLevel="0" collapsed="false">
      <c r="A378" s="0" t="s">
        <v>1826</v>
      </c>
      <c r="B378" s="0" t="s">
        <v>1193</v>
      </c>
      <c r="C378" s="0" t="s">
        <v>952</v>
      </c>
      <c r="D378" s="0" t="s">
        <v>775</v>
      </c>
      <c r="E378" s="0" t="s">
        <v>118</v>
      </c>
      <c r="F378" s="0" t="n">
        <v>8</v>
      </c>
      <c r="G378" s="0" t="n">
        <v>13.6</v>
      </c>
      <c r="H378" s="0" t="n">
        <v>0.6</v>
      </c>
      <c r="I378" s="10" t="n">
        <v>0.486</v>
      </c>
      <c r="J378" s="0" t="n">
        <v>0.89</v>
      </c>
      <c r="K378" s="13" t="n">
        <f aca="false">IF(H378&lt;&gt;"",H378,IFERROR(G378/INDEX(Players!$M$2:$M$105,MATCH(B378,Players!$A$2:$A$105,0)),""))</f>
        <v>0.6</v>
      </c>
    </row>
    <row r="379" customFormat="false" ht="15" hidden="false" customHeight="false" outlineLevel="0" collapsed="false">
      <c r="A379" s="0" t="s">
        <v>1827</v>
      </c>
      <c r="B379" s="0" t="s">
        <v>1193</v>
      </c>
      <c r="C379" s="0" t="s">
        <v>952</v>
      </c>
      <c r="D379" s="0" t="s">
        <v>775</v>
      </c>
      <c r="E379" s="0" t="s">
        <v>82</v>
      </c>
      <c r="F379" s="0" t="n">
        <v>4</v>
      </c>
      <c r="G379" s="0" t="n">
        <v>16.3</v>
      </c>
      <c r="H379" s="0" t="n">
        <v>0.87</v>
      </c>
      <c r="I379" s="10" t="n">
        <v>0.554</v>
      </c>
      <c r="J379" s="0" t="n">
        <v>1.2</v>
      </c>
      <c r="K379" s="13" t="n">
        <f aca="false">IF(H379&lt;&gt;"",H379,IFERROR(G379/INDEX(Players!$M$2:$M$105,MATCH(B379,Players!$A$2:$A$105,0)),""))</f>
        <v>0.87</v>
      </c>
    </row>
    <row r="380" customFormat="false" ht="15" hidden="false" customHeight="false" outlineLevel="0" collapsed="false">
      <c r="A380" s="0" t="s">
        <v>1828</v>
      </c>
      <c r="B380" s="0" t="s">
        <v>1193</v>
      </c>
      <c r="C380" s="0" t="s">
        <v>952</v>
      </c>
      <c r="D380" s="0" t="s">
        <v>775</v>
      </c>
      <c r="E380" s="0" t="s">
        <v>149</v>
      </c>
      <c r="F380" s="0" t="n">
        <v>3</v>
      </c>
      <c r="G380" s="0" t="n">
        <v>13.3</v>
      </c>
      <c r="H380" s="0" t="n">
        <v>0.5</v>
      </c>
      <c r="I380" s="10" t="n">
        <v>0.6</v>
      </c>
      <c r="J380" s="0" t="n">
        <v>0.87</v>
      </c>
      <c r="K380" s="13" t="n">
        <f aca="false">IF(H380&lt;&gt;"",H380,IFERROR(G380/INDEX(Players!$M$2:$M$105,MATCH(B380,Players!$A$2:$A$105,0)),""))</f>
        <v>0.5</v>
      </c>
    </row>
    <row r="381" customFormat="false" ht="15" hidden="false" customHeight="false" outlineLevel="0" collapsed="false">
      <c r="A381" s="0" t="s">
        <v>1829</v>
      </c>
      <c r="B381" s="0" t="s">
        <v>1193</v>
      </c>
      <c r="C381" s="0" t="s">
        <v>952</v>
      </c>
      <c r="D381" s="0" t="s">
        <v>775</v>
      </c>
      <c r="E381" s="0" t="s">
        <v>109</v>
      </c>
      <c r="F381" s="0" t="n">
        <v>3</v>
      </c>
      <c r="G381" s="0" t="n">
        <v>15.3</v>
      </c>
      <c r="H381" s="0" t="n">
        <v>0.68</v>
      </c>
      <c r="I381" s="10" t="n">
        <v>0.587</v>
      </c>
      <c r="J381" s="0" t="n">
        <v>0.87</v>
      </c>
      <c r="K381" s="13" t="n">
        <f aca="false">IF(H381&lt;&gt;"",H381,IFERROR(G381/INDEX(Players!$M$2:$M$105,MATCH(B381,Players!$A$2:$A$105,0)),""))</f>
        <v>0.68</v>
      </c>
    </row>
    <row r="382" customFormat="false" ht="15" hidden="false" customHeight="false" outlineLevel="0" collapsed="false">
      <c r="A382" s="0" t="s">
        <v>1830</v>
      </c>
      <c r="B382" s="0" t="s">
        <v>1193</v>
      </c>
      <c r="C382" s="0" t="s">
        <v>952</v>
      </c>
      <c r="D382" s="0" t="s">
        <v>775</v>
      </c>
      <c r="E382" s="0" t="s">
        <v>142</v>
      </c>
      <c r="F382" s="0" t="n">
        <v>3</v>
      </c>
      <c r="G382" s="0" t="n">
        <v>12</v>
      </c>
      <c r="H382" s="0" t="n">
        <v>0.61</v>
      </c>
      <c r="I382" s="10" t="n">
        <v>0.333</v>
      </c>
      <c r="J382" s="0" t="n">
        <v>0.84</v>
      </c>
      <c r="K382" s="13" t="n">
        <f aca="false">IF(H382&lt;&gt;"",H382,IFERROR(G382/INDEX(Players!$M$2:$M$105,MATCH(B382,Players!$A$2:$A$105,0)),""))</f>
        <v>0.61</v>
      </c>
    </row>
    <row r="383" customFormat="false" ht="15" hidden="false" customHeight="false" outlineLevel="0" collapsed="false">
      <c r="A383" s="0" t="s">
        <v>1831</v>
      </c>
      <c r="B383" s="0" t="s">
        <v>1193</v>
      </c>
      <c r="C383" s="0" t="s">
        <v>952</v>
      </c>
      <c r="D383" s="0" t="s">
        <v>775</v>
      </c>
      <c r="E383" s="0" t="s">
        <v>96</v>
      </c>
      <c r="F383" s="0" t="n">
        <v>2</v>
      </c>
      <c r="G383" s="0" t="n">
        <v>10.5</v>
      </c>
      <c r="H383" s="0" t="n">
        <v>0.49</v>
      </c>
      <c r="I383" s="10" t="n">
        <v>0.762</v>
      </c>
      <c r="J383" s="0" t="n">
        <v>0.75</v>
      </c>
      <c r="K383" s="13" t="n">
        <f aca="false">IF(H383&lt;&gt;"",H383,IFERROR(G383/INDEX(Players!$M$2:$M$105,MATCH(B383,Players!$A$2:$A$105,0)),""))</f>
        <v>0.49</v>
      </c>
    </row>
    <row r="384" customFormat="false" ht="15" hidden="false" customHeight="false" outlineLevel="0" collapsed="false">
      <c r="A384" s="0" t="s">
        <v>1832</v>
      </c>
      <c r="B384" s="0" t="s">
        <v>1259</v>
      </c>
      <c r="C384" s="0" t="s">
        <v>1091</v>
      </c>
      <c r="D384" s="0" t="s">
        <v>775</v>
      </c>
      <c r="E384" s="0" t="s">
        <v>142</v>
      </c>
      <c r="F384" s="0" t="n">
        <v>9</v>
      </c>
      <c r="G384" s="0" t="n">
        <v>14.2</v>
      </c>
      <c r="H384" s="0" t="n">
        <v>0.72</v>
      </c>
      <c r="I384" s="10" t="n">
        <v>0.336</v>
      </c>
      <c r="J384" s="0" t="n">
        <v>1.33</v>
      </c>
      <c r="K384" s="13" t="n">
        <f aca="false">IF(H384&lt;&gt;"",H384,IFERROR(G384/INDEX(Players!$M$2:$M$105,MATCH(B384,Players!$A$2:$A$105,0)),""))</f>
        <v>0.72</v>
      </c>
    </row>
    <row r="385" customFormat="false" ht="15" hidden="false" customHeight="false" outlineLevel="0" collapsed="false">
      <c r="A385" s="0" t="s">
        <v>1833</v>
      </c>
      <c r="B385" s="0" t="s">
        <v>1259</v>
      </c>
      <c r="C385" s="0" t="s">
        <v>1091</v>
      </c>
      <c r="D385" s="0" t="s">
        <v>775</v>
      </c>
      <c r="E385" s="0" t="s">
        <v>118</v>
      </c>
      <c r="F385" s="0" t="n">
        <v>6</v>
      </c>
      <c r="G385" s="0" t="n">
        <v>10.8</v>
      </c>
      <c r="H385" s="0" t="n">
        <v>0.55</v>
      </c>
      <c r="I385" s="10" t="n">
        <v>0.338</v>
      </c>
      <c r="J385" s="0" t="n">
        <v>1</v>
      </c>
      <c r="K385" s="13" t="n">
        <f aca="false">IF(H385&lt;&gt;"",H385,IFERROR(G385/INDEX(Players!$M$2:$M$105,MATCH(B385,Players!$A$2:$A$105,0)),""))</f>
        <v>0.55</v>
      </c>
    </row>
    <row r="386" customFormat="false" ht="15" hidden="false" customHeight="false" outlineLevel="0" collapsed="false">
      <c r="A386" s="0" t="s">
        <v>1834</v>
      </c>
      <c r="B386" s="0" t="s">
        <v>1259</v>
      </c>
      <c r="C386" s="0" t="s">
        <v>1091</v>
      </c>
      <c r="D386" s="0" t="s">
        <v>775</v>
      </c>
      <c r="E386" s="0" t="s">
        <v>96</v>
      </c>
      <c r="F386" s="0" t="n">
        <v>5</v>
      </c>
      <c r="G386" s="0" t="n">
        <v>15.6</v>
      </c>
      <c r="H386" s="0" t="n">
        <v>0.74</v>
      </c>
      <c r="I386" s="10" t="n">
        <v>0.346</v>
      </c>
      <c r="J386" s="0" t="n">
        <v>1.32</v>
      </c>
      <c r="K386" s="13" t="n">
        <f aca="false">IF(H386&lt;&gt;"",H386,IFERROR(G386/INDEX(Players!$M$2:$M$105,MATCH(B386,Players!$A$2:$A$105,0)),""))</f>
        <v>0.74</v>
      </c>
    </row>
    <row r="387" customFormat="false" ht="15" hidden="false" customHeight="false" outlineLevel="0" collapsed="false">
      <c r="A387" s="0" t="s">
        <v>1835</v>
      </c>
      <c r="B387" s="0" t="s">
        <v>1259</v>
      </c>
      <c r="C387" s="0" t="s">
        <v>1091</v>
      </c>
      <c r="D387" s="0" t="s">
        <v>775</v>
      </c>
      <c r="E387" s="0" t="s">
        <v>131</v>
      </c>
      <c r="F387" s="0" t="n">
        <v>5</v>
      </c>
      <c r="G387" s="0" t="n">
        <v>11.2</v>
      </c>
      <c r="H387" s="0" t="n">
        <v>0.49</v>
      </c>
      <c r="I387" s="10" t="n">
        <v>0.179</v>
      </c>
      <c r="J387" s="0" t="n">
        <v>0.79</v>
      </c>
      <c r="K387" s="13" t="n">
        <f aca="false">IF(H387&lt;&gt;"",H387,IFERROR(G387/INDEX(Players!$M$2:$M$105,MATCH(B387,Players!$A$2:$A$105,0)),""))</f>
        <v>0.49</v>
      </c>
    </row>
    <row r="388" customFormat="false" ht="15" hidden="false" customHeight="false" outlineLevel="0" collapsed="false">
      <c r="A388" s="0" t="s">
        <v>1836</v>
      </c>
      <c r="B388" s="0" t="s">
        <v>1259</v>
      </c>
      <c r="C388" s="0" t="s">
        <v>1091</v>
      </c>
      <c r="D388" s="0" t="s">
        <v>775</v>
      </c>
      <c r="E388" s="0" t="s">
        <v>82</v>
      </c>
      <c r="F388" s="0" t="n">
        <v>4</v>
      </c>
      <c r="G388" s="0" t="n">
        <v>19</v>
      </c>
      <c r="H388" s="0" t="n">
        <v>0.89</v>
      </c>
      <c r="I388" s="10" t="n">
        <v>0.342</v>
      </c>
      <c r="J388" s="0" t="n">
        <v>1.85</v>
      </c>
      <c r="K388" s="13" t="n">
        <f aca="false">IF(H388&lt;&gt;"",H388,IFERROR(G388/INDEX(Players!$M$2:$M$105,MATCH(B388,Players!$A$2:$A$105,0)),""))</f>
        <v>0.89</v>
      </c>
    </row>
    <row r="389" customFormat="false" ht="15" hidden="false" customHeight="false" outlineLevel="0" collapsed="false">
      <c r="A389" s="0" t="s">
        <v>1837</v>
      </c>
      <c r="B389" s="0" t="s">
        <v>1259</v>
      </c>
      <c r="C389" s="0" t="s">
        <v>1091</v>
      </c>
      <c r="D389" s="0" t="s">
        <v>775</v>
      </c>
      <c r="E389" s="0" t="s">
        <v>109</v>
      </c>
      <c r="F389" s="0" t="n">
        <v>1</v>
      </c>
      <c r="G389" s="0" t="n">
        <v>5</v>
      </c>
      <c r="H389" s="0" t="n">
        <v>0.38</v>
      </c>
      <c r="I389" s="10" t="n">
        <v>0.4</v>
      </c>
      <c r="J389" s="0" t="n">
        <v>0.5</v>
      </c>
      <c r="K389" s="13" t="n">
        <f aca="false">IF(H389&lt;&gt;"",H389,IFERROR(G389/INDEX(Players!$M$2:$M$105,MATCH(B389,Players!$A$2:$A$105,0)),""))</f>
        <v>0.38</v>
      </c>
    </row>
    <row r="390" customFormat="false" ht="15" hidden="false" customHeight="false" outlineLevel="0" collapsed="false">
      <c r="A390" s="0" t="s">
        <v>1838</v>
      </c>
      <c r="B390" s="0" t="s">
        <v>1236</v>
      </c>
      <c r="C390" s="0" t="s">
        <v>1043</v>
      </c>
      <c r="D390" s="0" t="s">
        <v>775</v>
      </c>
      <c r="E390" s="0" t="s">
        <v>142</v>
      </c>
      <c r="F390" s="0" t="n">
        <v>7</v>
      </c>
      <c r="G390" s="0" t="n">
        <v>12.7</v>
      </c>
      <c r="H390" s="0" t="n">
        <v>0.6</v>
      </c>
      <c r="I390" s="10" t="n">
        <v>0.551</v>
      </c>
      <c r="J390" s="0" t="n">
        <v>0.89</v>
      </c>
      <c r="K390" s="13" t="n">
        <f aca="false">IF(H390&lt;&gt;"",H390,IFERROR(G390/INDEX(Players!$M$2:$M$105,MATCH(B390,Players!$A$2:$A$105,0)),""))</f>
        <v>0.6</v>
      </c>
    </row>
    <row r="391" customFormat="false" ht="15" hidden="false" customHeight="false" outlineLevel="0" collapsed="false">
      <c r="A391" s="0" t="s">
        <v>1839</v>
      </c>
      <c r="B391" s="0" t="s">
        <v>1236</v>
      </c>
      <c r="C391" s="0" t="s">
        <v>1043</v>
      </c>
      <c r="D391" s="0" t="s">
        <v>775</v>
      </c>
      <c r="E391" s="0" t="s">
        <v>109</v>
      </c>
      <c r="F391" s="0" t="n">
        <v>7</v>
      </c>
      <c r="G391" s="0" t="n">
        <v>12.3</v>
      </c>
      <c r="H391" s="0" t="n">
        <v>0.59</v>
      </c>
      <c r="I391" s="10" t="n">
        <v>0.57</v>
      </c>
      <c r="J391" s="0" t="n">
        <v>0.89</v>
      </c>
      <c r="K391" s="13" t="n">
        <f aca="false">IF(H391&lt;&gt;"",H391,IFERROR(G391/INDEX(Players!$M$2:$M$105,MATCH(B391,Players!$A$2:$A$105,0)),""))</f>
        <v>0.59</v>
      </c>
    </row>
    <row r="392" customFormat="false" ht="15" hidden="false" customHeight="false" outlineLevel="0" collapsed="false">
      <c r="A392" s="0" t="s">
        <v>1840</v>
      </c>
      <c r="B392" s="0" t="s">
        <v>1236</v>
      </c>
      <c r="C392" s="0" t="s">
        <v>1043</v>
      </c>
      <c r="D392" s="0" t="s">
        <v>775</v>
      </c>
      <c r="E392" s="0" t="s">
        <v>118</v>
      </c>
      <c r="F392" s="0" t="n">
        <v>6</v>
      </c>
      <c r="G392" s="0" t="n">
        <v>17</v>
      </c>
      <c r="H392" s="0" t="n">
        <v>0.73</v>
      </c>
      <c r="I392" s="10" t="n">
        <v>0.676</v>
      </c>
      <c r="J392" s="0" t="n">
        <v>1.03</v>
      </c>
      <c r="K392" s="13" t="n">
        <f aca="false">IF(H392&lt;&gt;"",H392,IFERROR(G392/INDEX(Players!$M$2:$M$105,MATCH(B392,Players!$A$2:$A$105,0)),""))</f>
        <v>0.73</v>
      </c>
    </row>
    <row r="393" customFormat="false" ht="15" hidden="false" customHeight="false" outlineLevel="0" collapsed="false">
      <c r="A393" s="0" t="s">
        <v>1841</v>
      </c>
      <c r="B393" s="0" t="s">
        <v>1236</v>
      </c>
      <c r="C393" s="0" t="s">
        <v>1043</v>
      </c>
      <c r="D393" s="0" t="s">
        <v>775</v>
      </c>
      <c r="E393" s="0" t="s">
        <v>82</v>
      </c>
      <c r="F393" s="0" t="n">
        <v>4</v>
      </c>
      <c r="G393" s="0" t="n">
        <v>17.3</v>
      </c>
      <c r="H393" s="0" t="n">
        <v>0.82</v>
      </c>
      <c r="I393" s="10" t="n">
        <v>0.652</v>
      </c>
      <c r="J393" s="0" t="n">
        <v>1.35</v>
      </c>
      <c r="K393" s="13" t="n">
        <f aca="false">IF(H393&lt;&gt;"",H393,IFERROR(G393/INDEX(Players!$M$2:$M$105,MATCH(B393,Players!$A$2:$A$105,0)),""))</f>
        <v>0.82</v>
      </c>
    </row>
    <row r="394" customFormat="false" ht="15" hidden="false" customHeight="false" outlineLevel="0" collapsed="false">
      <c r="A394" s="0" t="s">
        <v>1842</v>
      </c>
      <c r="B394" s="0" t="s">
        <v>1236</v>
      </c>
      <c r="C394" s="0" t="s">
        <v>1043</v>
      </c>
      <c r="D394" s="0" t="s">
        <v>775</v>
      </c>
      <c r="E394" s="0" t="s">
        <v>131</v>
      </c>
      <c r="F394" s="0" t="n">
        <v>4</v>
      </c>
      <c r="G394" s="0" t="n">
        <v>15.8</v>
      </c>
      <c r="H394" s="0" t="n">
        <v>0.79</v>
      </c>
      <c r="I394" s="10" t="n">
        <v>0.46</v>
      </c>
      <c r="J394" s="0" t="n">
        <v>1.13</v>
      </c>
      <c r="K394" s="13" t="n">
        <f aca="false">IF(H394&lt;&gt;"",H394,IFERROR(G394/INDEX(Players!$M$2:$M$105,MATCH(B394,Players!$A$2:$A$105,0)),""))</f>
        <v>0.79</v>
      </c>
    </row>
    <row r="395" customFormat="false" ht="15" hidden="false" customHeight="false" outlineLevel="0" collapsed="false">
      <c r="A395" s="0" t="s">
        <v>1843</v>
      </c>
      <c r="B395" s="0" t="s">
        <v>1236</v>
      </c>
      <c r="C395" s="0" t="s">
        <v>1043</v>
      </c>
      <c r="D395" s="0" t="s">
        <v>775</v>
      </c>
      <c r="E395" s="0" t="s">
        <v>149</v>
      </c>
      <c r="F395" s="0" t="n">
        <v>2</v>
      </c>
      <c r="G395" s="0" t="n">
        <v>20</v>
      </c>
      <c r="H395" s="0" t="n">
        <v>0.93</v>
      </c>
      <c r="I395" s="10" t="n">
        <v>0.575</v>
      </c>
      <c r="J395" s="0" t="n">
        <v>1.29</v>
      </c>
      <c r="K395" s="13" t="n">
        <f aca="false">IF(H395&lt;&gt;"",H395,IFERROR(G395/INDEX(Players!$M$2:$M$105,MATCH(B395,Players!$A$2:$A$105,0)),""))</f>
        <v>0.93</v>
      </c>
    </row>
    <row r="396" customFormat="false" ht="15" hidden="false" customHeight="false" outlineLevel="0" collapsed="false">
      <c r="A396" s="0" t="s">
        <v>1844</v>
      </c>
      <c r="B396" s="0" t="s">
        <v>1254</v>
      </c>
      <c r="C396" s="0" t="s">
        <v>1081</v>
      </c>
      <c r="D396" s="0" t="s">
        <v>775</v>
      </c>
      <c r="E396" s="0" t="s">
        <v>109</v>
      </c>
      <c r="F396" s="0" t="n">
        <v>4</v>
      </c>
      <c r="G396" s="0" t="n">
        <v>12.3</v>
      </c>
      <c r="H396" s="0" t="n">
        <v>0.7</v>
      </c>
      <c r="I396" s="10" t="n">
        <v>0.449</v>
      </c>
      <c r="J396" s="0" t="n">
        <v>1.32</v>
      </c>
      <c r="K396" s="13" t="n">
        <f aca="false">IF(H396&lt;&gt;"",H396,IFERROR(G396/INDEX(Players!$M$2:$M$105,MATCH(B396,Players!$A$2:$A$105,0)),""))</f>
        <v>0.7</v>
      </c>
    </row>
    <row r="397" customFormat="false" ht="15" hidden="false" customHeight="false" outlineLevel="0" collapsed="false">
      <c r="A397" s="0" t="s">
        <v>1845</v>
      </c>
      <c r="B397" s="0" t="s">
        <v>1254</v>
      </c>
      <c r="C397" s="0" t="s">
        <v>1081</v>
      </c>
      <c r="D397" s="0" t="s">
        <v>775</v>
      </c>
      <c r="E397" s="0" t="s">
        <v>131</v>
      </c>
      <c r="F397" s="0" t="n">
        <v>4</v>
      </c>
      <c r="G397" s="0" t="n">
        <v>15</v>
      </c>
      <c r="H397" s="0" t="n">
        <v>0.66</v>
      </c>
      <c r="I397" s="10" t="n">
        <v>0.5</v>
      </c>
      <c r="J397" s="0" t="n">
        <v>1.05</v>
      </c>
      <c r="K397" s="13" t="n">
        <f aca="false">IF(H397&lt;&gt;"",H397,IFERROR(G397/INDEX(Players!$M$2:$M$105,MATCH(B397,Players!$A$2:$A$105,0)),""))</f>
        <v>0.66</v>
      </c>
    </row>
    <row r="398" customFormat="false" ht="15" hidden="false" customHeight="false" outlineLevel="0" collapsed="false">
      <c r="A398" s="0" t="s">
        <v>1846</v>
      </c>
      <c r="B398" s="0" t="s">
        <v>1254</v>
      </c>
      <c r="C398" s="0" t="s">
        <v>1081</v>
      </c>
      <c r="D398" s="0" t="s">
        <v>775</v>
      </c>
      <c r="E398" s="0" t="s">
        <v>149</v>
      </c>
      <c r="F398" s="0" t="n">
        <v>4</v>
      </c>
      <c r="G398" s="0" t="n">
        <v>19</v>
      </c>
      <c r="H398" s="0" t="n">
        <v>0.64</v>
      </c>
      <c r="I398" s="10" t="n">
        <v>0.461</v>
      </c>
      <c r="J398" s="0" t="n">
        <v>0.99</v>
      </c>
      <c r="K398" s="13" t="n">
        <f aca="false">IF(H398&lt;&gt;"",H398,IFERROR(G398/INDEX(Players!$M$2:$M$105,MATCH(B398,Players!$A$2:$A$105,0)),""))</f>
        <v>0.64</v>
      </c>
    </row>
    <row r="399" customFormat="false" ht="15" hidden="false" customHeight="false" outlineLevel="0" collapsed="false">
      <c r="A399" s="0" t="s">
        <v>1847</v>
      </c>
      <c r="B399" s="0" t="s">
        <v>1254</v>
      </c>
      <c r="C399" s="0" t="s">
        <v>1081</v>
      </c>
      <c r="D399" s="0" t="s">
        <v>775</v>
      </c>
      <c r="E399" s="0" t="s">
        <v>118</v>
      </c>
      <c r="F399" s="0" t="n">
        <v>4</v>
      </c>
      <c r="G399" s="0" t="n">
        <v>12.5</v>
      </c>
      <c r="H399" s="0" t="n">
        <v>0.54</v>
      </c>
      <c r="I399" s="10" t="n">
        <v>0.6</v>
      </c>
      <c r="J399" s="0" t="n">
        <v>0.81</v>
      </c>
      <c r="K399" s="13" t="n">
        <f aca="false">IF(H399&lt;&gt;"",H399,IFERROR(G399/INDEX(Players!$M$2:$M$105,MATCH(B399,Players!$A$2:$A$105,0)),""))</f>
        <v>0.54</v>
      </c>
    </row>
    <row r="400" customFormat="false" ht="15" hidden="false" customHeight="false" outlineLevel="0" collapsed="false">
      <c r="A400" s="0" t="s">
        <v>1848</v>
      </c>
      <c r="B400" s="0" t="s">
        <v>1254</v>
      </c>
      <c r="C400" s="0" t="s">
        <v>1081</v>
      </c>
      <c r="D400" s="0" t="s">
        <v>775</v>
      </c>
      <c r="E400" s="0" t="s">
        <v>82</v>
      </c>
      <c r="F400" s="0" t="n">
        <v>4</v>
      </c>
      <c r="G400" s="0" t="n">
        <v>9.3</v>
      </c>
      <c r="H400" s="0" t="n">
        <v>0.41</v>
      </c>
      <c r="I400" s="10" t="n">
        <v>0.595</v>
      </c>
      <c r="J400" s="0" t="n">
        <v>0.57</v>
      </c>
      <c r="K400" s="13" t="n">
        <f aca="false">IF(H400&lt;&gt;"",H400,IFERROR(G400/INDEX(Players!$M$2:$M$105,MATCH(B400,Players!$A$2:$A$105,0)),""))</f>
        <v>0.41</v>
      </c>
    </row>
    <row r="401" customFormat="false" ht="15" hidden="false" customHeight="false" outlineLevel="0" collapsed="false">
      <c r="A401" s="0" t="s">
        <v>1849</v>
      </c>
      <c r="B401" s="0" t="s">
        <v>1254</v>
      </c>
      <c r="C401" s="0" t="s">
        <v>1081</v>
      </c>
      <c r="D401" s="0" t="s">
        <v>775</v>
      </c>
      <c r="E401" s="0" t="s">
        <v>96</v>
      </c>
      <c r="F401" s="0" t="n">
        <v>2</v>
      </c>
      <c r="G401" s="0" t="n">
        <v>9.5</v>
      </c>
      <c r="H401" s="0" t="n">
        <v>0.51</v>
      </c>
      <c r="I401" s="10" t="n">
        <v>0.526</v>
      </c>
      <c r="J401" s="0" t="n">
        <v>0.63</v>
      </c>
      <c r="K401" s="13" t="n">
        <f aca="false">IF(H401&lt;&gt;"",H401,IFERROR(G401/INDEX(Players!$M$2:$M$105,MATCH(B401,Players!$A$2:$A$105,0)),""))</f>
        <v>0.51</v>
      </c>
    </row>
    <row r="402" customFormat="false" ht="15" hidden="false" customHeight="false" outlineLevel="0" collapsed="false">
      <c r="A402" s="0" t="s">
        <v>1850</v>
      </c>
      <c r="B402" s="0" t="s">
        <v>1198</v>
      </c>
      <c r="C402" s="0" t="s">
        <v>962</v>
      </c>
      <c r="D402" s="0" t="s">
        <v>775</v>
      </c>
      <c r="E402" s="0" t="s">
        <v>131</v>
      </c>
      <c r="F402" s="0" t="n">
        <v>6</v>
      </c>
      <c r="G402" s="0" t="n">
        <v>13.5</v>
      </c>
      <c r="H402" s="0" t="n">
        <v>0.63</v>
      </c>
      <c r="I402" s="10" t="n">
        <v>0.716</v>
      </c>
      <c r="J402" s="0" t="n">
        <v>0.96</v>
      </c>
      <c r="K402" s="13" t="n">
        <f aca="false">IF(H402&lt;&gt;"",H402,IFERROR(G402/INDEX(Players!$M$2:$M$105,MATCH(B402,Players!$A$2:$A$105,0)),""))</f>
        <v>0.63</v>
      </c>
    </row>
    <row r="403" customFormat="false" ht="15" hidden="false" customHeight="false" outlineLevel="0" collapsed="false">
      <c r="A403" s="0" t="s">
        <v>1851</v>
      </c>
      <c r="B403" s="0" t="s">
        <v>1198</v>
      </c>
      <c r="C403" s="0" t="s">
        <v>962</v>
      </c>
      <c r="D403" s="0" t="s">
        <v>775</v>
      </c>
      <c r="E403" s="0" t="s">
        <v>118</v>
      </c>
      <c r="F403" s="0" t="n">
        <v>6</v>
      </c>
      <c r="G403" s="0" t="n">
        <v>15.8</v>
      </c>
      <c r="H403" s="0" t="n">
        <v>0.58</v>
      </c>
      <c r="I403" s="10" t="n">
        <v>0.737</v>
      </c>
      <c r="J403" s="0" t="n">
        <v>0.9</v>
      </c>
      <c r="K403" s="13" t="n">
        <f aca="false">IF(H403&lt;&gt;"",H403,IFERROR(G403/INDEX(Players!$M$2:$M$105,MATCH(B403,Players!$A$2:$A$105,0)),""))</f>
        <v>0.58</v>
      </c>
    </row>
    <row r="404" customFormat="false" ht="15" hidden="false" customHeight="false" outlineLevel="0" collapsed="false">
      <c r="A404" s="0" t="s">
        <v>1852</v>
      </c>
      <c r="B404" s="0" t="s">
        <v>1198</v>
      </c>
      <c r="C404" s="0" t="s">
        <v>962</v>
      </c>
      <c r="D404" s="0" t="s">
        <v>775</v>
      </c>
      <c r="E404" s="0" t="s">
        <v>96</v>
      </c>
      <c r="F404" s="0" t="n">
        <v>4</v>
      </c>
      <c r="G404" s="0" t="n">
        <v>19</v>
      </c>
      <c r="H404" s="0" t="n">
        <v>1.01</v>
      </c>
      <c r="I404" s="10" t="n">
        <v>0.697</v>
      </c>
      <c r="J404" s="0" t="n">
        <v>2.05</v>
      </c>
      <c r="K404" s="13" t="n">
        <f aca="false">IF(H404&lt;&gt;"",H404,IFERROR(G404/INDEX(Players!$M$2:$M$105,MATCH(B404,Players!$A$2:$A$105,0)),""))</f>
        <v>1.01</v>
      </c>
    </row>
    <row r="405" customFormat="false" ht="15" hidden="false" customHeight="false" outlineLevel="0" collapsed="false">
      <c r="A405" s="0" t="s">
        <v>1853</v>
      </c>
      <c r="B405" s="0" t="s">
        <v>1198</v>
      </c>
      <c r="C405" s="0" t="s">
        <v>962</v>
      </c>
      <c r="D405" s="0" t="s">
        <v>775</v>
      </c>
      <c r="E405" s="0" t="s">
        <v>109</v>
      </c>
      <c r="F405" s="0" t="n">
        <v>4</v>
      </c>
      <c r="G405" s="0" t="n">
        <v>13.5</v>
      </c>
      <c r="H405" s="0" t="n">
        <v>0.64</v>
      </c>
      <c r="I405" s="10" t="n">
        <v>0.63</v>
      </c>
      <c r="J405" s="0" t="n">
        <v>1.13</v>
      </c>
      <c r="K405" s="13" t="n">
        <f aca="false">IF(H405&lt;&gt;"",H405,IFERROR(G405/INDEX(Players!$M$2:$M$105,MATCH(B405,Players!$A$2:$A$105,0)),""))</f>
        <v>0.64</v>
      </c>
    </row>
    <row r="406" customFormat="false" ht="15" hidden="false" customHeight="false" outlineLevel="0" collapsed="false">
      <c r="A406" s="0" t="s">
        <v>1854</v>
      </c>
      <c r="B406" s="0" t="s">
        <v>1198</v>
      </c>
      <c r="C406" s="0" t="s">
        <v>962</v>
      </c>
      <c r="D406" s="0" t="s">
        <v>775</v>
      </c>
      <c r="E406" s="0" t="s">
        <v>142</v>
      </c>
      <c r="F406" s="0" t="n">
        <v>3</v>
      </c>
      <c r="G406" s="0" t="n">
        <v>18</v>
      </c>
      <c r="H406" s="0" t="n">
        <v>0.78</v>
      </c>
      <c r="I406" s="10" t="n">
        <v>0.722</v>
      </c>
      <c r="J406" s="0" t="n">
        <v>1.1</v>
      </c>
      <c r="K406" s="13" t="n">
        <f aca="false">IF(H406&lt;&gt;"",H406,IFERROR(G406/INDEX(Players!$M$2:$M$105,MATCH(B406,Players!$A$2:$A$105,0)),""))</f>
        <v>0.78</v>
      </c>
    </row>
    <row r="407" customFormat="false" ht="15" hidden="false" customHeight="false" outlineLevel="0" collapsed="false">
      <c r="A407" s="0" t="s">
        <v>1855</v>
      </c>
      <c r="B407" s="0" t="s">
        <v>1198</v>
      </c>
      <c r="C407" s="0" t="s">
        <v>962</v>
      </c>
      <c r="D407" s="0" t="s">
        <v>775</v>
      </c>
      <c r="E407" s="0" t="s">
        <v>82</v>
      </c>
      <c r="F407" s="0" t="n">
        <v>3</v>
      </c>
      <c r="G407" s="0" t="n">
        <v>12.7</v>
      </c>
      <c r="H407" s="0" t="n">
        <v>0.62</v>
      </c>
      <c r="I407" s="10" t="n">
        <v>0.737</v>
      </c>
      <c r="J407" s="0" t="n">
        <v>0.86</v>
      </c>
      <c r="K407" s="13" t="n">
        <f aca="false">IF(H407&lt;&gt;"",H407,IFERROR(G407/INDEX(Players!$M$2:$M$105,MATCH(B407,Players!$A$2:$A$105,0)),""))</f>
        <v>0.62</v>
      </c>
    </row>
    <row r="408" customFormat="false" ht="15" hidden="false" customHeight="false" outlineLevel="0" collapsed="false">
      <c r="A408" s="0" t="s">
        <v>1856</v>
      </c>
      <c r="B408" s="0" t="s">
        <v>1198</v>
      </c>
      <c r="C408" s="0" t="s">
        <v>962</v>
      </c>
      <c r="D408" s="0" t="s">
        <v>775</v>
      </c>
      <c r="E408" s="0" t="s">
        <v>149</v>
      </c>
      <c r="F408" s="0" t="n">
        <v>1</v>
      </c>
      <c r="G408" s="0" t="n">
        <v>13</v>
      </c>
      <c r="H408" s="0" t="n">
        <v>0.54</v>
      </c>
      <c r="I408" s="10" t="n">
        <v>0.769</v>
      </c>
      <c r="J408" s="0" t="n">
        <v>0.68</v>
      </c>
      <c r="K408" s="13" t="n">
        <f aca="false">IF(H408&lt;&gt;"",H408,IFERROR(G408/INDEX(Players!$M$2:$M$105,MATCH(B408,Players!$A$2:$A$105,0)),""))</f>
        <v>0.54</v>
      </c>
    </row>
    <row r="409" customFormat="false" ht="15" hidden="false" customHeight="false" outlineLevel="0" collapsed="false">
      <c r="A409" s="0" t="s">
        <v>1857</v>
      </c>
      <c r="B409" s="0" t="s">
        <v>1270</v>
      </c>
      <c r="C409" s="0" t="s">
        <v>1113</v>
      </c>
      <c r="D409" s="0" t="s">
        <v>775</v>
      </c>
      <c r="E409" s="0" t="s">
        <v>142</v>
      </c>
      <c r="F409" s="0" t="n">
        <v>8</v>
      </c>
      <c r="G409" s="0" t="n">
        <v>17.4</v>
      </c>
      <c r="H409" s="0" t="n">
        <v>0.74</v>
      </c>
      <c r="I409" s="10" t="n">
        <v>0.554</v>
      </c>
      <c r="J409" s="0" t="n">
        <v>1.26</v>
      </c>
      <c r="K409" s="13" t="n">
        <f aca="false">IF(H409&lt;&gt;"",H409,IFERROR(G409/INDEX(Players!$M$2:$M$105,MATCH(B409,Players!$A$2:$A$105,0)),""))</f>
        <v>0.74</v>
      </c>
    </row>
    <row r="410" customFormat="false" ht="15" hidden="false" customHeight="false" outlineLevel="0" collapsed="false">
      <c r="A410" s="0" t="s">
        <v>1858</v>
      </c>
      <c r="B410" s="0" t="s">
        <v>1270</v>
      </c>
      <c r="C410" s="0" t="s">
        <v>1113</v>
      </c>
      <c r="D410" s="0" t="s">
        <v>775</v>
      </c>
      <c r="E410" s="0" t="s">
        <v>131</v>
      </c>
      <c r="F410" s="0" t="n">
        <v>8</v>
      </c>
      <c r="G410" s="0" t="n">
        <v>13.5</v>
      </c>
      <c r="H410" s="0" t="n">
        <v>0.62</v>
      </c>
      <c r="I410" s="10" t="n">
        <v>0.546</v>
      </c>
      <c r="J410" s="0" t="n">
        <v>1.01</v>
      </c>
      <c r="K410" s="13" t="n">
        <f aca="false">IF(H410&lt;&gt;"",H410,IFERROR(G410/INDEX(Players!$M$2:$M$105,MATCH(B410,Players!$A$2:$A$105,0)),""))</f>
        <v>0.62</v>
      </c>
    </row>
    <row r="411" customFormat="false" ht="15" hidden="false" customHeight="false" outlineLevel="0" collapsed="false">
      <c r="A411" s="0" t="s">
        <v>1859</v>
      </c>
      <c r="B411" s="0" t="s">
        <v>1270</v>
      </c>
      <c r="C411" s="0" t="s">
        <v>1113</v>
      </c>
      <c r="D411" s="0" t="s">
        <v>775</v>
      </c>
      <c r="E411" s="0" t="s">
        <v>109</v>
      </c>
      <c r="F411" s="0" t="n">
        <v>5</v>
      </c>
      <c r="G411" s="0" t="n">
        <v>14.4</v>
      </c>
      <c r="H411" s="0" t="n">
        <v>0.78</v>
      </c>
      <c r="I411" s="10" t="n">
        <v>0.583</v>
      </c>
      <c r="J411" s="0" t="n">
        <v>1.67</v>
      </c>
      <c r="K411" s="13" t="n">
        <f aca="false">IF(H411&lt;&gt;"",H411,IFERROR(G411/INDEX(Players!$M$2:$M$105,MATCH(B411,Players!$A$2:$A$105,0)),""))</f>
        <v>0.78</v>
      </c>
    </row>
    <row r="412" customFormat="false" ht="15" hidden="false" customHeight="false" outlineLevel="0" collapsed="false">
      <c r="A412" s="0" t="s">
        <v>1860</v>
      </c>
      <c r="B412" s="0" t="s">
        <v>1270</v>
      </c>
      <c r="C412" s="0" t="s">
        <v>1113</v>
      </c>
      <c r="D412" s="0" t="s">
        <v>775</v>
      </c>
      <c r="E412" s="0" t="s">
        <v>118</v>
      </c>
      <c r="F412" s="0" t="n">
        <v>5</v>
      </c>
      <c r="G412" s="0" t="n">
        <v>11.8</v>
      </c>
      <c r="H412" s="0" t="n">
        <v>0.57</v>
      </c>
      <c r="I412" s="10" t="n">
        <v>0.525</v>
      </c>
      <c r="J412" s="0" t="n">
        <v>0.79</v>
      </c>
      <c r="K412" s="13" t="n">
        <f aca="false">IF(H412&lt;&gt;"",H412,IFERROR(G412/INDEX(Players!$M$2:$M$105,MATCH(B412,Players!$A$2:$A$105,0)),""))</f>
        <v>0.57</v>
      </c>
    </row>
    <row r="413" customFormat="false" ht="15" hidden="false" customHeight="false" outlineLevel="0" collapsed="false">
      <c r="A413" s="0" t="s">
        <v>1861</v>
      </c>
      <c r="B413" s="0" t="s">
        <v>1270</v>
      </c>
      <c r="C413" s="0" t="s">
        <v>1113</v>
      </c>
      <c r="D413" s="0" t="s">
        <v>775</v>
      </c>
      <c r="E413" s="0" t="s">
        <v>96</v>
      </c>
      <c r="F413" s="0" t="n">
        <v>3</v>
      </c>
      <c r="G413" s="0" t="n">
        <v>11.7</v>
      </c>
      <c r="H413" s="0" t="n">
        <v>0.61</v>
      </c>
      <c r="I413" s="10" t="n">
        <v>0.457</v>
      </c>
      <c r="J413" s="0" t="n">
        <v>0.97</v>
      </c>
      <c r="K413" s="13" t="n">
        <f aca="false">IF(H413&lt;&gt;"",H413,IFERROR(G413/INDEX(Players!$M$2:$M$105,MATCH(B413,Players!$A$2:$A$105,0)),""))</f>
        <v>0.61</v>
      </c>
    </row>
    <row r="414" customFormat="false" ht="15" hidden="false" customHeight="false" outlineLevel="0" collapsed="false">
      <c r="A414" s="0" t="s">
        <v>1862</v>
      </c>
      <c r="B414" s="0" t="s">
        <v>1270</v>
      </c>
      <c r="C414" s="0" t="s">
        <v>1113</v>
      </c>
      <c r="D414" s="0" t="s">
        <v>775</v>
      </c>
      <c r="E414" s="0" t="s">
        <v>149</v>
      </c>
      <c r="F414" s="0" t="n">
        <v>2</v>
      </c>
      <c r="G414" s="0" t="n">
        <v>15.5</v>
      </c>
      <c r="H414" s="0" t="n">
        <v>0.84</v>
      </c>
      <c r="I414" s="10" t="n">
        <v>0.581</v>
      </c>
      <c r="J414" s="0" t="n">
        <v>1.55</v>
      </c>
      <c r="K414" s="13" t="n">
        <f aca="false">IF(H414&lt;&gt;"",H414,IFERROR(G414/INDEX(Players!$M$2:$M$105,MATCH(B414,Players!$A$2:$A$105,0)),""))</f>
        <v>0.84</v>
      </c>
    </row>
    <row r="415" customFormat="false" ht="15" hidden="false" customHeight="false" outlineLevel="0" collapsed="false">
      <c r="A415" s="0" t="s">
        <v>1863</v>
      </c>
      <c r="B415" s="0" t="s">
        <v>1194</v>
      </c>
      <c r="C415" s="0" t="s">
        <v>954</v>
      </c>
      <c r="D415" s="0" t="s">
        <v>775</v>
      </c>
      <c r="E415" s="0" t="s">
        <v>131</v>
      </c>
      <c r="F415" s="0" t="n">
        <v>8</v>
      </c>
      <c r="G415" s="0" t="n">
        <v>17.5</v>
      </c>
      <c r="H415" s="0" t="n">
        <v>0.78</v>
      </c>
      <c r="I415" s="10" t="n">
        <v>0.564</v>
      </c>
      <c r="J415" s="0" t="n">
        <v>1.16</v>
      </c>
      <c r="K415" s="13" t="n">
        <f aca="false">IF(H415&lt;&gt;"",H415,IFERROR(G415/INDEX(Players!$M$2:$M$105,MATCH(B415,Players!$A$2:$A$105,0)),""))</f>
        <v>0.78</v>
      </c>
    </row>
    <row r="416" customFormat="false" ht="15" hidden="false" customHeight="false" outlineLevel="0" collapsed="false">
      <c r="A416" s="0" t="s">
        <v>1864</v>
      </c>
      <c r="B416" s="0" t="s">
        <v>1194</v>
      </c>
      <c r="C416" s="0" t="s">
        <v>954</v>
      </c>
      <c r="D416" s="0" t="s">
        <v>775</v>
      </c>
      <c r="E416" s="0" t="s">
        <v>142</v>
      </c>
      <c r="F416" s="0" t="n">
        <v>7</v>
      </c>
      <c r="G416" s="0" t="n">
        <v>11.1</v>
      </c>
      <c r="H416" s="0" t="n">
        <v>0.53</v>
      </c>
      <c r="I416" s="10" t="n">
        <v>0.423</v>
      </c>
      <c r="J416" s="0" t="n">
        <v>0.72</v>
      </c>
      <c r="K416" s="13" t="n">
        <f aca="false">IF(H416&lt;&gt;"",H416,IFERROR(G416/INDEX(Players!$M$2:$M$105,MATCH(B416,Players!$A$2:$A$105,0)),""))</f>
        <v>0.53</v>
      </c>
    </row>
    <row r="417" customFormat="false" ht="15" hidden="false" customHeight="false" outlineLevel="0" collapsed="false">
      <c r="A417" s="0" t="s">
        <v>1865</v>
      </c>
      <c r="B417" s="0" t="s">
        <v>1194</v>
      </c>
      <c r="C417" s="0" t="s">
        <v>954</v>
      </c>
      <c r="D417" s="0" t="s">
        <v>775</v>
      </c>
      <c r="E417" s="0" t="s">
        <v>82</v>
      </c>
      <c r="F417" s="0" t="n">
        <v>5</v>
      </c>
      <c r="G417" s="0" t="n">
        <v>13.4</v>
      </c>
      <c r="H417" s="0" t="n">
        <v>0.77</v>
      </c>
      <c r="I417" s="10" t="n">
        <v>0.448</v>
      </c>
      <c r="J417" s="0" t="n">
        <v>1.22</v>
      </c>
      <c r="K417" s="13" t="n">
        <f aca="false">IF(H417&lt;&gt;"",H417,IFERROR(G417/INDEX(Players!$M$2:$M$105,MATCH(B417,Players!$A$2:$A$105,0)),""))</f>
        <v>0.77</v>
      </c>
    </row>
    <row r="418" customFormat="false" ht="15" hidden="false" customHeight="false" outlineLevel="0" collapsed="false">
      <c r="A418" s="0" t="s">
        <v>1866</v>
      </c>
      <c r="B418" s="0" t="s">
        <v>1194</v>
      </c>
      <c r="C418" s="0" t="s">
        <v>954</v>
      </c>
      <c r="D418" s="0" t="s">
        <v>775</v>
      </c>
      <c r="E418" s="0" t="s">
        <v>118</v>
      </c>
      <c r="F418" s="0" t="n">
        <v>5</v>
      </c>
      <c r="G418" s="0" t="n">
        <v>12.8</v>
      </c>
      <c r="H418" s="0" t="n">
        <v>0.64</v>
      </c>
      <c r="I418" s="10" t="n">
        <v>0.547</v>
      </c>
      <c r="J418" s="0" t="n">
        <v>0.84</v>
      </c>
      <c r="K418" s="13" t="n">
        <f aca="false">IF(H418&lt;&gt;"",H418,IFERROR(G418/INDEX(Players!$M$2:$M$105,MATCH(B418,Players!$A$2:$A$105,0)),""))</f>
        <v>0.64</v>
      </c>
    </row>
    <row r="419" customFormat="false" ht="15" hidden="false" customHeight="false" outlineLevel="0" collapsed="false">
      <c r="A419" s="0" t="s">
        <v>1867</v>
      </c>
      <c r="B419" s="0" t="s">
        <v>1194</v>
      </c>
      <c r="C419" s="0" t="s">
        <v>954</v>
      </c>
      <c r="D419" s="0" t="s">
        <v>775</v>
      </c>
      <c r="E419" s="0" t="s">
        <v>109</v>
      </c>
      <c r="F419" s="0" t="n">
        <v>4</v>
      </c>
      <c r="G419" s="0" t="n">
        <v>15</v>
      </c>
      <c r="H419" s="0" t="n">
        <v>0.65</v>
      </c>
      <c r="I419" s="10" t="n">
        <v>0.367</v>
      </c>
      <c r="J419" s="0" t="n">
        <v>1</v>
      </c>
      <c r="K419" s="13" t="n">
        <f aca="false">IF(H419&lt;&gt;"",H419,IFERROR(G419/INDEX(Players!$M$2:$M$105,MATCH(B419,Players!$A$2:$A$105,0)),""))</f>
        <v>0.65</v>
      </c>
    </row>
    <row r="420" customFormat="false" ht="15" hidden="false" customHeight="false" outlineLevel="0" collapsed="false">
      <c r="A420" s="0" t="s">
        <v>1868</v>
      </c>
      <c r="B420" s="0" t="s">
        <v>1194</v>
      </c>
      <c r="C420" s="0" t="s">
        <v>954</v>
      </c>
      <c r="D420" s="0" t="s">
        <v>775</v>
      </c>
      <c r="E420" s="0" t="s">
        <v>149</v>
      </c>
      <c r="F420" s="0" t="n">
        <v>2</v>
      </c>
      <c r="G420" s="0" t="n">
        <v>27</v>
      </c>
      <c r="H420" s="0" t="n">
        <v>0.9</v>
      </c>
      <c r="I420" s="10" t="n">
        <v>0.537</v>
      </c>
      <c r="J420" s="0" t="n">
        <v>1.46</v>
      </c>
      <c r="K420" s="13" t="n">
        <f aca="false">IF(H420&lt;&gt;"",H420,IFERROR(G420/INDEX(Players!$M$2:$M$105,MATCH(B420,Players!$A$2:$A$105,0)),""))</f>
        <v>0.9</v>
      </c>
    </row>
    <row r="421" customFormat="false" ht="15" hidden="false" customHeight="false" outlineLevel="0" collapsed="false">
      <c r="A421" s="0" t="s">
        <v>1869</v>
      </c>
      <c r="B421" s="0" t="s">
        <v>1223</v>
      </c>
      <c r="C421" s="0" t="s">
        <v>1017</v>
      </c>
      <c r="D421" s="0" t="s">
        <v>775</v>
      </c>
      <c r="E421" s="0" t="s">
        <v>131</v>
      </c>
      <c r="F421" s="0" t="n">
        <v>9</v>
      </c>
      <c r="G421" s="0" t="n">
        <v>18.3</v>
      </c>
      <c r="H421" s="0" t="n">
        <v>0.9</v>
      </c>
      <c r="I421" s="10" t="n">
        <v>0.63</v>
      </c>
      <c r="J421" s="0" t="n">
        <v>1.54</v>
      </c>
      <c r="K421" s="13" t="n">
        <f aca="false">IF(H421&lt;&gt;"",H421,IFERROR(G421/INDEX(Players!$M$2:$M$105,MATCH(B421,Players!$A$2:$A$105,0)),""))</f>
        <v>0.9</v>
      </c>
    </row>
    <row r="422" customFormat="false" ht="15" hidden="false" customHeight="false" outlineLevel="0" collapsed="false">
      <c r="A422" s="0" t="s">
        <v>1870</v>
      </c>
      <c r="B422" s="0" t="s">
        <v>1223</v>
      </c>
      <c r="C422" s="0" t="s">
        <v>1017</v>
      </c>
      <c r="D422" s="0" t="s">
        <v>775</v>
      </c>
      <c r="E422" s="0" t="s">
        <v>96</v>
      </c>
      <c r="F422" s="0" t="n">
        <v>8</v>
      </c>
      <c r="G422" s="0" t="n">
        <v>13.9</v>
      </c>
      <c r="H422" s="0" t="n">
        <v>0.72</v>
      </c>
      <c r="I422" s="10" t="n">
        <v>0.613</v>
      </c>
      <c r="J422" s="0" t="n">
        <v>1.14</v>
      </c>
      <c r="K422" s="13" t="n">
        <f aca="false">IF(H422&lt;&gt;"",H422,IFERROR(G422/INDEX(Players!$M$2:$M$105,MATCH(B422,Players!$A$2:$A$105,0)),""))</f>
        <v>0.72</v>
      </c>
    </row>
    <row r="423" customFormat="false" ht="15" hidden="false" customHeight="false" outlineLevel="0" collapsed="false">
      <c r="A423" s="0" t="s">
        <v>1871</v>
      </c>
      <c r="B423" s="0" t="s">
        <v>1223</v>
      </c>
      <c r="C423" s="0" t="s">
        <v>1017</v>
      </c>
      <c r="D423" s="0" t="s">
        <v>775</v>
      </c>
      <c r="E423" s="0" t="s">
        <v>82</v>
      </c>
      <c r="F423" s="0" t="n">
        <v>7</v>
      </c>
      <c r="G423" s="0" t="n">
        <v>16.6</v>
      </c>
      <c r="H423" s="0" t="n">
        <v>0.77</v>
      </c>
      <c r="I423" s="10" t="n">
        <v>0.586</v>
      </c>
      <c r="J423" s="0" t="n">
        <v>1.14</v>
      </c>
      <c r="K423" s="13" t="n">
        <f aca="false">IF(H423&lt;&gt;"",H423,IFERROR(G423/INDEX(Players!$M$2:$M$105,MATCH(B423,Players!$A$2:$A$105,0)),""))</f>
        <v>0.77</v>
      </c>
    </row>
    <row r="424" customFormat="false" ht="15" hidden="false" customHeight="false" outlineLevel="0" collapsed="false">
      <c r="A424" s="0" t="s">
        <v>1872</v>
      </c>
      <c r="B424" s="0" t="s">
        <v>1223</v>
      </c>
      <c r="C424" s="0" t="s">
        <v>1017</v>
      </c>
      <c r="D424" s="0" t="s">
        <v>775</v>
      </c>
      <c r="E424" s="0" t="s">
        <v>109</v>
      </c>
      <c r="F424" s="0" t="n">
        <v>7</v>
      </c>
      <c r="G424" s="0" t="n">
        <v>13.6</v>
      </c>
      <c r="H424" s="0" t="n">
        <v>0.68</v>
      </c>
      <c r="I424" s="10" t="n">
        <v>0.568</v>
      </c>
      <c r="J424" s="0" t="n">
        <v>1.12</v>
      </c>
      <c r="K424" s="13" t="n">
        <f aca="false">IF(H424&lt;&gt;"",H424,IFERROR(G424/INDEX(Players!$M$2:$M$105,MATCH(B424,Players!$A$2:$A$105,0)),""))</f>
        <v>0.68</v>
      </c>
    </row>
    <row r="425" customFormat="false" ht="15" hidden="false" customHeight="false" outlineLevel="0" collapsed="false">
      <c r="A425" s="0" t="s">
        <v>1873</v>
      </c>
      <c r="B425" s="0" t="s">
        <v>1223</v>
      </c>
      <c r="C425" s="0" t="s">
        <v>1017</v>
      </c>
      <c r="D425" s="0" t="s">
        <v>775</v>
      </c>
      <c r="E425" s="0" t="s">
        <v>142</v>
      </c>
      <c r="F425" s="0" t="n">
        <v>6</v>
      </c>
      <c r="G425" s="0" t="n">
        <v>19.3</v>
      </c>
      <c r="H425" s="0" t="n">
        <v>0.83</v>
      </c>
      <c r="I425" s="10" t="n">
        <v>0.638</v>
      </c>
      <c r="J425" s="0" t="n">
        <v>1.33</v>
      </c>
      <c r="K425" s="13" t="n">
        <f aca="false">IF(H425&lt;&gt;"",H425,IFERROR(G425/INDEX(Players!$M$2:$M$105,MATCH(B425,Players!$A$2:$A$105,0)),""))</f>
        <v>0.83</v>
      </c>
    </row>
    <row r="426" customFormat="false" ht="15" hidden="false" customHeight="false" outlineLevel="0" collapsed="false">
      <c r="A426" s="0" t="s">
        <v>1874</v>
      </c>
      <c r="B426" s="0" t="s">
        <v>1223</v>
      </c>
      <c r="C426" s="0" t="s">
        <v>1017</v>
      </c>
      <c r="D426" s="0" t="s">
        <v>775</v>
      </c>
      <c r="E426" s="0" t="s">
        <v>118</v>
      </c>
      <c r="F426" s="0" t="n">
        <v>3</v>
      </c>
      <c r="G426" s="0" t="n">
        <v>15</v>
      </c>
      <c r="H426" s="0" t="n">
        <v>0.69</v>
      </c>
      <c r="I426" s="10" t="n">
        <v>0.511</v>
      </c>
      <c r="J426" s="0" t="n">
        <v>1.22</v>
      </c>
      <c r="K426" s="13" t="n">
        <f aca="false">IF(H426&lt;&gt;"",H426,IFERROR(G426/INDEX(Players!$M$2:$M$105,MATCH(B426,Players!$A$2:$A$105,0)),""))</f>
        <v>0.69</v>
      </c>
    </row>
    <row r="427" customFormat="false" ht="15" hidden="false" customHeight="false" outlineLevel="0" collapsed="false">
      <c r="A427" s="0" t="s">
        <v>1875</v>
      </c>
      <c r="B427" s="0" t="s">
        <v>1208</v>
      </c>
      <c r="C427" s="0" t="s">
        <v>983</v>
      </c>
      <c r="D427" s="0" t="s">
        <v>775</v>
      </c>
      <c r="E427" s="0" t="s">
        <v>96</v>
      </c>
      <c r="F427" s="0" t="n">
        <v>10</v>
      </c>
      <c r="G427" s="0" t="n">
        <v>14.9</v>
      </c>
      <c r="H427" s="0" t="n">
        <v>0.74</v>
      </c>
      <c r="I427" s="10" t="n">
        <v>0.624</v>
      </c>
      <c r="J427" s="0" t="n">
        <v>1.12</v>
      </c>
      <c r="K427" s="13" t="n">
        <f aca="false">IF(H427&lt;&gt;"",H427,IFERROR(G427/INDEX(Players!$M$2:$M$105,MATCH(B427,Players!$A$2:$A$105,0)),""))</f>
        <v>0.74</v>
      </c>
    </row>
    <row r="428" customFormat="false" ht="15" hidden="false" customHeight="false" outlineLevel="0" collapsed="false">
      <c r="A428" s="0" t="s">
        <v>1876</v>
      </c>
      <c r="B428" s="0" t="s">
        <v>1208</v>
      </c>
      <c r="C428" s="0" t="s">
        <v>983</v>
      </c>
      <c r="D428" s="0" t="s">
        <v>775</v>
      </c>
      <c r="E428" s="0" t="s">
        <v>109</v>
      </c>
      <c r="F428" s="0" t="n">
        <v>9</v>
      </c>
      <c r="G428" s="0" t="n">
        <v>11.9</v>
      </c>
      <c r="H428" s="0" t="n">
        <v>0.58</v>
      </c>
      <c r="I428" s="10" t="n">
        <v>0.607</v>
      </c>
      <c r="J428" s="0" t="n">
        <v>0.84</v>
      </c>
      <c r="K428" s="13" t="n">
        <f aca="false">IF(H428&lt;&gt;"",H428,IFERROR(G428/INDEX(Players!$M$2:$M$105,MATCH(B428,Players!$A$2:$A$105,0)),""))</f>
        <v>0.58</v>
      </c>
    </row>
    <row r="429" customFormat="false" ht="15" hidden="false" customHeight="false" outlineLevel="0" collapsed="false">
      <c r="A429" s="0" t="s">
        <v>1877</v>
      </c>
      <c r="B429" s="0" t="s">
        <v>1208</v>
      </c>
      <c r="C429" s="0" t="s">
        <v>983</v>
      </c>
      <c r="D429" s="0" t="s">
        <v>775</v>
      </c>
      <c r="E429" s="0" t="s">
        <v>82</v>
      </c>
      <c r="F429" s="0" t="n">
        <v>6</v>
      </c>
      <c r="G429" s="0" t="n">
        <v>14.8</v>
      </c>
      <c r="H429" s="0" t="n">
        <v>0.73</v>
      </c>
      <c r="I429" s="10" t="n">
        <v>0.607</v>
      </c>
      <c r="J429" s="0" t="n">
        <v>1.03</v>
      </c>
      <c r="K429" s="13" t="n">
        <f aca="false">IF(H429&lt;&gt;"",H429,IFERROR(G429/INDEX(Players!$M$2:$M$105,MATCH(B429,Players!$A$2:$A$105,0)),""))</f>
        <v>0.73</v>
      </c>
    </row>
    <row r="430" customFormat="false" ht="15" hidden="false" customHeight="false" outlineLevel="0" collapsed="false">
      <c r="A430" s="0" t="s">
        <v>1878</v>
      </c>
      <c r="B430" s="0" t="s">
        <v>1208</v>
      </c>
      <c r="C430" s="0" t="s">
        <v>983</v>
      </c>
      <c r="D430" s="0" t="s">
        <v>775</v>
      </c>
      <c r="E430" s="0" t="s">
        <v>118</v>
      </c>
      <c r="F430" s="0" t="n">
        <v>5</v>
      </c>
      <c r="G430" s="0" t="n">
        <v>18.2</v>
      </c>
      <c r="H430" s="0" t="n">
        <v>0.71</v>
      </c>
      <c r="I430" s="10" t="n">
        <v>0.538</v>
      </c>
      <c r="J430" s="0" t="n">
        <v>0.98</v>
      </c>
      <c r="K430" s="13" t="n">
        <f aca="false">IF(H430&lt;&gt;"",H430,IFERROR(G430/INDEX(Players!$M$2:$M$105,MATCH(B430,Players!$A$2:$A$105,0)),""))</f>
        <v>0.71</v>
      </c>
    </row>
    <row r="431" customFormat="false" ht="15" hidden="false" customHeight="false" outlineLevel="0" collapsed="false">
      <c r="A431" s="0" t="s">
        <v>1879</v>
      </c>
      <c r="B431" s="0" t="s">
        <v>1208</v>
      </c>
      <c r="C431" s="0" t="s">
        <v>983</v>
      </c>
      <c r="D431" s="0" t="s">
        <v>775</v>
      </c>
      <c r="E431" s="0" t="s">
        <v>142</v>
      </c>
      <c r="F431" s="0" t="n">
        <v>5</v>
      </c>
      <c r="G431" s="0" t="n">
        <v>11.2</v>
      </c>
      <c r="H431" s="0" t="n">
        <v>0.58</v>
      </c>
      <c r="I431" s="10" t="n">
        <v>0.5</v>
      </c>
      <c r="J431" s="0" t="n">
        <v>0.81</v>
      </c>
      <c r="K431" s="13" t="n">
        <f aca="false">IF(H431&lt;&gt;"",H431,IFERROR(G431/INDEX(Players!$M$2:$M$105,MATCH(B431,Players!$A$2:$A$105,0)),""))</f>
        <v>0.58</v>
      </c>
    </row>
    <row r="432" customFormat="false" ht="15" hidden="false" customHeight="false" outlineLevel="0" collapsed="false">
      <c r="A432" s="0" t="s">
        <v>1880</v>
      </c>
      <c r="B432" s="0" t="s">
        <v>1208</v>
      </c>
      <c r="C432" s="0" t="s">
        <v>983</v>
      </c>
      <c r="D432" s="0" t="s">
        <v>775</v>
      </c>
      <c r="E432" s="0" t="s">
        <v>131</v>
      </c>
      <c r="F432" s="0" t="n">
        <v>2</v>
      </c>
      <c r="G432" s="0" t="n">
        <v>11.5</v>
      </c>
      <c r="H432" s="0" t="n">
        <v>0.56</v>
      </c>
      <c r="I432" s="10" t="n">
        <v>0.609</v>
      </c>
      <c r="J432" s="0" t="n">
        <v>0.88</v>
      </c>
      <c r="K432" s="13" t="n">
        <f aca="false">IF(H432&lt;&gt;"",H432,IFERROR(G432/INDEX(Players!$M$2:$M$105,MATCH(B432,Players!$A$2:$A$105,0)),""))</f>
        <v>0.56</v>
      </c>
    </row>
    <row r="433" customFormat="false" ht="15" hidden="false" customHeight="false" outlineLevel="0" collapsed="false">
      <c r="A433" s="0" t="s">
        <v>1881</v>
      </c>
      <c r="B433" s="0" t="s">
        <v>1255</v>
      </c>
      <c r="C433" s="0" t="s">
        <v>1083</v>
      </c>
      <c r="D433" s="0" t="s">
        <v>775</v>
      </c>
      <c r="E433" s="0" t="s">
        <v>109</v>
      </c>
      <c r="F433" s="0" t="n">
        <v>4</v>
      </c>
      <c r="G433" s="0" t="n">
        <v>14.5</v>
      </c>
      <c r="H433" s="0" t="n">
        <v>0.83</v>
      </c>
      <c r="I433" s="10" t="n">
        <v>0.638</v>
      </c>
      <c r="J433" s="0" t="n">
        <v>1.71</v>
      </c>
      <c r="K433" s="13" t="n">
        <f aca="false">IF(H433&lt;&gt;"",H433,IFERROR(G433/INDEX(Players!$M$2:$M$105,MATCH(B433,Players!$A$2:$A$105,0)),""))</f>
        <v>0.83</v>
      </c>
    </row>
    <row r="434" customFormat="false" ht="15" hidden="false" customHeight="false" outlineLevel="0" collapsed="false">
      <c r="A434" s="0" t="s">
        <v>1882</v>
      </c>
      <c r="B434" s="0" t="s">
        <v>1255</v>
      </c>
      <c r="C434" s="0" t="s">
        <v>1083</v>
      </c>
      <c r="D434" s="0" t="s">
        <v>775</v>
      </c>
      <c r="E434" s="0" t="s">
        <v>82</v>
      </c>
      <c r="F434" s="0" t="n">
        <v>4</v>
      </c>
      <c r="G434" s="0" t="n">
        <v>18.5</v>
      </c>
      <c r="H434" s="0" t="n">
        <v>0.81</v>
      </c>
      <c r="I434" s="10" t="n">
        <v>0.568</v>
      </c>
      <c r="J434" s="0" t="n">
        <v>1.16</v>
      </c>
      <c r="K434" s="13" t="n">
        <f aca="false">IF(H434&lt;&gt;"",H434,IFERROR(G434/INDEX(Players!$M$2:$M$105,MATCH(B434,Players!$A$2:$A$105,0)),""))</f>
        <v>0.81</v>
      </c>
    </row>
    <row r="435" customFormat="false" ht="15" hidden="false" customHeight="false" outlineLevel="0" collapsed="false">
      <c r="A435" s="0" t="s">
        <v>1883</v>
      </c>
      <c r="B435" s="0" t="s">
        <v>1255</v>
      </c>
      <c r="C435" s="0" t="s">
        <v>1083</v>
      </c>
      <c r="D435" s="0" t="s">
        <v>775</v>
      </c>
      <c r="E435" s="0" t="s">
        <v>149</v>
      </c>
      <c r="F435" s="0" t="n">
        <v>4</v>
      </c>
      <c r="G435" s="0" t="n">
        <v>18.3</v>
      </c>
      <c r="H435" s="0" t="n">
        <v>0.61</v>
      </c>
      <c r="I435" s="10" t="n">
        <v>0.534</v>
      </c>
      <c r="J435" s="0" t="n">
        <v>0.94</v>
      </c>
      <c r="K435" s="13" t="n">
        <f aca="false">IF(H435&lt;&gt;"",H435,IFERROR(G435/INDEX(Players!$M$2:$M$105,MATCH(B435,Players!$A$2:$A$105,0)),""))</f>
        <v>0.61</v>
      </c>
    </row>
    <row r="436" customFormat="false" ht="15" hidden="false" customHeight="false" outlineLevel="0" collapsed="false">
      <c r="A436" s="0" t="s">
        <v>1884</v>
      </c>
      <c r="B436" s="0" t="s">
        <v>1255</v>
      </c>
      <c r="C436" s="0" t="s">
        <v>1083</v>
      </c>
      <c r="D436" s="0" t="s">
        <v>775</v>
      </c>
      <c r="E436" s="0" t="s">
        <v>118</v>
      </c>
      <c r="F436" s="0" t="n">
        <v>4</v>
      </c>
      <c r="G436" s="0" t="n">
        <v>14</v>
      </c>
      <c r="H436" s="0" t="n">
        <v>0.61</v>
      </c>
      <c r="I436" s="10" t="n">
        <v>0.536</v>
      </c>
      <c r="J436" s="0" t="n">
        <v>0.9</v>
      </c>
      <c r="K436" s="13" t="n">
        <f aca="false">IF(H436&lt;&gt;"",H436,IFERROR(G436/INDEX(Players!$M$2:$M$105,MATCH(B436,Players!$A$2:$A$105,0)),""))</f>
        <v>0.61</v>
      </c>
    </row>
    <row r="437" customFormat="false" ht="15" hidden="false" customHeight="false" outlineLevel="0" collapsed="false">
      <c r="A437" s="0" t="s">
        <v>1885</v>
      </c>
      <c r="B437" s="0" t="s">
        <v>1255</v>
      </c>
      <c r="C437" s="0" t="s">
        <v>1083</v>
      </c>
      <c r="D437" s="0" t="s">
        <v>775</v>
      </c>
      <c r="E437" s="0" t="s">
        <v>131</v>
      </c>
      <c r="F437" s="0" t="n">
        <v>4</v>
      </c>
      <c r="G437" s="0" t="n">
        <v>11.8</v>
      </c>
      <c r="H437" s="0" t="n">
        <v>0.52</v>
      </c>
      <c r="I437" s="10" t="n">
        <v>0.511</v>
      </c>
      <c r="J437" s="0" t="n">
        <v>0.89</v>
      </c>
      <c r="K437" s="13" t="n">
        <f aca="false">IF(H437&lt;&gt;"",H437,IFERROR(G437/INDEX(Players!$M$2:$M$105,MATCH(B437,Players!$A$2:$A$105,0)),""))</f>
        <v>0.52</v>
      </c>
    </row>
    <row r="438" customFormat="false" ht="15" hidden="false" customHeight="false" outlineLevel="0" collapsed="false">
      <c r="A438" s="0" t="s">
        <v>1886</v>
      </c>
      <c r="B438" s="0" t="s">
        <v>1255</v>
      </c>
      <c r="C438" s="0" t="s">
        <v>1083</v>
      </c>
      <c r="D438" s="0" t="s">
        <v>775</v>
      </c>
      <c r="E438" s="0" t="s">
        <v>96</v>
      </c>
      <c r="F438" s="0" t="n">
        <v>2</v>
      </c>
      <c r="G438" s="0" t="n">
        <v>11.5</v>
      </c>
      <c r="H438" s="0" t="n">
        <v>0.62</v>
      </c>
      <c r="I438" s="10" t="n">
        <v>0.435</v>
      </c>
      <c r="J438" s="0" t="n">
        <v>0.77</v>
      </c>
      <c r="K438" s="13" t="n">
        <f aca="false">IF(H438&lt;&gt;"",H438,IFERROR(G438/INDEX(Players!$M$2:$M$105,MATCH(B438,Players!$A$2:$A$105,0)),""))</f>
        <v>0.62</v>
      </c>
    </row>
    <row r="439" customFormat="false" ht="15" hidden="false" customHeight="false" outlineLevel="0" collapsed="false">
      <c r="A439" s="0" t="s">
        <v>1887</v>
      </c>
      <c r="B439" s="0" t="s">
        <v>1185</v>
      </c>
      <c r="C439" s="0" t="s">
        <v>934</v>
      </c>
      <c r="D439" s="0" t="s">
        <v>775</v>
      </c>
      <c r="E439" s="0" t="s">
        <v>118</v>
      </c>
      <c r="F439" s="0" t="n">
        <v>9</v>
      </c>
      <c r="G439" s="0" t="n">
        <v>16.7</v>
      </c>
      <c r="H439" s="0" t="n">
        <v>0.66</v>
      </c>
      <c r="I439" s="10" t="n">
        <v>0.493</v>
      </c>
      <c r="J439" s="0" t="n">
        <v>0.94</v>
      </c>
      <c r="K439" s="13" t="n">
        <f aca="false">IF(H439&lt;&gt;"",H439,IFERROR(G439/INDEX(Players!$M$2:$M$105,MATCH(B439,Players!$A$2:$A$105,0)),""))</f>
        <v>0.66</v>
      </c>
    </row>
    <row r="440" customFormat="false" ht="15" hidden="false" customHeight="false" outlineLevel="0" collapsed="false">
      <c r="A440" s="0" t="s">
        <v>1888</v>
      </c>
      <c r="B440" s="0" t="s">
        <v>1185</v>
      </c>
      <c r="C440" s="0" t="s">
        <v>934</v>
      </c>
      <c r="D440" s="0" t="s">
        <v>775</v>
      </c>
      <c r="E440" s="0" t="s">
        <v>142</v>
      </c>
      <c r="F440" s="0" t="n">
        <v>7</v>
      </c>
      <c r="G440" s="0" t="n">
        <v>14.3</v>
      </c>
      <c r="H440" s="0" t="n">
        <v>0.63</v>
      </c>
      <c r="I440" s="10" t="n">
        <v>0.48</v>
      </c>
      <c r="J440" s="0" t="n">
        <v>0.85</v>
      </c>
      <c r="K440" s="13" t="n">
        <f aca="false">IF(H440&lt;&gt;"",H440,IFERROR(G440/INDEX(Players!$M$2:$M$105,MATCH(B440,Players!$A$2:$A$105,0)),""))</f>
        <v>0.63</v>
      </c>
    </row>
    <row r="441" customFormat="false" ht="15" hidden="false" customHeight="false" outlineLevel="0" collapsed="false">
      <c r="A441" s="0" t="s">
        <v>1889</v>
      </c>
      <c r="B441" s="0" t="s">
        <v>1185</v>
      </c>
      <c r="C441" s="0" t="s">
        <v>934</v>
      </c>
      <c r="D441" s="0" t="s">
        <v>775</v>
      </c>
      <c r="E441" s="0" t="s">
        <v>109</v>
      </c>
      <c r="F441" s="0" t="n">
        <v>5</v>
      </c>
      <c r="G441" s="0" t="n">
        <v>18.2</v>
      </c>
      <c r="H441" s="0" t="n">
        <v>0.8</v>
      </c>
      <c r="I441" s="10" t="n">
        <v>0.549</v>
      </c>
      <c r="J441" s="0" t="n">
        <v>1.18</v>
      </c>
      <c r="K441" s="13" t="n">
        <f aca="false">IF(H441&lt;&gt;"",H441,IFERROR(G441/INDEX(Players!$M$2:$M$105,MATCH(B441,Players!$A$2:$A$105,0)),""))</f>
        <v>0.8</v>
      </c>
    </row>
    <row r="442" customFormat="false" ht="15" hidden="false" customHeight="false" outlineLevel="0" collapsed="false">
      <c r="A442" s="0" t="s">
        <v>1890</v>
      </c>
      <c r="B442" s="0" t="s">
        <v>1185</v>
      </c>
      <c r="C442" s="0" t="s">
        <v>934</v>
      </c>
      <c r="D442" s="0" t="s">
        <v>775</v>
      </c>
      <c r="E442" s="0" t="s">
        <v>131</v>
      </c>
      <c r="F442" s="0" t="n">
        <v>4</v>
      </c>
      <c r="G442" s="0" t="n">
        <v>10.5</v>
      </c>
      <c r="H442" s="0" t="n">
        <v>0.48</v>
      </c>
      <c r="I442" s="10" t="n">
        <v>0.429</v>
      </c>
      <c r="J442" s="0" t="n">
        <v>0.7</v>
      </c>
      <c r="K442" s="13" t="n">
        <f aca="false">IF(H442&lt;&gt;"",H442,IFERROR(G442/INDEX(Players!$M$2:$M$105,MATCH(B442,Players!$A$2:$A$105,0)),""))</f>
        <v>0.48</v>
      </c>
    </row>
    <row r="443" customFormat="false" ht="15" hidden="false" customHeight="false" outlineLevel="0" collapsed="false">
      <c r="A443" s="0" t="s">
        <v>1891</v>
      </c>
      <c r="B443" s="0" t="s">
        <v>1185</v>
      </c>
      <c r="C443" s="0" t="s">
        <v>934</v>
      </c>
      <c r="D443" s="0" t="s">
        <v>775</v>
      </c>
      <c r="E443" s="0" t="s">
        <v>82</v>
      </c>
      <c r="F443" s="0" t="n">
        <v>3</v>
      </c>
      <c r="G443" s="0" t="n">
        <v>16.3</v>
      </c>
      <c r="H443" s="0" t="n">
        <v>0.74</v>
      </c>
      <c r="I443" s="10" t="n">
        <v>0.551</v>
      </c>
      <c r="J443" s="0" t="n">
        <v>1.04</v>
      </c>
      <c r="K443" s="13" t="n">
        <f aca="false">IF(H443&lt;&gt;"",H443,IFERROR(G443/INDEX(Players!$M$2:$M$105,MATCH(B443,Players!$A$2:$A$105,0)),""))</f>
        <v>0.74</v>
      </c>
    </row>
    <row r="444" customFormat="false" ht="15" hidden="false" customHeight="false" outlineLevel="0" collapsed="false">
      <c r="A444" s="0" t="s">
        <v>1892</v>
      </c>
      <c r="B444" s="0" t="s">
        <v>1185</v>
      </c>
      <c r="C444" s="0" t="s">
        <v>934</v>
      </c>
      <c r="D444" s="0" t="s">
        <v>775</v>
      </c>
      <c r="E444" s="0" t="s">
        <v>149</v>
      </c>
      <c r="F444" s="0" t="n">
        <v>2</v>
      </c>
      <c r="G444" s="0" t="n">
        <v>13</v>
      </c>
      <c r="H444" s="0" t="n">
        <v>0.59</v>
      </c>
      <c r="I444" s="10" t="n">
        <v>0.462</v>
      </c>
      <c r="J444" s="0" t="n">
        <v>0.96</v>
      </c>
      <c r="K444" s="13" t="n">
        <f aca="false">IF(H444&lt;&gt;"",H444,IFERROR(G444/INDEX(Players!$M$2:$M$105,MATCH(B444,Players!$A$2:$A$105,0)),""))</f>
        <v>0.59</v>
      </c>
    </row>
    <row r="445" customFormat="false" ht="15" hidden="false" customHeight="false" outlineLevel="0" collapsed="false">
      <c r="A445" s="0" t="s">
        <v>1893</v>
      </c>
      <c r="B445" s="0" t="s">
        <v>1180</v>
      </c>
      <c r="C445" s="0" t="s">
        <v>924</v>
      </c>
      <c r="D445" s="0" t="s">
        <v>775</v>
      </c>
      <c r="E445" s="0" t="s">
        <v>131</v>
      </c>
      <c r="F445" s="0" t="n">
        <v>8</v>
      </c>
      <c r="G445" s="0" t="n">
        <v>13.5</v>
      </c>
      <c r="H445" s="0" t="n">
        <v>0.68</v>
      </c>
      <c r="I445" s="10" t="n">
        <v>0.333</v>
      </c>
      <c r="J445" s="0" t="n">
        <v>1.24</v>
      </c>
      <c r="K445" s="13" t="n">
        <f aca="false">IF(H445&lt;&gt;"",H445,IFERROR(G445/INDEX(Players!$M$2:$M$105,MATCH(B445,Players!$A$2:$A$105,0)),""))</f>
        <v>0.68</v>
      </c>
    </row>
    <row r="446" customFormat="false" ht="15" hidden="false" customHeight="false" outlineLevel="0" collapsed="false">
      <c r="A446" s="0" t="s">
        <v>1894</v>
      </c>
      <c r="B446" s="0" t="s">
        <v>1180</v>
      </c>
      <c r="C446" s="0" t="s">
        <v>924</v>
      </c>
      <c r="D446" s="0" t="s">
        <v>775</v>
      </c>
      <c r="E446" s="0" t="s">
        <v>118</v>
      </c>
      <c r="F446" s="0" t="n">
        <v>6</v>
      </c>
      <c r="G446" s="0" t="n">
        <v>11.7</v>
      </c>
      <c r="H446" s="0" t="n">
        <v>0.6</v>
      </c>
      <c r="I446" s="10" t="n">
        <v>0.286</v>
      </c>
      <c r="J446" s="0" t="n">
        <v>1.32</v>
      </c>
      <c r="K446" s="13" t="n">
        <f aca="false">IF(H446&lt;&gt;"",H446,IFERROR(G446/INDEX(Players!$M$2:$M$105,MATCH(B446,Players!$A$2:$A$105,0)),""))</f>
        <v>0.6</v>
      </c>
    </row>
    <row r="447" customFormat="false" ht="15" hidden="false" customHeight="false" outlineLevel="0" collapsed="false">
      <c r="A447" s="0" t="s">
        <v>1895</v>
      </c>
      <c r="B447" s="0" t="s">
        <v>1180</v>
      </c>
      <c r="C447" s="0" t="s">
        <v>924</v>
      </c>
      <c r="D447" s="0" t="s">
        <v>775</v>
      </c>
      <c r="E447" s="0" t="s">
        <v>96</v>
      </c>
      <c r="F447" s="0" t="n">
        <v>5</v>
      </c>
      <c r="G447" s="0" t="n">
        <v>13.6</v>
      </c>
      <c r="H447" s="0" t="n">
        <v>0.65</v>
      </c>
      <c r="I447" s="10" t="n">
        <v>0.279</v>
      </c>
      <c r="J447" s="0" t="n">
        <v>1.08</v>
      </c>
      <c r="K447" s="13" t="n">
        <f aca="false">IF(H447&lt;&gt;"",H447,IFERROR(G447/INDEX(Players!$M$2:$M$105,MATCH(B447,Players!$A$2:$A$105,0)),""))</f>
        <v>0.65</v>
      </c>
    </row>
    <row r="448" customFormat="false" ht="15" hidden="false" customHeight="false" outlineLevel="0" collapsed="false">
      <c r="A448" s="0" t="s">
        <v>1896</v>
      </c>
      <c r="B448" s="0" t="s">
        <v>1180</v>
      </c>
      <c r="C448" s="0" t="s">
        <v>924</v>
      </c>
      <c r="D448" s="0" t="s">
        <v>775</v>
      </c>
      <c r="E448" s="0" t="s">
        <v>142</v>
      </c>
      <c r="F448" s="0" t="n">
        <v>3</v>
      </c>
      <c r="G448" s="0" t="n">
        <v>24.3</v>
      </c>
      <c r="H448" s="0" t="n">
        <v>0.81</v>
      </c>
      <c r="I448" s="10" t="n">
        <v>0.247</v>
      </c>
      <c r="J448" s="0" t="n">
        <v>1.33</v>
      </c>
      <c r="K448" s="13" t="n">
        <f aca="false">IF(H448&lt;&gt;"",H448,IFERROR(G448/INDEX(Players!$M$2:$M$105,MATCH(B448,Players!$A$2:$A$105,0)),""))</f>
        <v>0.81</v>
      </c>
    </row>
    <row r="449" customFormat="false" ht="15" hidden="false" customHeight="false" outlineLevel="0" collapsed="false">
      <c r="A449" s="0" t="s">
        <v>1897</v>
      </c>
      <c r="B449" s="0" t="s">
        <v>1180</v>
      </c>
      <c r="C449" s="0" t="s">
        <v>924</v>
      </c>
      <c r="D449" s="0" t="s">
        <v>775</v>
      </c>
      <c r="E449" s="0" t="s">
        <v>82</v>
      </c>
      <c r="F449" s="0" t="n">
        <v>3</v>
      </c>
      <c r="G449" s="0" t="n">
        <v>10.3</v>
      </c>
      <c r="H449" s="0" t="n">
        <v>0.6</v>
      </c>
      <c r="I449" s="10" t="n">
        <v>0.226</v>
      </c>
      <c r="J449" s="0" t="n">
        <v>1.24</v>
      </c>
      <c r="K449" s="13" t="n">
        <f aca="false">IF(H449&lt;&gt;"",H449,IFERROR(G449/INDEX(Players!$M$2:$M$105,MATCH(B449,Players!$A$2:$A$105,0)),""))</f>
        <v>0.6</v>
      </c>
    </row>
    <row r="450" customFormat="false" ht="15" hidden="false" customHeight="false" outlineLevel="0" collapsed="false">
      <c r="A450" s="0" t="s">
        <v>1898</v>
      </c>
      <c r="B450" s="0" t="s">
        <v>1180</v>
      </c>
      <c r="C450" s="0" t="s">
        <v>924</v>
      </c>
      <c r="D450" s="0" t="s">
        <v>775</v>
      </c>
      <c r="E450" s="0" t="s">
        <v>149</v>
      </c>
      <c r="F450" s="0" t="n">
        <v>2</v>
      </c>
      <c r="G450" s="0" t="n">
        <v>15.5</v>
      </c>
      <c r="H450" s="0" t="n">
        <v>0.78</v>
      </c>
      <c r="I450" s="10" t="n">
        <v>0.484</v>
      </c>
      <c r="J450" s="0" t="n">
        <v>1.19</v>
      </c>
      <c r="K450" s="13" t="n">
        <f aca="false">IF(H450&lt;&gt;"",H450,IFERROR(G450/INDEX(Players!$M$2:$M$105,MATCH(B450,Players!$A$2:$A$105,0)),""))</f>
        <v>0.78</v>
      </c>
    </row>
    <row r="451" customFormat="false" ht="15" hidden="false" customHeight="false" outlineLevel="0" collapsed="false">
      <c r="A451" s="0" t="s">
        <v>1899</v>
      </c>
      <c r="B451" s="0" t="s">
        <v>1180</v>
      </c>
      <c r="C451" s="0" t="s">
        <v>924</v>
      </c>
      <c r="D451" s="0" t="s">
        <v>775</v>
      </c>
      <c r="E451" s="0" t="s">
        <v>109</v>
      </c>
      <c r="F451" s="0" t="n">
        <v>1</v>
      </c>
      <c r="G451" s="0" t="n">
        <v>16</v>
      </c>
      <c r="H451" s="0" t="n">
        <v>0.76</v>
      </c>
      <c r="I451" s="10" t="n">
        <v>0.313</v>
      </c>
      <c r="J451" s="0" t="n">
        <v>1.07</v>
      </c>
      <c r="K451" s="13" t="n">
        <f aca="false">IF(H451&lt;&gt;"",H451,IFERROR(G451/INDEX(Players!$M$2:$M$105,MATCH(B451,Players!$A$2:$A$105,0)),""))</f>
        <v>0.76</v>
      </c>
    </row>
    <row r="452" customFormat="false" ht="15" hidden="false" customHeight="false" outlineLevel="0" collapsed="false">
      <c r="A452" s="0" t="s">
        <v>1900</v>
      </c>
      <c r="B452" s="0" t="s">
        <v>1175</v>
      </c>
      <c r="C452" s="0" t="s">
        <v>913</v>
      </c>
      <c r="D452" s="0" t="s">
        <v>775</v>
      </c>
      <c r="E452" s="0" t="s">
        <v>142</v>
      </c>
      <c r="F452" s="0" t="n">
        <v>6</v>
      </c>
      <c r="G452" s="0" t="n">
        <v>14.7</v>
      </c>
      <c r="H452" s="0" t="n">
        <v>0.65</v>
      </c>
      <c r="I452" s="10" t="n">
        <v>0.523</v>
      </c>
      <c r="J452" s="0" t="n">
        <v>1.07</v>
      </c>
      <c r="K452" s="13" t="n">
        <f aca="false">IF(H452&lt;&gt;"",H452,IFERROR(G452/INDEX(Players!$M$2:$M$105,MATCH(B452,Players!$A$2:$A$105,0)),""))</f>
        <v>0.65</v>
      </c>
    </row>
    <row r="453" customFormat="false" ht="15" hidden="false" customHeight="false" outlineLevel="0" collapsed="false">
      <c r="A453" s="0" t="s">
        <v>1901</v>
      </c>
      <c r="B453" s="0" t="s">
        <v>1175</v>
      </c>
      <c r="C453" s="0" t="s">
        <v>913</v>
      </c>
      <c r="D453" s="0" t="s">
        <v>775</v>
      </c>
      <c r="E453" s="0" t="s">
        <v>109</v>
      </c>
      <c r="F453" s="0" t="n">
        <v>6</v>
      </c>
      <c r="G453" s="0" t="n">
        <v>14.3</v>
      </c>
      <c r="H453" s="0" t="n">
        <v>0.65</v>
      </c>
      <c r="I453" s="10" t="n">
        <v>0.419</v>
      </c>
      <c r="J453" s="0" t="n">
        <v>1.05</v>
      </c>
      <c r="K453" s="13" t="n">
        <f aca="false">IF(H453&lt;&gt;"",H453,IFERROR(G453/INDEX(Players!$M$2:$M$105,MATCH(B453,Players!$A$2:$A$105,0)),""))</f>
        <v>0.65</v>
      </c>
    </row>
    <row r="454" customFormat="false" ht="15" hidden="false" customHeight="false" outlineLevel="0" collapsed="false">
      <c r="A454" s="0" t="s">
        <v>1902</v>
      </c>
      <c r="B454" s="0" t="s">
        <v>1175</v>
      </c>
      <c r="C454" s="0" t="s">
        <v>913</v>
      </c>
      <c r="D454" s="0" t="s">
        <v>775</v>
      </c>
      <c r="E454" s="0" t="s">
        <v>96</v>
      </c>
      <c r="F454" s="0" t="n">
        <v>6</v>
      </c>
      <c r="G454" s="0" t="n">
        <v>16.5</v>
      </c>
      <c r="H454" s="0" t="n">
        <v>0.66</v>
      </c>
      <c r="I454" s="10" t="n">
        <v>0.485</v>
      </c>
      <c r="J454" s="0" t="n">
        <v>1.03</v>
      </c>
      <c r="K454" s="13" t="n">
        <f aca="false">IF(H454&lt;&gt;"",H454,IFERROR(G454/INDEX(Players!$M$2:$M$105,MATCH(B454,Players!$A$2:$A$105,0)),""))</f>
        <v>0.66</v>
      </c>
    </row>
    <row r="455" customFormat="false" ht="15" hidden="false" customHeight="false" outlineLevel="0" collapsed="false">
      <c r="A455" s="0" t="s">
        <v>1903</v>
      </c>
      <c r="B455" s="0" t="s">
        <v>1175</v>
      </c>
      <c r="C455" s="0" t="s">
        <v>913</v>
      </c>
      <c r="D455" s="0" t="s">
        <v>775</v>
      </c>
      <c r="E455" s="0" t="s">
        <v>118</v>
      </c>
      <c r="F455" s="0" t="n">
        <v>5</v>
      </c>
      <c r="G455" s="0" t="n">
        <v>15.6</v>
      </c>
      <c r="H455" s="0" t="n">
        <v>0.69</v>
      </c>
      <c r="I455" s="10" t="n">
        <v>0.513</v>
      </c>
      <c r="J455" s="0" t="n">
        <v>1.01</v>
      </c>
      <c r="K455" s="13" t="n">
        <f aca="false">IF(H455&lt;&gt;"",H455,IFERROR(G455/INDEX(Players!$M$2:$M$105,MATCH(B455,Players!$A$2:$A$105,0)),""))</f>
        <v>0.69</v>
      </c>
    </row>
    <row r="456" customFormat="false" ht="15" hidden="false" customHeight="false" outlineLevel="0" collapsed="false">
      <c r="A456" s="0" t="s">
        <v>1904</v>
      </c>
      <c r="B456" s="0" t="s">
        <v>1175</v>
      </c>
      <c r="C456" s="0" t="s">
        <v>913</v>
      </c>
      <c r="D456" s="0" t="s">
        <v>775</v>
      </c>
      <c r="E456" s="0" t="s">
        <v>131</v>
      </c>
      <c r="F456" s="0" t="n">
        <v>5</v>
      </c>
      <c r="G456" s="0" t="n">
        <v>12.6</v>
      </c>
      <c r="H456" s="0" t="n">
        <v>0.58</v>
      </c>
      <c r="I456" s="10" t="n">
        <v>0.365</v>
      </c>
      <c r="J456" s="0" t="n">
        <v>0.81</v>
      </c>
      <c r="K456" s="13" t="n">
        <f aca="false">IF(H456&lt;&gt;"",H456,IFERROR(G456/INDEX(Players!$M$2:$M$105,MATCH(B456,Players!$A$2:$A$105,0)),""))</f>
        <v>0.58</v>
      </c>
    </row>
    <row r="457" customFormat="false" ht="15" hidden="false" customHeight="false" outlineLevel="0" collapsed="false">
      <c r="A457" s="0" t="s">
        <v>1905</v>
      </c>
      <c r="B457" s="0" t="s">
        <v>1175</v>
      </c>
      <c r="C457" s="0" t="s">
        <v>913</v>
      </c>
      <c r="D457" s="0" t="s">
        <v>775</v>
      </c>
      <c r="E457" s="0" t="s">
        <v>82</v>
      </c>
      <c r="F457" s="0" t="n">
        <v>4</v>
      </c>
      <c r="G457" s="0" t="n">
        <v>16.5</v>
      </c>
      <c r="H457" s="0" t="n">
        <v>0.68</v>
      </c>
      <c r="I457" s="10" t="n">
        <v>0.515</v>
      </c>
      <c r="J457" s="0" t="n">
        <v>1.35</v>
      </c>
      <c r="K457" s="13" t="n">
        <f aca="false">IF(H457&lt;&gt;"",H457,IFERROR(G457/INDEX(Players!$M$2:$M$105,MATCH(B457,Players!$A$2:$A$105,0)),""))</f>
        <v>0.68</v>
      </c>
    </row>
    <row r="458" customFormat="false" ht="15" hidden="false" customHeight="false" outlineLevel="0" collapsed="false">
      <c r="A458" s="0" t="s">
        <v>1906</v>
      </c>
      <c r="B458" s="0" t="s">
        <v>1228</v>
      </c>
      <c r="C458" s="0" t="s">
        <v>1027</v>
      </c>
      <c r="D458" s="0" t="s">
        <v>775</v>
      </c>
      <c r="E458" s="0" t="s">
        <v>96</v>
      </c>
      <c r="F458" s="0" t="n">
        <v>8</v>
      </c>
      <c r="G458" s="0" t="n">
        <v>13.3</v>
      </c>
      <c r="H458" s="0" t="n">
        <v>0.55</v>
      </c>
      <c r="I458" s="10" t="n">
        <v>0.425</v>
      </c>
      <c r="J458" s="0" t="n">
        <v>0.95</v>
      </c>
      <c r="K458" s="13" t="n">
        <f aca="false">IF(H458&lt;&gt;"",H458,IFERROR(G458/INDEX(Players!$M$2:$M$105,MATCH(B458,Players!$A$2:$A$105,0)),""))</f>
        <v>0.55</v>
      </c>
    </row>
    <row r="459" customFormat="false" ht="15" hidden="false" customHeight="false" outlineLevel="0" collapsed="false">
      <c r="A459" s="0" t="s">
        <v>1907</v>
      </c>
      <c r="B459" s="0" t="s">
        <v>1228</v>
      </c>
      <c r="C459" s="0" t="s">
        <v>1027</v>
      </c>
      <c r="D459" s="0" t="s">
        <v>775</v>
      </c>
      <c r="E459" s="0" t="s">
        <v>149</v>
      </c>
      <c r="F459" s="0" t="n">
        <v>7</v>
      </c>
      <c r="G459" s="0" t="n">
        <v>15.1</v>
      </c>
      <c r="H459" s="0" t="n">
        <v>0.62</v>
      </c>
      <c r="I459" s="10" t="n">
        <v>0.377</v>
      </c>
      <c r="J459" s="0" t="n">
        <v>1.07</v>
      </c>
      <c r="K459" s="13" t="n">
        <f aca="false">IF(H459&lt;&gt;"",H459,IFERROR(G459/INDEX(Players!$M$2:$M$105,MATCH(B459,Players!$A$2:$A$105,0)),""))</f>
        <v>0.62</v>
      </c>
    </row>
    <row r="460" customFormat="false" ht="15" hidden="false" customHeight="false" outlineLevel="0" collapsed="false">
      <c r="A460" s="0" t="s">
        <v>1908</v>
      </c>
      <c r="B460" s="0" t="s">
        <v>1228</v>
      </c>
      <c r="C460" s="0" t="s">
        <v>1027</v>
      </c>
      <c r="D460" s="0" t="s">
        <v>775</v>
      </c>
      <c r="E460" s="0" t="s">
        <v>131</v>
      </c>
      <c r="F460" s="0" t="n">
        <v>6</v>
      </c>
      <c r="G460" s="0" t="n">
        <v>13.2</v>
      </c>
      <c r="H460" s="0" t="n">
        <v>0.65</v>
      </c>
      <c r="I460" s="10" t="n">
        <v>0.532</v>
      </c>
      <c r="J460" s="0" t="n">
        <v>1.07</v>
      </c>
      <c r="K460" s="13" t="n">
        <f aca="false">IF(H460&lt;&gt;"",H460,IFERROR(G460/INDEX(Players!$M$2:$M$105,MATCH(B460,Players!$A$2:$A$105,0)),""))</f>
        <v>0.65</v>
      </c>
    </row>
    <row r="461" customFormat="false" ht="15" hidden="false" customHeight="false" outlineLevel="0" collapsed="false">
      <c r="A461" s="0" t="s">
        <v>1909</v>
      </c>
      <c r="B461" s="0" t="s">
        <v>1228</v>
      </c>
      <c r="C461" s="0" t="s">
        <v>1027</v>
      </c>
      <c r="D461" s="0" t="s">
        <v>775</v>
      </c>
      <c r="E461" s="0" t="s">
        <v>82</v>
      </c>
      <c r="F461" s="0" t="n">
        <v>5</v>
      </c>
      <c r="G461" s="0" t="n">
        <v>13</v>
      </c>
      <c r="H461" s="0" t="n">
        <v>0.64</v>
      </c>
      <c r="I461" s="10" t="n">
        <v>0.323</v>
      </c>
      <c r="J461" s="0" t="n">
        <v>1.07</v>
      </c>
      <c r="K461" s="13" t="n">
        <f aca="false">IF(H461&lt;&gt;"",H461,IFERROR(G461/INDEX(Players!$M$2:$M$105,MATCH(B461,Players!$A$2:$A$105,0)),""))</f>
        <v>0.64</v>
      </c>
    </row>
    <row r="462" customFormat="false" ht="15" hidden="false" customHeight="false" outlineLevel="0" collapsed="false">
      <c r="A462" s="0" t="s">
        <v>1910</v>
      </c>
      <c r="B462" s="0" t="s">
        <v>1228</v>
      </c>
      <c r="C462" s="0" t="s">
        <v>1027</v>
      </c>
      <c r="D462" s="0" t="s">
        <v>775</v>
      </c>
      <c r="E462" s="0" t="s">
        <v>142</v>
      </c>
      <c r="F462" s="0" t="n">
        <v>3</v>
      </c>
      <c r="G462" s="0" t="n">
        <v>16.3</v>
      </c>
      <c r="H462" s="0" t="n">
        <v>0.67</v>
      </c>
      <c r="I462" s="10" t="n">
        <v>0.449</v>
      </c>
      <c r="J462" s="0" t="n">
        <v>1.04</v>
      </c>
      <c r="K462" s="13" t="n">
        <f aca="false">IF(H462&lt;&gt;"",H462,IFERROR(G462/INDEX(Players!$M$2:$M$105,MATCH(B462,Players!$A$2:$A$105,0)),""))</f>
        <v>0.67</v>
      </c>
    </row>
    <row r="463" customFormat="false" ht="15" hidden="false" customHeight="false" outlineLevel="0" collapsed="false">
      <c r="A463" s="0" t="s">
        <v>1911</v>
      </c>
      <c r="B463" s="0" t="s">
        <v>1228</v>
      </c>
      <c r="C463" s="0" t="s">
        <v>1027</v>
      </c>
      <c r="D463" s="0" t="s">
        <v>775</v>
      </c>
      <c r="E463" s="0" t="s">
        <v>109</v>
      </c>
      <c r="F463" s="0" t="n">
        <v>1</v>
      </c>
      <c r="G463" s="0" t="n">
        <v>15</v>
      </c>
      <c r="H463" s="0" t="n">
        <v>0.63</v>
      </c>
      <c r="I463" s="10" t="n">
        <v>0.333</v>
      </c>
      <c r="J463" s="0" t="n">
        <v>1</v>
      </c>
      <c r="K463" s="13" t="n">
        <f aca="false">IF(H463&lt;&gt;"",H463,IFERROR(G463/INDEX(Players!$M$2:$M$105,MATCH(B463,Players!$A$2:$A$105,0)),""))</f>
        <v>0.63</v>
      </c>
    </row>
    <row r="464" customFormat="false" ht="15" hidden="false" customHeight="false" outlineLevel="0" collapsed="false">
      <c r="A464" s="0" t="s">
        <v>1912</v>
      </c>
      <c r="B464" s="0" t="s">
        <v>1189</v>
      </c>
      <c r="C464" s="0" t="s">
        <v>943</v>
      </c>
      <c r="D464" s="0" t="s">
        <v>775</v>
      </c>
      <c r="E464" s="0" t="s">
        <v>96</v>
      </c>
      <c r="F464" s="0" t="n">
        <v>7</v>
      </c>
      <c r="G464" s="0" t="n">
        <v>16.6</v>
      </c>
      <c r="H464" s="0" t="n">
        <v>0.77</v>
      </c>
      <c r="I464" s="10" t="n">
        <v>0.595</v>
      </c>
      <c r="J464" s="0" t="n">
        <v>1.16</v>
      </c>
      <c r="K464" s="13" t="n">
        <f aca="false">IF(H464&lt;&gt;"",H464,IFERROR(G464/INDEX(Players!$M$2:$M$105,MATCH(B464,Players!$A$2:$A$105,0)),""))</f>
        <v>0.77</v>
      </c>
    </row>
    <row r="465" customFormat="false" ht="15" hidden="false" customHeight="false" outlineLevel="0" collapsed="false">
      <c r="A465" s="0" t="s">
        <v>1913</v>
      </c>
      <c r="B465" s="0" t="s">
        <v>1189</v>
      </c>
      <c r="C465" s="0" t="s">
        <v>943</v>
      </c>
      <c r="D465" s="0" t="s">
        <v>775</v>
      </c>
      <c r="E465" s="0" t="s">
        <v>149</v>
      </c>
      <c r="F465" s="0" t="n">
        <v>7</v>
      </c>
      <c r="G465" s="0" t="n">
        <v>16.3</v>
      </c>
      <c r="H465" s="0" t="n">
        <v>0.77</v>
      </c>
      <c r="I465" s="10" t="n">
        <v>0.491</v>
      </c>
      <c r="J465" s="0" t="n">
        <v>1.07</v>
      </c>
      <c r="K465" s="13" t="n">
        <f aca="false">IF(H465&lt;&gt;"",H465,IFERROR(G465/INDEX(Players!$M$2:$M$105,MATCH(B465,Players!$A$2:$A$105,0)),""))</f>
        <v>0.77</v>
      </c>
    </row>
    <row r="466" customFormat="false" ht="15" hidden="false" customHeight="false" outlineLevel="0" collapsed="false">
      <c r="A466" s="0" t="s">
        <v>1914</v>
      </c>
      <c r="B466" s="0" t="s">
        <v>1189</v>
      </c>
      <c r="C466" s="0" t="s">
        <v>943</v>
      </c>
      <c r="D466" s="0" t="s">
        <v>775</v>
      </c>
      <c r="E466" s="0" t="s">
        <v>82</v>
      </c>
      <c r="F466" s="0" t="n">
        <v>6</v>
      </c>
      <c r="G466" s="0" t="n">
        <v>16</v>
      </c>
      <c r="H466" s="0" t="n">
        <v>0.77</v>
      </c>
      <c r="I466" s="10" t="n">
        <v>0.5</v>
      </c>
      <c r="J466" s="0" t="n">
        <v>1.02</v>
      </c>
      <c r="K466" s="13" t="n">
        <f aca="false">IF(H466&lt;&gt;"",H466,IFERROR(G466/INDEX(Players!$M$2:$M$105,MATCH(B466,Players!$A$2:$A$105,0)),""))</f>
        <v>0.77</v>
      </c>
    </row>
    <row r="467" customFormat="false" ht="15" hidden="false" customHeight="false" outlineLevel="0" collapsed="false">
      <c r="A467" s="0" t="s">
        <v>1915</v>
      </c>
      <c r="B467" s="0" t="s">
        <v>1189</v>
      </c>
      <c r="C467" s="0" t="s">
        <v>943</v>
      </c>
      <c r="D467" s="0" t="s">
        <v>775</v>
      </c>
      <c r="E467" s="0" t="s">
        <v>118</v>
      </c>
      <c r="F467" s="0" t="n">
        <v>6</v>
      </c>
      <c r="G467" s="0" t="n">
        <v>16.5</v>
      </c>
      <c r="H467" s="0" t="n">
        <v>0.69</v>
      </c>
      <c r="I467" s="10" t="n">
        <v>0.444</v>
      </c>
      <c r="J467" s="0" t="n">
        <v>1.02</v>
      </c>
      <c r="K467" s="13" t="n">
        <f aca="false">IF(H467&lt;&gt;"",H467,IFERROR(G467/INDEX(Players!$M$2:$M$105,MATCH(B467,Players!$A$2:$A$105,0)),""))</f>
        <v>0.69</v>
      </c>
    </row>
    <row r="468" customFormat="false" ht="15" hidden="false" customHeight="false" outlineLevel="0" collapsed="false">
      <c r="A468" s="0" t="s">
        <v>1916</v>
      </c>
      <c r="B468" s="0" t="s">
        <v>1189</v>
      </c>
      <c r="C468" s="0" t="s">
        <v>943</v>
      </c>
      <c r="D468" s="0" t="s">
        <v>775</v>
      </c>
      <c r="E468" s="0" t="s">
        <v>142</v>
      </c>
      <c r="F468" s="0" t="n">
        <v>4</v>
      </c>
      <c r="G468" s="0" t="n">
        <v>15.3</v>
      </c>
      <c r="H468" s="0" t="n">
        <v>0.72</v>
      </c>
      <c r="I468" s="10" t="n">
        <v>0.426</v>
      </c>
      <c r="J468" s="0" t="n">
        <v>1.03</v>
      </c>
      <c r="K468" s="13" t="n">
        <f aca="false">IF(H468&lt;&gt;"",H468,IFERROR(G468/INDEX(Players!$M$2:$M$105,MATCH(B468,Players!$A$2:$A$105,0)),""))</f>
        <v>0.72</v>
      </c>
    </row>
    <row r="469" customFormat="false" ht="15" hidden="false" customHeight="false" outlineLevel="0" collapsed="false">
      <c r="A469" s="0" t="s">
        <v>1917</v>
      </c>
      <c r="B469" s="0" t="s">
        <v>1189</v>
      </c>
      <c r="C469" s="0" t="s">
        <v>943</v>
      </c>
      <c r="D469" s="0" t="s">
        <v>775</v>
      </c>
      <c r="E469" s="0" t="s">
        <v>131</v>
      </c>
      <c r="F469" s="0" t="n">
        <v>2</v>
      </c>
      <c r="G469" s="0" t="n">
        <v>18</v>
      </c>
      <c r="H469" s="0" t="n">
        <v>0.88</v>
      </c>
      <c r="I469" s="10" t="n">
        <v>0.5</v>
      </c>
      <c r="J469" s="0" t="n">
        <v>1.38</v>
      </c>
      <c r="K469" s="13" t="n">
        <f aca="false">IF(H469&lt;&gt;"",H469,IFERROR(G469/INDEX(Players!$M$2:$M$105,MATCH(B469,Players!$A$2:$A$105,0)),""))</f>
        <v>0.88</v>
      </c>
    </row>
    <row r="470" customFormat="false" ht="15" hidden="false" customHeight="false" outlineLevel="0" collapsed="false">
      <c r="A470" s="0" t="s">
        <v>1918</v>
      </c>
      <c r="B470" s="0" t="s">
        <v>1189</v>
      </c>
      <c r="C470" s="0" t="s">
        <v>943</v>
      </c>
      <c r="D470" s="0" t="s">
        <v>775</v>
      </c>
      <c r="E470" s="0" t="s">
        <v>109</v>
      </c>
      <c r="F470" s="0" t="n">
        <v>1</v>
      </c>
      <c r="G470" s="0" t="n">
        <v>15</v>
      </c>
      <c r="H470" s="0" t="n">
        <v>0.79</v>
      </c>
      <c r="I470" s="10" t="n">
        <v>0.667</v>
      </c>
      <c r="J470" s="0" t="n">
        <v>2.14</v>
      </c>
      <c r="K470" s="13" t="n">
        <f aca="false">IF(H470&lt;&gt;"",H470,IFERROR(G470/INDEX(Players!$M$2:$M$105,MATCH(B470,Players!$A$2:$A$105,0)),""))</f>
        <v>0.79</v>
      </c>
    </row>
    <row r="471" customFormat="false" ht="15" hidden="false" customHeight="false" outlineLevel="0" collapsed="false">
      <c r="A471" s="0" t="s">
        <v>1919</v>
      </c>
      <c r="B471" s="0" t="s">
        <v>1199</v>
      </c>
      <c r="C471" s="0" t="s">
        <v>964</v>
      </c>
      <c r="D471" s="0" t="s">
        <v>775</v>
      </c>
      <c r="E471" s="0" t="s">
        <v>118</v>
      </c>
      <c r="F471" s="0" t="n">
        <v>6</v>
      </c>
      <c r="G471" s="0" t="n">
        <v>23.7</v>
      </c>
      <c r="H471" s="0" t="n">
        <v>0.87</v>
      </c>
      <c r="I471" s="10" t="n">
        <v>0.486</v>
      </c>
      <c r="J471" s="0" t="n">
        <v>1.58</v>
      </c>
      <c r="K471" s="13" t="n">
        <f aca="false">IF(H471&lt;&gt;"",H471,IFERROR(G471/INDEX(Players!$M$2:$M$105,MATCH(B471,Players!$A$2:$A$105,0)),""))</f>
        <v>0.87</v>
      </c>
    </row>
    <row r="472" customFormat="false" ht="15" hidden="false" customHeight="false" outlineLevel="0" collapsed="false">
      <c r="A472" s="0" t="s">
        <v>1920</v>
      </c>
      <c r="B472" s="0" t="s">
        <v>1199</v>
      </c>
      <c r="C472" s="0" t="s">
        <v>964</v>
      </c>
      <c r="D472" s="0" t="s">
        <v>775</v>
      </c>
      <c r="E472" s="0" t="s">
        <v>131</v>
      </c>
      <c r="F472" s="0" t="n">
        <v>6</v>
      </c>
      <c r="G472" s="0" t="n">
        <v>16.2</v>
      </c>
      <c r="H472" s="0" t="n">
        <v>0.76</v>
      </c>
      <c r="I472" s="10" t="n">
        <v>0.299</v>
      </c>
      <c r="J472" s="0" t="n">
        <v>1.43</v>
      </c>
      <c r="K472" s="13" t="n">
        <f aca="false">IF(H472&lt;&gt;"",H472,IFERROR(G472/INDEX(Players!$M$2:$M$105,MATCH(B472,Players!$A$2:$A$105,0)),""))</f>
        <v>0.76</v>
      </c>
    </row>
    <row r="473" customFormat="false" ht="15" hidden="false" customHeight="false" outlineLevel="0" collapsed="false">
      <c r="A473" s="0" t="s">
        <v>1921</v>
      </c>
      <c r="B473" s="0" t="s">
        <v>1199</v>
      </c>
      <c r="C473" s="0" t="s">
        <v>964</v>
      </c>
      <c r="D473" s="0" t="s">
        <v>775</v>
      </c>
      <c r="E473" s="0" t="s">
        <v>96</v>
      </c>
      <c r="F473" s="0" t="n">
        <v>4</v>
      </c>
      <c r="G473" s="0" t="n">
        <v>15</v>
      </c>
      <c r="H473" s="0" t="n">
        <v>0.8</v>
      </c>
      <c r="I473" s="10" t="n">
        <v>0.367</v>
      </c>
      <c r="J473" s="0" t="n">
        <v>1.82</v>
      </c>
      <c r="K473" s="13" t="n">
        <f aca="false">IF(H473&lt;&gt;"",H473,IFERROR(G473/INDEX(Players!$M$2:$M$105,MATCH(B473,Players!$A$2:$A$105,0)),""))</f>
        <v>0.8</v>
      </c>
    </row>
    <row r="474" customFormat="false" ht="15" hidden="false" customHeight="false" outlineLevel="0" collapsed="false">
      <c r="A474" s="0" t="s">
        <v>1922</v>
      </c>
      <c r="B474" s="0" t="s">
        <v>1199</v>
      </c>
      <c r="C474" s="0" t="s">
        <v>964</v>
      </c>
      <c r="D474" s="0" t="s">
        <v>775</v>
      </c>
      <c r="E474" s="0" t="s">
        <v>109</v>
      </c>
      <c r="F474" s="0" t="n">
        <v>4</v>
      </c>
      <c r="G474" s="0" t="n">
        <v>12.3</v>
      </c>
      <c r="H474" s="0" t="n">
        <v>0.58</v>
      </c>
      <c r="I474" s="10" t="n">
        <v>0.367</v>
      </c>
      <c r="J474" s="0" t="n">
        <v>0.89</v>
      </c>
      <c r="K474" s="13" t="n">
        <f aca="false">IF(H474&lt;&gt;"",H474,IFERROR(G474/INDEX(Players!$M$2:$M$105,MATCH(B474,Players!$A$2:$A$105,0)),""))</f>
        <v>0.58</v>
      </c>
    </row>
    <row r="475" customFormat="false" ht="15" hidden="false" customHeight="false" outlineLevel="0" collapsed="false">
      <c r="A475" s="0" t="s">
        <v>1923</v>
      </c>
      <c r="B475" s="0" t="s">
        <v>1199</v>
      </c>
      <c r="C475" s="0" t="s">
        <v>964</v>
      </c>
      <c r="D475" s="0" t="s">
        <v>775</v>
      </c>
      <c r="E475" s="0" t="s">
        <v>82</v>
      </c>
      <c r="F475" s="0" t="n">
        <v>3</v>
      </c>
      <c r="G475" s="0" t="n">
        <v>15.3</v>
      </c>
      <c r="H475" s="0" t="n">
        <v>0.75</v>
      </c>
      <c r="I475" s="10" t="n">
        <v>0.457</v>
      </c>
      <c r="J475" s="0" t="n">
        <v>1.39</v>
      </c>
      <c r="K475" s="13" t="n">
        <f aca="false">IF(H475&lt;&gt;"",H475,IFERROR(G475/INDEX(Players!$M$2:$M$105,MATCH(B475,Players!$A$2:$A$105,0)),""))</f>
        <v>0.75</v>
      </c>
    </row>
    <row r="476" customFormat="false" ht="15" hidden="false" customHeight="false" outlineLevel="0" collapsed="false">
      <c r="A476" s="0" t="s">
        <v>1924</v>
      </c>
      <c r="B476" s="0" t="s">
        <v>1199</v>
      </c>
      <c r="C476" s="0" t="s">
        <v>964</v>
      </c>
      <c r="D476" s="0" t="s">
        <v>775</v>
      </c>
      <c r="E476" s="0" t="s">
        <v>142</v>
      </c>
      <c r="F476" s="0" t="n">
        <v>3</v>
      </c>
      <c r="G476" s="0" t="n">
        <v>14.7</v>
      </c>
      <c r="H476" s="0" t="n">
        <v>0.64</v>
      </c>
      <c r="I476" s="10" t="n">
        <v>0.409</v>
      </c>
      <c r="J476" s="0" t="n">
        <v>1.02</v>
      </c>
      <c r="K476" s="13" t="n">
        <f aca="false">IF(H476&lt;&gt;"",H476,IFERROR(G476/INDEX(Players!$M$2:$M$105,MATCH(B476,Players!$A$2:$A$105,0)),""))</f>
        <v>0.64</v>
      </c>
    </row>
    <row r="477" customFormat="false" ht="15" hidden="false" customHeight="false" outlineLevel="0" collapsed="false">
      <c r="A477" s="0" t="s">
        <v>1925</v>
      </c>
      <c r="B477" s="0" t="s">
        <v>1199</v>
      </c>
      <c r="C477" s="0" t="s">
        <v>964</v>
      </c>
      <c r="D477" s="0" t="s">
        <v>775</v>
      </c>
      <c r="E477" s="0" t="s">
        <v>149</v>
      </c>
      <c r="F477" s="0" t="n">
        <v>1</v>
      </c>
      <c r="G477" s="0" t="n">
        <v>25</v>
      </c>
      <c r="H477" s="0" t="n">
        <v>1.04</v>
      </c>
      <c r="I477" s="10" t="n">
        <v>0.6</v>
      </c>
      <c r="J477" s="0" t="n">
        <v>1.56</v>
      </c>
      <c r="K477" s="13" t="n">
        <f aca="false">IF(H477&lt;&gt;"",H477,IFERROR(G477/INDEX(Players!$M$2:$M$105,MATCH(B477,Players!$A$2:$A$105,0)),""))</f>
        <v>1.04</v>
      </c>
    </row>
    <row r="478" customFormat="false" ht="15" hidden="false" customHeight="false" outlineLevel="0" collapsed="false">
      <c r="A478" s="0" t="s">
        <v>1926</v>
      </c>
      <c r="B478" s="0" t="s">
        <v>1195</v>
      </c>
      <c r="C478" s="0" t="s">
        <v>956</v>
      </c>
      <c r="D478" s="0" t="s">
        <v>775</v>
      </c>
      <c r="E478" s="0" t="s">
        <v>131</v>
      </c>
      <c r="F478" s="0" t="n">
        <v>8</v>
      </c>
      <c r="G478" s="0" t="n">
        <v>13.4</v>
      </c>
      <c r="H478" s="0" t="n">
        <v>0.6</v>
      </c>
      <c r="I478" s="10" t="n">
        <v>0.383</v>
      </c>
      <c r="J478" s="0" t="n">
        <v>0.98</v>
      </c>
      <c r="K478" s="13" t="n">
        <f aca="false">IF(H478&lt;&gt;"",H478,IFERROR(G478/INDEX(Players!$M$2:$M$105,MATCH(B478,Players!$A$2:$A$105,0)),""))</f>
        <v>0.6</v>
      </c>
    </row>
    <row r="479" customFormat="false" ht="15" hidden="false" customHeight="false" outlineLevel="0" collapsed="false">
      <c r="A479" s="0" t="s">
        <v>1927</v>
      </c>
      <c r="B479" s="0" t="s">
        <v>1195</v>
      </c>
      <c r="C479" s="0" t="s">
        <v>956</v>
      </c>
      <c r="D479" s="0" t="s">
        <v>775</v>
      </c>
      <c r="E479" s="0" t="s">
        <v>142</v>
      </c>
      <c r="F479" s="0" t="n">
        <v>7</v>
      </c>
      <c r="G479" s="0" t="n">
        <v>12</v>
      </c>
      <c r="H479" s="0" t="n">
        <v>0.57</v>
      </c>
      <c r="I479" s="10" t="n">
        <v>0.357</v>
      </c>
      <c r="J479" s="0" t="n">
        <v>0.95</v>
      </c>
      <c r="K479" s="13" t="n">
        <f aca="false">IF(H479&lt;&gt;"",H479,IFERROR(G479/INDEX(Players!$M$2:$M$105,MATCH(B479,Players!$A$2:$A$105,0)),""))</f>
        <v>0.57</v>
      </c>
    </row>
    <row r="480" customFormat="false" ht="15" hidden="false" customHeight="false" outlineLevel="0" collapsed="false">
      <c r="A480" s="0" t="s">
        <v>1928</v>
      </c>
      <c r="B480" s="0" t="s">
        <v>1195</v>
      </c>
      <c r="C480" s="0" t="s">
        <v>956</v>
      </c>
      <c r="D480" s="0" t="s">
        <v>775</v>
      </c>
      <c r="E480" s="0" t="s">
        <v>82</v>
      </c>
      <c r="F480" s="0" t="n">
        <v>5</v>
      </c>
      <c r="G480" s="0" t="n">
        <v>12.4</v>
      </c>
      <c r="H480" s="0" t="n">
        <v>0.71</v>
      </c>
      <c r="I480" s="10" t="n">
        <v>0.5</v>
      </c>
      <c r="J480" s="0" t="n">
        <v>1.38</v>
      </c>
      <c r="K480" s="13" t="n">
        <f aca="false">IF(H480&lt;&gt;"",H480,IFERROR(G480/INDEX(Players!$M$2:$M$105,MATCH(B480,Players!$A$2:$A$105,0)),""))</f>
        <v>0.71</v>
      </c>
    </row>
    <row r="481" customFormat="false" ht="15" hidden="false" customHeight="false" outlineLevel="0" collapsed="false">
      <c r="A481" s="0" t="s">
        <v>1929</v>
      </c>
      <c r="B481" s="0" t="s">
        <v>1195</v>
      </c>
      <c r="C481" s="0" t="s">
        <v>956</v>
      </c>
      <c r="D481" s="0" t="s">
        <v>775</v>
      </c>
      <c r="E481" s="0" t="s">
        <v>118</v>
      </c>
      <c r="F481" s="0" t="n">
        <v>5</v>
      </c>
      <c r="G481" s="0" t="n">
        <v>11.8</v>
      </c>
      <c r="H481" s="0" t="n">
        <v>0.59</v>
      </c>
      <c r="I481" s="10" t="n">
        <v>0.441</v>
      </c>
      <c r="J481" s="0" t="n">
        <v>0.88</v>
      </c>
      <c r="K481" s="13" t="n">
        <f aca="false">IF(H481&lt;&gt;"",H481,IFERROR(G481/INDEX(Players!$M$2:$M$105,MATCH(B481,Players!$A$2:$A$105,0)),""))</f>
        <v>0.59</v>
      </c>
    </row>
    <row r="482" customFormat="false" ht="15" hidden="false" customHeight="false" outlineLevel="0" collapsed="false">
      <c r="A482" s="0" t="s">
        <v>1930</v>
      </c>
      <c r="B482" s="0" t="s">
        <v>1195</v>
      </c>
      <c r="C482" s="0" t="s">
        <v>956</v>
      </c>
      <c r="D482" s="0" t="s">
        <v>775</v>
      </c>
      <c r="E482" s="0" t="s">
        <v>109</v>
      </c>
      <c r="F482" s="0" t="n">
        <v>4</v>
      </c>
      <c r="G482" s="0" t="n">
        <v>15.5</v>
      </c>
      <c r="H482" s="0" t="n">
        <v>0.67</v>
      </c>
      <c r="I482" s="10" t="n">
        <v>0.323</v>
      </c>
      <c r="J482" s="0" t="n">
        <v>1.19</v>
      </c>
      <c r="K482" s="13" t="n">
        <f aca="false">IF(H482&lt;&gt;"",H482,IFERROR(G482/INDEX(Players!$M$2:$M$105,MATCH(B482,Players!$A$2:$A$105,0)),""))</f>
        <v>0.67</v>
      </c>
    </row>
    <row r="483" customFormat="false" ht="15" hidden="false" customHeight="false" outlineLevel="0" collapsed="false">
      <c r="A483" s="0" t="s">
        <v>1931</v>
      </c>
      <c r="B483" s="0" t="s">
        <v>1195</v>
      </c>
      <c r="C483" s="0" t="s">
        <v>956</v>
      </c>
      <c r="D483" s="0" t="s">
        <v>775</v>
      </c>
      <c r="E483" s="0" t="s">
        <v>149</v>
      </c>
      <c r="F483" s="0" t="n">
        <v>2</v>
      </c>
      <c r="G483" s="0" t="n">
        <v>22.5</v>
      </c>
      <c r="H483" s="0" t="n">
        <v>0.75</v>
      </c>
      <c r="I483" s="10" t="n">
        <v>0.244</v>
      </c>
      <c r="J483" s="0" t="n">
        <v>1.18</v>
      </c>
      <c r="K483" s="13" t="n">
        <f aca="false">IF(H483&lt;&gt;"",H483,IFERROR(G483/INDEX(Players!$M$2:$M$105,MATCH(B483,Players!$A$2:$A$105,0)),""))</f>
        <v>0.75</v>
      </c>
    </row>
    <row r="484" customFormat="false" ht="15" hidden="false" customHeight="false" outlineLevel="0" collapsed="false">
      <c r="A484" s="0" t="s">
        <v>1932</v>
      </c>
      <c r="B484" s="0" t="s">
        <v>1237</v>
      </c>
      <c r="C484" s="0" t="s">
        <v>1045</v>
      </c>
      <c r="D484" s="0" t="s">
        <v>775</v>
      </c>
      <c r="E484" s="0" t="s">
        <v>142</v>
      </c>
      <c r="F484" s="0" t="n">
        <v>7</v>
      </c>
      <c r="G484" s="0" t="n">
        <v>16.4</v>
      </c>
      <c r="H484" s="0" t="n">
        <v>0.78</v>
      </c>
      <c r="I484" s="10" t="n">
        <v>0.504</v>
      </c>
      <c r="J484" s="0" t="n">
        <v>1.08</v>
      </c>
      <c r="K484" s="13" t="n">
        <f aca="false">IF(H484&lt;&gt;"",H484,IFERROR(G484/INDEX(Players!$M$2:$M$105,MATCH(B484,Players!$A$2:$A$105,0)),""))</f>
        <v>0.78</v>
      </c>
    </row>
    <row r="485" customFormat="false" ht="15" hidden="false" customHeight="false" outlineLevel="0" collapsed="false">
      <c r="A485" s="0" t="s">
        <v>1933</v>
      </c>
      <c r="B485" s="0" t="s">
        <v>1237</v>
      </c>
      <c r="C485" s="0" t="s">
        <v>1045</v>
      </c>
      <c r="D485" s="0" t="s">
        <v>775</v>
      </c>
      <c r="E485" s="0" t="s">
        <v>109</v>
      </c>
      <c r="F485" s="0" t="n">
        <v>7</v>
      </c>
      <c r="G485" s="0" t="n">
        <v>13.3</v>
      </c>
      <c r="H485" s="0" t="n">
        <v>0.64</v>
      </c>
      <c r="I485" s="10" t="n">
        <v>0.613</v>
      </c>
      <c r="J485" s="0" t="n">
        <v>1</v>
      </c>
      <c r="K485" s="13" t="n">
        <f aca="false">IF(H485&lt;&gt;"",H485,IFERROR(G485/INDEX(Players!$M$2:$M$105,MATCH(B485,Players!$A$2:$A$105,0)),""))</f>
        <v>0.64</v>
      </c>
    </row>
    <row r="486" customFormat="false" ht="15" hidden="false" customHeight="false" outlineLevel="0" collapsed="false">
      <c r="A486" s="0" t="s">
        <v>1934</v>
      </c>
      <c r="B486" s="0" t="s">
        <v>1237</v>
      </c>
      <c r="C486" s="0" t="s">
        <v>1045</v>
      </c>
      <c r="D486" s="0" t="s">
        <v>775</v>
      </c>
      <c r="E486" s="0" t="s">
        <v>118</v>
      </c>
      <c r="F486" s="0" t="n">
        <v>6</v>
      </c>
      <c r="G486" s="0" t="n">
        <v>15.8</v>
      </c>
      <c r="H486" s="0" t="n">
        <v>0.68</v>
      </c>
      <c r="I486" s="10" t="n">
        <v>0.484</v>
      </c>
      <c r="J486" s="0" t="n">
        <v>1.1</v>
      </c>
      <c r="K486" s="13" t="n">
        <f aca="false">IF(H486&lt;&gt;"",H486,IFERROR(G486/INDEX(Players!$M$2:$M$105,MATCH(B486,Players!$A$2:$A$105,0)),""))</f>
        <v>0.68</v>
      </c>
    </row>
    <row r="487" customFormat="false" ht="15" hidden="false" customHeight="false" outlineLevel="0" collapsed="false">
      <c r="A487" s="0" t="s">
        <v>1935</v>
      </c>
      <c r="B487" s="0" t="s">
        <v>1237</v>
      </c>
      <c r="C487" s="0" t="s">
        <v>1045</v>
      </c>
      <c r="D487" s="0" t="s">
        <v>775</v>
      </c>
      <c r="E487" s="0" t="s">
        <v>82</v>
      </c>
      <c r="F487" s="0" t="n">
        <v>4</v>
      </c>
      <c r="G487" s="0" t="n">
        <v>13.3</v>
      </c>
      <c r="H487" s="0" t="n">
        <v>0.63</v>
      </c>
      <c r="I487" s="10" t="n">
        <v>0.604</v>
      </c>
      <c r="J487" s="0" t="n">
        <v>0.91</v>
      </c>
      <c r="K487" s="13" t="n">
        <f aca="false">IF(H487&lt;&gt;"",H487,IFERROR(G487/INDEX(Players!$M$2:$M$105,MATCH(B487,Players!$A$2:$A$105,0)),""))</f>
        <v>0.63</v>
      </c>
    </row>
    <row r="488" customFormat="false" ht="15" hidden="false" customHeight="false" outlineLevel="0" collapsed="false">
      <c r="A488" s="0" t="s">
        <v>1936</v>
      </c>
      <c r="B488" s="0" t="s">
        <v>1237</v>
      </c>
      <c r="C488" s="0" t="s">
        <v>1045</v>
      </c>
      <c r="D488" s="0" t="s">
        <v>775</v>
      </c>
      <c r="E488" s="0" t="s">
        <v>131</v>
      </c>
      <c r="F488" s="0" t="n">
        <v>4</v>
      </c>
      <c r="G488" s="0" t="n">
        <v>10.5</v>
      </c>
      <c r="H488" s="0" t="n">
        <v>0.53</v>
      </c>
      <c r="I488" s="10" t="n">
        <v>0.524</v>
      </c>
      <c r="J488" s="0" t="n">
        <v>0.75</v>
      </c>
      <c r="K488" s="13" t="n">
        <f aca="false">IF(H488&lt;&gt;"",H488,IFERROR(G488/INDEX(Players!$M$2:$M$105,MATCH(B488,Players!$A$2:$A$105,0)),""))</f>
        <v>0.53</v>
      </c>
    </row>
    <row r="489" customFormat="false" ht="15" hidden="false" customHeight="false" outlineLevel="0" collapsed="false">
      <c r="A489" s="0" t="s">
        <v>1937</v>
      </c>
      <c r="B489" s="0" t="s">
        <v>1237</v>
      </c>
      <c r="C489" s="0" t="s">
        <v>1045</v>
      </c>
      <c r="D489" s="0" t="s">
        <v>775</v>
      </c>
      <c r="E489" s="0" t="s">
        <v>149</v>
      </c>
      <c r="F489" s="0" t="n">
        <v>2</v>
      </c>
      <c r="G489" s="0" t="n">
        <v>17.5</v>
      </c>
      <c r="H489" s="0" t="n">
        <v>0.81</v>
      </c>
      <c r="I489" s="10" t="n">
        <v>0.543</v>
      </c>
      <c r="J489" s="0" t="n">
        <v>1.17</v>
      </c>
      <c r="K489" s="13" t="n">
        <f aca="false">IF(H489&lt;&gt;"",H489,IFERROR(G489/INDEX(Players!$M$2:$M$105,MATCH(B489,Players!$A$2:$A$105,0)),""))</f>
        <v>0.81</v>
      </c>
    </row>
    <row r="490" customFormat="false" ht="15" hidden="false" customHeight="false" outlineLevel="0" collapsed="false">
      <c r="A490" s="0" t="s">
        <v>1938</v>
      </c>
      <c r="B490" s="0" t="s">
        <v>1200</v>
      </c>
      <c r="C490" s="0" t="s">
        <v>966</v>
      </c>
      <c r="D490" s="0" t="s">
        <v>775</v>
      </c>
      <c r="E490" s="0" t="s">
        <v>131</v>
      </c>
      <c r="F490" s="0" t="n">
        <v>6</v>
      </c>
      <c r="G490" s="0" t="n">
        <v>19.2</v>
      </c>
      <c r="H490" s="0" t="n">
        <v>0.9</v>
      </c>
      <c r="I490" s="10" t="n">
        <v>0.626</v>
      </c>
      <c r="J490" s="0" t="n">
        <v>1.46</v>
      </c>
      <c r="K490" s="13" t="n">
        <f aca="false">IF(H490&lt;&gt;"",H490,IFERROR(G490/INDEX(Players!$M$2:$M$105,MATCH(B490,Players!$A$2:$A$105,0)),""))</f>
        <v>0.9</v>
      </c>
    </row>
    <row r="491" customFormat="false" ht="15" hidden="false" customHeight="false" outlineLevel="0" collapsed="false">
      <c r="A491" s="0" t="s">
        <v>1939</v>
      </c>
      <c r="B491" s="0" t="s">
        <v>1200</v>
      </c>
      <c r="C491" s="0" t="s">
        <v>966</v>
      </c>
      <c r="D491" s="0" t="s">
        <v>775</v>
      </c>
      <c r="E491" s="0" t="s">
        <v>118</v>
      </c>
      <c r="F491" s="0" t="n">
        <v>6</v>
      </c>
      <c r="G491" s="0" t="n">
        <v>19.3</v>
      </c>
      <c r="H491" s="0" t="n">
        <v>0.71</v>
      </c>
      <c r="I491" s="10" t="n">
        <v>0.69</v>
      </c>
      <c r="J491" s="0" t="n">
        <v>1.03</v>
      </c>
      <c r="K491" s="13" t="n">
        <f aca="false">IF(H491&lt;&gt;"",H491,IFERROR(G491/INDEX(Players!$M$2:$M$105,MATCH(B491,Players!$A$2:$A$105,0)),""))</f>
        <v>0.71</v>
      </c>
    </row>
    <row r="492" customFormat="false" ht="15" hidden="false" customHeight="false" outlineLevel="0" collapsed="false">
      <c r="A492" s="0" t="s">
        <v>1940</v>
      </c>
      <c r="B492" s="0" t="s">
        <v>1200</v>
      </c>
      <c r="C492" s="0" t="s">
        <v>966</v>
      </c>
      <c r="D492" s="0" t="s">
        <v>775</v>
      </c>
      <c r="E492" s="0" t="s">
        <v>96</v>
      </c>
      <c r="F492" s="0" t="n">
        <v>4</v>
      </c>
      <c r="G492" s="0" t="n">
        <v>17.3</v>
      </c>
      <c r="H492" s="0" t="n">
        <v>0.92</v>
      </c>
      <c r="I492" s="10" t="n">
        <v>0.464</v>
      </c>
      <c r="J492" s="0" t="n">
        <v>1.44</v>
      </c>
      <c r="K492" s="13" t="n">
        <f aca="false">IF(H492&lt;&gt;"",H492,IFERROR(G492/INDEX(Players!$M$2:$M$105,MATCH(B492,Players!$A$2:$A$105,0)),""))</f>
        <v>0.92</v>
      </c>
    </row>
    <row r="493" customFormat="false" ht="15" hidden="false" customHeight="false" outlineLevel="0" collapsed="false">
      <c r="A493" s="0" t="s">
        <v>1941</v>
      </c>
      <c r="B493" s="0" t="s">
        <v>1200</v>
      </c>
      <c r="C493" s="0" t="s">
        <v>966</v>
      </c>
      <c r="D493" s="0" t="s">
        <v>775</v>
      </c>
      <c r="E493" s="0" t="s">
        <v>109</v>
      </c>
      <c r="F493" s="0" t="n">
        <v>4</v>
      </c>
      <c r="G493" s="0" t="n">
        <v>14.5</v>
      </c>
      <c r="H493" s="0" t="n">
        <v>0.68</v>
      </c>
      <c r="I493" s="10" t="n">
        <v>0.586</v>
      </c>
      <c r="J493" s="0" t="n">
        <v>1.21</v>
      </c>
      <c r="K493" s="13" t="n">
        <f aca="false">IF(H493&lt;&gt;"",H493,IFERROR(G493/INDEX(Players!$M$2:$M$105,MATCH(B493,Players!$A$2:$A$105,0)),""))</f>
        <v>0.68</v>
      </c>
    </row>
    <row r="494" customFormat="false" ht="15" hidden="false" customHeight="false" outlineLevel="0" collapsed="false">
      <c r="A494" s="0" t="s">
        <v>1942</v>
      </c>
      <c r="B494" s="0" t="s">
        <v>1200</v>
      </c>
      <c r="C494" s="0" t="s">
        <v>966</v>
      </c>
      <c r="D494" s="0" t="s">
        <v>775</v>
      </c>
      <c r="E494" s="0" t="s">
        <v>142</v>
      </c>
      <c r="F494" s="0" t="n">
        <v>3</v>
      </c>
      <c r="G494" s="0" t="n">
        <v>15.7</v>
      </c>
      <c r="H494" s="0" t="n">
        <v>0.68</v>
      </c>
      <c r="I494" s="10" t="n">
        <v>0.574</v>
      </c>
      <c r="J494" s="0" t="n">
        <v>0.96</v>
      </c>
      <c r="K494" s="13" t="n">
        <f aca="false">IF(H494&lt;&gt;"",H494,IFERROR(G494/INDEX(Players!$M$2:$M$105,MATCH(B494,Players!$A$2:$A$105,0)),""))</f>
        <v>0.68</v>
      </c>
    </row>
    <row r="495" customFormat="false" ht="15" hidden="false" customHeight="false" outlineLevel="0" collapsed="false">
      <c r="A495" s="0" t="s">
        <v>1943</v>
      </c>
      <c r="B495" s="0" t="s">
        <v>1200</v>
      </c>
      <c r="C495" s="0" t="s">
        <v>966</v>
      </c>
      <c r="D495" s="0" t="s">
        <v>775</v>
      </c>
      <c r="E495" s="0" t="s">
        <v>82</v>
      </c>
      <c r="F495" s="0" t="n">
        <v>3</v>
      </c>
      <c r="G495" s="0" t="n">
        <v>9.7</v>
      </c>
      <c r="H495" s="0" t="n">
        <v>0.48</v>
      </c>
      <c r="I495" s="10" t="n">
        <v>0.586</v>
      </c>
      <c r="J495" s="0" t="n">
        <v>0.72</v>
      </c>
      <c r="K495" s="13" t="n">
        <f aca="false">IF(H495&lt;&gt;"",H495,IFERROR(G495/INDEX(Players!$M$2:$M$105,MATCH(B495,Players!$A$2:$A$105,0)),""))</f>
        <v>0.48</v>
      </c>
    </row>
    <row r="496" customFormat="false" ht="15" hidden="false" customHeight="false" outlineLevel="0" collapsed="false">
      <c r="A496" s="0" t="s">
        <v>1944</v>
      </c>
      <c r="B496" s="0" t="s">
        <v>1200</v>
      </c>
      <c r="C496" s="0" t="s">
        <v>966</v>
      </c>
      <c r="D496" s="0" t="s">
        <v>775</v>
      </c>
      <c r="E496" s="0" t="s">
        <v>149</v>
      </c>
      <c r="F496" s="0" t="n">
        <v>1</v>
      </c>
      <c r="G496" s="0" t="n">
        <v>13</v>
      </c>
      <c r="H496" s="0" t="n">
        <v>0.54</v>
      </c>
      <c r="I496" s="10" t="n">
        <v>0.462</v>
      </c>
      <c r="J496" s="0" t="n">
        <v>0.65</v>
      </c>
      <c r="K496" s="13" t="n">
        <f aca="false">IF(H496&lt;&gt;"",H496,IFERROR(G496/INDEX(Players!$M$2:$M$105,MATCH(B496,Players!$A$2:$A$105,0)),""))</f>
        <v>0.54</v>
      </c>
    </row>
    <row r="497" customFormat="false" ht="15" hidden="false" customHeight="false" outlineLevel="0" collapsed="false">
      <c r="A497" s="0" t="s">
        <v>1945</v>
      </c>
      <c r="B497" s="0" t="s">
        <v>1264</v>
      </c>
      <c r="C497" s="0" t="s">
        <v>1101</v>
      </c>
      <c r="D497" s="0" t="s">
        <v>775</v>
      </c>
      <c r="E497" s="0" t="s">
        <v>82</v>
      </c>
      <c r="F497" s="0" t="n">
        <v>14</v>
      </c>
      <c r="G497" s="0" t="n">
        <v>11.4</v>
      </c>
      <c r="H497" s="0" t="n">
        <v>0.54</v>
      </c>
      <c r="I497" s="10" t="n">
        <v>0.663</v>
      </c>
      <c r="J497" s="0" t="n">
        <v>0.68</v>
      </c>
      <c r="K497" s="13" t="n">
        <f aca="false">IF(H497&lt;&gt;"",H497,IFERROR(G497/INDEX(Players!$M$2:$M$105,MATCH(B497,Players!$A$2:$A$105,0)),""))</f>
        <v>0.54</v>
      </c>
    </row>
    <row r="498" customFormat="false" ht="15" hidden="false" customHeight="false" outlineLevel="0" collapsed="false">
      <c r="A498" s="0" t="s">
        <v>1946</v>
      </c>
      <c r="B498" s="0" t="s">
        <v>1264</v>
      </c>
      <c r="C498" s="0" t="s">
        <v>1101</v>
      </c>
      <c r="D498" s="0" t="s">
        <v>775</v>
      </c>
      <c r="E498" s="0" t="s">
        <v>96</v>
      </c>
      <c r="F498" s="0" t="n">
        <v>6</v>
      </c>
      <c r="G498" s="0" t="n">
        <v>13.5</v>
      </c>
      <c r="H498" s="0" t="n">
        <v>0.65</v>
      </c>
      <c r="I498" s="10" t="n">
        <v>0.605</v>
      </c>
      <c r="J498" s="0" t="n">
        <v>0.88</v>
      </c>
      <c r="K498" s="13" t="n">
        <f aca="false">IF(H498&lt;&gt;"",H498,IFERROR(G498/INDEX(Players!$M$2:$M$105,MATCH(B498,Players!$A$2:$A$105,0)),""))</f>
        <v>0.65</v>
      </c>
    </row>
    <row r="499" customFormat="false" ht="15" hidden="false" customHeight="false" outlineLevel="0" collapsed="false">
      <c r="A499" s="0" t="s">
        <v>1947</v>
      </c>
      <c r="B499" s="0" t="s">
        <v>1264</v>
      </c>
      <c r="C499" s="0" t="s">
        <v>1101</v>
      </c>
      <c r="D499" s="0" t="s">
        <v>775</v>
      </c>
      <c r="E499" s="0" t="s">
        <v>131</v>
      </c>
      <c r="F499" s="0" t="n">
        <v>5</v>
      </c>
      <c r="G499" s="0" t="n">
        <v>15.4</v>
      </c>
      <c r="H499" s="0" t="n">
        <v>0.56</v>
      </c>
      <c r="I499" s="10" t="n">
        <v>0.623</v>
      </c>
      <c r="J499" s="0" t="n">
        <v>0.8</v>
      </c>
      <c r="K499" s="13" t="n">
        <f aca="false">IF(H499&lt;&gt;"",H499,IFERROR(G499/INDEX(Players!$M$2:$M$105,MATCH(B499,Players!$A$2:$A$105,0)),""))</f>
        <v>0.56</v>
      </c>
    </row>
    <row r="500" customFormat="false" ht="15" hidden="false" customHeight="false" outlineLevel="0" collapsed="false">
      <c r="A500" s="0" t="s">
        <v>1948</v>
      </c>
      <c r="B500" s="0" t="s">
        <v>1264</v>
      </c>
      <c r="C500" s="0" t="s">
        <v>1101</v>
      </c>
      <c r="D500" s="0" t="s">
        <v>775</v>
      </c>
      <c r="E500" s="0" t="s">
        <v>142</v>
      </c>
      <c r="F500" s="0" t="n">
        <v>5</v>
      </c>
      <c r="G500" s="0" t="n">
        <v>13</v>
      </c>
      <c r="H500" s="0" t="n">
        <v>0.58</v>
      </c>
      <c r="I500" s="10" t="n">
        <v>0.569</v>
      </c>
      <c r="J500" s="0" t="n">
        <v>0.76</v>
      </c>
      <c r="K500" s="13" t="n">
        <f aca="false">IF(H500&lt;&gt;"",H500,IFERROR(G500/INDEX(Players!$M$2:$M$105,MATCH(B500,Players!$A$2:$A$105,0)),""))</f>
        <v>0.58</v>
      </c>
    </row>
    <row r="501" customFormat="false" ht="15" hidden="false" customHeight="false" outlineLevel="0" collapsed="false">
      <c r="A501" s="0" t="s">
        <v>1949</v>
      </c>
      <c r="B501" s="0" t="s">
        <v>1264</v>
      </c>
      <c r="C501" s="0" t="s">
        <v>1101</v>
      </c>
      <c r="D501" s="0" t="s">
        <v>775</v>
      </c>
      <c r="E501" s="0" t="s">
        <v>109</v>
      </c>
      <c r="F501" s="0" t="n">
        <v>4</v>
      </c>
      <c r="G501" s="0" t="n">
        <v>12.5</v>
      </c>
      <c r="H501" s="0" t="n">
        <v>0.53</v>
      </c>
      <c r="I501" s="10" t="n">
        <v>0.5</v>
      </c>
      <c r="J501" s="0" t="n">
        <v>0.66</v>
      </c>
      <c r="K501" s="13" t="n">
        <f aca="false">IF(H501&lt;&gt;"",H501,IFERROR(G501/INDEX(Players!$M$2:$M$105,MATCH(B501,Players!$A$2:$A$105,0)),""))</f>
        <v>0.53</v>
      </c>
    </row>
    <row r="502" customFormat="false" ht="15" hidden="false" customHeight="false" outlineLevel="0" collapsed="false">
      <c r="A502" s="0" t="s">
        <v>1950</v>
      </c>
      <c r="B502" s="0" t="s">
        <v>1264</v>
      </c>
      <c r="C502" s="0" t="s">
        <v>1101</v>
      </c>
      <c r="D502" s="0" t="s">
        <v>775</v>
      </c>
      <c r="E502" s="0" t="s">
        <v>149</v>
      </c>
      <c r="F502" s="0" t="n">
        <v>2</v>
      </c>
      <c r="G502" s="0" t="n">
        <v>9.5</v>
      </c>
      <c r="H502" s="0" t="n">
        <v>0.47</v>
      </c>
      <c r="I502" s="10" t="n">
        <v>0.474</v>
      </c>
      <c r="J502" s="0" t="n">
        <v>0.58</v>
      </c>
      <c r="K502" s="13" t="n">
        <f aca="false">IF(H502&lt;&gt;"",H502,IFERROR(G502/INDEX(Players!$M$2:$M$105,MATCH(B502,Players!$A$2:$A$105,0)),""))</f>
        <v>0.47</v>
      </c>
    </row>
    <row r="503" customFormat="false" ht="15" hidden="false" customHeight="false" outlineLevel="0" collapsed="false">
      <c r="A503" s="0" t="s">
        <v>1951</v>
      </c>
      <c r="B503" s="0" t="s">
        <v>1249</v>
      </c>
      <c r="C503" s="0" t="s">
        <v>1071</v>
      </c>
      <c r="D503" s="0" t="s">
        <v>775</v>
      </c>
      <c r="E503" s="0" t="s">
        <v>142</v>
      </c>
      <c r="F503" s="0" t="n">
        <v>8</v>
      </c>
      <c r="G503" s="0" t="n">
        <v>11.6</v>
      </c>
      <c r="H503" s="0" t="n">
        <v>0.59</v>
      </c>
      <c r="I503" s="10" t="n">
        <v>0.645</v>
      </c>
      <c r="J503" s="0" t="n">
        <v>1.08</v>
      </c>
      <c r="K503" s="13" t="n">
        <f aca="false">IF(H503&lt;&gt;"",H503,IFERROR(G503/INDEX(Players!$M$2:$M$105,MATCH(B503,Players!$A$2:$A$105,0)),""))</f>
        <v>0.59</v>
      </c>
    </row>
    <row r="504" customFormat="false" ht="15" hidden="false" customHeight="false" outlineLevel="0" collapsed="false">
      <c r="A504" s="0" t="s">
        <v>1952</v>
      </c>
      <c r="B504" s="0" t="s">
        <v>1249</v>
      </c>
      <c r="C504" s="0" t="s">
        <v>1071</v>
      </c>
      <c r="D504" s="0" t="s">
        <v>775</v>
      </c>
      <c r="E504" s="0" t="s">
        <v>96</v>
      </c>
      <c r="F504" s="0" t="n">
        <v>7</v>
      </c>
      <c r="G504" s="0" t="n">
        <v>15.3</v>
      </c>
      <c r="H504" s="0" t="n">
        <v>0.63</v>
      </c>
      <c r="I504" s="10" t="n">
        <v>0.617</v>
      </c>
      <c r="J504" s="0" t="n">
        <v>1.13</v>
      </c>
      <c r="K504" s="13" t="n">
        <f aca="false">IF(H504&lt;&gt;"",H504,IFERROR(G504/INDEX(Players!$M$2:$M$105,MATCH(B504,Players!$A$2:$A$105,0)),""))</f>
        <v>0.63</v>
      </c>
    </row>
    <row r="505" customFormat="false" ht="15" hidden="false" customHeight="false" outlineLevel="0" collapsed="false">
      <c r="A505" s="0" t="s">
        <v>1953</v>
      </c>
      <c r="B505" s="0" t="s">
        <v>1249</v>
      </c>
      <c r="C505" s="0" t="s">
        <v>1071</v>
      </c>
      <c r="D505" s="0" t="s">
        <v>775</v>
      </c>
      <c r="E505" s="0" t="s">
        <v>82</v>
      </c>
      <c r="F505" s="0" t="n">
        <v>6</v>
      </c>
      <c r="G505" s="0" t="n">
        <v>14.7</v>
      </c>
      <c r="H505" s="0" t="n">
        <v>0.65</v>
      </c>
      <c r="I505" s="10" t="n">
        <v>0.591</v>
      </c>
      <c r="J505" s="0" t="n">
        <v>1.07</v>
      </c>
      <c r="K505" s="13" t="n">
        <f aca="false">IF(H505&lt;&gt;"",H505,IFERROR(G505/INDEX(Players!$M$2:$M$105,MATCH(B505,Players!$A$2:$A$105,0)),""))</f>
        <v>0.65</v>
      </c>
    </row>
    <row r="506" customFormat="false" ht="15" hidden="false" customHeight="false" outlineLevel="0" collapsed="false">
      <c r="A506" s="0" t="s">
        <v>1954</v>
      </c>
      <c r="B506" s="0" t="s">
        <v>1249</v>
      </c>
      <c r="C506" s="0" t="s">
        <v>1071</v>
      </c>
      <c r="D506" s="0" t="s">
        <v>775</v>
      </c>
      <c r="E506" s="0" t="s">
        <v>131</v>
      </c>
      <c r="F506" s="0" t="n">
        <v>6</v>
      </c>
      <c r="G506" s="0" t="n">
        <v>14</v>
      </c>
      <c r="H506" s="0" t="n">
        <v>0.63</v>
      </c>
      <c r="I506" s="10" t="n">
        <v>0.607</v>
      </c>
      <c r="J506" s="0" t="n">
        <v>0.87</v>
      </c>
      <c r="K506" s="13" t="n">
        <f aca="false">IF(H506&lt;&gt;"",H506,IFERROR(G506/INDEX(Players!$M$2:$M$105,MATCH(B506,Players!$A$2:$A$105,0)),""))</f>
        <v>0.63</v>
      </c>
    </row>
    <row r="507" customFormat="false" ht="15" hidden="false" customHeight="false" outlineLevel="0" collapsed="false">
      <c r="A507" s="0" t="s">
        <v>1955</v>
      </c>
      <c r="B507" s="0" t="s">
        <v>1249</v>
      </c>
      <c r="C507" s="0" t="s">
        <v>1071</v>
      </c>
      <c r="D507" s="0" t="s">
        <v>775</v>
      </c>
      <c r="E507" s="0" t="s">
        <v>118</v>
      </c>
      <c r="F507" s="0" t="n">
        <v>4</v>
      </c>
      <c r="G507" s="0" t="n">
        <v>16</v>
      </c>
      <c r="H507" s="0" t="n">
        <v>0.74</v>
      </c>
      <c r="I507" s="10" t="n">
        <v>0.516</v>
      </c>
      <c r="J507" s="0" t="n">
        <v>1.12</v>
      </c>
      <c r="K507" s="13" t="n">
        <f aca="false">IF(H507&lt;&gt;"",H507,IFERROR(G507/INDEX(Players!$M$2:$M$105,MATCH(B507,Players!$A$2:$A$105,0)),""))</f>
        <v>0.74</v>
      </c>
    </row>
    <row r="508" customFormat="false" ht="15" hidden="false" customHeight="false" outlineLevel="0" collapsed="false">
      <c r="A508" s="0" t="s">
        <v>1956</v>
      </c>
      <c r="B508" s="0" t="s">
        <v>1249</v>
      </c>
      <c r="C508" s="0" t="s">
        <v>1071</v>
      </c>
      <c r="D508" s="0" t="s">
        <v>775</v>
      </c>
      <c r="E508" s="0" t="s">
        <v>149</v>
      </c>
      <c r="F508" s="0" t="n">
        <v>3</v>
      </c>
      <c r="G508" s="0" t="n">
        <v>12</v>
      </c>
      <c r="H508" s="0" t="n">
        <v>0.62</v>
      </c>
      <c r="I508" s="10" t="n">
        <v>0.611</v>
      </c>
      <c r="J508" s="0" t="n">
        <v>1.06</v>
      </c>
      <c r="K508" s="13" t="n">
        <f aca="false">IF(H508&lt;&gt;"",H508,IFERROR(G508/INDEX(Players!$M$2:$M$105,MATCH(B508,Players!$A$2:$A$105,0)),""))</f>
        <v>0.62</v>
      </c>
    </row>
    <row r="509" customFormat="false" ht="15" hidden="false" customHeight="false" outlineLevel="0" collapsed="false">
      <c r="A509" s="0" t="s">
        <v>1957</v>
      </c>
      <c r="B509" s="0" t="s">
        <v>1260</v>
      </c>
      <c r="C509" s="0" t="s">
        <v>1093</v>
      </c>
      <c r="D509" s="0" t="s">
        <v>775</v>
      </c>
      <c r="E509" s="0" t="s">
        <v>142</v>
      </c>
      <c r="F509" s="0" t="n">
        <v>9</v>
      </c>
      <c r="G509" s="0" t="n">
        <v>11.9</v>
      </c>
      <c r="H509" s="0" t="n">
        <v>0.6</v>
      </c>
      <c r="I509" s="10" t="n">
        <v>0.551</v>
      </c>
      <c r="J509" s="0" t="n">
        <v>0.97</v>
      </c>
      <c r="K509" s="13" t="n">
        <f aca="false">IF(H509&lt;&gt;"",H509,IFERROR(G509/INDEX(Players!$M$2:$M$105,MATCH(B509,Players!$A$2:$A$105,0)),""))</f>
        <v>0.6</v>
      </c>
    </row>
    <row r="510" customFormat="false" ht="15" hidden="false" customHeight="false" outlineLevel="0" collapsed="false">
      <c r="A510" s="0" t="s">
        <v>1958</v>
      </c>
      <c r="B510" s="0" t="s">
        <v>1260</v>
      </c>
      <c r="C510" s="0" t="s">
        <v>1093</v>
      </c>
      <c r="D510" s="0" t="s">
        <v>775</v>
      </c>
      <c r="E510" s="0" t="s">
        <v>118</v>
      </c>
      <c r="F510" s="0" t="n">
        <v>6</v>
      </c>
      <c r="G510" s="0" t="n">
        <v>13.5</v>
      </c>
      <c r="H510" s="0" t="n">
        <v>0.69</v>
      </c>
      <c r="I510" s="10" t="n">
        <v>0.568</v>
      </c>
      <c r="J510" s="0" t="n">
        <v>1.04</v>
      </c>
      <c r="K510" s="13" t="n">
        <f aca="false">IF(H510&lt;&gt;"",H510,IFERROR(G510/INDEX(Players!$M$2:$M$105,MATCH(B510,Players!$A$2:$A$105,0)),""))</f>
        <v>0.69</v>
      </c>
    </row>
    <row r="511" customFormat="false" ht="15" hidden="false" customHeight="false" outlineLevel="0" collapsed="false">
      <c r="A511" s="0" t="s">
        <v>1959</v>
      </c>
      <c r="B511" s="0" t="s">
        <v>1260</v>
      </c>
      <c r="C511" s="0" t="s">
        <v>1093</v>
      </c>
      <c r="D511" s="0" t="s">
        <v>775</v>
      </c>
      <c r="E511" s="0" t="s">
        <v>96</v>
      </c>
      <c r="F511" s="0" t="n">
        <v>5</v>
      </c>
      <c r="G511" s="0" t="n">
        <v>13.6</v>
      </c>
      <c r="H511" s="0" t="n">
        <v>0.65</v>
      </c>
      <c r="I511" s="10" t="n">
        <v>0.676</v>
      </c>
      <c r="J511" s="0" t="n">
        <v>1.15</v>
      </c>
      <c r="K511" s="13" t="n">
        <f aca="false">IF(H511&lt;&gt;"",H511,IFERROR(G511/INDEX(Players!$M$2:$M$105,MATCH(B511,Players!$A$2:$A$105,0)),""))</f>
        <v>0.65</v>
      </c>
    </row>
    <row r="512" customFormat="false" ht="15" hidden="false" customHeight="false" outlineLevel="0" collapsed="false">
      <c r="A512" s="0" t="s">
        <v>1960</v>
      </c>
      <c r="B512" s="0" t="s">
        <v>1260</v>
      </c>
      <c r="C512" s="0" t="s">
        <v>1093</v>
      </c>
      <c r="D512" s="0" t="s">
        <v>775</v>
      </c>
      <c r="E512" s="0" t="s">
        <v>131</v>
      </c>
      <c r="F512" s="0" t="n">
        <v>5</v>
      </c>
      <c r="G512" s="0" t="n">
        <v>15.8</v>
      </c>
      <c r="H512" s="0" t="n">
        <v>0.69</v>
      </c>
      <c r="I512" s="10" t="n">
        <v>0.557</v>
      </c>
      <c r="J512" s="0" t="n">
        <v>1.04</v>
      </c>
      <c r="K512" s="13" t="n">
        <f aca="false">IF(H512&lt;&gt;"",H512,IFERROR(G512/INDEX(Players!$M$2:$M$105,MATCH(B512,Players!$A$2:$A$105,0)),""))</f>
        <v>0.69</v>
      </c>
    </row>
    <row r="513" customFormat="false" ht="15" hidden="false" customHeight="false" outlineLevel="0" collapsed="false">
      <c r="A513" s="0" t="s">
        <v>1961</v>
      </c>
      <c r="B513" s="0" t="s">
        <v>1260</v>
      </c>
      <c r="C513" s="0" t="s">
        <v>1093</v>
      </c>
      <c r="D513" s="0" t="s">
        <v>775</v>
      </c>
      <c r="E513" s="0" t="s">
        <v>82</v>
      </c>
      <c r="F513" s="0" t="n">
        <v>4</v>
      </c>
      <c r="G513" s="0" t="n">
        <v>14.3</v>
      </c>
      <c r="H513" s="0" t="n">
        <v>0.67</v>
      </c>
      <c r="I513" s="10" t="n">
        <v>0.579</v>
      </c>
      <c r="J513" s="0" t="n">
        <v>1.19</v>
      </c>
      <c r="K513" s="13" t="n">
        <f aca="false">IF(H513&lt;&gt;"",H513,IFERROR(G513/INDEX(Players!$M$2:$M$105,MATCH(B513,Players!$A$2:$A$105,0)),""))</f>
        <v>0.67</v>
      </c>
    </row>
    <row r="514" customFormat="false" ht="15" hidden="false" customHeight="false" outlineLevel="0" collapsed="false">
      <c r="A514" s="0" t="s">
        <v>1962</v>
      </c>
      <c r="B514" s="0" t="s">
        <v>1260</v>
      </c>
      <c r="C514" s="0" t="s">
        <v>1093</v>
      </c>
      <c r="D514" s="0" t="s">
        <v>775</v>
      </c>
      <c r="E514" s="0" t="s">
        <v>109</v>
      </c>
      <c r="F514" s="0" t="n">
        <v>1</v>
      </c>
      <c r="G514" s="0" t="n">
        <v>5</v>
      </c>
      <c r="H514" s="0" t="n">
        <v>0.38</v>
      </c>
      <c r="I514" s="10" t="n">
        <v>0.4</v>
      </c>
      <c r="J514" s="0" t="n">
        <v>0.45</v>
      </c>
      <c r="K514" s="13" t="n">
        <f aca="false">IF(H514&lt;&gt;"",H514,IFERROR(G514/INDEX(Players!$M$2:$M$105,MATCH(B514,Players!$A$2:$A$105,0)),""))</f>
        <v>0.38</v>
      </c>
    </row>
    <row r="515" customFormat="false" ht="15" hidden="false" customHeight="false" outlineLevel="0" collapsed="false">
      <c r="A515" s="0" t="s">
        <v>1963</v>
      </c>
      <c r="B515" s="0" t="s">
        <v>1241</v>
      </c>
      <c r="C515" s="0" t="s">
        <v>1053</v>
      </c>
      <c r="D515" s="0" t="s">
        <v>775</v>
      </c>
      <c r="E515" s="0" t="s">
        <v>142</v>
      </c>
      <c r="F515" s="0" t="n">
        <v>7</v>
      </c>
      <c r="G515" s="0" t="n">
        <v>13.7</v>
      </c>
      <c r="H515" s="0" t="n">
        <v>0.67</v>
      </c>
      <c r="I515" s="10" t="n">
        <v>0.552</v>
      </c>
      <c r="J515" s="0" t="n">
        <v>1.03</v>
      </c>
      <c r="K515" s="13" t="n">
        <f aca="false">IF(H515&lt;&gt;"",H515,IFERROR(G515/INDEX(Players!$M$2:$M$105,MATCH(B515,Players!$A$2:$A$105,0)),""))</f>
        <v>0.67</v>
      </c>
    </row>
    <row r="516" customFormat="false" ht="15" hidden="false" customHeight="false" outlineLevel="0" collapsed="false">
      <c r="A516" s="0" t="s">
        <v>1964</v>
      </c>
      <c r="B516" s="0" t="s">
        <v>1241</v>
      </c>
      <c r="C516" s="0" t="s">
        <v>1053</v>
      </c>
      <c r="D516" s="0" t="s">
        <v>775</v>
      </c>
      <c r="E516" s="0" t="s">
        <v>149</v>
      </c>
      <c r="F516" s="0" t="n">
        <v>7</v>
      </c>
      <c r="G516" s="0" t="n">
        <v>12</v>
      </c>
      <c r="H516" s="0" t="n">
        <v>0.55</v>
      </c>
      <c r="I516" s="10" t="n">
        <v>0.548</v>
      </c>
      <c r="J516" s="0" t="n">
        <v>0.79</v>
      </c>
      <c r="K516" s="13" t="n">
        <f aca="false">IF(H516&lt;&gt;"",H516,IFERROR(G516/INDEX(Players!$M$2:$M$105,MATCH(B516,Players!$A$2:$A$105,0)),""))</f>
        <v>0.55</v>
      </c>
    </row>
    <row r="517" customFormat="false" ht="15" hidden="false" customHeight="false" outlineLevel="0" collapsed="false">
      <c r="A517" s="0" t="s">
        <v>1965</v>
      </c>
      <c r="B517" s="0" t="s">
        <v>1241</v>
      </c>
      <c r="C517" s="0" t="s">
        <v>1053</v>
      </c>
      <c r="D517" s="0" t="s">
        <v>775</v>
      </c>
      <c r="E517" s="0" t="s">
        <v>131</v>
      </c>
      <c r="F517" s="0" t="n">
        <v>6</v>
      </c>
      <c r="G517" s="0" t="n">
        <v>10.7</v>
      </c>
      <c r="H517" s="0" t="n">
        <v>0.52</v>
      </c>
      <c r="I517" s="10" t="n">
        <v>0.563</v>
      </c>
      <c r="J517" s="0" t="n">
        <v>0.75</v>
      </c>
      <c r="K517" s="13" t="n">
        <f aca="false">IF(H517&lt;&gt;"",H517,IFERROR(G517/INDEX(Players!$M$2:$M$105,MATCH(B517,Players!$A$2:$A$105,0)),""))</f>
        <v>0.52</v>
      </c>
    </row>
    <row r="518" customFormat="false" ht="15" hidden="false" customHeight="false" outlineLevel="0" collapsed="false">
      <c r="A518" s="0" t="s">
        <v>1966</v>
      </c>
      <c r="B518" s="0" t="s">
        <v>1241</v>
      </c>
      <c r="C518" s="0" t="s">
        <v>1053</v>
      </c>
      <c r="D518" s="0" t="s">
        <v>775</v>
      </c>
      <c r="E518" s="0" t="s">
        <v>96</v>
      </c>
      <c r="F518" s="0" t="n">
        <v>3</v>
      </c>
      <c r="G518" s="0" t="n">
        <v>13.3</v>
      </c>
      <c r="H518" s="0" t="n">
        <v>0.55</v>
      </c>
      <c r="I518" s="10" t="n">
        <v>0.475</v>
      </c>
      <c r="J518" s="0" t="n">
        <v>0.77</v>
      </c>
      <c r="K518" s="13" t="n">
        <f aca="false">IF(H518&lt;&gt;"",H518,IFERROR(G518/INDEX(Players!$M$2:$M$105,MATCH(B518,Players!$A$2:$A$105,0)),""))</f>
        <v>0.55</v>
      </c>
    </row>
    <row r="519" customFormat="false" ht="15" hidden="false" customHeight="false" outlineLevel="0" collapsed="false">
      <c r="A519" s="0" t="s">
        <v>1967</v>
      </c>
      <c r="B519" s="0" t="s">
        <v>1241</v>
      </c>
      <c r="C519" s="0" t="s">
        <v>1053</v>
      </c>
      <c r="D519" s="0" t="s">
        <v>775</v>
      </c>
      <c r="E519" s="0" t="s">
        <v>109</v>
      </c>
      <c r="F519" s="0" t="n">
        <v>2</v>
      </c>
      <c r="G519" s="0" t="n">
        <v>11.5</v>
      </c>
      <c r="H519" s="0" t="n">
        <v>0.51</v>
      </c>
      <c r="I519" s="10" t="n">
        <v>0.696</v>
      </c>
      <c r="J519" s="0" t="n">
        <v>0.72</v>
      </c>
      <c r="K519" s="13" t="n">
        <f aca="false">IF(H519&lt;&gt;"",H519,IFERROR(G519/INDEX(Players!$M$2:$M$105,MATCH(B519,Players!$A$2:$A$105,0)),""))</f>
        <v>0.51</v>
      </c>
    </row>
    <row r="520" customFormat="false" ht="15" hidden="false" customHeight="false" outlineLevel="0" collapsed="false">
      <c r="A520" s="0" t="s">
        <v>1968</v>
      </c>
      <c r="B520" s="0" t="s">
        <v>1241</v>
      </c>
      <c r="C520" s="0" t="s">
        <v>1053</v>
      </c>
      <c r="D520" s="0" t="s">
        <v>775</v>
      </c>
      <c r="E520" s="0" t="s">
        <v>82</v>
      </c>
      <c r="F520" s="0" t="n">
        <v>1</v>
      </c>
      <c r="G520" s="0" t="n">
        <v>11</v>
      </c>
      <c r="H520" s="0" t="n">
        <v>0.48</v>
      </c>
      <c r="I520" s="10" t="n">
        <v>0.455</v>
      </c>
      <c r="J520" s="0" t="n">
        <v>0.58</v>
      </c>
      <c r="K520" s="13" t="n">
        <f aca="false">IF(H520&lt;&gt;"",H520,IFERROR(G520/INDEX(Players!$M$2:$M$105,MATCH(B520,Players!$A$2:$A$105,0)),""))</f>
        <v>0.48</v>
      </c>
    </row>
    <row r="521" customFormat="false" ht="15" hidden="false" customHeight="false" outlineLevel="0" collapsed="false">
      <c r="A521" s="0" t="s">
        <v>1969</v>
      </c>
      <c r="B521" s="0" t="s">
        <v>1231</v>
      </c>
      <c r="C521" s="0" t="s">
        <v>1033</v>
      </c>
      <c r="D521" s="0" t="s">
        <v>775</v>
      </c>
      <c r="E521" s="0" t="s">
        <v>82</v>
      </c>
      <c r="F521" s="0" t="n">
        <v>9</v>
      </c>
      <c r="G521" s="0" t="n">
        <v>19.7</v>
      </c>
      <c r="H521" s="0" t="n">
        <v>0.88</v>
      </c>
      <c r="I521" s="10" t="n">
        <v>0.299</v>
      </c>
      <c r="J521" s="0" t="n">
        <v>1.45</v>
      </c>
      <c r="K521" s="13" t="n">
        <f aca="false">IF(H521&lt;&gt;"",H521,IFERROR(G521/INDEX(Players!$M$2:$M$105,MATCH(B521,Players!$A$2:$A$105,0)),""))</f>
        <v>0.88</v>
      </c>
    </row>
    <row r="522" customFormat="false" ht="15" hidden="false" customHeight="false" outlineLevel="0" collapsed="false">
      <c r="A522" s="0" t="s">
        <v>1970</v>
      </c>
      <c r="B522" s="0" t="s">
        <v>1231</v>
      </c>
      <c r="C522" s="0" t="s">
        <v>1033</v>
      </c>
      <c r="D522" s="0" t="s">
        <v>775</v>
      </c>
      <c r="E522" s="0" t="s">
        <v>96</v>
      </c>
      <c r="F522" s="0" t="n">
        <v>6</v>
      </c>
      <c r="G522" s="0" t="n">
        <v>17.2</v>
      </c>
      <c r="H522" s="0" t="n">
        <v>0.72</v>
      </c>
      <c r="I522" s="10" t="n">
        <v>0.35</v>
      </c>
      <c r="J522" s="0" t="n">
        <v>1.07</v>
      </c>
      <c r="K522" s="13" t="n">
        <f aca="false">IF(H522&lt;&gt;"",H522,IFERROR(G522/INDEX(Players!$M$2:$M$105,MATCH(B522,Players!$A$2:$A$105,0)),""))</f>
        <v>0.72</v>
      </c>
    </row>
    <row r="523" customFormat="false" ht="15" hidden="false" customHeight="false" outlineLevel="0" collapsed="false">
      <c r="A523" s="0" t="s">
        <v>1971</v>
      </c>
      <c r="B523" s="0" t="s">
        <v>1231</v>
      </c>
      <c r="C523" s="0" t="s">
        <v>1033</v>
      </c>
      <c r="D523" s="0" t="s">
        <v>775</v>
      </c>
      <c r="E523" s="0" t="s">
        <v>109</v>
      </c>
      <c r="F523" s="0" t="n">
        <v>5</v>
      </c>
      <c r="G523" s="0" t="n">
        <v>19.4</v>
      </c>
      <c r="H523" s="0" t="n">
        <v>0.9</v>
      </c>
      <c r="I523" s="10" t="n">
        <v>0.299</v>
      </c>
      <c r="J523" s="0" t="n">
        <v>1.47</v>
      </c>
      <c r="K523" s="13" t="n">
        <f aca="false">IF(H523&lt;&gt;"",H523,IFERROR(G523/INDEX(Players!$M$2:$M$105,MATCH(B523,Players!$A$2:$A$105,0)),""))</f>
        <v>0.9</v>
      </c>
    </row>
    <row r="524" customFormat="false" ht="15" hidden="false" customHeight="false" outlineLevel="0" collapsed="false">
      <c r="A524" s="0" t="s">
        <v>1972</v>
      </c>
      <c r="B524" s="0" t="s">
        <v>1231</v>
      </c>
      <c r="C524" s="0" t="s">
        <v>1033</v>
      </c>
      <c r="D524" s="0" t="s">
        <v>775</v>
      </c>
      <c r="E524" s="0" t="s">
        <v>142</v>
      </c>
      <c r="F524" s="0" t="n">
        <v>4</v>
      </c>
      <c r="G524" s="0" t="n">
        <v>23</v>
      </c>
      <c r="H524" s="0" t="n">
        <v>0.86</v>
      </c>
      <c r="I524" s="10" t="n">
        <v>0.391</v>
      </c>
      <c r="J524" s="0" t="n">
        <v>1.31</v>
      </c>
      <c r="K524" s="13" t="n">
        <f aca="false">IF(H524&lt;&gt;"",H524,IFERROR(G524/INDEX(Players!$M$2:$M$105,MATCH(B524,Players!$A$2:$A$105,0)),""))</f>
        <v>0.86</v>
      </c>
    </row>
    <row r="525" customFormat="false" ht="15" hidden="false" customHeight="false" outlineLevel="0" collapsed="false">
      <c r="A525" s="0" t="s">
        <v>1973</v>
      </c>
      <c r="B525" s="0" t="s">
        <v>1231</v>
      </c>
      <c r="C525" s="0" t="s">
        <v>1033</v>
      </c>
      <c r="D525" s="0" t="s">
        <v>775</v>
      </c>
      <c r="E525" s="0" t="s">
        <v>118</v>
      </c>
      <c r="F525" s="0" t="n">
        <v>3</v>
      </c>
      <c r="G525" s="0" t="n">
        <v>12.3</v>
      </c>
      <c r="H525" s="0" t="n">
        <v>0.58</v>
      </c>
      <c r="I525" s="10" t="n">
        <v>0.27</v>
      </c>
      <c r="J525" s="0" t="n">
        <v>1.12</v>
      </c>
      <c r="K525" s="13" t="n">
        <f aca="false">IF(H525&lt;&gt;"",H525,IFERROR(G525/INDEX(Players!$M$2:$M$105,MATCH(B525,Players!$A$2:$A$105,0)),""))</f>
        <v>0.58</v>
      </c>
    </row>
    <row r="526" customFormat="false" ht="15" hidden="false" customHeight="false" outlineLevel="0" collapsed="false">
      <c r="A526" s="0" t="s">
        <v>1974</v>
      </c>
      <c r="B526" s="0" t="s">
        <v>1231</v>
      </c>
      <c r="C526" s="0" t="s">
        <v>1033</v>
      </c>
      <c r="D526" s="0" t="s">
        <v>775</v>
      </c>
      <c r="E526" s="0" t="s">
        <v>131</v>
      </c>
      <c r="F526" s="0" t="n">
        <v>1</v>
      </c>
      <c r="G526" s="0" t="n">
        <v>20</v>
      </c>
      <c r="H526" s="0" t="n">
        <v>0.95</v>
      </c>
      <c r="I526" s="10" t="n">
        <v>0.25</v>
      </c>
      <c r="J526" s="0" t="n">
        <v>1.82</v>
      </c>
      <c r="K526" s="13" t="n">
        <f aca="false">IF(H526&lt;&gt;"",H526,IFERROR(G526/INDEX(Players!$M$2:$M$105,MATCH(B526,Players!$A$2:$A$105,0)),""))</f>
        <v>0.95</v>
      </c>
    </row>
    <row r="527" customFormat="false" ht="15" hidden="false" customHeight="false" outlineLevel="0" collapsed="false">
      <c r="A527" s="0" t="s">
        <v>1975</v>
      </c>
      <c r="B527" s="0" t="s">
        <v>1229</v>
      </c>
      <c r="C527" s="0" t="s">
        <v>1029</v>
      </c>
      <c r="D527" s="0" t="s">
        <v>775</v>
      </c>
      <c r="E527" s="0" t="s">
        <v>96</v>
      </c>
      <c r="F527" s="0" t="n">
        <v>8</v>
      </c>
      <c r="G527" s="0" t="n">
        <v>17</v>
      </c>
      <c r="H527" s="0" t="n">
        <v>0.7</v>
      </c>
      <c r="I527" s="10" t="n">
        <v>0.544</v>
      </c>
      <c r="J527" s="0" t="n">
        <v>0.99</v>
      </c>
      <c r="K527" s="13" t="n">
        <f aca="false">IF(H527&lt;&gt;"",H527,IFERROR(G527/INDEX(Players!$M$2:$M$105,MATCH(B527,Players!$A$2:$A$105,0)),""))</f>
        <v>0.7</v>
      </c>
    </row>
    <row r="528" customFormat="false" ht="15" hidden="false" customHeight="false" outlineLevel="0" collapsed="false">
      <c r="A528" s="0" t="s">
        <v>1976</v>
      </c>
      <c r="B528" s="0" t="s">
        <v>1229</v>
      </c>
      <c r="C528" s="0" t="s">
        <v>1029</v>
      </c>
      <c r="D528" s="0" t="s">
        <v>775</v>
      </c>
      <c r="E528" s="0" t="s">
        <v>149</v>
      </c>
      <c r="F528" s="0" t="n">
        <v>7</v>
      </c>
      <c r="G528" s="0" t="n">
        <v>16.1</v>
      </c>
      <c r="H528" s="0" t="n">
        <v>0.66</v>
      </c>
      <c r="I528" s="10" t="n">
        <v>0.478</v>
      </c>
      <c r="J528" s="0" t="n">
        <v>0.95</v>
      </c>
      <c r="K528" s="13" t="n">
        <f aca="false">IF(H528&lt;&gt;"",H528,IFERROR(G528/INDEX(Players!$M$2:$M$105,MATCH(B528,Players!$A$2:$A$105,0)),""))</f>
        <v>0.66</v>
      </c>
    </row>
    <row r="529" customFormat="false" ht="15" hidden="false" customHeight="false" outlineLevel="0" collapsed="false">
      <c r="A529" s="0" t="s">
        <v>1977</v>
      </c>
      <c r="B529" s="0" t="s">
        <v>1229</v>
      </c>
      <c r="C529" s="0" t="s">
        <v>1029</v>
      </c>
      <c r="D529" s="0" t="s">
        <v>775</v>
      </c>
      <c r="E529" s="0" t="s">
        <v>131</v>
      </c>
      <c r="F529" s="0" t="n">
        <v>6</v>
      </c>
      <c r="G529" s="0" t="n">
        <v>16.3</v>
      </c>
      <c r="H529" s="0" t="n">
        <v>0.8</v>
      </c>
      <c r="I529" s="10" t="n">
        <v>0.602</v>
      </c>
      <c r="J529" s="0" t="n">
        <v>1.27</v>
      </c>
      <c r="K529" s="13" t="n">
        <f aca="false">IF(H529&lt;&gt;"",H529,IFERROR(G529/INDEX(Players!$M$2:$M$105,MATCH(B529,Players!$A$2:$A$105,0)),""))</f>
        <v>0.8</v>
      </c>
    </row>
    <row r="530" customFormat="false" ht="15" hidden="false" customHeight="false" outlineLevel="0" collapsed="false">
      <c r="A530" s="0" t="s">
        <v>1978</v>
      </c>
      <c r="B530" s="0" t="s">
        <v>1229</v>
      </c>
      <c r="C530" s="0" t="s">
        <v>1029</v>
      </c>
      <c r="D530" s="0" t="s">
        <v>775</v>
      </c>
      <c r="E530" s="0" t="s">
        <v>82</v>
      </c>
      <c r="F530" s="0" t="n">
        <v>5</v>
      </c>
      <c r="G530" s="0" t="n">
        <v>16.6</v>
      </c>
      <c r="H530" s="0" t="n">
        <v>0.82</v>
      </c>
      <c r="I530" s="10" t="n">
        <v>0.602</v>
      </c>
      <c r="J530" s="0" t="n">
        <v>1.17</v>
      </c>
      <c r="K530" s="13" t="n">
        <f aca="false">IF(H530&lt;&gt;"",H530,IFERROR(G530/INDEX(Players!$M$2:$M$105,MATCH(B530,Players!$A$2:$A$105,0)),""))</f>
        <v>0.82</v>
      </c>
    </row>
    <row r="531" customFormat="false" ht="15" hidden="false" customHeight="false" outlineLevel="0" collapsed="false">
      <c r="A531" s="0" t="s">
        <v>1979</v>
      </c>
      <c r="B531" s="0" t="s">
        <v>1229</v>
      </c>
      <c r="C531" s="0" t="s">
        <v>1029</v>
      </c>
      <c r="D531" s="0" t="s">
        <v>775</v>
      </c>
      <c r="E531" s="0" t="s">
        <v>142</v>
      </c>
      <c r="F531" s="0" t="n">
        <v>3</v>
      </c>
      <c r="G531" s="0" t="n">
        <v>16.7</v>
      </c>
      <c r="H531" s="0" t="n">
        <v>0.68</v>
      </c>
      <c r="I531" s="10" t="n">
        <v>0.5</v>
      </c>
      <c r="J531" s="0" t="n">
        <v>1.06</v>
      </c>
      <c r="K531" s="13" t="n">
        <f aca="false">IF(H531&lt;&gt;"",H531,IFERROR(G531/INDEX(Players!$M$2:$M$105,MATCH(B531,Players!$A$2:$A$105,0)),""))</f>
        <v>0.68</v>
      </c>
    </row>
    <row r="532" customFormat="false" ht="15" hidden="false" customHeight="false" outlineLevel="0" collapsed="false">
      <c r="A532" s="0" t="s">
        <v>1980</v>
      </c>
      <c r="B532" s="0" t="s">
        <v>1229</v>
      </c>
      <c r="C532" s="0" t="s">
        <v>1029</v>
      </c>
      <c r="D532" s="0" t="s">
        <v>775</v>
      </c>
      <c r="E532" s="0" t="s">
        <v>109</v>
      </c>
      <c r="F532" s="0" t="n">
        <v>1</v>
      </c>
      <c r="G532" s="0" t="n">
        <v>14</v>
      </c>
      <c r="H532" s="0" t="n">
        <v>0.58</v>
      </c>
      <c r="I532" s="10" t="n">
        <v>0.571</v>
      </c>
      <c r="J532" s="0" t="n">
        <v>0.93</v>
      </c>
      <c r="K532" s="13" t="n">
        <f aca="false">IF(H532&lt;&gt;"",H532,IFERROR(G532/INDEX(Players!$M$2:$M$105,MATCH(B532,Players!$A$2:$A$105,0)),""))</f>
        <v>0.58</v>
      </c>
    </row>
    <row r="533" customFormat="false" ht="15" hidden="false" customHeight="false" outlineLevel="0" collapsed="false">
      <c r="A533" s="0" t="s">
        <v>1981</v>
      </c>
      <c r="B533" s="0" t="s">
        <v>1250</v>
      </c>
      <c r="C533" s="0" t="s">
        <v>1073</v>
      </c>
      <c r="D533" s="0" t="s">
        <v>775</v>
      </c>
      <c r="E533" s="0" t="s">
        <v>142</v>
      </c>
      <c r="F533" s="0" t="n">
        <v>8</v>
      </c>
      <c r="G533" s="0" t="n">
        <v>15.9</v>
      </c>
      <c r="H533" s="0" t="n">
        <v>0.81</v>
      </c>
      <c r="I533" s="10" t="n">
        <v>0.606</v>
      </c>
      <c r="J533" s="0" t="n">
        <v>1.37</v>
      </c>
      <c r="K533" s="13" t="n">
        <f aca="false">IF(H533&lt;&gt;"",H533,IFERROR(G533/INDEX(Players!$M$2:$M$105,MATCH(B533,Players!$A$2:$A$105,0)),""))</f>
        <v>0.81</v>
      </c>
    </row>
    <row r="534" customFormat="false" ht="15" hidden="false" customHeight="false" outlineLevel="0" collapsed="false">
      <c r="A534" s="0" t="s">
        <v>1982</v>
      </c>
      <c r="B534" s="0" t="s">
        <v>1250</v>
      </c>
      <c r="C534" s="0" t="s">
        <v>1073</v>
      </c>
      <c r="D534" s="0" t="s">
        <v>775</v>
      </c>
      <c r="E534" s="0" t="s">
        <v>96</v>
      </c>
      <c r="F534" s="0" t="n">
        <v>7</v>
      </c>
      <c r="G534" s="0" t="n">
        <v>13.4</v>
      </c>
      <c r="H534" s="0" t="n">
        <v>0.55</v>
      </c>
      <c r="I534" s="10" t="n">
        <v>0.596</v>
      </c>
      <c r="J534" s="0" t="n">
        <v>0.9</v>
      </c>
      <c r="K534" s="13" t="n">
        <f aca="false">IF(H534&lt;&gt;"",H534,IFERROR(G534/INDEX(Players!$M$2:$M$105,MATCH(B534,Players!$A$2:$A$105,0)),""))</f>
        <v>0.55</v>
      </c>
    </row>
    <row r="535" customFormat="false" ht="15" hidden="false" customHeight="false" outlineLevel="0" collapsed="false">
      <c r="A535" s="0" t="s">
        <v>1983</v>
      </c>
      <c r="B535" s="0" t="s">
        <v>1250</v>
      </c>
      <c r="C535" s="0" t="s">
        <v>1073</v>
      </c>
      <c r="D535" s="0" t="s">
        <v>775</v>
      </c>
      <c r="E535" s="0" t="s">
        <v>82</v>
      </c>
      <c r="F535" s="0" t="n">
        <v>6</v>
      </c>
      <c r="G535" s="0" t="n">
        <v>18.5</v>
      </c>
      <c r="H535" s="0" t="n">
        <v>0.82</v>
      </c>
      <c r="I535" s="10" t="n">
        <v>0.559</v>
      </c>
      <c r="J535" s="0" t="n">
        <v>1.25</v>
      </c>
      <c r="K535" s="13" t="n">
        <f aca="false">IF(H535&lt;&gt;"",H535,IFERROR(G535/INDEX(Players!$M$2:$M$105,MATCH(B535,Players!$A$2:$A$105,0)),""))</f>
        <v>0.82</v>
      </c>
    </row>
    <row r="536" customFormat="false" ht="15" hidden="false" customHeight="false" outlineLevel="0" collapsed="false">
      <c r="A536" s="0" t="s">
        <v>1984</v>
      </c>
      <c r="B536" s="0" t="s">
        <v>1250</v>
      </c>
      <c r="C536" s="0" t="s">
        <v>1073</v>
      </c>
      <c r="D536" s="0" t="s">
        <v>775</v>
      </c>
      <c r="E536" s="0" t="s">
        <v>131</v>
      </c>
      <c r="F536" s="0" t="n">
        <v>6</v>
      </c>
      <c r="G536" s="0" t="n">
        <v>14.7</v>
      </c>
      <c r="H536" s="0" t="n">
        <v>0.66</v>
      </c>
      <c r="I536" s="10" t="n">
        <v>0.58</v>
      </c>
      <c r="J536" s="0" t="n">
        <v>0.96</v>
      </c>
      <c r="K536" s="13" t="n">
        <f aca="false">IF(H536&lt;&gt;"",H536,IFERROR(G536/INDEX(Players!$M$2:$M$105,MATCH(B536,Players!$A$2:$A$105,0)),""))</f>
        <v>0.66</v>
      </c>
    </row>
    <row r="537" customFormat="false" ht="15" hidden="false" customHeight="false" outlineLevel="0" collapsed="false">
      <c r="A537" s="0" t="s">
        <v>1985</v>
      </c>
      <c r="B537" s="0" t="s">
        <v>1250</v>
      </c>
      <c r="C537" s="0" t="s">
        <v>1073</v>
      </c>
      <c r="D537" s="0" t="s">
        <v>775</v>
      </c>
      <c r="E537" s="0" t="s">
        <v>118</v>
      </c>
      <c r="F537" s="0" t="n">
        <v>4</v>
      </c>
      <c r="G537" s="0" t="n">
        <v>17</v>
      </c>
      <c r="H537" s="0" t="n">
        <v>0.78</v>
      </c>
      <c r="I537" s="10" t="n">
        <v>0.618</v>
      </c>
      <c r="J537" s="0" t="n">
        <v>1.11</v>
      </c>
      <c r="K537" s="13" t="n">
        <f aca="false">IF(H537&lt;&gt;"",H537,IFERROR(G537/INDEX(Players!$M$2:$M$105,MATCH(B537,Players!$A$2:$A$105,0)),""))</f>
        <v>0.78</v>
      </c>
    </row>
    <row r="538" customFormat="false" ht="15" hidden="false" customHeight="false" outlineLevel="0" collapsed="false">
      <c r="A538" s="0" t="s">
        <v>1986</v>
      </c>
      <c r="B538" s="0" t="s">
        <v>1250</v>
      </c>
      <c r="C538" s="0" t="s">
        <v>1073</v>
      </c>
      <c r="D538" s="0" t="s">
        <v>775</v>
      </c>
      <c r="E538" s="0" t="s">
        <v>149</v>
      </c>
      <c r="F538" s="0" t="n">
        <v>3</v>
      </c>
      <c r="G538" s="0" t="n">
        <v>14.3</v>
      </c>
      <c r="H538" s="0" t="n">
        <v>0.74</v>
      </c>
      <c r="I538" s="10" t="n">
        <v>0.558</v>
      </c>
      <c r="J538" s="0" t="n">
        <v>1.19</v>
      </c>
      <c r="K538" s="13" t="n">
        <f aca="false">IF(H538&lt;&gt;"",H538,IFERROR(G538/INDEX(Players!$M$2:$M$105,MATCH(B538,Players!$A$2:$A$105,0)),""))</f>
        <v>0.74</v>
      </c>
    </row>
    <row r="539" customFormat="false" ht="15" hidden="false" customHeight="false" outlineLevel="0" collapsed="false">
      <c r="A539" s="0" t="s">
        <v>1987</v>
      </c>
      <c r="B539" s="0" t="s">
        <v>1186</v>
      </c>
      <c r="C539" s="0" t="s">
        <v>936</v>
      </c>
      <c r="D539" s="0" t="s">
        <v>775</v>
      </c>
      <c r="E539" s="0" t="s">
        <v>118</v>
      </c>
      <c r="F539" s="0" t="n">
        <v>9</v>
      </c>
      <c r="G539" s="0" t="n">
        <v>13.4</v>
      </c>
      <c r="H539" s="0" t="n">
        <v>0.54</v>
      </c>
      <c r="I539" s="10" t="n">
        <v>0.446</v>
      </c>
      <c r="J539" s="0" t="n">
        <v>0.85</v>
      </c>
      <c r="K539" s="13" t="n">
        <f aca="false">IF(H539&lt;&gt;"",H539,IFERROR(G539/INDEX(Players!$M$2:$M$105,MATCH(B539,Players!$A$2:$A$105,0)),""))</f>
        <v>0.54</v>
      </c>
    </row>
    <row r="540" customFormat="false" ht="15" hidden="false" customHeight="false" outlineLevel="0" collapsed="false">
      <c r="A540" s="0" t="s">
        <v>1988</v>
      </c>
      <c r="B540" s="0" t="s">
        <v>1186</v>
      </c>
      <c r="C540" s="0" t="s">
        <v>936</v>
      </c>
      <c r="D540" s="0" t="s">
        <v>775</v>
      </c>
      <c r="E540" s="0" t="s">
        <v>142</v>
      </c>
      <c r="F540" s="0" t="n">
        <v>7</v>
      </c>
      <c r="G540" s="0" t="n">
        <v>12</v>
      </c>
      <c r="H540" s="0" t="n">
        <v>0.53</v>
      </c>
      <c r="I540" s="10" t="n">
        <v>0.56</v>
      </c>
      <c r="J540" s="0" t="n">
        <v>0.81</v>
      </c>
      <c r="K540" s="13" t="n">
        <f aca="false">IF(H540&lt;&gt;"",H540,IFERROR(G540/INDEX(Players!$M$2:$M$105,MATCH(B540,Players!$A$2:$A$105,0)),""))</f>
        <v>0.53</v>
      </c>
    </row>
    <row r="541" customFormat="false" ht="15" hidden="false" customHeight="false" outlineLevel="0" collapsed="false">
      <c r="A541" s="0" t="s">
        <v>1989</v>
      </c>
      <c r="B541" s="0" t="s">
        <v>1186</v>
      </c>
      <c r="C541" s="0" t="s">
        <v>936</v>
      </c>
      <c r="D541" s="0" t="s">
        <v>775</v>
      </c>
      <c r="E541" s="0" t="s">
        <v>109</v>
      </c>
      <c r="F541" s="0" t="n">
        <v>5</v>
      </c>
      <c r="G541" s="0" t="n">
        <v>11.6</v>
      </c>
      <c r="H541" s="0" t="n">
        <v>0.51</v>
      </c>
      <c r="I541" s="10" t="n">
        <v>0.448</v>
      </c>
      <c r="J541" s="0" t="n">
        <v>0.72</v>
      </c>
      <c r="K541" s="13" t="n">
        <f aca="false">IF(H541&lt;&gt;"",H541,IFERROR(G541/INDEX(Players!$M$2:$M$105,MATCH(B541,Players!$A$2:$A$105,0)),""))</f>
        <v>0.51</v>
      </c>
    </row>
    <row r="542" customFormat="false" ht="15" hidden="false" customHeight="false" outlineLevel="0" collapsed="false">
      <c r="A542" s="0" t="s">
        <v>1990</v>
      </c>
      <c r="B542" s="0" t="s">
        <v>1186</v>
      </c>
      <c r="C542" s="0" t="s">
        <v>936</v>
      </c>
      <c r="D542" s="0" t="s">
        <v>775</v>
      </c>
      <c r="E542" s="0" t="s">
        <v>131</v>
      </c>
      <c r="F542" s="0" t="n">
        <v>4</v>
      </c>
      <c r="G542" s="0" t="n">
        <v>9.3</v>
      </c>
      <c r="H542" s="0" t="n">
        <v>0.42</v>
      </c>
      <c r="I542" s="10" t="n">
        <v>0.622</v>
      </c>
      <c r="J542" s="0" t="n">
        <v>0.66</v>
      </c>
      <c r="K542" s="13" t="n">
        <f aca="false">IF(H542&lt;&gt;"",H542,IFERROR(G542/INDEX(Players!$M$2:$M$105,MATCH(B542,Players!$A$2:$A$105,0)),""))</f>
        <v>0.42</v>
      </c>
    </row>
    <row r="543" customFormat="false" ht="15" hidden="false" customHeight="false" outlineLevel="0" collapsed="false">
      <c r="A543" s="0" t="s">
        <v>1991</v>
      </c>
      <c r="B543" s="0" t="s">
        <v>1186</v>
      </c>
      <c r="C543" s="0" t="s">
        <v>936</v>
      </c>
      <c r="D543" s="0" t="s">
        <v>775</v>
      </c>
      <c r="E543" s="0" t="s">
        <v>82</v>
      </c>
      <c r="F543" s="0" t="n">
        <v>3</v>
      </c>
      <c r="G543" s="0" t="n">
        <v>11.7</v>
      </c>
      <c r="H543" s="0" t="n">
        <v>0.53</v>
      </c>
      <c r="I543" s="10" t="n">
        <v>0.657</v>
      </c>
      <c r="J543" s="0" t="n">
        <v>0.78</v>
      </c>
      <c r="K543" s="13" t="n">
        <f aca="false">IF(H543&lt;&gt;"",H543,IFERROR(G543/INDEX(Players!$M$2:$M$105,MATCH(B543,Players!$A$2:$A$105,0)),""))</f>
        <v>0.53</v>
      </c>
    </row>
    <row r="544" customFormat="false" ht="15" hidden="false" customHeight="false" outlineLevel="0" collapsed="false">
      <c r="A544" s="0" t="s">
        <v>1992</v>
      </c>
      <c r="B544" s="0" t="s">
        <v>1186</v>
      </c>
      <c r="C544" s="0" t="s">
        <v>936</v>
      </c>
      <c r="D544" s="0" t="s">
        <v>775</v>
      </c>
      <c r="E544" s="0" t="s">
        <v>149</v>
      </c>
      <c r="F544" s="0" t="n">
        <v>2</v>
      </c>
      <c r="G544" s="0" t="n">
        <v>13.5</v>
      </c>
      <c r="H544" s="0" t="n">
        <v>0.61</v>
      </c>
      <c r="I544" s="10" t="n">
        <v>0.593</v>
      </c>
      <c r="J544" s="0" t="n">
        <v>1.04</v>
      </c>
      <c r="K544" s="13" t="n">
        <f aca="false">IF(H544&lt;&gt;"",H544,IFERROR(G544/INDEX(Players!$M$2:$M$105,MATCH(B544,Players!$A$2:$A$105,0)),""))</f>
        <v>0.61</v>
      </c>
    </row>
    <row r="545" customFormat="false" ht="15" hidden="false" customHeight="false" outlineLevel="0" collapsed="false">
      <c r="A545" s="0" t="s">
        <v>1993</v>
      </c>
      <c r="B545" s="0" t="s">
        <v>1256</v>
      </c>
      <c r="C545" s="0" t="s">
        <v>1085</v>
      </c>
      <c r="D545" s="0" t="s">
        <v>775</v>
      </c>
      <c r="E545" s="0" t="s">
        <v>149</v>
      </c>
      <c r="F545" s="0" t="n">
        <v>4</v>
      </c>
      <c r="G545" s="0" t="n">
        <v>25</v>
      </c>
      <c r="H545" s="0" t="n">
        <v>0.84</v>
      </c>
      <c r="I545" s="10" t="n">
        <v>0.33</v>
      </c>
      <c r="J545" s="0" t="n">
        <v>1.43</v>
      </c>
      <c r="K545" s="13" t="n">
        <f aca="false">IF(H545&lt;&gt;"",H545,IFERROR(G545/INDEX(Players!$M$2:$M$105,MATCH(B545,Players!$A$2:$A$105,0)),""))</f>
        <v>0.84</v>
      </c>
    </row>
    <row r="546" customFormat="false" ht="15" hidden="false" customHeight="false" outlineLevel="0" collapsed="false">
      <c r="A546" s="0" t="s">
        <v>1994</v>
      </c>
      <c r="B546" s="0" t="s">
        <v>1256</v>
      </c>
      <c r="C546" s="0" t="s">
        <v>1085</v>
      </c>
      <c r="D546" s="0" t="s">
        <v>775</v>
      </c>
      <c r="E546" s="0" t="s">
        <v>109</v>
      </c>
      <c r="F546" s="0" t="n">
        <v>4</v>
      </c>
      <c r="G546" s="0" t="n">
        <v>14.3</v>
      </c>
      <c r="H546" s="0" t="n">
        <v>0.81</v>
      </c>
      <c r="I546" s="10" t="n">
        <v>0.386</v>
      </c>
      <c r="J546" s="0" t="n">
        <v>1.36</v>
      </c>
      <c r="K546" s="13" t="n">
        <f aca="false">IF(H546&lt;&gt;"",H546,IFERROR(G546/INDEX(Players!$M$2:$M$105,MATCH(B546,Players!$A$2:$A$105,0)),""))</f>
        <v>0.81</v>
      </c>
    </row>
    <row r="547" customFormat="false" ht="15" hidden="false" customHeight="false" outlineLevel="0" collapsed="false">
      <c r="A547" s="0" t="s">
        <v>1995</v>
      </c>
      <c r="B547" s="0" t="s">
        <v>1256</v>
      </c>
      <c r="C547" s="0" t="s">
        <v>1085</v>
      </c>
      <c r="D547" s="0" t="s">
        <v>775</v>
      </c>
      <c r="E547" s="0" t="s">
        <v>82</v>
      </c>
      <c r="F547" s="0" t="n">
        <v>4</v>
      </c>
      <c r="G547" s="0" t="n">
        <v>17.5</v>
      </c>
      <c r="H547" s="0" t="n">
        <v>0.77</v>
      </c>
      <c r="I547" s="10" t="n">
        <v>0.3</v>
      </c>
      <c r="J547" s="0" t="n">
        <v>1.32</v>
      </c>
      <c r="K547" s="13" t="n">
        <f aca="false">IF(H547&lt;&gt;"",H547,IFERROR(G547/INDEX(Players!$M$2:$M$105,MATCH(B547,Players!$A$2:$A$105,0)),""))</f>
        <v>0.77</v>
      </c>
    </row>
    <row r="548" customFormat="false" ht="15" hidden="false" customHeight="false" outlineLevel="0" collapsed="false">
      <c r="A548" s="0" t="s">
        <v>1996</v>
      </c>
      <c r="B548" s="0" t="s">
        <v>1256</v>
      </c>
      <c r="C548" s="0" t="s">
        <v>1085</v>
      </c>
      <c r="D548" s="0" t="s">
        <v>775</v>
      </c>
      <c r="E548" s="0" t="s">
        <v>131</v>
      </c>
      <c r="F548" s="0" t="n">
        <v>4</v>
      </c>
      <c r="G548" s="0" t="n">
        <v>17.3</v>
      </c>
      <c r="H548" s="0" t="n">
        <v>0.76</v>
      </c>
      <c r="I548" s="10" t="n">
        <v>0.362</v>
      </c>
      <c r="J548" s="0" t="n">
        <v>1.3</v>
      </c>
      <c r="K548" s="13" t="n">
        <f aca="false">IF(H548&lt;&gt;"",H548,IFERROR(G548/INDEX(Players!$M$2:$M$105,MATCH(B548,Players!$A$2:$A$105,0)),""))</f>
        <v>0.76</v>
      </c>
    </row>
    <row r="549" customFormat="false" ht="15" hidden="false" customHeight="false" outlineLevel="0" collapsed="false">
      <c r="A549" s="0" t="s">
        <v>1997</v>
      </c>
      <c r="B549" s="0" t="s">
        <v>1256</v>
      </c>
      <c r="C549" s="0" t="s">
        <v>1085</v>
      </c>
      <c r="D549" s="0" t="s">
        <v>775</v>
      </c>
      <c r="E549" s="0" t="s">
        <v>118</v>
      </c>
      <c r="F549" s="0" t="n">
        <v>4</v>
      </c>
      <c r="G549" s="0" t="n">
        <v>16.5</v>
      </c>
      <c r="H549" s="0" t="n">
        <v>0.72</v>
      </c>
      <c r="I549" s="10" t="n">
        <v>0.348</v>
      </c>
      <c r="J549" s="0" t="n">
        <v>0.94</v>
      </c>
      <c r="K549" s="13" t="n">
        <f aca="false">IF(H549&lt;&gt;"",H549,IFERROR(G549/INDEX(Players!$M$2:$M$105,MATCH(B549,Players!$A$2:$A$105,0)),""))</f>
        <v>0.72</v>
      </c>
    </row>
    <row r="550" customFormat="false" ht="15" hidden="false" customHeight="false" outlineLevel="0" collapsed="false">
      <c r="A550" s="0" t="s">
        <v>1998</v>
      </c>
      <c r="B550" s="0" t="s">
        <v>1256</v>
      </c>
      <c r="C550" s="0" t="s">
        <v>1085</v>
      </c>
      <c r="D550" s="0" t="s">
        <v>775</v>
      </c>
      <c r="E550" s="0" t="s">
        <v>96</v>
      </c>
      <c r="F550" s="0" t="n">
        <v>2</v>
      </c>
      <c r="G550" s="0" t="n">
        <v>11.5</v>
      </c>
      <c r="H550" s="0" t="n">
        <v>0.62</v>
      </c>
      <c r="I550" s="10" t="n">
        <v>0.348</v>
      </c>
      <c r="J550" s="0" t="n">
        <v>0.85</v>
      </c>
      <c r="K550" s="13" t="n">
        <f aca="false">IF(H550&lt;&gt;"",H550,IFERROR(G550/INDEX(Players!$M$2:$M$105,MATCH(B550,Players!$A$2:$A$105,0)),""))</f>
        <v>0.62</v>
      </c>
    </row>
    <row r="551" customFormat="false" ht="15" hidden="false" customHeight="false" outlineLevel="0" collapsed="false">
      <c r="A551" s="0" t="s">
        <v>1999</v>
      </c>
      <c r="B551" s="0" t="s">
        <v>1261</v>
      </c>
      <c r="C551" s="0" t="s">
        <v>1095</v>
      </c>
      <c r="D551" s="0" t="s">
        <v>775</v>
      </c>
      <c r="E551" s="0" t="s">
        <v>142</v>
      </c>
      <c r="F551" s="0" t="n">
        <v>9</v>
      </c>
      <c r="G551" s="0" t="n">
        <v>17.1</v>
      </c>
      <c r="H551" s="0" t="n">
        <v>0.87</v>
      </c>
      <c r="I551" s="10" t="n">
        <v>0.558</v>
      </c>
      <c r="J551" s="0" t="n">
        <v>1.48</v>
      </c>
      <c r="K551" s="13" t="n">
        <f aca="false">IF(H551&lt;&gt;"",H551,IFERROR(G551/INDEX(Players!$M$2:$M$105,MATCH(B551,Players!$A$2:$A$105,0)),""))</f>
        <v>0.87</v>
      </c>
    </row>
    <row r="552" customFormat="false" ht="15" hidden="false" customHeight="false" outlineLevel="0" collapsed="false">
      <c r="A552" s="0" t="s">
        <v>2000</v>
      </c>
      <c r="B552" s="0" t="s">
        <v>1261</v>
      </c>
      <c r="C552" s="0" t="s">
        <v>1095</v>
      </c>
      <c r="D552" s="0" t="s">
        <v>775</v>
      </c>
      <c r="E552" s="0" t="s">
        <v>118</v>
      </c>
      <c r="F552" s="0" t="n">
        <v>6</v>
      </c>
      <c r="G552" s="0" t="n">
        <v>13.3</v>
      </c>
      <c r="H552" s="0" t="n">
        <v>0.68</v>
      </c>
      <c r="I552" s="10" t="n">
        <v>0.6</v>
      </c>
      <c r="J552" s="0" t="n">
        <v>1.01</v>
      </c>
      <c r="K552" s="13" t="n">
        <f aca="false">IF(H552&lt;&gt;"",H552,IFERROR(G552/INDEX(Players!$M$2:$M$105,MATCH(B552,Players!$A$2:$A$105,0)),""))</f>
        <v>0.68</v>
      </c>
    </row>
    <row r="553" customFormat="false" ht="15" hidden="false" customHeight="false" outlineLevel="0" collapsed="false">
      <c r="A553" s="0" t="s">
        <v>2001</v>
      </c>
      <c r="B553" s="0" t="s">
        <v>1261</v>
      </c>
      <c r="C553" s="0" t="s">
        <v>1095</v>
      </c>
      <c r="D553" s="0" t="s">
        <v>775</v>
      </c>
      <c r="E553" s="0" t="s">
        <v>96</v>
      </c>
      <c r="F553" s="0" t="n">
        <v>5</v>
      </c>
      <c r="G553" s="0" t="n">
        <v>16.6</v>
      </c>
      <c r="H553" s="0" t="n">
        <v>0.79</v>
      </c>
      <c r="I553" s="10" t="n">
        <v>0.53</v>
      </c>
      <c r="J553" s="0" t="n">
        <v>1.43</v>
      </c>
      <c r="K553" s="13" t="n">
        <f aca="false">IF(H553&lt;&gt;"",H553,IFERROR(G553/INDEX(Players!$M$2:$M$105,MATCH(B553,Players!$A$2:$A$105,0)),""))</f>
        <v>0.79</v>
      </c>
    </row>
    <row r="554" customFormat="false" ht="15" hidden="false" customHeight="false" outlineLevel="0" collapsed="false">
      <c r="A554" s="0" t="s">
        <v>2002</v>
      </c>
      <c r="B554" s="0" t="s">
        <v>1261</v>
      </c>
      <c r="C554" s="0" t="s">
        <v>1095</v>
      </c>
      <c r="D554" s="0" t="s">
        <v>775</v>
      </c>
      <c r="E554" s="0" t="s">
        <v>131</v>
      </c>
      <c r="F554" s="0" t="n">
        <v>5</v>
      </c>
      <c r="G554" s="0" t="n">
        <v>13.6</v>
      </c>
      <c r="H554" s="0" t="n">
        <v>0.59</v>
      </c>
      <c r="I554" s="10" t="n">
        <v>0.515</v>
      </c>
      <c r="J554" s="0" t="n">
        <v>0.89</v>
      </c>
      <c r="K554" s="13" t="n">
        <f aca="false">IF(H554&lt;&gt;"",H554,IFERROR(G554/INDEX(Players!$M$2:$M$105,MATCH(B554,Players!$A$2:$A$105,0)),""))</f>
        <v>0.59</v>
      </c>
    </row>
    <row r="555" customFormat="false" ht="15" hidden="false" customHeight="false" outlineLevel="0" collapsed="false">
      <c r="A555" s="0" t="s">
        <v>2003</v>
      </c>
      <c r="B555" s="0" t="s">
        <v>1261</v>
      </c>
      <c r="C555" s="0" t="s">
        <v>1095</v>
      </c>
      <c r="D555" s="0" t="s">
        <v>775</v>
      </c>
      <c r="E555" s="0" t="s">
        <v>82</v>
      </c>
      <c r="F555" s="0" t="n">
        <v>4</v>
      </c>
      <c r="G555" s="0" t="n">
        <v>17</v>
      </c>
      <c r="H555" s="0" t="n">
        <v>0.8</v>
      </c>
      <c r="I555" s="10" t="n">
        <v>0.515</v>
      </c>
      <c r="J555" s="0" t="n">
        <v>1.33</v>
      </c>
      <c r="K555" s="13" t="n">
        <f aca="false">IF(H555&lt;&gt;"",H555,IFERROR(G555/INDEX(Players!$M$2:$M$105,MATCH(B555,Players!$A$2:$A$105,0)),""))</f>
        <v>0.8</v>
      </c>
    </row>
    <row r="556" customFormat="false" ht="15" hidden="false" customHeight="false" outlineLevel="0" collapsed="false">
      <c r="A556" s="0" t="s">
        <v>2004</v>
      </c>
      <c r="B556" s="0" t="s">
        <v>1261</v>
      </c>
      <c r="C556" s="0" t="s">
        <v>1095</v>
      </c>
      <c r="D556" s="0" t="s">
        <v>775</v>
      </c>
      <c r="E556" s="0" t="s">
        <v>109</v>
      </c>
      <c r="F556" s="0" t="n">
        <v>1</v>
      </c>
      <c r="G556" s="0" t="n">
        <v>5</v>
      </c>
      <c r="H556" s="0" t="n">
        <v>0.38</v>
      </c>
      <c r="I556" s="10" t="n">
        <v>0</v>
      </c>
      <c r="J556" s="0" t="n">
        <v>0.45</v>
      </c>
      <c r="K556" s="13" t="n">
        <f aca="false">IF(H556&lt;&gt;"",H556,IFERROR(G556/INDEX(Players!$M$2:$M$105,MATCH(B556,Players!$A$2:$A$105,0)),""))</f>
        <v>0.38</v>
      </c>
    </row>
    <row r="557" customFormat="false" ht="15" hidden="false" customHeight="false" outlineLevel="0" collapsed="false">
      <c r="A557" s="0" t="s">
        <v>2005</v>
      </c>
      <c r="B557" s="0" t="s">
        <v>1171</v>
      </c>
      <c r="C557" s="0" t="s">
        <v>903</v>
      </c>
      <c r="D557" s="0" t="s">
        <v>775</v>
      </c>
      <c r="E557" s="0" t="s">
        <v>96</v>
      </c>
      <c r="F557" s="0" t="n">
        <v>13</v>
      </c>
      <c r="G557" s="0" t="n">
        <v>12.5</v>
      </c>
      <c r="H557" s="0" t="n">
        <v>0.62</v>
      </c>
      <c r="I557" s="10" t="n">
        <v>0.656</v>
      </c>
      <c r="J557" s="0" t="n">
        <v>0.89</v>
      </c>
      <c r="K557" s="13" t="n">
        <f aca="false">IF(H557&lt;&gt;"",H557,IFERROR(G557/INDEX(Players!$M$2:$M$105,MATCH(B557,Players!$A$2:$A$105,0)),""))</f>
        <v>0.62</v>
      </c>
    </row>
    <row r="558" customFormat="false" ht="15" hidden="false" customHeight="false" outlineLevel="0" collapsed="false">
      <c r="A558" s="0" t="s">
        <v>2006</v>
      </c>
      <c r="B558" s="0" t="s">
        <v>1171</v>
      </c>
      <c r="C558" s="0" t="s">
        <v>903</v>
      </c>
      <c r="D558" s="0" t="s">
        <v>775</v>
      </c>
      <c r="E558" s="0" t="s">
        <v>109</v>
      </c>
      <c r="F558" s="0" t="n">
        <v>8</v>
      </c>
      <c r="G558" s="0" t="n">
        <v>11.6</v>
      </c>
      <c r="H558" s="0" t="n">
        <v>0.53</v>
      </c>
      <c r="I558" s="10" t="n">
        <v>0.602</v>
      </c>
      <c r="J558" s="0" t="n">
        <v>0.84</v>
      </c>
      <c r="K558" s="13" t="n">
        <f aca="false">IF(H558&lt;&gt;"",H558,IFERROR(G558/INDEX(Players!$M$2:$M$105,MATCH(B558,Players!$A$2:$A$105,0)),""))</f>
        <v>0.53</v>
      </c>
    </row>
    <row r="559" customFormat="false" ht="15" hidden="false" customHeight="false" outlineLevel="0" collapsed="false">
      <c r="A559" s="0" t="s">
        <v>2007</v>
      </c>
      <c r="B559" s="0" t="s">
        <v>1171</v>
      </c>
      <c r="C559" s="0" t="s">
        <v>903</v>
      </c>
      <c r="D559" s="0" t="s">
        <v>775</v>
      </c>
      <c r="E559" s="0" t="s">
        <v>131</v>
      </c>
      <c r="F559" s="0" t="n">
        <v>7</v>
      </c>
      <c r="G559" s="0" t="n">
        <v>14.3</v>
      </c>
      <c r="H559" s="0" t="n">
        <v>0.66</v>
      </c>
      <c r="I559" s="10" t="n">
        <v>0.62</v>
      </c>
      <c r="J559" s="0" t="n">
        <v>0.98</v>
      </c>
      <c r="K559" s="13" t="n">
        <f aca="false">IF(H559&lt;&gt;"",H559,IFERROR(G559/INDEX(Players!$M$2:$M$105,MATCH(B559,Players!$A$2:$A$105,0)),""))</f>
        <v>0.66</v>
      </c>
    </row>
    <row r="560" customFormat="false" ht="15" hidden="false" customHeight="false" outlineLevel="0" collapsed="false">
      <c r="A560" s="0" t="s">
        <v>2008</v>
      </c>
      <c r="B560" s="0" t="s">
        <v>1171</v>
      </c>
      <c r="C560" s="0" t="s">
        <v>903</v>
      </c>
      <c r="D560" s="0" t="s">
        <v>775</v>
      </c>
      <c r="E560" s="0" t="s">
        <v>82</v>
      </c>
      <c r="F560" s="0" t="n">
        <v>6</v>
      </c>
      <c r="G560" s="0" t="n">
        <v>13.2</v>
      </c>
      <c r="H560" s="0" t="n">
        <v>0.65</v>
      </c>
      <c r="I560" s="10" t="n">
        <v>0.519</v>
      </c>
      <c r="J560" s="0" t="n">
        <v>1</v>
      </c>
      <c r="K560" s="13" t="n">
        <f aca="false">IF(H560&lt;&gt;"",H560,IFERROR(G560/INDEX(Players!$M$2:$M$105,MATCH(B560,Players!$A$2:$A$105,0)),""))</f>
        <v>0.65</v>
      </c>
    </row>
    <row r="561" customFormat="false" ht="15" hidden="false" customHeight="false" outlineLevel="0" collapsed="false">
      <c r="A561" s="0" t="s">
        <v>2009</v>
      </c>
      <c r="B561" s="0" t="s">
        <v>1171</v>
      </c>
      <c r="C561" s="0" t="s">
        <v>903</v>
      </c>
      <c r="D561" s="0" t="s">
        <v>775</v>
      </c>
      <c r="E561" s="0" t="s">
        <v>142</v>
      </c>
      <c r="F561" s="0" t="n">
        <v>3</v>
      </c>
      <c r="G561" s="0" t="n">
        <v>11.7</v>
      </c>
      <c r="H561" s="0" t="n">
        <v>0.58</v>
      </c>
      <c r="I561" s="10" t="n">
        <v>0.514</v>
      </c>
      <c r="J561" s="0" t="n">
        <v>0.74</v>
      </c>
      <c r="K561" s="13" t="n">
        <f aca="false">IF(H561&lt;&gt;"",H561,IFERROR(G561/INDEX(Players!$M$2:$M$105,MATCH(B561,Players!$A$2:$A$105,0)),""))</f>
        <v>0.58</v>
      </c>
    </row>
    <row r="562" customFormat="false" ht="15" hidden="false" customHeight="false" outlineLevel="0" collapsed="false">
      <c r="A562" s="0" t="s">
        <v>2010</v>
      </c>
      <c r="B562" s="0" t="s">
        <v>1171</v>
      </c>
      <c r="C562" s="0" t="s">
        <v>903</v>
      </c>
      <c r="D562" s="0" t="s">
        <v>775</v>
      </c>
      <c r="E562" s="0" t="s">
        <v>149</v>
      </c>
      <c r="F562" s="0" t="n">
        <v>2</v>
      </c>
      <c r="G562" s="0" t="n">
        <v>9</v>
      </c>
      <c r="H562" s="0" t="n">
        <v>0.34</v>
      </c>
      <c r="I562" s="10" t="n">
        <v>0.556</v>
      </c>
      <c r="J562" s="0" t="n">
        <v>0.5</v>
      </c>
      <c r="K562" s="13" t="n">
        <f aca="false">IF(H562&lt;&gt;"",H562,IFERROR(G562/INDEX(Players!$M$2:$M$105,MATCH(B562,Players!$A$2:$A$105,0)),""))</f>
        <v>0.34</v>
      </c>
    </row>
    <row r="563" customFormat="false" ht="15" hidden="false" customHeight="false" outlineLevel="0" collapsed="false">
      <c r="A563" s="0" t="s">
        <v>2011</v>
      </c>
      <c r="B563" s="0" t="s">
        <v>1224</v>
      </c>
      <c r="C563" s="0" t="s">
        <v>1019</v>
      </c>
      <c r="D563" s="0" t="s">
        <v>775</v>
      </c>
      <c r="E563" s="0" t="s">
        <v>131</v>
      </c>
      <c r="F563" s="0" t="n">
        <v>9</v>
      </c>
      <c r="G563" s="0" t="n">
        <v>13.9</v>
      </c>
      <c r="H563" s="0" t="n">
        <v>0.68</v>
      </c>
      <c r="I563" s="10" t="n">
        <v>0.552</v>
      </c>
      <c r="J563" s="0" t="n">
        <v>1.14</v>
      </c>
      <c r="K563" s="13" t="n">
        <f aca="false">IF(H563&lt;&gt;"",H563,IFERROR(G563/INDEX(Players!$M$2:$M$105,MATCH(B563,Players!$A$2:$A$105,0)),""))</f>
        <v>0.68</v>
      </c>
    </row>
    <row r="564" customFormat="false" ht="15" hidden="false" customHeight="false" outlineLevel="0" collapsed="false">
      <c r="A564" s="0" t="s">
        <v>2012</v>
      </c>
      <c r="B564" s="0" t="s">
        <v>1224</v>
      </c>
      <c r="C564" s="0" t="s">
        <v>1019</v>
      </c>
      <c r="D564" s="0" t="s">
        <v>775</v>
      </c>
      <c r="E564" s="0" t="s">
        <v>96</v>
      </c>
      <c r="F564" s="0" t="n">
        <v>8</v>
      </c>
      <c r="G564" s="0" t="n">
        <v>12.6</v>
      </c>
      <c r="H564" s="0" t="n">
        <v>0.65</v>
      </c>
      <c r="I564" s="10" t="n">
        <v>0.574</v>
      </c>
      <c r="J564" s="0" t="n">
        <v>1.06</v>
      </c>
      <c r="K564" s="13" t="n">
        <f aca="false">IF(H564&lt;&gt;"",H564,IFERROR(G564/INDEX(Players!$M$2:$M$105,MATCH(B564,Players!$A$2:$A$105,0)),""))</f>
        <v>0.65</v>
      </c>
    </row>
    <row r="565" customFormat="false" ht="15" hidden="false" customHeight="false" outlineLevel="0" collapsed="false">
      <c r="A565" s="0" t="s">
        <v>2013</v>
      </c>
      <c r="B565" s="0" t="s">
        <v>1224</v>
      </c>
      <c r="C565" s="0" t="s">
        <v>1019</v>
      </c>
      <c r="D565" s="0" t="s">
        <v>775</v>
      </c>
      <c r="E565" s="0" t="s">
        <v>109</v>
      </c>
      <c r="F565" s="0" t="n">
        <v>7</v>
      </c>
      <c r="G565" s="0" t="n">
        <v>14.6</v>
      </c>
      <c r="H565" s="0" t="n">
        <v>0.73</v>
      </c>
      <c r="I565" s="10" t="n">
        <v>0.578</v>
      </c>
      <c r="J565" s="0" t="n">
        <v>1.15</v>
      </c>
      <c r="K565" s="13" t="n">
        <f aca="false">IF(H565&lt;&gt;"",H565,IFERROR(G565/INDEX(Players!$M$2:$M$105,MATCH(B565,Players!$A$2:$A$105,0)),""))</f>
        <v>0.73</v>
      </c>
    </row>
    <row r="566" customFormat="false" ht="15" hidden="false" customHeight="false" outlineLevel="0" collapsed="false">
      <c r="A566" s="0" t="s">
        <v>2014</v>
      </c>
      <c r="B566" s="0" t="s">
        <v>1224</v>
      </c>
      <c r="C566" s="0" t="s">
        <v>1019</v>
      </c>
      <c r="D566" s="0" t="s">
        <v>775</v>
      </c>
      <c r="E566" s="0" t="s">
        <v>82</v>
      </c>
      <c r="F566" s="0" t="n">
        <v>7</v>
      </c>
      <c r="G566" s="0" t="n">
        <v>11.6</v>
      </c>
      <c r="H566" s="0" t="n">
        <v>0.54</v>
      </c>
      <c r="I566" s="10" t="n">
        <v>0.679</v>
      </c>
      <c r="J566" s="0" t="n">
        <v>0.8</v>
      </c>
      <c r="K566" s="13" t="n">
        <f aca="false">IF(H566&lt;&gt;"",H566,IFERROR(G566/INDEX(Players!$M$2:$M$105,MATCH(B566,Players!$A$2:$A$105,0)),""))</f>
        <v>0.54</v>
      </c>
    </row>
    <row r="567" customFormat="false" ht="15" hidden="false" customHeight="false" outlineLevel="0" collapsed="false">
      <c r="A567" s="0" t="s">
        <v>2015</v>
      </c>
      <c r="B567" s="0" t="s">
        <v>1224</v>
      </c>
      <c r="C567" s="0" t="s">
        <v>1019</v>
      </c>
      <c r="D567" s="0" t="s">
        <v>775</v>
      </c>
      <c r="E567" s="0" t="s">
        <v>142</v>
      </c>
      <c r="F567" s="0" t="n">
        <v>6</v>
      </c>
      <c r="G567" s="0" t="n">
        <v>13.8</v>
      </c>
      <c r="H567" s="0" t="n">
        <v>0.6</v>
      </c>
      <c r="I567" s="10" t="n">
        <v>0.602</v>
      </c>
      <c r="J567" s="0" t="n">
        <v>0.93</v>
      </c>
      <c r="K567" s="13" t="n">
        <f aca="false">IF(H567&lt;&gt;"",H567,IFERROR(G567/INDEX(Players!$M$2:$M$105,MATCH(B567,Players!$A$2:$A$105,0)),""))</f>
        <v>0.6</v>
      </c>
    </row>
    <row r="568" customFormat="false" ht="15" hidden="false" customHeight="false" outlineLevel="0" collapsed="false">
      <c r="A568" s="0" t="s">
        <v>2016</v>
      </c>
      <c r="B568" s="0" t="s">
        <v>1224</v>
      </c>
      <c r="C568" s="0" t="s">
        <v>1019</v>
      </c>
      <c r="D568" s="0" t="s">
        <v>775</v>
      </c>
      <c r="E568" s="0" t="s">
        <v>118</v>
      </c>
      <c r="F568" s="0" t="n">
        <v>3</v>
      </c>
      <c r="G568" s="0" t="n">
        <v>15.7</v>
      </c>
      <c r="H568" s="0" t="n">
        <v>0.72</v>
      </c>
      <c r="I568" s="10" t="n">
        <v>0.574</v>
      </c>
      <c r="J568" s="0" t="n">
        <v>1.21</v>
      </c>
      <c r="K568" s="13" t="n">
        <f aca="false">IF(H568&lt;&gt;"",H568,IFERROR(G568/INDEX(Players!$M$2:$M$105,MATCH(B568,Players!$A$2:$A$105,0)),""))</f>
        <v>0.72</v>
      </c>
    </row>
    <row r="569" customFormat="false" ht="15" hidden="false" customHeight="false" outlineLevel="0" collapsed="false">
      <c r="A569" s="0" t="s">
        <v>2017</v>
      </c>
      <c r="B569" s="0" t="s">
        <v>1209</v>
      </c>
      <c r="C569" s="0" t="s">
        <v>985</v>
      </c>
      <c r="D569" s="0" t="s">
        <v>775</v>
      </c>
      <c r="E569" s="0" t="s">
        <v>142</v>
      </c>
      <c r="F569" s="0" t="n">
        <v>8</v>
      </c>
      <c r="G569" s="0" t="n">
        <v>12.3</v>
      </c>
      <c r="H569" s="0" t="n">
        <v>0.56</v>
      </c>
      <c r="I569" s="10" t="n">
        <v>0.602</v>
      </c>
      <c r="J569" s="0" t="n">
        <v>0.89</v>
      </c>
      <c r="K569" s="13" t="n">
        <f aca="false">IF(H569&lt;&gt;"",H569,IFERROR(G569/INDEX(Players!$M$2:$M$105,MATCH(B569,Players!$A$2:$A$105,0)),""))</f>
        <v>0.56</v>
      </c>
    </row>
    <row r="570" customFormat="false" ht="15" hidden="false" customHeight="false" outlineLevel="0" collapsed="false">
      <c r="A570" s="0" t="s">
        <v>2018</v>
      </c>
      <c r="B570" s="0" t="s">
        <v>1209</v>
      </c>
      <c r="C570" s="0" t="s">
        <v>985</v>
      </c>
      <c r="D570" s="0" t="s">
        <v>775</v>
      </c>
      <c r="E570" s="0" t="s">
        <v>109</v>
      </c>
      <c r="F570" s="0" t="n">
        <v>8</v>
      </c>
      <c r="G570" s="0" t="n">
        <v>10.6</v>
      </c>
      <c r="H570" s="0" t="n">
        <v>0.53</v>
      </c>
      <c r="I570" s="10" t="n">
        <v>0.624</v>
      </c>
      <c r="J570" s="0" t="n">
        <v>0.79</v>
      </c>
      <c r="K570" s="13" t="n">
        <f aca="false">IF(H570&lt;&gt;"",H570,IFERROR(G570/INDEX(Players!$M$2:$M$105,MATCH(B570,Players!$A$2:$A$105,0)),""))</f>
        <v>0.53</v>
      </c>
    </row>
    <row r="571" customFormat="false" ht="15" hidden="false" customHeight="false" outlineLevel="0" collapsed="false">
      <c r="A571" s="0" t="s">
        <v>2019</v>
      </c>
      <c r="B571" s="0" t="s">
        <v>1209</v>
      </c>
      <c r="C571" s="0" t="s">
        <v>985</v>
      </c>
      <c r="D571" s="0" t="s">
        <v>775</v>
      </c>
      <c r="E571" s="0" t="s">
        <v>96</v>
      </c>
      <c r="F571" s="0" t="n">
        <v>7</v>
      </c>
      <c r="G571" s="0" t="n">
        <v>14.3</v>
      </c>
      <c r="H571" s="0" t="n">
        <v>0.6</v>
      </c>
      <c r="I571" s="10" t="n">
        <v>0.62</v>
      </c>
      <c r="J571" s="0" t="n">
        <v>1.05</v>
      </c>
      <c r="K571" s="13" t="n">
        <f aca="false">IF(H571&lt;&gt;"",H571,IFERROR(G571/INDEX(Players!$M$2:$M$105,MATCH(B571,Players!$A$2:$A$105,0)),""))</f>
        <v>0.6</v>
      </c>
    </row>
    <row r="572" customFormat="false" ht="15" hidden="false" customHeight="false" outlineLevel="0" collapsed="false">
      <c r="A572" s="0" t="s">
        <v>2020</v>
      </c>
      <c r="B572" s="0" t="s">
        <v>1209</v>
      </c>
      <c r="C572" s="0" t="s">
        <v>985</v>
      </c>
      <c r="D572" s="0" t="s">
        <v>775</v>
      </c>
      <c r="E572" s="0" t="s">
        <v>118</v>
      </c>
      <c r="F572" s="0" t="n">
        <v>6</v>
      </c>
      <c r="G572" s="0" t="n">
        <v>10.7</v>
      </c>
      <c r="H572" s="0" t="n">
        <v>0.47</v>
      </c>
      <c r="I572" s="10" t="n">
        <v>0.625</v>
      </c>
      <c r="J572" s="0" t="n">
        <v>0.71</v>
      </c>
      <c r="K572" s="13" t="n">
        <f aca="false">IF(H572&lt;&gt;"",H572,IFERROR(G572/INDEX(Players!$M$2:$M$105,MATCH(B572,Players!$A$2:$A$105,0)),""))</f>
        <v>0.47</v>
      </c>
    </row>
    <row r="573" customFormat="false" ht="15" hidden="false" customHeight="false" outlineLevel="0" collapsed="false">
      <c r="A573" s="0" t="s">
        <v>2021</v>
      </c>
      <c r="B573" s="0" t="s">
        <v>1209</v>
      </c>
      <c r="C573" s="0" t="s">
        <v>985</v>
      </c>
      <c r="D573" s="0" t="s">
        <v>775</v>
      </c>
      <c r="E573" s="0" t="s">
        <v>82</v>
      </c>
      <c r="F573" s="0" t="n">
        <v>4</v>
      </c>
      <c r="G573" s="0" t="n">
        <v>15</v>
      </c>
      <c r="H573" s="0" t="n">
        <v>0.63</v>
      </c>
      <c r="I573" s="10" t="n">
        <v>0.5</v>
      </c>
      <c r="J573" s="0" t="n">
        <v>0.86</v>
      </c>
      <c r="K573" s="13" t="n">
        <f aca="false">IF(H573&lt;&gt;"",H573,IFERROR(G573/INDEX(Players!$M$2:$M$105,MATCH(B573,Players!$A$2:$A$105,0)),""))</f>
        <v>0.63</v>
      </c>
    </row>
    <row r="574" customFormat="false" ht="15" hidden="false" customHeight="false" outlineLevel="0" collapsed="false">
      <c r="A574" s="0" t="s">
        <v>2022</v>
      </c>
      <c r="B574" s="0" t="s">
        <v>1209</v>
      </c>
      <c r="C574" s="0" t="s">
        <v>985</v>
      </c>
      <c r="D574" s="0" t="s">
        <v>775</v>
      </c>
      <c r="E574" s="0" t="s">
        <v>1292</v>
      </c>
      <c r="F574" s="0" t="n">
        <v>2</v>
      </c>
      <c r="G574" s="0" t="n">
        <v>8.5</v>
      </c>
      <c r="H574" s="0" t="n">
        <v>0.46</v>
      </c>
      <c r="I574" s="10" t="n">
        <v>0.471</v>
      </c>
      <c r="J574" s="0" t="n">
        <v>0.68</v>
      </c>
      <c r="K574" s="13" t="n">
        <f aca="false">IF(H574&lt;&gt;"",H574,IFERROR(G574/INDEX(Players!$M$2:$M$105,MATCH(B574,Players!$A$2:$A$105,0)),""))</f>
        <v>0.46</v>
      </c>
    </row>
    <row r="575" customFormat="false" ht="15" hidden="false" customHeight="false" outlineLevel="0" collapsed="false">
      <c r="A575" s="0" t="s">
        <v>2023</v>
      </c>
      <c r="B575" s="0" t="s">
        <v>1209</v>
      </c>
      <c r="C575" s="0" t="s">
        <v>985</v>
      </c>
      <c r="D575" s="0" t="s">
        <v>775</v>
      </c>
      <c r="E575" s="0" t="s">
        <v>131</v>
      </c>
      <c r="F575" s="0" t="n">
        <v>1</v>
      </c>
      <c r="G575" s="0" t="n">
        <v>8</v>
      </c>
      <c r="H575" s="0" t="n">
        <v>0.38</v>
      </c>
      <c r="I575" s="10" t="n">
        <v>0.375</v>
      </c>
      <c r="J575" s="0" t="n">
        <v>0.62</v>
      </c>
      <c r="K575" s="13" t="n">
        <f aca="false">IF(H575&lt;&gt;"",H575,IFERROR(G575/INDEX(Players!$M$2:$M$105,MATCH(B575,Players!$A$2:$A$105,0)),""))</f>
        <v>0.38</v>
      </c>
    </row>
    <row r="576" customFormat="false" ht="15" hidden="false" customHeight="false" outlineLevel="0" collapsed="false">
      <c r="A576" s="0" t="s">
        <v>2024</v>
      </c>
      <c r="B576" s="0" t="s">
        <v>1265</v>
      </c>
      <c r="C576" s="0" t="s">
        <v>1103</v>
      </c>
      <c r="D576" s="0" t="s">
        <v>775</v>
      </c>
      <c r="E576" s="0" t="s">
        <v>82</v>
      </c>
      <c r="F576" s="0" t="n">
        <v>14</v>
      </c>
      <c r="G576" s="0" t="n">
        <v>15.1</v>
      </c>
      <c r="H576" s="0" t="n">
        <v>0.71</v>
      </c>
      <c r="I576" s="10" t="n">
        <v>0.637</v>
      </c>
      <c r="J576" s="0" t="n">
        <v>1.01</v>
      </c>
      <c r="K576" s="13" t="n">
        <f aca="false">IF(H576&lt;&gt;"",H576,IFERROR(G576/INDEX(Players!$M$2:$M$105,MATCH(B576,Players!$A$2:$A$105,0)),""))</f>
        <v>0.71</v>
      </c>
    </row>
    <row r="577" customFormat="false" ht="15" hidden="false" customHeight="false" outlineLevel="0" collapsed="false">
      <c r="A577" s="0" t="s">
        <v>2025</v>
      </c>
      <c r="B577" s="0" t="s">
        <v>1265</v>
      </c>
      <c r="C577" s="0" t="s">
        <v>1103</v>
      </c>
      <c r="D577" s="0" t="s">
        <v>775</v>
      </c>
      <c r="E577" s="0" t="s">
        <v>96</v>
      </c>
      <c r="F577" s="0" t="n">
        <v>6</v>
      </c>
      <c r="G577" s="0" t="n">
        <v>14.5</v>
      </c>
      <c r="H577" s="0" t="n">
        <v>0.7</v>
      </c>
      <c r="I577" s="10" t="n">
        <v>0.563</v>
      </c>
      <c r="J577" s="0" t="n">
        <v>1.05</v>
      </c>
      <c r="K577" s="13" t="n">
        <f aca="false">IF(H577&lt;&gt;"",H577,IFERROR(G577/INDEX(Players!$M$2:$M$105,MATCH(B577,Players!$A$2:$A$105,0)),""))</f>
        <v>0.7</v>
      </c>
    </row>
    <row r="578" customFormat="false" ht="15" hidden="false" customHeight="false" outlineLevel="0" collapsed="false">
      <c r="A578" s="0" t="s">
        <v>2026</v>
      </c>
      <c r="B578" s="0" t="s">
        <v>1265</v>
      </c>
      <c r="C578" s="0" t="s">
        <v>1103</v>
      </c>
      <c r="D578" s="0" t="s">
        <v>775</v>
      </c>
      <c r="E578" s="0" t="s">
        <v>131</v>
      </c>
      <c r="F578" s="0" t="n">
        <v>5</v>
      </c>
      <c r="G578" s="0" t="n">
        <v>22</v>
      </c>
      <c r="H578" s="0" t="n">
        <v>0.8</v>
      </c>
      <c r="I578" s="10" t="n">
        <v>0.6</v>
      </c>
      <c r="J578" s="0" t="n">
        <v>1.11</v>
      </c>
      <c r="K578" s="13" t="n">
        <f aca="false">IF(H578&lt;&gt;"",H578,IFERROR(G578/INDEX(Players!$M$2:$M$105,MATCH(B578,Players!$A$2:$A$105,0)),""))</f>
        <v>0.8</v>
      </c>
    </row>
    <row r="579" customFormat="false" ht="15" hidden="false" customHeight="false" outlineLevel="0" collapsed="false">
      <c r="A579" s="0" t="s">
        <v>2027</v>
      </c>
      <c r="B579" s="0" t="s">
        <v>1265</v>
      </c>
      <c r="C579" s="0" t="s">
        <v>1103</v>
      </c>
      <c r="D579" s="0" t="s">
        <v>775</v>
      </c>
      <c r="E579" s="0" t="s">
        <v>142</v>
      </c>
      <c r="F579" s="0" t="n">
        <v>5</v>
      </c>
      <c r="G579" s="0" t="n">
        <v>13.2</v>
      </c>
      <c r="H579" s="0" t="n">
        <v>0.58</v>
      </c>
      <c r="I579" s="10" t="n">
        <v>0.515</v>
      </c>
      <c r="J579" s="0" t="n">
        <v>0.75</v>
      </c>
      <c r="K579" s="13" t="n">
        <f aca="false">IF(H579&lt;&gt;"",H579,IFERROR(G579/INDEX(Players!$M$2:$M$105,MATCH(B579,Players!$A$2:$A$105,0)),""))</f>
        <v>0.58</v>
      </c>
    </row>
    <row r="580" customFormat="false" ht="15" hidden="false" customHeight="false" outlineLevel="0" collapsed="false">
      <c r="A580" s="0" t="s">
        <v>2028</v>
      </c>
      <c r="B580" s="0" t="s">
        <v>1265</v>
      </c>
      <c r="C580" s="0" t="s">
        <v>1103</v>
      </c>
      <c r="D580" s="0" t="s">
        <v>775</v>
      </c>
      <c r="E580" s="0" t="s">
        <v>109</v>
      </c>
      <c r="F580" s="0" t="n">
        <v>4</v>
      </c>
      <c r="G580" s="0" t="n">
        <v>16</v>
      </c>
      <c r="H580" s="0" t="n">
        <v>0.68</v>
      </c>
      <c r="I580" s="10" t="n">
        <v>0.625</v>
      </c>
      <c r="J580" s="0" t="n">
        <v>0.97</v>
      </c>
      <c r="K580" s="13" t="n">
        <f aca="false">IF(H580&lt;&gt;"",H580,IFERROR(G580/INDEX(Players!$M$2:$M$105,MATCH(B580,Players!$A$2:$A$105,0)),""))</f>
        <v>0.68</v>
      </c>
    </row>
    <row r="581" customFormat="false" ht="15" hidden="false" customHeight="false" outlineLevel="0" collapsed="false">
      <c r="A581" s="0" t="s">
        <v>2029</v>
      </c>
      <c r="B581" s="0" t="s">
        <v>1265</v>
      </c>
      <c r="C581" s="0" t="s">
        <v>1103</v>
      </c>
      <c r="D581" s="0" t="s">
        <v>775</v>
      </c>
      <c r="E581" s="0" t="s">
        <v>149</v>
      </c>
      <c r="F581" s="0" t="n">
        <v>2</v>
      </c>
      <c r="G581" s="0" t="n">
        <v>14.5</v>
      </c>
      <c r="H581" s="0" t="n">
        <v>0.72</v>
      </c>
      <c r="I581" s="10" t="n">
        <v>0.724</v>
      </c>
      <c r="J581" s="0" t="n">
        <v>1</v>
      </c>
      <c r="K581" s="13" t="n">
        <f aca="false">IF(H581&lt;&gt;"",H581,IFERROR(G581/INDEX(Players!$M$2:$M$105,MATCH(B581,Players!$A$2:$A$105,0)),""))</f>
        <v>0.72</v>
      </c>
    </row>
    <row r="582" customFormat="false" ht="15" hidden="false" customHeight="false" outlineLevel="0" collapsed="false">
      <c r="A582" s="0" t="s">
        <v>2030</v>
      </c>
      <c r="B582" s="0" t="s">
        <v>1245</v>
      </c>
      <c r="C582" s="0" t="s">
        <v>1061</v>
      </c>
      <c r="D582" s="0" t="s">
        <v>775</v>
      </c>
      <c r="E582" s="0" t="s">
        <v>109</v>
      </c>
      <c r="F582" s="0" t="n">
        <v>13</v>
      </c>
      <c r="G582" s="0" t="n">
        <v>12.8</v>
      </c>
      <c r="H582" s="0" t="n">
        <v>0.57</v>
      </c>
      <c r="I582" s="10" t="n">
        <v>0.44</v>
      </c>
      <c r="J582" s="0" t="n">
        <v>0.85</v>
      </c>
      <c r="K582" s="13" t="n">
        <f aca="false">IF(H582&lt;&gt;"",H582,IFERROR(G582/INDEX(Players!$M$2:$M$105,MATCH(B582,Players!$A$2:$A$105,0)),""))</f>
        <v>0.57</v>
      </c>
    </row>
    <row r="583" customFormat="false" ht="15" hidden="false" customHeight="false" outlineLevel="0" collapsed="false">
      <c r="A583" s="0" t="s">
        <v>2031</v>
      </c>
      <c r="B583" s="0" t="s">
        <v>1245</v>
      </c>
      <c r="C583" s="0" t="s">
        <v>1061</v>
      </c>
      <c r="D583" s="0" t="s">
        <v>775</v>
      </c>
      <c r="E583" s="0" t="s">
        <v>82</v>
      </c>
      <c r="F583" s="0" t="n">
        <v>7</v>
      </c>
      <c r="G583" s="0" t="n">
        <v>14</v>
      </c>
      <c r="H583" s="0" t="n">
        <v>0.64</v>
      </c>
      <c r="I583" s="10" t="n">
        <v>0.449</v>
      </c>
      <c r="J583" s="0" t="n">
        <v>0.94</v>
      </c>
      <c r="K583" s="13" t="n">
        <f aca="false">IF(H583&lt;&gt;"",H583,IFERROR(G583/INDEX(Players!$M$2:$M$105,MATCH(B583,Players!$A$2:$A$105,0)),""))</f>
        <v>0.64</v>
      </c>
    </row>
    <row r="584" customFormat="false" ht="15" hidden="false" customHeight="false" outlineLevel="0" collapsed="false">
      <c r="A584" s="0" t="s">
        <v>2032</v>
      </c>
      <c r="B584" s="0" t="s">
        <v>1245</v>
      </c>
      <c r="C584" s="0" t="s">
        <v>1061</v>
      </c>
      <c r="D584" s="0" t="s">
        <v>775</v>
      </c>
      <c r="E584" s="0" t="s">
        <v>96</v>
      </c>
      <c r="F584" s="0" t="n">
        <v>6</v>
      </c>
      <c r="G584" s="0" t="n">
        <v>11.8</v>
      </c>
      <c r="H584" s="0" t="n">
        <v>0.52</v>
      </c>
      <c r="I584" s="10" t="n">
        <v>0.606</v>
      </c>
      <c r="J584" s="0" t="n">
        <v>0.72</v>
      </c>
      <c r="K584" s="13" t="n">
        <f aca="false">IF(H584&lt;&gt;"",H584,IFERROR(G584/INDEX(Players!$M$2:$M$105,MATCH(B584,Players!$A$2:$A$105,0)),""))</f>
        <v>0.52</v>
      </c>
    </row>
    <row r="585" customFormat="false" ht="15" hidden="false" customHeight="false" outlineLevel="0" collapsed="false">
      <c r="A585" s="0" t="s">
        <v>2033</v>
      </c>
      <c r="B585" s="0" t="s">
        <v>1245</v>
      </c>
      <c r="C585" s="0" t="s">
        <v>1061</v>
      </c>
      <c r="D585" s="0" t="s">
        <v>775</v>
      </c>
      <c r="E585" s="0" t="s">
        <v>118</v>
      </c>
      <c r="F585" s="0" t="n">
        <v>4</v>
      </c>
      <c r="G585" s="0" t="n">
        <v>13.5</v>
      </c>
      <c r="H585" s="0" t="n">
        <v>0.59</v>
      </c>
      <c r="I585" s="10" t="n">
        <v>0.611</v>
      </c>
      <c r="J585" s="0" t="n">
        <v>0.89</v>
      </c>
      <c r="K585" s="13" t="n">
        <f aca="false">IF(H585&lt;&gt;"",H585,IFERROR(G585/INDEX(Players!$M$2:$M$105,MATCH(B585,Players!$A$2:$A$105,0)),""))</f>
        <v>0.59</v>
      </c>
    </row>
    <row r="586" customFormat="false" ht="15" hidden="false" customHeight="false" outlineLevel="0" collapsed="false">
      <c r="A586" s="0" t="s">
        <v>2034</v>
      </c>
      <c r="B586" s="0" t="s">
        <v>1245</v>
      </c>
      <c r="C586" s="0" t="s">
        <v>1061</v>
      </c>
      <c r="D586" s="0" t="s">
        <v>775</v>
      </c>
      <c r="E586" s="0" t="s">
        <v>131</v>
      </c>
      <c r="F586" s="0" t="n">
        <v>4</v>
      </c>
      <c r="G586" s="0" t="n">
        <v>10</v>
      </c>
      <c r="H586" s="0" t="n">
        <v>0.52</v>
      </c>
      <c r="I586" s="10" t="n">
        <v>0.55</v>
      </c>
      <c r="J586" s="0" t="n">
        <v>0.68</v>
      </c>
      <c r="K586" s="13" t="n">
        <f aca="false">IF(H586&lt;&gt;"",H586,IFERROR(G586/INDEX(Players!$M$2:$M$105,MATCH(B586,Players!$A$2:$A$105,0)),""))</f>
        <v>0.52</v>
      </c>
    </row>
    <row r="587" customFormat="false" ht="15" hidden="false" customHeight="false" outlineLevel="0" collapsed="false">
      <c r="A587" s="0" t="s">
        <v>2035</v>
      </c>
      <c r="B587" s="0" t="s">
        <v>1246</v>
      </c>
      <c r="C587" s="0" t="s">
        <v>1063</v>
      </c>
      <c r="D587" s="0" t="s">
        <v>775</v>
      </c>
      <c r="E587" s="0" t="s">
        <v>109</v>
      </c>
      <c r="F587" s="0" t="n">
        <v>13</v>
      </c>
      <c r="G587" s="0" t="n">
        <v>12.4</v>
      </c>
      <c r="H587" s="0" t="n">
        <v>0.55</v>
      </c>
      <c r="I587" s="10" t="n">
        <v>0.602</v>
      </c>
      <c r="J587" s="0" t="n">
        <v>0.86</v>
      </c>
      <c r="K587" s="13" t="n">
        <f aca="false">IF(H587&lt;&gt;"",H587,IFERROR(G587/INDEX(Players!$M$2:$M$105,MATCH(B587,Players!$A$2:$A$105,0)),""))</f>
        <v>0.55</v>
      </c>
    </row>
    <row r="588" customFormat="false" ht="15" hidden="false" customHeight="false" outlineLevel="0" collapsed="false">
      <c r="A588" s="0" t="s">
        <v>2036</v>
      </c>
      <c r="B588" s="0" t="s">
        <v>1246</v>
      </c>
      <c r="C588" s="0" t="s">
        <v>1063</v>
      </c>
      <c r="D588" s="0" t="s">
        <v>775</v>
      </c>
      <c r="E588" s="0" t="s">
        <v>82</v>
      </c>
      <c r="F588" s="0" t="n">
        <v>7</v>
      </c>
      <c r="G588" s="0" t="n">
        <v>12.6</v>
      </c>
      <c r="H588" s="0" t="n">
        <v>0.57</v>
      </c>
      <c r="I588" s="10" t="n">
        <v>0.659</v>
      </c>
      <c r="J588" s="0" t="n">
        <v>0.87</v>
      </c>
      <c r="K588" s="13" t="n">
        <f aca="false">IF(H588&lt;&gt;"",H588,IFERROR(G588/INDEX(Players!$M$2:$M$105,MATCH(B588,Players!$A$2:$A$105,0)),""))</f>
        <v>0.57</v>
      </c>
    </row>
    <row r="589" customFormat="false" ht="15" hidden="false" customHeight="false" outlineLevel="0" collapsed="false">
      <c r="A589" s="0" t="s">
        <v>2037</v>
      </c>
      <c r="B589" s="0" t="s">
        <v>1246</v>
      </c>
      <c r="C589" s="0" t="s">
        <v>1063</v>
      </c>
      <c r="D589" s="0" t="s">
        <v>775</v>
      </c>
      <c r="E589" s="0" t="s">
        <v>96</v>
      </c>
      <c r="F589" s="0" t="n">
        <v>6</v>
      </c>
      <c r="G589" s="0" t="n">
        <v>11.2</v>
      </c>
      <c r="H589" s="0" t="n">
        <v>0.49</v>
      </c>
      <c r="I589" s="10" t="n">
        <v>0.582</v>
      </c>
      <c r="J589" s="0" t="n">
        <v>0.7</v>
      </c>
      <c r="K589" s="13" t="n">
        <f aca="false">IF(H589&lt;&gt;"",H589,IFERROR(G589/INDEX(Players!$M$2:$M$105,MATCH(B589,Players!$A$2:$A$105,0)),""))</f>
        <v>0.49</v>
      </c>
    </row>
    <row r="590" customFormat="false" ht="15" hidden="false" customHeight="false" outlineLevel="0" collapsed="false">
      <c r="A590" s="0" t="s">
        <v>2038</v>
      </c>
      <c r="B590" s="0" t="s">
        <v>1246</v>
      </c>
      <c r="C590" s="0" t="s">
        <v>1063</v>
      </c>
      <c r="D590" s="0" t="s">
        <v>775</v>
      </c>
      <c r="E590" s="0" t="s">
        <v>118</v>
      </c>
      <c r="F590" s="0" t="n">
        <v>4</v>
      </c>
      <c r="G590" s="0" t="n">
        <v>14.8</v>
      </c>
      <c r="H590" s="0" t="n">
        <v>0.65</v>
      </c>
      <c r="I590" s="10" t="n">
        <v>0.627</v>
      </c>
      <c r="J590" s="0" t="n">
        <v>0.94</v>
      </c>
      <c r="K590" s="13" t="n">
        <f aca="false">IF(H590&lt;&gt;"",H590,IFERROR(G590/INDEX(Players!$M$2:$M$105,MATCH(B590,Players!$A$2:$A$105,0)),""))</f>
        <v>0.65</v>
      </c>
    </row>
    <row r="591" customFormat="false" ht="15" hidden="false" customHeight="false" outlineLevel="0" collapsed="false">
      <c r="A591" s="0" t="s">
        <v>2039</v>
      </c>
      <c r="B591" s="0" t="s">
        <v>1246</v>
      </c>
      <c r="C591" s="0" t="s">
        <v>1063</v>
      </c>
      <c r="D591" s="0" t="s">
        <v>775</v>
      </c>
      <c r="E591" s="0" t="s">
        <v>131</v>
      </c>
      <c r="F591" s="0" t="n">
        <v>4</v>
      </c>
      <c r="G591" s="0" t="n">
        <v>9.8</v>
      </c>
      <c r="H591" s="0" t="n">
        <v>0.51</v>
      </c>
      <c r="I591" s="10" t="n">
        <v>0.59</v>
      </c>
      <c r="J591" s="0" t="n">
        <v>0.76</v>
      </c>
      <c r="K591" s="13" t="n">
        <f aca="false">IF(H591&lt;&gt;"",H591,IFERROR(G591/INDEX(Players!$M$2:$M$105,MATCH(B591,Players!$A$2:$A$105,0)),""))</f>
        <v>0.51</v>
      </c>
    </row>
    <row r="592" customFormat="false" ht="15" hidden="false" customHeight="false" outlineLevel="0" collapsed="false">
      <c r="A592" s="0" t="s">
        <v>2040</v>
      </c>
      <c r="B592" s="0" t="s">
        <v>1232</v>
      </c>
      <c r="C592" s="0" t="s">
        <v>1035</v>
      </c>
      <c r="D592" s="0" t="s">
        <v>775</v>
      </c>
      <c r="E592" s="0" t="s">
        <v>82</v>
      </c>
      <c r="F592" s="0" t="n">
        <v>9</v>
      </c>
      <c r="G592" s="0" t="n">
        <v>14.6</v>
      </c>
      <c r="H592" s="0" t="n">
        <v>0.65</v>
      </c>
      <c r="I592" s="10" t="n">
        <v>0.588</v>
      </c>
      <c r="J592" s="0" t="n">
        <v>0.97</v>
      </c>
      <c r="K592" s="13" t="n">
        <f aca="false">IF(H592&lt;&gt;"",H592,IFERROR(G592/INDEX(Players!$M$2:$M$105,MATCH(B592,Players!$A$2:$A$105,0)),""))</f>
        <v>0.65</v>
      </c>
    </row>
    <row r="593" customFormat="false" ht="15" hidden="false" customHeight="false" outlineLevel="0" collapsed="false">
      <c r="A593" s="0" t="s">
        <v>2041</v>
      </c>
      <c r="B593" s="0" t="s">
        <v>1232</v>
      </c>
      <c r="C593" s="0" t="s">
        <v>1035</v>
      </c>
      <c r="D593" s="0" t="s">
        <v>775</v>
      </c>
      <c r="E593" s="0" t="s">
        <v>96</v>
      </c>
      <c r="F593" s="0" t="n">
        <v>6</v>
      </c>
      <c r="G593" s="0" t="n">
        <v>13.5</v>
      </c>
      <c r="H593" s="0" t="n">
        <v>0.58</v>
      </c>
      <c r="I593" s="10" t="n">
        <v>0.642</v>
      </c>
      <c r="J593" s="0" t="n">
        <v>0.83</v>
      </c>
      <c r="K593" s="13" t="n">
        <f aca="false">IF(H593&lt;&gt;"",H593,IFERROR(G593/INDEX(Players!$M$2:$M$105,MATCH(B593,Players!$A$2:$A$105,0)),""))</f>
        <v>0.58</v>
      </c>
    </row>
    <row r="594" customFormat="false" ht="15" hidden="false" customHeight="false" outlineLevel="0" collapsed="false">
      <c r="A594" s="0" t="s">
        <v>2042</v>
      </c>
      <c r="B594" s="0" t="s">
        <v>1232</v>
      </c>
      <c r="C594" s="0" t="s">
        <v>1035</v>
      </c>
      <c r="D594" s="0" t="s">
        <v>775</v>
      </c>
      <c r="E594" s="0" t="s">
        <v>109</v>
      </c>
      <c r="F594" s="0" t="n">
        <v>4</v>
      </c>
      <c r="G594" s="0" t="n">
        <v>12.3</v>
      </c>
      <c r="H594" s="0" t="n">
        <v>0.54</v>
      </c>
      <c r="I594" s="10" t="n">
        <v>0.388</v>
      </c>
      <c r="J594" s="0" t="n">
        <v>0.83</v>
      </c>
      <c r="K594" s="13" t="n">
        <f aca="false">IF(H594&lt;&gt;"",H594,IFERROR(G594/INDEX(Players!$M$2:$M$105,MATCH(B594,Players!$A$2:$A$105,0)),""))</f>
        <v>0.54</v>
      </c>
    </row>
    <row r="595" customFormat="false" ht="15" hidden="false" customHeight="false" outlineLevel="0" collapsed="false">
      <c r="A595" s="0" t="s">
        <v>2043</v>
      </c>
      <c r="B595" s="0" t="s">
        <v>1232</v>
      </c>
      <c r="C595" s="0" t="s">
        <v>1035</v>
      </c>
      <c r="D595" s="0" t="s">
        <v>775</v>
      </c>
      <c r="E595" s="0" t="s">
        <v>142</v>
      </c>
      <c r="F595" s="0" t="n">
        <v>4</v>
      </c>
      <c r="G595" s="0" t="n">
        <v>14</v>
      </c>
      <c r="H595" s="0" t="n">
        <v>0.52</v>
      </c>
      <c r="I595" s="10" t="n">
        <v>0.571</v>
      </c>
      <c r="J595" s="0" t="n">
        <v>0.79</v>
      </c>
      <c r="K595" s="13" t="n">
        <f aca="false">IF(H595&lt;&gt;"",H595,IFERROR(G595/INDEX(Players!$M$2:$M$105,MATCH(B595,Players!$A$2:$A$105,0)),""))</f>
        <v>0.52</v>
      </c>
    </row>
    <row r="596" customFormat="false" ht="15" hidden="false" customHeight="false" outlineLevel="0" collapsed="false">
      <c r="A596" s="0" t="s">
        <v>2044</v>
      </c>
      <c r="B596" s="0" t="s">
        <v>1232</v>
      </c>
      <c r="C596" s="0" t="s">
        <v>1035</v>
      </c>
      <c r="D596" s="0" t="s">
        <v>775</v>
      </c>
      <c r="E596" s="0" t="s">
        <v>118</v>
      </c>
      <c r="F596" s="0" t="n">
        <v>3</v>
      </c>
      <c r="G596" s="0" t="n">
        <v>14</v>
      </c>
      <c r="H596" s="0" t="n">
        <v>0.66</v>
      </c>
      <c r="I596" s="10" t="n">
        <v>0.524</v>
      </c>
      <c r="J596" s="0" t="n">
        <v>1.05</v>
      </c>
      <c r="K596" s="13" t="n">
        <f aca="false">IF(H596&lt;&gt;"",H596,IFERROR(G596/INDEX(Players!$M$2:$M$105,MATCH(B596,Players!$A$2:$A$105,0)),""))</f>
        <v>0.66</v>
      </c>
    </row>
    <row r="597" customFormat="false" ht="15" hidden="false" customHeight="false" outlineLevel="0" collapsed="false">
      <c r="A597" s="0" t="s">
        <v>2045</v>
      </c>
      <c r="B597" s="0" t="s">
        <v>1232</v>
      </c>
      <c r="C597" s="0" t="s">
        <v>1035</v>
      </c>
      <c r="D597" s="0" t="s">
        <v>775</v>
      </c>
      <c r="E597" s="0" t="s">
        <v>131</v>
      </c>
      <c r="F597" s="0" t="n">
        <v>1</v>
      </c>
      <c r="G597" s="0" t="n">
        <v>11</v>
      </c>
      <c r="H597" s="0" t="n">
        <v>0.52</v>
      </c>
      <c r="I597" s="10" t="n">
        <v>0.364</v>
      </c>
      <c r="J597" s="0" t="n">
        <v>0.92</v>
      </c>
      <c r="K597" s="13" t="n">
        <f aca="false">IF(H597&lt;&gt;"",H597,IFERROR(G597/INDEX(Players!$M$2:$M$105,MATCH(B597,Players!$A$2:$A$105,0)),""))</f>
        <v>0.52</v>
      </c>
    </row>
    <row r="598" customFormat="false" ht="15" hidden="false" customHeight="false" outlineLevel="0" collapsed="false">
      <c r="A598" s="0" t="s">
        <v>2046</v>
      </c>
      <c r="B598" s="0" t="s">
        <v>1218</v>
      </c>
      <c r="C598" s="0" t="s">
        <v>1006</v>
      </c>
      <c r="D598" s="0" t="s">
        <v>775</v>
      </c>
      <c r="E598" s="0" t="s">
        <v>82</v>
      </c>
      <c r="F598" s="0" t="n">
        <v>9</v>
      </c>
      <c r="G598" s="0" t="n">
        <v>16.3</v>
      </c>
      <c r="H598" s="0" t="n">
        <v>0.79</v>
      </c>
      <c r="I598" s="10" t="n">
        <v>0.612</v>
      </c>
      <c r="J598" s="0" t="n">
        <v>1.24</v>
      </c>
      <c r="K598" s="13" t="n">
        <f aca="false">IF(H598&lt;&gt;"",H598,IFERROR(G598/INDEX(Players!$M$2:$M$105,MATCH(B598,Players!$A$2:$A$105,0)),""))</f>
        <v>0.79</v>
      </c>
    </row>
    <row r="599" customFormat="false" ht="15" hidden="false" customHeight="false" outlineLevel="0" collapsed="false">
      <c r="A599" s="0" t="s">
        <v>2047</v>
      </c>
      <c r="B599" s="0" t="s">
        <v>1218</v>
      </c>
      <c r="C599" s="0" t="s">
        <v>1006</v>
      </c>
      <c r="D599" s="0" t="s">
        <v>775</v>
      </c>
      <c r="E599" s="0" t="s">
        <v>109</v>
      </c>
      <c r="F599" s="0" t="n">
        <v>9</v>
      </c>
      <c r="G599" s="0" t="n">
        <v>13.9</v>
      </c>
      <c r="H599" s="0" t="n">
        <v>0.63</v>
      </c>
      <c r="I599" s="10" t="n">
        <v>0.608</v>
      </c>
      <c r="J599" s="0" t="n">
        <v>0.95</v>
      </c>
      <c r="K599" s="13" t="n">
        <f aca="false">IF(H599&lt;&gt;"",H599,IFERROR(G599/INDEX(Players!$M$2:$M$105,MATCH(B599,Players!$A$2:$A$105,0)),""))</f>
        <v>0.63</v>
      </c>
    </row>
    <row r="600" customFormat="false" ht="15" hidden="false" customHeight="false" outlineLevel="0" collapsed="false">
      <c r="A600" s="0" t="s">
        <v>2048</v>
      </c>
      <c r="B600" s="0" t="s">
        <v>1218</v>
      </c>
      <c r="C600" s="0" t="s">
        <v>1006</v>
      </c>
      <c r="D600" s="0" t="s">
        <v>775</v>
      </c>
      <c r="E600" s="0" t="s">
        <v>96</v>
      </c>
      <c r="F600" s="0" t="n">
        <v>6</v>
      </c>
      <c r="G600" s="0" t="n">
        <v>11.7</v>
      </c>
      <c r="H600" s="0" t="n">
        <v>0.59</v>
      </c>
      <c r="I600" s="10" t="n">
        <v>0.586</v>
      </c>
      <c r="J600" s="0" t="n">
        <v>0.8</v>
      </c>
      <c r="K600" s="13" t="n">
        <f aca="false">IF(H600&lt;&gt;"",H600,IFERROR(G600/INDEX(Players!$M$2:$M$105,MATCH(B600,Players!$A$2:$A$105,0)),""))</f>
        <v>0.59</v>
      </c>
    </row>
    <row r="601" customFormat="false" ht="15" hidden="false" customHeight="false" outlineLevel="0" collapsed="false">
      <c r="A601" s="0" t="s">
        <v>2049</v>
      </c>
      <c r="B601" s="0" t="s">
        <v>1218</v>
      </c>
      <c r="C601" s="0" t="s">
        <v>1006</v>
      </c>
      <c r="D601" s="0" t="s">
        <v>775</v>
      </c>
      <c r="E601" s="0" t="s">
        <v>142</v>
      </c>
      <c r="F601" s="0" t="n">
        <v>5</v>
      </c>
      <c r="G601" s="0" t="n">
        <v>17.4</v>
      </c>
      <c r="H601" s="0" t="n">
        <v>0.8</v>
      </c>
      <c r="I601" s="10" t="n">
        <v>0.655</v>
      </c>
      <c r="J601" s="0" t="n">
        <v>1.1</v>
      </c>
      <c r="K601" s="13" t="n">
        <f aca="false">IF(H601&lt;&gt;"",H601,IFERROR(G601/INDEX(Players!$M$2:$M$105,MATCH(B601,Players!$A$2:$A$105,0)),""))</f>
        <v>0.8</v>
      </c>
    </row>
    <row r="602" customFormat="false" ht="15" hidden="false" customHeight="false" outlineLevel="0" collapsed="false">
      <c r="A602" s="0" t="s">
        <v>2050</v>
      </c>
      <c r="B602" s="0" t="s">
        <v>1218</v>
      </c>
      <c r="C602" s="0" t="s">
        <v>1006</v>
      </c>
      <c r="D602" s="0" t="s">
        <v>775</v>
      </c>
      <c r="E602" s="0" t="s">
        <v>149</v>
      </c>
      <c r="F602" s="0" t="n">
        <v>4</v>
      </c>
      <c r="G602" s="0" t="n">
        <v>10.5</v>
      </c>
      <c r="H602" s="0" t="n">
        <v>0.56</v>
      </c>
      <c r="I602" s="10" t="n">
        <v>0.548</v>
      </c>
      <c r="J602" s="0" t="n">
        <v>0.71</v>
      </c>
      <c r="K602" s="13" t="n">
        <f aca="false">IF(H602&lt;&gt;"",H602,IFERROR(G602/INDEX(Players!$M$2:$M$105,MATCH(B602,Players!$A$2:$A$105,0)),""))</f>
        <v>0.56</v>
      </c>
    </row>
    <row r="603" customFormat="false" ht="15" hidden="false" customHeight="false" outlineLevel="0" collapsed="false">
      <c r="A603" s="0" t="s">
        <v>2051</v>
      </c>
      <c r="B603" s="0" t="s">
        <v>1218</v>
      </c>
      <c r="C603" s="0" t="s">
        <v>1006</v>
      </c>
      <c r="D603" s="0" t="s">
        <v>775</v>
      </c>
      <c r="E603" s="0" t="s">
        <v>131</v>
      </c>
      <c r="F603" s="0" t="n">
        <v>2</v>
      </c>
      <c r="G603" s="0" t="n">
        <v>16.5</v>
      </c>
      <c r="H603" s="0" t="n">
        <v>0.7</v>
      </c>
      <c r="I603" s="10" t="n">
        <v>0.606</v>
      </c>
      <c r="J603" s="0" t="n">
        <v>1.03</v>
      </c>
      <c r="K603" s="13" t="n">
        <f aca="false">IF(H603&lt;&gt;"",H603,IFERROR(G603/INDEX(Players!$M$2:$M$105,MATCH(B603,Players!$A$2:$A$105,0)),""))</f>
        <v>0.7</v>
      </c>
    </row>
    <row r="604" customFormat="false" ht="15" hidden="false" customHeight="false" outlineLevel="0" collapsed="false">
      <c r="A604" s="0" t="s">
        <v>2052</v>
      </c>
      <c r="B604" s="0" t="s">
        <v>1190</v>
      </c>
      <c r="C604" s="0" t="s">
        <v>945</v>
      </c>
      <c r="D604" s="0" t="s">
        <v>775</v>
      </c>
      <c r="E604" s="0" t="s">
        <v>96</v>
      </c>
      <c r="F604" s="0" t="n">
        <v>10</v>
      </c>
      <c r="G604" s="0" t="n">
        <v>16</v>
      </c>
      <c r="H604" s="0" t="n">
        <v>0.71</v>
      </c>
      <c r="I604" s="10" t="n">
        <v>0.681</v>
      </c>
      <c r="J604" s="0" t="n">
        <v>1.06</v>
      </c>
      <c r="K604" s="13" t="n">
        <f aca="false">IF(H604&lt;&gt;"",H604,IFERROR(G604/INDEX(Players!$M$2:$M$105,MATCH(B604,Players!$A$2:$A$105,0)),""))</f>
        <v>0.71</v>
      </c>
    </row>
    <row r="605" customFormat="false" ht="15" hidden="false" customHeight="false" outlineLevel="0" collapsed="false">
      <c r="A605" s="0" t="s">
        <v>2053</v>
      </c>
      <c r="B605" s="0" t="s">
        <v>1190</v>
      </c>
      <c r="C605" s="0" t="s">
        <v>945</v>
      </c>
      <c r="D605" s="0" t="s">
        <v>775</v>
      </c>
      <c r="E605" s="0" t="s">
        <v>82</v>
      </c>
      <c r="F605" s="0" t="n">
        <v>8</v>
      </c>
      <c r="G605" s="0" t="n">
        <v>15.9</v>
      </c>
      <c r="H605" s="0" t="n">
        <v>0.81</v>
      </c>
      <c r="I605" s="10" t="n">
        <v>0.685</v>
      </c>
      <c r="J605" s="0" t="n">
        <v>1.21</v>
      </c>
      <c r="K605" s="13" t="n">
        <f aca="false">IF(H605&lt;&gt;"",H605,IFERROR(G605/INDEX(Players!$M$2:$M$105,MATCH(B605,Players!$A$2:$A$105,0)),""))</f>
        <v>0.81</v>
      </c>
    </row>
    <row r="606" customFormat="false" ht="15" hidden="false" customHeight="false" outlineLevel="0" collapsed="false">
      <c r="A606" s="0" t="s">
        <v>2054</v>
      </c>
      <c r="B606" s="0" t="s">
        <v>1190</v>
      </c>
      <c r="C606" s="0" t="s">
        <v>945</v>
      </c>
      <c r="D606" s="0" t="s">
        <v>775</v>
      </c>
      <c r="E606" s="0" t="s">
        <v>118</v>
      </c>
      <c r="F606" s="0" t="n">
        <v>6</v>
      </c>
      <c r="G606" s="0" t="n">
        <v>15</v>
      </c>
      <c r="H606" s="0" t="n">
        <v>0.66</v>
      </c>
      <c r="I606" s="10" t="n">
        <v>0.6</v>
      </c>
      <c r="J606" s="0" t="n">
        <v>0.96</v>
      </c>
      <c r="K606" s="13" t="n">
        <f aca="false">IF(H606&lt;&gt;"",H606,IFERROR(G606/INDEX(Players!$M$2:$M$105,MATCH(B606,Players!$A$2:$A$105,0)),""))</f>
        <v>0.66</v>
      </c>
    </row>
    <row r="607" customFormat="false" ht="15" hidden="false" customHeight="false" outlineLevel="0" collapsed="false">
      <c r="A607" s="0" t="s">
        <v>2055</v>
      </c>
      <c r="B607" s="0" t="s">
        <v>1190</v>
      </c>
      <c r="C607" s="0" t="s">
        <v>945</v>
      </c>
      <c r="D607" s="0" t="s">
        <v>775</v>
      </c>
      <c r="E607" s="0" t="s">
        <v>149</v>
      </c>
      <c r="F607" s="0" t="n">
        <v>5</v>
      </c>
      <c r="G607" s="0" t="n">
        <v>11.4</v>
      </c>
      <c r="H607" s="0" t="n">
        <v>0.61</v>
      </c>
      <c r="I607" s="10" t="n">
        <v>0.614</v>
      </c>
      <c r="J607" s="0" t="n">
        <v>0.92</v>
      </c>
      <c r="K607" s="13" t="n">
        <f aca="false">IF(H607&lt;&gt;"",H607,IFERROR(G607/INDEX(Players!$M$2:$M$105,MATCH(B607,Players!$A$2:$A$105,0)),""))</f>
        <v>0.61</v>
      </c>
    </row>
    <row r="608" customFormat="false" ht="15" hidden="false" customHeight="false" outlineLevel="0" collapsed="false">
      <c r="A608" s="0" t="s">
        <v>2056</v>
      </c>
      <c r="B608" s="0" t="s">
        <v>1190</v>
      </c>
      <c r="C608" s="0" t="s">
        <v>945</v>
      </c>
      <c r="D608" s="0" t="s">
        <v>775</v>
      </c>
      <c r="E608" s="0" t="s">
        <v>142</v>
      </c>
      <c r="F608" s="0" t="n">
        <v>4</v>
      </c>
      <c r="G608" s="0" t="n">
        <v>17</v>
      </c>
      <c r="H608" s="0" t="n">
        <v>0.78</v>
      </c>
      <c r="I608" s="10" t="n">
        <v>0.676</v>
      </c>
      <c r="J608" s="0" t="n">
        <v>1.15</v>
      </c>
      <c r="K608" s="13" t="n">
        <f aca="false">IF(H608&lt;&gt;"",H608,IFERROR(G608/INDEX(Players!$M$2:$M$105,MATCH(B608,Players!$A$2:$A$105,0)),""))</f>
        <v>0.78</v>
      </c>
    </row>
    <row r="609" customFormat="false" ht="15" hidden="false" customHeight="false" outlineLevel="0" collapsed="false">
      <c r="A609" s="0" t="s">
        <v>2057</v>
      </c>
      <c r="B609" s="0" t="s">
        <v>1190</v>
      </c>
      <c r="C609" s="0" t="s">
        <v>945</v>
      </c>
      <c r="D609" s="0" t="s">
        <v>775</v>
      </c>
      <c r="E609" s="0" t="s">
        <v>131</v>
      </c>
      <c r="F609" s="0" t="n">
        <v>2</v>
      </c>
      <c r="G609" s="0" t="n">
        <v>11.5</v>
      </c>
      <c r="H609" s="0" t="n">
        <v>0.61</v>
      </c>
      <c r="I609" s="10" t="n">
        <v>0.609</v>
      </c>
      <c r="J609" s="0" t="n">
        <v>0.79</v>
      </c>
      <c r="K609" s="13" t="n">
        <f aca="false">IF(H609&lt;&gt;"",H609,IFERROR(G609/INDEX(Players!$M$2:$M$105,MATCH(B609,Players!$A$2:$A$105,0)),""))</f>
        <v>0.61</v>
      </c>
    </row>
    <row r="610" customFormat="false" ht="15" hidden="false" customHeight="false" outlineLevel="0" collapsed="false">
      <c r="A610" s="0" t="s">
        <v>2058</v>
      </c>
      <c r="B610" s="0" t="s">
        <v>1190</v>
      </c>
      <c r="C610" s="0" t="s">
        <v>945</v>
      </c>
      <c r="D610" s="0" t="s">
        <v>775</v>
      </c>
      <c r="E610" s="0" t="s">
        <v>109</v>
      </c>
      <c r="F610" s="0" t="n">
        <v>1</v>
      </c>
      <c r="G610" s="0" t="n">
        <v>13</v>
      </c>
      <c r="H610" s="0" t="n">
        <v>0.59</v>
      </c>
      <c r="I610" s="10" t="n">
        <v>0.615</v>
      </c>
      <c r="J610" s="0" t="n">
        <v>0.72</v>
      </c>
      <c r="K610" s="13" t="n">
        <f aca="false">IF(H610&lt;&gt;"",H610,IFERROR(G610/INDEX(Players!$M$2:$M$105,MATCH(B610,Players!$A$2:$A$105,0)),""))</f>
        <v>0.59</v>
      </c>
    </row>
    <row r="611" customFormat="false" ht="15" hidden="false" customHeight="false" outlineLevel="0" collapsed="false">
      <c r="A611" s="0" t="s">
        <v>2059</v>
      </c>
      <c r="B611" s="0" t="s">
        <v>1191</v>
      </c>
      <c r="C611" s="0" t="s">
        <v>947</v>
      </c>
      <c r="D611" s="0" t="s">
        <v>775</v>
      </c>
      <c r="E611" s="0" t="s">
        <v>118</v>
      </c>
      <c r="F611" s="0" t="n">
        <v>8</v>
      </c>
      <c r="G611" s="0" t="n">
        <v>16.9</v>
      </c>
      <c r="H611" s="0" t="n">
        <v>0.7</v>
      </c>
      <c r="I611" s="10" t="n">
        <v>0.422</v>
      </c>
      <c r="J611" s="0" t="n">
        <v>1.11</v>
      </c>
      <c r="K611" s="13" t="n">
        <f aca="false">IF(H611&lt;&gt;"",H611,IFERROR(G611/INDEX(Players!$M$2:$M$105,MATCH(B611,Players!$A$2:$A$105,0)),""))</f>
        <v>0.7</v>
      </c>
    </row>
    <row r="612" customFormat="false" ht="15" hidden="false" customHeight="false" outlineLevel="0" collapsed="false">
      <c r="A612" s="0" t="s">
        <v>2060</v>
      </c>
      <c r="B612" s="0" t="s">
        <v>1191</v>
      </c>
      <c r="C612" s="0" t="s">
        <v>947</v>
      </c>
      <c r="D612" s="0" t="s">
        <v>775</v>
      </c>
      <c r="E612" s="0" t="s">
        <v>149</v>
      </c>
      <c r="F612" s="0" t="n">
        <v>7</v>
      </c>
      <c r="G612" s="0" t="n">
        <v>17.1</v>
      </c>
      <c r="H612" s="0" t="n">
        <v>0.93</v>
      </c>
      <c r="I612" s="10" t="n">
        <v>0.333</v>
      </c>
      <c r="J612" s="0" t="n">
        <v>1.88</v>
      </c>
      <c r="K612" s="13" t="n">
        <f aca="false">IF(H612&lt;&gt;"",H612,IFERROR(G612/INDEX(Players!$M$2:$M$105,MATCH(B612,Players!$A$2:$A$105,0)),""))</f>
        <v>0.93</v>
      </c>
    </row>
    <row r="613" customFormat="false" ht="15" hidden="false" customHeight="false" outlineLevel="0" collapsed="false">
      <c r="A613" s="0" t="s">
        <v>2061</v>
      </c>
      <c r="B613" s="0" t="s">
        <v>1191</v>
      </c>
      <c r="C613" s="0" t="s">
        <v>947</v>
      </c>
      <c r="D613" s="0" t="s">
        <v>775</v>
      </c>
      <c r="E613" s="0" t="s">
        <v>82</v>
      </c>
      <c r="F613" s="0" t="n">
        <v>7</v>
      </c>
      <c r="G613" s="0" t="n">
        <v>11.3</v>
      </c>
      <c r="H613" s="0" t="n">
        <v>0.54</v>
      </c>
      <c r="I613" s="10" t="n">
        <v>0.418</v>
      </c>
      <c r="J613" s="0" t="n">
        <v>0.81</v>
      </c>
      <c r="K613" s="13" t="n">
        <f aca="false">IF(H613&lt;&gt;"",H613,IFERROR(G613/INDEX(Players!$M$2:$M$105,MATCH(B613,Players!$A$2:$A$105,0)),""))</f>
        <v>0.54</v>
      </c>
    </row>
    <row r="614" customFormat="false" ht="15" hidden="false" customHeight="false" outlineLevel="0" collapsed="false">
      <c r="A614" s="0" t="s">
        <v>2062</v>
      </c>
      <c r="B614" s="0" t="s">
        <v>1191</v>
      </c>
      <c r="C614" s="0" t="s">
        <v>947</v>
      </c>
      <c r="D614" s="0" t="s">
        <v>775</v>
      </c>
      <c r="E614" s="0" t="s">
        <v>96</v>
      </c>
      <c r="F614" s="0" t="n">
        <v>5</v>
      </c>
      <c r="G614" s="0" t="n">
        <v>15.8</v>
      </c>
      <c r="H614" s="0" t="n">
        <v>0.65</v>
      </c>
      <c r="I614" s="10" t="n">
        <v>0.38</v>
      </c>
      <c r="J614" s="0" t="n">
        <v>1.08</v>
      </c>
      <c r="K614" s="13" t="n">
        <f aca="false">IF(H614&lt;&gt;"",H614,IFERROR(G614/INDEX(Players!$M$2:$M$105,MATCH(B614,Players!$A$2:$A$105,0)),""))</f>
        <v>0.65</v>
      </c>
    </row>
    <row r="615" customFormat="false" ht="15" hidden="false" customHeight="false" outlineLevel="0" collapsed="false">
      <c r="A615" s="0" t="s">
        <v>2063</v>
      </c>
      <c r="B615" s="0" t="s">
        <v>1191</v>
      </c>
      <c r="C615" s="0" t="s">
        <v>947</v>
      </c>
      <c r="D615" s="0" t="s">
        <v>775</v>
      </c>
      <c r="E615" s="0" t="s">
        <v>142</v>
      </c>
      <c r="F615" s="0" t="n">
        <v>4</v>
      </c>
      <c r="G615" s="0" t="n">
        <v>18.3</v>
      </c>
      <c r="H615" s="0" t="n">
        <v>0.71</v>
      </c>
      <c r="I615" s="10" t="n">
        <v>0.342</v>
      </c>
      <c r="J615" s="0" t="n">
        <v>1.11</v>
      </c>
      <c r="K615" s="13" t="n">
        <f aca="false">IF(H615&lt;&gt;"",H615,IFERROR(G615/INDEX(Players!$M$2:$M$105,MATCH(B615,Players!$A$2:$A$105,0)),""))</f>
        <v>0.71</v>
      </c>
    </row>
    <row r="616" customFormat="false" ht="15" hidden="false" customHeight="false" outlineLevel="0" collapsed="false">
      <c r="A616" s="0" t="s">
        <v>2064</v>
      </c>
      <c r="B616" s="0" t="s">
        <v>1191</v>
      </c>
      <c r="C616" s="0" t="s">
        <v>947</v>
      </c>
      <c r="D616" s="0" t="s">
        <v>775</v>
      </c>
      <c r="E616" s="0" t="s">
        <v>109</v>
      </c>
      <c r="F616" s="0" t="n">
        <v>3</v>
      </c>
      <c r="G616" s="0" t="n">
        <v>15.3</v>
      </c>
      <c r="H616" s="0" t="n">
        <v>0.7</v>
      </c>
      <c r="I616" s="10" t="n">
        <v>0.435</v>
      </c>
      <c r="J616" s="0" t="n">
        <v>1.31</v>
      </c>
      <c r="K616" s="13" t="n">
        <f aca="false">IF(H616&lt;&gt;"",H616,IFERROR(G616/INDEX(Players!$M$2:$M$105,MATCH(B616,Players!$A$2:$A$105,0)),""))</f>
        <v>0.7</v>
      </c>
    </row>
    <row r="617" customFormat="false" ht="15" hidden="false" customHeight="false" outlineLevel="0" collapsed="false">
      <c r="A617" s="0" t="s">
        <v>2065</v>
      </c>
      <c r="B617" s="0" t="s">
        <v>1191</v>
      </c>
      <c r="C617" s="0" t="s">
        <v>947</v>
      </c>
      <c r="D617" s="0" t="s">
        <v>775</v>
      </c>
      <c r="E617" s="0" t="s">
        <v>131</v>
      </c>
      <c r="F617" s="0" t="n">
        <v>1</v>
      </c>
      <c r="G617" s="0" t="n">
        <v>10</v>
      </c>
      <c r="H617" s="0" t="n">
        <v>0.63</v>
      </c>
      <c r="I617" s="10" t="n">
        <v>0.4</v>
      </c>
      <c r="J617" s="0" t="n">
        <v>1.43</v>
      </c>
      <c r="K617" s="13" t="n">
        <f aca="false">IF(H617&lt;&gt;"",H617,IFERROR(G617/INDEX(Players!$M$2:$M$105,MATCH(B617,Players!$A$2:$A$105,0)),""))</f>
        <v>0.63</v>
      </c>
    </row>
    <row r="618" customFormat="false" ht="15" hidden="false" customHeight="false" outlineLevel="0" collapsed="false">
      <c r="A618" s="0" t="s">
        <v>2066</v>
      </c>
      <c r="B618" s="0" t="s">
        <v>1176</v>
      </c>
      <c r="C618" s="0" t="s">
        <v>915</v>
      </c>
      <c r="D618" s="0" t="s">
        <v>775</v>
      </c>
      <c r="E618" s="0" t="s">
        <v>109</v>
      </c>
      <c r="F618" s="0" t="n">
        <v>6</v>
      </c>
      <c r="G618" s="0" t="n">
        <v>17.2</v>
      </c>
      <c r="H618" s="0" t="n">
        <v>0.77</v>
      </c>
      <c r="I618" s="10" t="n">
        <v>0.631</v>
      </c>
      <c r="J618" s="0" t="n">
        <v>1.24</v>
      </c>
      <c r="K618" s="13" t="n">
        <f aca="false">IF(H618&lt;&gt;"",H618,IFERROR(G618/INDEX(Players!$M$2:$M$105,MATCH(B618,Players!$A$2:$A$105,0)),""))</f>
        <v>0.77</v>
      </c>
    </row>
    <row r="619" customFormat="false" ht="15" hidden="false" customHeight="false" outlineLevel="0" collapsed="false">
      <c r="A619" s="0" t="s">
        <v>2067</v>
      </c>
      <c r="B619" s="0" t="s">
        <v>1176</v>
      </c>
      <c r="C619" s="0" t="s">
        <v>915</v>
      </c>
      <c r="D619" s="0" t="s">
        <v>775</v>
      </c>
      <c r="E619" s="0" t="s">
        <v>142</v>
      </c>
      <c r="F619" s="0" t="n">
        <v>6</v>
      </c>
      <c r="G619" s="0" t="n">
        <v>16.2</v>
      </c>
      <c r="H619" s="0" t="n">
        <v>0.71</v>
      </c>
      <c r="I619" s="10" t="n">
        <v>0.505</v>
      </c>
      <c r="J619" s="0" t="n">
        <v>1.11</v>
      </c>
      <c r="K619" s="13" t="n">
        <f aca="false">IF(H619&lt;&gt;"",H619,IFERROR(G619/INDEX(Players!$M$2:$M$105,MATCH(B619,Players!$A$2:$A$105,0)),""))</f>
        <v>0.71</v>
      </c>
    </row>
    <row r="620" customFormat="false" ht="15" hidden="false" customHeight="false" outlineLevel="0" collapsed="false">
      <c r="A620" s="0" t="s">
        <v>2068</v>
      </c>
      <c r="B620" s="0" t="s">
        <v>1176</v>
      </c>
      <c r="C620" s="0" t="s">
        <v>915</v>
      </c>
      <c r="D620" s="0" t="s">
        <v>775</v>
      </c>
      <c r="E620" s="0" t="s">
        <v>96</v>
      </c>
      <c r="F620" s="0" t="n">
        <v>6</v>
      </c>
      <c r="G620" s="0" t="n">
        <v>14.8</v>
      </c>
      <c r="H620" s="0" t="n">
        <v>0.59</v>
      </c>
      <c r="I620" s="10" t="n">
        <v>0.528</v>
      </c>
      <c r="J620" s="0" t="n">
        <v>0.85</v>
      </c>
      <c r="K620" s="13" t="n">
        <f aca="false">IF(H620&lt;&gt;"",H620,IFERROR(G620/INDEX(Players!$M$2:$M$105,MATCH(B620,Players!$A$2:$A$105,0)),""))</f>
        <v>0.59</v>
      </c>
    </row>
    <row r="621" customFormat="false" ht="15" hidden="false" customHeight="false" outlineLevel="0" collapsed="false">
      <c r="A621" s="0" t="s">
        <v>2069</v>
      </c>
      <c r="B621" s="0" t="s">
        <v>1176</v>
      </c>
      <c r="C621" s="0" t="s">
        <v>915</v>
      </c>
      <c r="D621" s="0" t="s">
        <v>775</v>
      </c>
      <c r="E621" s="0" t="s">
        <v>118</v>
      </c>
      <c r="F621" s="0" t="n">
        <v>5</v>
      </c>
      <c r="G621" s="0" t="n">
        <v>21.6</v>
      </c>
      <c r="H621" s="0" t="n">
        <v>0.96</v>
      </c>
      <c r="I621" s="10" t="n">
        <v>0.593</v>
      </c>
      <c r="J621" s="0" t="n">
        <v>1.44</v>
      </c>
      <c r="K621" s="13" t="n">
        <f aca="false">IF(H621&lt;&gt;"",H621,IFERROR(G621/INDEX(Players!$M$2:$M$105,MATCH(B621,Players!$A$2:$A$105,0)),""))</f>
        <v>0.96</v>
      </c>
    </row>
    <row r="622" customFormat="false" ht="15" hidden="false" customHeight="false" outlineLevel="0" collapsed="false">
      <c r="A622" s="0" t="s">
        <v>2070</v>
      </c>
      <c r="B622" s="0" t="s">
        <v>1176</v>
      </c>
      <c r="C622" s="0" t="s">
        <v>915</v>
      </c>
      <c r="D622" s="0" t="s">
        <v>775</v>
      </c>
      <c r="E622" s="0" t="s">
        <v>131</v>
      </c>
      <c r="F622" s="0" t="n">
        <v>5</v>
      </c>
      <c r="G622" s="0" t="n">
        <v>12.4</v>
      </c>
      <c r="H622" s="0" t="n">
        <v>0.57</v>
      </c>
      <c r="I622" s="10" t="n">
        <v>0.613</v>
      </c>
      <c r="J622" s="0" t="n">
        <v>0.86</v>
      </c>
      <c r="K622" s="13" t="n">
        <f aca="false">IF(H622&lt;&gt;"",H622,IFERROR(G622/INDEX(Players!$M$2:$M$105,MATCH(B622,Players!$A$2:$A$105,0)),""))</f>
        <v>0.57</v>
      </c>
    </row>
    <row r="623" customFormat="false" ht="15" hidden="false" customHeight="false" outlineLevel="0" collapsed="false">
      <c r="A623" s="0" t="s">
        <v>2071</v>
      </c>
      <c r="B623" s="0" t="s">
        <v>1176</v>
      </c>
      <c r="C623" s="0" t="s">
        <v>915</v>
      </c>
      <c r="D623" s="0" t="s">
        <v>775</v>
      </c>
      <c r="E623" s="0" t="s">
        <v>82</v>
      </c>
      <c r="F623" s="0" t="n">
        <v>4</v>
      </c>
      <c r="G623" s="0" t="n">
        <v>19.3</v>
      </c>
      <c r="H623" s="0" t="n">
        <v>0.79</v>
      </c>
      <c r="I623" s="10" t="n">
        <v>0.532</v>
      </c>
      <c r="J623" s="0" t="n">
        <v>1.24</v>
      </c>
      <c r="K623" s="13" t="n">
        <f aca="false">IF(H623&lt;&gt;"",H623,IFERROR(G623/INDEX(Players!$M$2:$M$105,MATCH(B623,Players!$A$2:$A$105,0)),""))</f>
        <v>0.79</v>
      </c>
    </row>
    <row r="624" customFormat="false" ht="15" hidden="false" customHeight="false" outlineLevel="0" collapsed="false">
      <c r="A624" s="0" t="s">
        <v>2072</v>
      </c>
      <c r="B624" s="0" t="s">
        <v>1251</v>
      </c>
      <c r="C624" s="0" t="s">
        <v>1075</v>
      </c>
      <c r="D624" s="0" t="s">
        <v>775</v>
      </c>
      <c r="E624" s="0" t="s">
        <v>142</v>
      </c>
      <c r="F624" s="0" t="n">
        <v>8</v>
      </c>
      <c r="G624" s="0" t="n">
        <v>13</v>
      </c>
      <c r="H624" s="0" t="n">
        <v>0.66</v>
      </c>
      <c r="I624" s="10" t="n">
        <v>0.221</v>
      </c>
      <c r="J624" s="0" t="n">
        <v>1.17</v>
      </c>
      <c r="K624" s="13" t="n">
        <f aca="false">IF(H624&lt;&gt;"",H624,IFERROR(G624/INDEX(Players!$M$2:$M$105,MATCH(B624,Players!$A$2:$A$105,0)),""))</f>
        <v>0.66</v>
      </c>
    </row>
    <row r="625" customFormat="false" ht="15" hidden="false" customHeight="false" outlineLevel="0" collapsed="false">
      <c r="A625" s="0" t="s">
        <v>2073</v>
      </c>
      <c r="B625" s="0" t="s">
        <v>1251</v>
      </c>
      <c r="C625" s="0" t="s">
        <v>1075</v>
      </c>
      <c r="D625" s="0" t="s">
        <v>775</v>
      </c>
      <c r="E625" s="0" t="s">
        <v>96</v>
      </c>
      <c r="F625" s="0" t="n">
        <v>7</v>
      </c>
      <c r="G625" s="0" t="n">
        <v>18.3</v>
      </c>
      <c r="H625" s="0" t="n">
        <v>0.81</v>
      </c>
      <c r="I625" s="10" t="n">
        <v>0.313</v>
      </c>
      <c r="J625" s="0" t="n">
        <v>1.28</v>
      </c>
      <c r="K625" s="13" t="n">
        <f aca="false">IF(H625&lt;&gt;"",H625,IFERROR(G625/INDEX(Players!$M$2:$M$105,MATCH(B625,Players!$A$2:$A$105,0)),""))</f>
        <v>0.81</v>
      </c>
    </row>
    <row r="626" customFormat="false" ht="15" hidden="false" customHeight="false" outlineLevel="0" collapsed="false">
      <c r="A626" s="0" t="s">
        <v>2074</v>
      </c>
      <c r="B626" s="0" t="s">
        <v>1251</v>
      </c>
      <c r="C626" s="0" t="s">
        <v>1075</v>
      </c>
      <c r="D626" s="0" t="s">
        <v>775</v>
      </c>
      <c r="E626" s="0" t="s">
        <v>82</v>
      </c>
      <c r="F626" s="0" t="n">
        <v>6</v>
      </c>
      <c r="G626" s="0" t="n">
        <v>18.3</v>
      </c>
      <c r="H626" s="0" t="n">
        <v>0.8</v>
      </c>
      <c r="I626" s="10" t="n">
        <v>0.3</v>
      </c>
      <c r="J626" s="0" t="n">
        <v>1.41</v>
      </c>
      <c r="K626" s="13" t="n">
        <f aca="false">IF(H626&lt;&gt;"",H626,IFERROR(G626/INDEX(Players!$M$2:$M$105,MATCH(B626,Players!$A$2:$A$105,0)),""))</f>
        <v>0.8</v>
      </c>
    </row>
    <row r="627" customFormat="false" ht="15" hidden="false" customHeight="false" outlineLevel="0" collapsed="false">
      <c r="A627" s="0" t="s">
        <v>2075</v>
      </c>
      <c r="B627" s="0" t="s">
        <v>1251</v>
      </c>
      <c r="C627" s="0" t="s">
        <v>1075</v>
      </c>
      <c r="D627" s="0" t="s">
        <v>775</v>
      </c>
      <c r="E627" s="0" t="s">
        <v>131</v>
      </c>
      <c r="F627" s="0" t="n">
        <v>6</v>
      </c>
      <c r="G627" s="0" t="n">
        <v>16.2</v>
      </c>
      <c r="H627" s="0" t="n">
        <v>0.72</v>
      </c>
      <c r="I627" s="10" t="n">
        <v>0.371</v>
      </c>
      <c r="J627" s="0" t="n">
        <v>1.05</v>
      </c>
      <c r="K627" s="13" t="n">
        <f aca="false">IF(H627&lt;&gt;"",H627,IFERROR(G627/INDEX(Players!$M$2:$M$105,MATCH(B627,Players!$A$2:$A$105,0)),""))</f>
        <v>0.72</v>
      </c>
    </row>
    <row r="628" customFormat="false" ht="15" hidden="false" customHeight="false" outlineLevel="0" collapsed="false">
      <c r="A628" s="0" t="s">
        <v>2076</v>
      </c>
      <c r="B628" s="0" t="s">
        <v>1251</v>
      </c>
      <c r="C628" s="0" t="s">
        <v>1075</v>
      </c>
      <c r="D628" s="0" t="s">
        <v>775</v>
      </c>
      <c r="E628" s="0" t="s">
        <v>149</v>
      </c>
      <c r="F628" s="0" t="n">
        <v>4</v>
      </c>
      <c r="G628" s="0" t="n">
        <v>16.3</v>
      </c>
      <c r="H628" s="0" t="n">
        <v>0.84</v>
      </c>
      <c r="I628" s="10" t="n">
        <v>0.338</v>
      </c>
      <c r="J628" s="0" t="n">
        <v>1.44</v>
      </c>
      <c r="K628" s="13" t="n">
        <f aca="false">IF(H628&lt;&gt;"",H628,IFERROR(G628/INDEX(Players!$M$2:$M$105,MATCH(B628,Players!$A$2:$A$105,0)),""))</f>
        <v>0.84</v>
      </c>
    </row>
    <row r="629" customFormat="false" ht="15" hidden="false" customHeight="false" outlineLevel="0" collapsed="false">
      <c r="A629" s="0" t="s">
        <v>2077</v>
      </c>
      <c r="B629" s="0" t="s">
        <v>1251</v>
      </c>
      <c r="C629" s="0" t="s">
        <v>1075</v>
      </c>
      <c r="D629" s="0" t="s">
        <v>775</v>
      </c>
      <c r="E629" s="0" t="s">
        <v>118</v>
      </c>
      <c r="F629" s="0" t="n">
        <v>3</v>
      </c>
      <c r="G629" s="0" t="n">
        <v>14.7</v>
      </c>
      <c r="H629" s="0" t="n">
        <v>0.68</v>
      </c>
      <c r="I629" s="10" t="n">
        <v>0.364</v>
      </c>
      <c r="J629" s="0" t="n">
        <v>1</v>
      </c>
      <c r="K629" s="13" t="n">
        <f aca="false">IF(H629&lt;&gt;"",H629,IFERROR(G629/INDEX(Players!$M$2:$M$105,MATCH(B629,Players!$A$2:$A$105,0)),""))</f>
        <v>0.68</v>
      </c>
    </row>
    <row r="630" customFormat="false" ht="15" hidden="false" customHeight="false" outlineLevel="0" collapsed="false">
      <c r="A630" s="0" t="s">
        <v>2078</v>
      </c>
      <c r="B630" s="0" t="s">
        <v>1181</v>
      </c>
      <c r="C630" s="0" t="s">
        <v>926</v>
      </c>
      <c r="D630" s="0" t="s">
        <v>775</v>
      </c>
      <c r="E630" s="0" t="s">
        <v>131</v>
      </c>
      <c r="F630" s="0" t="n">
        <v>8</v>
      </c>
      <c r="G630" s="0" t="n">
        <v>11.9</v>
      </c>
      <c r="H630" s="0" t="n">
        <v>0.6</v>
      </c>
      <c r="I630" s="10" t="n">
        <v>0.505</v>
      </c>
      <c r="J630" s="0" t="n">
        <v>0.95</v>
      </c>
      <c r="K630" s="13" t="n">
        <f aca="false">IF(H630&lt;&gt;"",H630,IFERROR(G630/INDEX(Players!$M$2:$M$105,MATCH(B630,Players!$A$2:$A$105,0)),""))</f>
        <v>0.6</v>
      </c>
    </row>
    <row r="631" customFormat="false" ht="15" hidden="false" customHeight="false" outlineLevel="0" collapsed="false">
      <c r="A631" s="0" t="s">
        <v>2079</v>
      </c>
      <c r="B631" s="0" t="s">
        <v>1181</v>
      </c>
      <c r="C631" s="0" t="s">
        <v>926</v>
      </c>
      <c r="D631" s="0" t="s">
        <v>775</v>
      </c>
      <c r="E631" s="0" t="s">
        <v>118</v>
      </c>
      <c r="F631" s="0" t="n">
        <v>6</v>
      </c>
      <c r="G631" s="0" t="n">
        <v>15</v>
      </c>
      <c r="H631" s="0" t="n">
        <v>0.77</v>
      </c>
      <c r="I631" s="10" t="n">
        <v>0.556</v>
      </c>
      <c r="J631" s="0" t="n">
        <v>1.32</v>
      </c>
      <c r="K631" s="13" t="n">
        <f aca="false">IF(H631&lt;&gt;"",H631,IFERROR(G631/INDEX(Players!$M$2:$M$105,MATCH(B631,Players!$A$2:$A$105,0)),""))</f>
        <v>0.77</v>
      </c>
    </row>
    <row r="632" customFormat="false" ht="15" hidden="false" customHeight="false" outlineLevel="0" collapsed="false">
      <c r="A632" s="0" t="s">
        <v>2080</v>
      </c>
      <c r="B632" s="0" t="s">
        <v>1181</v>
      </c>
      <c r="C632" s="0" t="s">
        <v>926</v>
      </c>
      <c r="D632" s="0" t="s">
        <v>775</v>
      </c>
      <c r="E632" s="0" t="s">
        <v>96</v>
      </c>
      <c r="F632" s="0" t="n">
        <v>5</v>
      </c>
      <c r="G632" s="0" t="n">
        <v>12.8</v>
      </c>
      <c r="H632" s="0" t="n">
        <v>0.62</v>
      </c>
      <c r="I632" s="10" t="n">
        <v>0.438</v>
      </c>
      <c r="J632" s="0" t="n">
        <v>0.78</v>
      </c>
      <c r="K632" s="13" t="n">
        <f aca="false">IF(H632&lt;&gt;"",H632,IFERROR(G632/INDEX(Players!$M$2:$M$105,MATCH(B632,Players!$A$2:$A$105,0)),""))</f>
        <v>0.62</v>
      </c>
    </row>
    <row r="633" customFormat="false" ht="15" hidden="false" customHeight="false" outlineLevel="0" collapsed="false">
      <c r="A633" s="0" t="s">
        <v>2081</v>
      </c>
      <c r="B633" s="0" t="s">
        <v>1181</v>
      </c>
      <c r="C633" s="0" t="s">
        <v>926</v>
      </c>
      <c r="D633" s="0" t="s">
        <v>775</v>
      </c>
      <c r="E633" s="0" t="s">
        <v>82</v>
      </c>
      <c r="F633" s="0" t="n">
        <v>3</v>
      </c>
      <c r="G633" s="0" t="n">
        <v>14.7</v>
      </c>
      <c r="H633" s="0" t="n">
        <v>0.85</v>
      </c>
      <c r="I633" s="10" t="n">
        <v>0.636</v>
      </c>
      <c r="J633" s="0" t="n">
        <v>1.33</v>
      </c>
      <c r="K633" s="13" t="n">
        <f aca="false">IF(H633&lt;&gt;"",H633,IFERROR(G633/INDEX(Players!$M$2:$M$105,MATCH(B633,Players!$A$2:$A$105,0)),""))</f>
        <v>0.85</v>
      </c>
    </row>
    <row r="634" customFormat="false" ht="15" hidden="false" customHeight="false" outlineLevel="0" collapsed="false">
      <c r="A634" s="0" t="s">
        <v>2082</v>
      </c>
      <c r="B634" s="0" t="s">
        <v>1181</v>
      </c>
      <c r="C634" s="0" t="s">
        <v>926</v>
      </c>
      <c r="D634" s="0" t="s">
        <v>775</v>
      </c>
      <c r="E634" s="0" t="s">
        <v>142</v>
      </c>
      <c r="F634" s="0" t="n">
        <v>3</v>
      </c>
      <c r="G634" s="0" t="n">
        <v>16.3</v>
      </c>
      <c r="H634" s="0" t="n">
        <v>0.54</v>
      </c>
      <c r="I634" s="10" t="n">
        <v>0.449</v>
      </c>
      <c r="J634" s="0" t="n">
        <v>0.74</v>
      </c>
      <c r="K634" s="13" t="n">
        <f aca="false">IF(H634&lt;&gt;"",H634,IFERROR(G634/INDEX(Players!$M$2:$M$105,MATCH(B634,Players!$A$2:$A$105,0)),""))</f>
        <v>0.54</v>
      </c>
    </row>
    <row r="635" customFormat="false" ht="15" hidden="false" customHeight="false" outlineLevel="0" collapsed="false">
      <c r="A635" s="0" t="s">
        <v>2083</v>
      </c>
      <c r="B635" s="0" t="s">
        <v>1181</v>
      </c>
      <c r="C635" s="0" t="s">
        <v>926</v>
      </c>
      <c r="D635" s="0" t="s">
        <v>775</v>
      </c>
      <c r="E635" s="0" t="s">
        <v>149</v>
      </c>
      <c r="F635" s="0" t="n">
        <v>2</v>
      </c>
      <c r="G635" s="0" t="n">
        <v>8.5</v>
      </c>
      <c r="H635" s="0" t="n">
        <v>0.42</v>
      </c>
      <c r="I635" s="10" t="n">
        <v>0.235</v>
      </c>
      <c r="J635" s="0" t="n">
        <v>0.63</v>
      </c>
      <c r="K635" s="13" t="n">
        <f aca="false">IF(H635&lt;&gt;"",H635,IFERROR(G635/INDEX(Players!$M$2:$M$105,MATCH(B635,Players!$A$2:$A$105,0)),""))</f>
        <v>0.42</v>
      </c>
    </row>
    <row r="636" customFormat="false" ht="15" hidden="false" customHeight="false" outlineLevel="0" collapsed="false">
      <c r="A636" s="0" t="s">
        <v>2084</v>
      </c>
      <c r="B636" s="0" t="s">
        <v>1181</v>
      </c>
      <c r="C636" s="0" t="s">
        <v>926</v>
      </c>
      <c r="D636" s="0" t="s">
        <v>775</v>
      </c>
      <c r="E636" s="0" t="s">
        <v>109</v>
      </c>
      <c r="F636" s="0" t="n">
        <v>1</v>
      </c>
      <c r="G636" s="0" t="n">
        <v>10</v>
      </c>
      <c r="H636" s="0" t="n">
        <v>0.48</v>
      </c>
      <c r="I636" s="10" t="n">
        <v>0.5</v>
      </c>
      <c r="J636" s="0" t="n">
        <v>0.59</v>
      </c>
      <c r="K636" s="13" t="n">
        <f aca="false">IF(H636&lt;&gt;"",H636,IFERROR(G636/INDEX(Players!$M$2:$M$105,MATCH(B636,Players!$A$2:$A$105,0)),""))</f>
        <v>0.48</v>
      </c>
    </row>
    <row r="637" customFormat="false" ht="15" hidden="false" customHeight="false" outlineLevel="0" collapsed="false">
      <c r="A637" s="0" t="s">
        <v>2085</v>
      </c>
      <c r="B637" s="0" t="s">
        <v>1219</v>
      </c>
      <c r="C637" s="0" t="s">
        <v>1009</v>
      </c>
      <c r="D637" s="0" t="s">
        <v>775</v>
      </c>
      <c r="E637" s="0" t="s">
        <v>109</v>
      </c>
      <c r="F637" s="0" t="n">
        <v>9</v>
      </c>
      <c r="G637" s="0" t="n">
        <v>12.8</v>
      </c>
      <c r="H637" s="0" t="n">
        <v>0.58</v>
      </c>
      <c r="I637" s="10" t="n">
        <v>0.487</v>
      </c>
      <c r="J637" s="0" t="n">
        <v>1.03</v>
      </c>
      <c r="K637" s="13" t="n">
        <f aca="false">IF(H637&lt;&gt;"",H637,IFERROR(G637/INDEX(Players!$M$2:$M$105,MATCH(B637,Players!$A$2:$A$105,0)),""))</f>
        <v>0.58</v>
      </c>
    </row>
    <row r="638" customFormat="false" ht="15" hidden="false" customHeight="false" outlineLevel="0" collapsed="false">
      <c r="A638" s="0" t="s">
        <v>2086</v>
      </c>
      <c r="B638" s="0" t="s">
        <v>1219</v>
      </c>
      <c r="C638" s="0" t="s">
        <v>1009</v>
      </c>
      <c r="D638" s="0" t="s">
        <v>775</v>
      </c>
      <c r="E638" s="0" t="s">
        <v>82</v>
      </c>
      <c r="F638" s="0" t="n">
        <v>9</v>
      </c>
      <c r="G638" s="0" t="n">
        <v>12.8</v>
      </c>
      <c r="H638" s="0" t="n">
        <v>0.62</v>
      </c>
      <c r="I638" s="10" t="n">
        <v>0.6</v>
      </c>
      <c r="J638" s="0" t="n">
        <v>0.98</v>
      </c>
      <c r="K638" s="13" t="n">
        <f aca="false">IF(H638&lt;&gt;"",H638,IFERROR(G638/INDEX(Players!$M$2:$M$105,MATCH(B638,Players!$A$2:$A$105,0)),""))</f>
        <v>0.62</v>
      </c>
    </row>
    <row r="639" customFormat="false" ht="15" hidden="false" customHeight="false" outlineLevel="0" collapsed="false">
      <c r="A639" s="0" t="s">
        <v>2087</v>
      </c>
      <c r="B639" s="0" t="s">
        <v>1219</v>
      </c>
      <c r="C639" s="0" t="s">
        <v>1009</v>
      </c>
      <c r="D639" s="0" t="s">
        <v>775</v>
      </c>
      <c r="E639" s="0" t="s">
        <v>96</v>
      </c>
      <c r="F639" s="0" t="n">
        <v>6</v>
      </c>
      <c r="G639" s="0" t="n">
        <v>12</v>
      </c>
      <c r="H639" s="0" t="n">
        <v>0.61</v>
      </c>
      <c r="I639" s="10" t="n">
        <v>0.556</v>
      </c>
      <c r="J639" s="0" t="n">
        <v>0.86</v>
      </c>
      <c r="K639" s="13" t="n">
        <f aca="false">IF(H639&lt;&gt;"",H639,IFERROR(G639/INDEX(Players!$M$2:$M$105,MATCH(B639,Players!$A$2:$A$105,0)),""))</f>
        <v>0.61</v>
      </c>
    </row>
    <row r="640" customFormat="false" ht="15" hidden="false" customHeight="false" outlineLevel="0" collapsed="false">
      <c r="A640" s="0" t="s">
        <v>2088</v>
      </c>
      <c r="B640" s="0" t="s">
        <v>1219</v>
      </c>
      <c r="C640" s="0" t="s">
        <v>1009</v>
      </c>
      <c r="D640" s="0" t="s">
        <v>775</v>
      </c>
      <c r="E640" s="0" t="s">
        <v>142</v>
      </c>
      <c r="F640" s="0" t="n">
        <v>5</v>
      </c>
      <c r="G640" s="0" t="n">
        <v>14.4</v>
      </c>
      <c r="H640" s="0" t="n">
        <v>0.66</v>
      </c>
      <c r="I640" s="10" t="n">
        <v>0.542</v>
      </c>
      <c r="J640" s="0" t="n">
        <v>1.04</v>
      </c>
      <c r="K640" s="13" t="n">
        <f aca="false">IF(H640&lt;&gt;"",H640,IFERROR(G640/INDEX(Players!$M$2:$M$105,MATCH(B640,Players!$A$2:$A$105,0)),""))</f>
        <v>0.66</v>
      </c>
    </row>
    <row r="641" customFormat="false" ht="15" hidden="false" customHeight="false" outlineLevel="0" collapsed="false">
      <c r="A641" s="0" t="s">
        <v>2089</v>
      </c>
      <c r="B641" s="0" t="s">
        <v>1219</v>
      </c>
      <c r="C641" s="0" t="s">
        <v>1009</v>
      </c>
      <c r="D641" s="0" t="s">
        <v>775</v>
      </c>
      <c r="E641" s="0" t="s">
        <v>149</v>
      </c>
      <c r="F641" s="0" t="n">
        <v>4</v>
      </c>
      <c r="G641" s="0" t="n">
        <v>9.3</v>
      </c>
      <c r="H641" s="0" t="n">
        <v>0.49</v>
      </c>
      <c r="I641" s="10" t="n">
        <v>0.432</v>
      </c>
      <c r="J641" s="0" t="n">
        <v>0.67</v>
      </c>
      <c r="K641" s="13" t="n">
        <f aca="false">IF(H641&lt;&gt;"",H641,IFERROR(G641/INDEX(Players!$M$2:$M$105,MATCH(B641,Players!$A$2:$A$105,0)),""))</f>
        <v>0.49</v>
      </c>
    </row>
    <row r="642" customFormat="false" ht="15" hidden="false" customHeight="false" outlineLevel="0" collapsed="false">
      <c r="A642" s="0" t="s">
        <v>2090</v>
      </c>
      <c r="B642" s="0" t="s">
        <v>1219</v>
      </c>
      <c r="C642" s="0" t="s">
        <v>1009</v>
      </c>
      <c r="D642" s="0" t="s">
        <v>775</v>
      </c>
      <c r="E642" s="0" t="s">
        <v>131</v>
      </c>
      <c r="F642" s="0" t="n">
        <v>2</v>
      </c>
      <c r="G642" s="0" t="n">
        <v>12.5</v>
      </c>
      <c r="H642" s="0" t="n">
        <v>0.53</v>
      </c>
      <c r="I642" s="10" t="n">
        <v>0.48</v>
      </c>
      <c r="J642" s="0" t="n">
        <v>0.78</v>
      </c>
      <c r="K642" s="13" t="n">
        <f aca="false">IF(H642&lt;&gt;"",H642,IFERROR(G642/INDEX(Players!$M$2:$M$105,MATCH(B642,Players!$A$2:$A$105,0)),""))</f>
        <v>0.53</v>
      </c>
    </row>
  </sheetData>
  <autoFilter ref="A1:K6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8"/>
  </cols>
  <sheetData>
    <row r="1" customFormat="false" ht="28.35" hidden="false" customHeight="false" outlineLevel="0" collapsed="false">
      <c r="A1" s="12" t="s">
        <v>737</v>
      </c>
      <c r="B1" s="12" t="s">
        <v>2091</v>
      </c>
      <c r="C1" s="12" t="s">
        <v>2092</v>
      </c>
      <c r="D1" s="12" t="s">
        <v>2093</v>
      </c>
      <c r="E1" s="12" t="s">
        <v>2094</v>
      </c>
      <c r="F1" s="12" t="s">
        <v>2095</v>
      </c>
      <c r="G1" s="12" t="s">
        <v>2096</v>
      </c>
      <c r="H1" s="12" t="s">
        <v>2097</v>
      </c>
    </row>
    <row r="2" customFormat="false" ht="15" hidden="false" customHeight="false" outlineLevel="0" collapsed="false">
      <c r="A2" s="0" t="s">
        <v>800</v>
      </c>
      <c r="B2" s="0" t="s">
        <v>958</v>
      </c>
      <c r="C2" s="0" t="n">
        <v>14.41</v>
      </c>
      <c r="D2" s="0" t="n">
        <v>3</v>
      </c>
      <c r="E2" s="0" t="n">
        <v>14.38</v>
      </c>
      <c r="F2" s="0" t="n">
        <v>3</v>
      </c>
      <c r="G2" s="0" t="n">
        <v>28.8</v>
      </c>
      <c r="H2" s="0" t="s">
        <v>1196</v>
      </c>
    </row>
    <row r="3" customFormat="false" ht="15" hidden="false" customHeight="false" outlineLevel="0" collapsed="false">
      <c r="A3" s="0" t="s">
        <v>800</v>
      </c>
      <c r="B3" s="0" t="s">
        <v>2098</v>
      </c>
      <c r="C3" s="0" t="n">
        <v>11.72</v>
      </c>
      <c r="D3" s="0" t="n">
        <v>3</v>
      </c>
      <c r="E3" s="0" t="n">
        <v>11.71</v>
      </c>
      <c r="F3" s="0" t="n">
        <v>3</v>
      </c>
      <c r="G3" s="0" t="n">
        <v>23.43</v>
      </c>
    </row>
    <row r="4" customFormat="false" ht="15" hidden="false" customHeight="false" outlineLevel="0" collapsed="false">
      <c r="A4" s="0" t="s">
        <v>800</v>
      </c>
      <c r="B4" s="0" t="s">
        <v>2099</v>
      </c>
      <c r="C4" s="0" t="n">
        <v>16.17</v>
      </c>
      <c r="D4" s="0" t="n">
        <v>3</v>
      </c>
      <c r="E4" s="0" t="n">
        <v>16.16</v>
      </c>
      <c r="F4" s="0" t="n">
        <v>3</v>
      </c>
      <c r="G4" s="0" t="n">
        <v>32.33</v>
      </c>
      <c r="H4" s="0" t="s">
        <v>1192</v>
      </c>
    </row>
    <row r="5" customFormat="false" ht="15" hidden="false" customHeight="false" outlineLevel="0" collapsed="false">
      <c r="A5" s="0" t="s">
        <v>800</v>
      </c>
      <c r="B5" s="0" t="s">
        <v>2100</v>
      </c>
      <c r="C5" s="0" t="n">
        <v>12.8</v>
      </c>
      <c r="D5" s="0" t="n">
        <v>2</v>
      </c>
      <c r="E5" s="0" t="n">
        <v>12.78</v>
      </c>
      <c r="F5" s="0" t="n">
        <v>2</v>
      </c>
      <c r="G5" s="0" t="n">
        <v>25.58</v>
      </c>
      <c r="H5" s="0" t="s">
        <v>1197</v>
      </c>
    </row>
    <row r="6" customFormat="false" ht="15" hidden="false" customHeight="false" outlineLevel="0" collapsed="false">
      <c r="A6" s="0" t="s">
        <v>800</v>
      </c>
      <c r="B6" s="0" t="s">
        <v>2101</v>
      </c>
      <c r="C6" s="0" t="n">
        <v>13.41</v>
      </c>
      <c r="D6" s="0" t="n">
        <v>3</v>
      </c>
      <c r="E6" s="0" t="n">
        <v>13.41</v>
      </c>
      <c r="F6" s="0" t="n">
        <v>3</v>
      </c>
      <c r="G6" s="0" t="n">
        <v>26.82</v>
      </c>
      <c r="H6" s="0" t="s">
        <v>1193</v>
      </c>
    </row>
    <row r="7" customFormat="false" ht="15" hidden="false" customHeight="false" outlineLevel="0" collapsed="false">
      <c r="A7" s="0" t="s">
        <v>800</v>
      </c>
      <c r="B7" s="0" t="s">
        <v>962</v>
      </c>
      <c r="C7" s="0" t="n">
        <v>13.23</v>
      </c>
      <c r="D7" s="0" t="n">
        <v>3</v>
      </c>
      <c r="E7" s="0" t="n">
        <v>13.18</v>
      </c>
      <c r="F7" s="0" t="n">
        <v>3</v>
      </c>
      <c r="G7" s="0" t="n">
        <v>26.4</v>
      </c>
      <c r="H7" s="0" t="s">
        <v>1198</v>
      </c>
    </row>
    <row r="8" customFormat="false" ht="15" hidden="false" customHeight="false" outlineLevel="0" collapsed="false">
      <c r="A8" s="0" t="s">
        <v>800</v>
      </c>
      <c r="B8" s="0" t="s">
        <v>2102</v>
      </c>
      <c r="C8" s="0" t="n">
        <v>14.26</v>
      </c>
      <c r="D8" s="0" t="n">
        <v>3</v>
      </c>
      <c r="E8" s="0" t="n">
        <v>14.26</v>
      </c>
      <c r="F8" s="0" t="n">
        <v>3</v>
      </c>
      <c r="G8" s="0" t="n">
        <v>28.52</v>
      </c>
      <c r="H8" s="0" t="s">
        <v>1194</v>
      </c>
    </row>
    <row r="9" customFormat="false" ht="15" hidden="false" customHeight="false" outlineLevel="0" collapsed="false">
      <c r="A9" s="0" t="s">
        <v>800</v>
      </c>
      <c r="B9" s="0" t="s">
        <v>964</v>
      </c>
      <c r="C9" s="0" t="n">
        <v>15.63</v>
      </c>
      <c r="D9" s="0" t="n">
        <v>3</v>
      </c>
      <c r="E9" s="0" t="n">
        <v>15.59</v>
      </c>
      <c r="F9" s="0" t="n">
        <v>3</v>
      </c>
      <c r="G9" s="0" t="n">
        <v>31.22</v>
      </c>
      <c r="H9" s="0" t="s">
        <v>1199</v>
      </c>
    </row>
    <row r="10" customFormat="false" ht="15" hidden="false" customHeight="false" outlineLevel="0" collapsed="false">
      <c r="A10" s="0" t="s">
        <v>800</v>
      </c>
      <c r="B10" s="0" t="s">
        <v>956</v>
      </c>
      <c r="C10" s="0" t="n">
        <v>13.21</v>
      </c>
      <c r="D10" s="0" t="n">
        <v>3</v>
      </c>
      <c r="E10" s="0" t="n">
        <v>13.2</v>
      </c>
      <c r="F10" s="0" t="n">
        <v>3</v>
      </c>
      <c r="G10" s="0" t="n">
        <v>26.41</v>
      </c>
      <c r="H10" s="0" t="s">
        <v>1195</v>
      </c>
    </row>
    <row r="11" customFormat="false" ht="15" hidden="false" customHeight="false" outlineLevel="0" collapsed="false">
      <c r="A11" s="0" t="s">
        <v>800</v>
      </c>
      <c r="B11" s="0" t="s">
        <v>966</v>
      </c>
      <c r="C11" s="0" t="n">
        <v>15.82</v>
      </c>
      <c r="D11" s="0" t="n">
        <v>3</v>
      </c>
      <c r="E11" s="0" t="n">
        <v>15.8</v>
      </c>
      <c r="F11" s="0" t="n">
        <v>3</v>
      </c>
      <c r="G11" s="0" t="n">
        <v>31.62</v>
      </c>
      <c r="H11" s="0" t="s">
        <v>1200</v>
      </c>
    </row>
    <row r="12" customFormat="false" ht="15" hidden="false" customHeight="false" outlineLevel="0" collapsed="false">
      <c r="A12" s="0" t="s">
        <v>807</v>
      </c>
      <c r="B12" s="0" t="s">
        <v>2103</v>
      </c>
      <c r="C12" s="0" t="n">
        <v>13.08</v>
      </c>
      <c r="D12" s="0" t="n">
        <v>3</v>
      </c>
      <c r="E12" s="0" t="n">
        <v>13.07</v>
      </c>
      <c r="F12" s="0" t="n">
        <v>3</v>
      </c>
      <c r="G12" s="0" t="n">
        <v>26.15</v>
      </c>
    </row>
    <row r="13" customFormat="false" ht="15" hidden="false" customHeight="false" outlineLevel="0" collapsed="false">
      <c r="A13" s="0" t="s">
        <v>807</v>
      </c>
      <c r="B13" s="0" t="s">
        <v>2104</v>
      </c>
      <c r="C13" s="0" t="n">
        <v>16.04</v>
      </c>
      <c r="D13" s="0" t="n">
        <v>3</v>
      </c>
      <c r="E13" s="0" t="n">
        <v>16.04</v>
      </c>
      <c r="F13" s="0" t="n">
        <v>2</v>
      </c>
      <c r="G13" s="0" t="n">
        <v>32.07</v>
      </c>
      <c r="H13" s="0" t="s">
        <v>1225</v>
      </c>
    </row>
    <row r="14" customFormat="false" ht="15" hidden="false" customHeight="false" outlineLevel="0" collapsed="false">
      <c r="A14" s="0" t="s">
        <v>807</v>
      </c>
      <c r="B14" s="0" t="s">
        <v>2105</v>
      </c>
      <c r="C14" s="0" t="n">
        <v>15.21</v>
      </c>
      <c r="D14" s="0" t="n">
        <v>3</v>
      </c>
      <c r="E14" s="0" t="n">
        <v>15.2</v>
      </c>
      <c r="F14" s="0" t="n">
        <v>3</v>
      </c>
      <c r="G14" s="0" t="n">
        <v>30.41</v>
      </c>
      <c r="H14" s="0" t="s">
        <v>1226</v>
      </c>
    </row>
    <row r="15" customFormat="false" ht="15" hidden="false" customHeight="false" outlineLevel="0" collapsed="false">
      <c r="A15" s="0" t="s">
        <v>807</v>
      </c>
      <c r="B15" s="0" t="s">
        <v>1031</v>
      </c>
      <c r="C15" s="0" t="n">
        <v>13.08</v>
      </c>
      <c r="D15" s="0" t="n">
        <v>3</v>
      </c>
      <c r="E15" s="0" t="n">
        <v>13.07</v>
      </c>
      <c r="F15" s="0" t="n">
        <v>3</v>
      </c>
      <c r="G15" s="0" t="n">
        <v>26.15</v>
      </c>
      <c r="H15" s="0" t="s">
        <v>1230</v>
      </c>
    </row>
    <row r="16" customFormat="false" ht="15" hidden="false" customHeight="false" outlineLevel="0" collapsed="false">
      <c r="A16" s="0" t="s">
        <v>807</v>
      </c>
      <c r="B16" s="0" t="s">
        <v>2106</v>
      </c>
      <c r="C16" s="0" t="n">
        <v>12.31</v>
      </c>
      <c r="D16" s="0" t="n">
        <v>3</v>
      </c>
      <c r="E16" s="0" t="n">
        <v>12.3</v>
      </c>
      <c r="F16" s="0" t="n">
        <v>3</v>
      </c>
      <c r="G16" s="0" t="n">
        <v>24.61</v>
      </c>
      <c r="H16" s="0" t="s">
        <v>1227</v>
      </c>
    </row>
    <row r="17" customFormat="false" ht="15" hidden="false" customHeight="false" outlineLevel="0" collapsed="false">
      <c r="A17" s="0" t="s">
        <v>807</v>
      </c>
      <c r="B17" s="0" t="s">
        <v>1027</v>
      </c>
      <c r="C17" s="0" t="n">
        <v>13.55</v>
      </c>
      <c r="D17" s="0" t="n">
        <v>3</v>
      </c>
      <c r="E17" s="0" t="n">
        <v>13.55</v>
      </c>
      <c r="F17" s="0" t="n">
        <v>3</v>
      </c>
      <c r="G17" s="0" t="n">
        <v>27.1</v>
      </c>
      <c r="H17" s="0" t="s">
        <v>1228</v>
      </c>
    </row>
    <row r="18" customFormat="false" ht="15" hidden="false" customHeight="false" outlineLevel="0" collapsed="false">
      <c r="A18" s="0" t="s">
        <v>807</v>
      </c>
      <c r="B18" s="0" t="s">
        <v>2107</v>
      </c>
      <c r="C18" s="0" t="n">
        <v>13.28</v>
      </c>
      <c r="D18" s="0" t="n">
        <v>3</v>
      </c>
      <c r="E18" s="0" t="n">
        <v>13.27</v>
      </c>
      <c r="F18" s="0" t="n">
        <v>3</v>
      </c>
      <c r="G18" s="0" t="n">
        <v>26.55</v>
      </c>
    </row>
    <row r="19" customFormat="false" ht="15" hidden="false" customHeight="false" outlineLevel="0" collapsed="false">
      <c r="A19" s="0" t="s">
        <v>807</v>
      </c>
      <c r="B19" s="0" t="s">
        <v>1033</v>
      </c>
      <c r="C19" s="0" t="n">
        <v>16.19</v>
      </c>
      <c r="D19" s="0" t="n">
        <v>3</v>
      </c>
      <c r="E19" s="0" t="n">
        <v>16.16</v>
      </c>
      <c r="F19" s="0" t="n">
        <v>3</v>
      </c>
      <c r="G19" s="0" t="n">
        <v>32.35</v>
      </c>
      <c r="H19" s="0" t="s">
        <v>1231</v>
      </c>
    </row>
    <row r="20" customFormat="false" ht="15" hidden="false" customHeight="false" outlineLevel="0" collapsed="false">
      <c r="A20" s="0" t="s">
        <v>807</v>
      </c>
      <c r="B20" s="0" t="s">
        <v>2108</v>
      </c>
      <c r="C20" s="0" t="n">
        <v>15.02</v>
      </c>
      <c r="D20" s="0" t="n">
        <v>2</v>
      </c>
      <c r="E20" s="0" t="n">
        <v>14.98</v>
      </c>
      <c r="F20" s="0" t="n">
        <v>2</v>
      </c>
      <c r="G20" s="0" t="n">
        <v>30</v>
      </c>
      <c r="H20" s="0" t="s">
        <v>1229</v>
      </c>
    </row>
    <row r="21" customFormat="false" ht="15" hidden="false" customHeight="false" outlineLevel="0" collapsed="false">
      <c r="A21" s="0" t="s">
        <v>807</v>
      </c>
      <c r="B21" s="0" t="s">
        <v>1035</v>
      </c>
      <c r="C21" s="0" t="n">
        <v>11.42</v>
      </c>
      <c r="D21" s="0" t="n">
        <v>3</v>
      </c>
      <c r="E21" s="0" t="n">
        <v>11.42</v>
      </c>
      <c r="F21" s="0" t="n">
        <v>3</v>
      </c>
      <c r="G21" s="0" t="n">
        <v>22.84</v>
      </c>
      <c r="H21" s="0" t="s">
        <v>1232</v>
      </c>
    </row>
    <row r="22" customFormat="false" ht="15" hidden="false" customHeight="false" outlineLevel="0" collapsed="false">
      <c r="A22" s="0" t="s">
        <v>819</v>
      </c>
      <c r="B22" s="0" t="s">
        <v>2109</v>
      </c>
      <c r="C22" s="0" t="n">
        <v>14.61</v>
      </c>
      <c r="D22" s="0" t="n">
        <v>3</v>
      </c>
      <c r="E22" s="0" t="n">
        <v>14.61</v>
      </c>
      <c r="F22" s="0" t="n">
        <v>3</v>
      </c>
      <c r="G22" s="0" t="n">
        <v>29.23</v>
      </c>
      <c r="H22" s="0" t="s">
        <v>1220</v>
      </c>
    </row>
    <row r="23" customFormat="false" ht="15" hidden="false" customHeight="false" outlineLevel="0" collapsed="false">
      <c r="A23" s="0" t="s">
        <v>819</v>
      </c>
      <c r="B23" s="0" t="s">
        <v>2110</v>
      </c>
      <c r="C23" s="0" t="n">
        <v>13.6</v>
      </c>
      <c r="D23" s="0" t="n">
        <v>3</v>
      </c>
      <c r="E23" s="0" t="n">
        <v>13.6</v>
      </c>
      <c r="F23" s="0" t="n">
        <v>3</v>
      </c>
      <c r="G23" s="0" t="n">
        <v>27.19</v>
      </c>
      <c r="H23" s="0" t="s">
        <v>1221</v>
      </c>
    </row>
    <row r="24" customFormat="false" ht="15" hidden="false" customHeight="false" outlineLevel="0" collapsed="false">
      <c r="A24" s="0" t="s">
        <v>819</v>
      </c>
      <c r="B24" s="0" t="s">
        <v>2111</v>
      </c>
      <c r="C24" s="0" t="n">
        <v>11.82</v>
      </c>
      <c r="D24" s="0" t="n">
        <v>3</v>
      </c>
      <c r="E24" s="0" t="n">
        <v>11.82</v>
      </c>
      <c r="F24" s="0" t="n">
        <v>3</v>
      </c>
      <c r="G24" s="0" t="n">
        <v>23.65</v>
      </c>
    </row>
    <row r="25" customFormat="false" ht="15" hidden="false" customHeight="false" outlineLevel="0" collapsed="false">
      <c r="A25" s="0" t="s">
        <v>819</v>
      </c>
      <c r="B25" s="0" t="s">
        <v>2112</v>
      </c>
      <c r="C25" s="0" t="n">
        <v>11.82</v>
      </c>
      <c r="D25" s="0" t="n">
        <v>3</v>
      </c>
      <c r="E25" s="0" t="n">
        <v>11.82</v>
      </c>
      <c r="F25" s="0" t="n">
        <v>3</v>
      </c>
      <c r="G25" s="0" t="n">
        <v>23.65</v>
      </c>
    </row>
    <row r="26" customFormat="false" ht="15" hidden="false" customHeight="false" outlineLevel="0" collapsed="false">
      <c r="A26" s="0" t="s">
        <v>819</v>
      </c>
      <c r="B26" s="0" t="s">
        <v>2113</v>
      </c>
      <c r="C26" s="0" t="n">
        <v>14.21</v>
      </c>
      <c r="D26" s="0" t="n">
        <v>2</v>
      </c>
      <c r="E26" s="0" t="n">
        <v>14.21</v>
      </c>
      <c r="F26" s="0" t="n">
        <v>2</v>
      </c>
      <c r="G26" s="0" t="n">
        <v>28.43</v>
      </c>
    </row>
    <row r="27" customFormat="false" ht="15" hidden="false" customHeight="false" outlineLevel="0" collapsed="false">
      <c r="A27" s="0" t="s">
        <v>819</v>
      </c>
      <c r="B27" s="0" t="s">
        <v>1017</v>
      </c>
      <c r="C27" s="0" t="n">
        <v>15.43</v>
      </c>
      <c r="D27" s="0" t="n">
        <v>3</v>
      </c>
      <c r="E27" s="0" t="n">
        <v>15.43</v>
      </c>
      <c r="F27" s="0" t="n">
        <v>3</v>
      </c>
      <c r="G27" s="0" t="n">
        <v>30.87</v>
      </c>
      <c r="H27" s="0" t="s">
        <v>1223</v>
      </c>
    </row>
    <row r="28" customFormat="false" ht="15" hidden="false" customHeight="false" outlineLevel="0" collapsed="false">
      <c r="A28" s="0" t="s">
        <v>819</v>
      </c>
      <c r="B28" s="0" t="s">
        <v>2114</v>
      </c>
      <c r="C28" s="0" t="n">
        <v>12.37</v>
      </c>
      <c r="D28" s="0" t="n">
        <v>3</v>
      </c>
      <c r="E28" s="0" t="n">
        <v>12.37</v>
      </c>
      <c r="F28" s="0" t="n">
        <v>3</v>
      </c>
      <c r="G28" s="0" t="n">
        <v>24.75</v>
      </c>
    </row>
    <row r="29" customFormat="false" ht="15" hidden="false" customHeight="false" outlineLevel="0" collapsed="false">
      <c r="A29" s="0" t="s">
        <v>819</v>
      </c>
      <c r="B29" s="0" t="s">
        <v>2115</v>
      </c>
      <c r="C29" s="0" t="n">
        <v>12</v>
      </c>
      <c r="D29" s="0" t="n">
        <v>2</v>
      </c>
      <c r="E29" s="0" t="n">
        <v>12.01</v>
      </c>
      <c r="F29" s="0" t="n">
        <v>2</v>
      </c>
      <c r="G29" s="0" t="n">
        <v>24.01</v>
      </c>
    </row>
    <row r="30" customFormat="false" ht="15" hidden="false" customHeight="false" outlineLevel="0" collapsed="false">
      <c r="A30" s="0" t="s">
        <v>819</v>
      </c>
      <c r="B30" s="0" t="s">
        <v>2116</v>
      </c>
      <c r="C30" s="0" t="n">
        <v>11.26</v>
      </c>
      <c r="D30" s="0" t="n">
        <v>3</v>
      </c>
      <c r="E30" s="0" t="n">
        <v>11.26</v>
      </c>
      <c r="F30" s="0" t="n">
        <v>3</v>
      </c>
      <c r="G30" s="0" t="n">
        <v>22.52</v>
      </c>
    </row>
    <row r="31" customFormat="false" ht="15" hidden="false" customHeight="false" outlineLevel="0" collapsed="false">
      <c r="A31" s="0" t="s">
        <v>819</v>
      </c>
      <c r="B31" s="0" t="s">
        <v>1019</v>
      </c>
      <c r="C31" s="0" t="n">
        <v>13.19</v>
      </c>
      <c r="D31" s="0" t="n">
        <v>2</v>
      </c>
      <c r="E31" s="0" t="n">
        <v>13.19</v>
      </c>
      <c r="F31" s="0" t="n">
        <v>2</v>
      </c>
      <c r="G31" s="0" t="n">
        <v>26.38</v>
      </c>
      <c r="H31" s="0" t="s">
        <v>1224</v>
      </c>
    </row>
    <row r="32" customFormat="false" ht="15" hidden="false" customHeight="false" outlineLevel="0" collapsed="false">
      <c r="A32" s="0" t="s">
        <v>826</v>
      </c>
      <c r="B32" s="0" t="s">
        <v>2117</v>
      </c>
      <c r="C32" s="0" t="n">
        <v>13.59</v>
      </c>
      <c r="D32" s="0" t="n">
        <v>3</v>
      </c>
      <c r="E32" s="0" t="n">
        <v>13.59</v>
      </c>
      <c r="F32" s="0" t="n">
        <v>3</v>
      </c>
      <c r="G32" s="0" t="n">
        <v>27.17</v>
      </c>
      <c r="H32" s="0" t="s">
        <v>1238</v>
      </c>
    </row>
    <row r="33" customFormat="false" ht="15" hidden="false" customHeight="false" outlineLevel="0" collapsed="false">
      <c r="A33" s="0" t="s">
        <v>826</v>
      </c>
      <c r="B33" s="0" t="s">
        <v>2118</v>
      </c>
      <c r="C33" s="0" t="n">
        <v>13.36</v>
      </c>
      <c r="D33" s="0" t="n">
        <v>3</v>
      </c>
      <c r="E33" s="0" t="n">
        <v>13.35</v>
      </c>
      <c r="F33" s="0" t="n">
        <v>3</v>
      </c>
      <c r="G33" s="0" t="n">
        <v>26.71</v>
      </c>
      <c r="H33" s="0" t="s">
        <v>1233</v>
      </c>
    </row>
    <row r="34" customFormat="false" ht="15" hidden="false" customHeight="false" outlineLevel="0" collapsed="false">
      <c r="A34" s="0" t="s">
        <v>826</v>
      </c>
      <c r="B34" s="0" t="s">
        <v>1039</v>
      </c>
      <c r="C34" s="0" t="n">
        <v>13.8</v>
      </c>
      <c r="D34" s="0" t="n">
        <v>3</v>
      </c>
      <c r="E34" s="0" t="n">
        <v>13.76</v>
      </c>
      <c r="F34" s="0" t="n">
        <v>3</v>
      </c>
      <c r="G34" s="0" t="n">
        <v>27.56</v>
      </c>
      <c r="H34" s="0" t="s">
        <v>1234</v>
      </c>
    </row>
    <row r="35" customFormat="false" ht="15" hidden="false" customHeight="false" outlineLevel="0" collapsed="false">
      <c r="A35" s="0" t="s">
        <v>826</v>
      </c>
      <c r="B35" s="0" t="s">
        <v>2119</v>
      </c>
      <c r="C35" s="0" t="n">
        <v>13.19</v>
      </c>
      <c r="D35" s="0" t="n">
        <v>3</v>
      </c>
      <c r="E35" s="0" t="n">
        <v>13.15</v>
      </c>
      <c r="F35" s="0" t="n">
        <v>3</v>
      </c>
      <c r="G35" s="0" t="n">
        <v>26.34</v>
      </c>
    </row>
    <row r="36" customFormat="false" ht="15" hidden="false" customHeight="false" outlineLevel="0" collapsed="false">
      <c r="A36" s="0" t="s">
        <v>826</v>
      </c>
      <c r="B36" s="0" t="s">
        <v>2120</v>
      </c>
      <c r="C36" s="0" t="n">
        <v>15.48</v>
      </c>
      <c r="D36" s="0" t="n">
        <v>3</v>
      </c>
      <c r="E36" s="0" t="n">
        <v>15.48</v>
      </c>
      <c r="F36" s="0" t="n">
        <v>3</v>
      </c>
      <c r="G36" s="0" t="n">
        <v>30.96</v>
      </c>
      <c r="H36" s="0" t="s">
        <v>1239</v>
      </c>
    </row>
    <row r="37" customFormat="false" ht="15" hidden="false" customHeight="false" outlineLevel="0" collapsed="false">
      <c r="A37" s="0" t="s">
        <v>826</v>
      </c>
      <c r="B37" s="0" t="s">
        <v>1041</v>
      </c>
      <c r="C37" s="0" t="n">
        <v>14</v>
      </c>
      <c r="D37" s="0" t="n">
        <v>2</v>
      </c>
      <c r="E37" s="0" t="n">
        <v>13.98</v>
      </c>
      <c r="F37" s="0" t="n">
        <v>2</v>
      </c>
      <c r="G37" s="0" t="n">
        <v>27.98</v>
      </c>
      <c r="H37" s="0" t="s">
        <v>1235</v>
      </c>
    </row>
    <row r="38" customFormat="false" ht="15" hidden="false" customHeight="false" outlineLevel="0" collapsed="false">
      <c r="A38" s="0" t="s">
        <v>826</v>
      </c>
      <c r="B38" s="0" t="s">
        <v>2121</v>
      </c>
      <c r="C38" s="0" t="n">
        <v>15.71</v>
      </c>
      <c r="D38" s="0" t="n">
        <v>3</v>
      </c>
      <c r="E38" s="0" t="n">
        <v>15.7</v>
      </c>
      <c r="F38" s="0" t="n">
        <v>3</v>
      </c>
      <c r="G38" s="0" t="n">
        <v>31.41</v>
      </c>
      <c r="H38" s="0" t="s">
        <v>1240</v>
      </c>
    </row>
    <row r="39" customFormat="false" ht="15" hidden="false" customHeight="false" outlineLevel="0" collapsed="false">
      <c r="A39" s="0" t="s">
        <v>826</v>
      </c>
      <c r="B39" s="0" t="s">
        <v>1043</v>
      </c>
      <c r="C39" s="0" t="n">
        <v>14.63</v>
      </c>
      <c r="D39" s="0" t="n">
        <v>3</v>
      </c>
      <c r="E39" s="0" t="n">
        <v>14.61</v>
      </c>
      <c r="F39" s="0" t="n">
        <v>3</v>
      </c>
      <c r="G39" s="0" t="n">
        <v>29.24</v>
      </c>
      <c r="H39" s="0" t="s">
        <v>1236</v>
      </c>
    </row>
    <row r="40" customFormat="false" ht="15" hidden="false" customHeight="false" outlineLevel="0" collapsed="false">
      <c r="A40" s="0" t="s">
        <v>826</v>
      </c>
      <c r="B40" s="0" t="s">
        <v>1045</v>
      </c>
      <c r="C40" s="0" t="n">
        <v>14.41</v>
      </c>
      <c r="D40" s="0" t="n">
        <v>3</v>
      </c>
      <c r="E40" s="0" t="n">
        <v>14.41</v>
      </c>
      <c r="F40" s="0" t="n">
        <v>3</v>
      </c>
      <c r="G40" s="0" t="n">
        <v>28.82</v>
      </c>
      <c r="H40" s="0" t="s">
        <v>1237</v>
      </c>
    </row>
    <row r="41" customFormat="false" ht="15" hidden="false" customHeight="false" outlineLevel="0" collapsed="false">
      <c r="A41" s="0" t="s">
        <v>826</v>
      </c>
      <c r="B41" s="0" t="s">
        <v>1053</v>
      </c>
      <c r="C41" s="0" t="n">
        <v>13.19</v>
      </c>
      <c r="D41" s="0" t="n">
        <v>3</v>
      </c>
      <c r="E41" s="0" t="n">
        <v>13.15</v>
      </c>
      <c r="F41" s="0" t="n">
        <v>3</v>
      </c>
      <c r="G41" s="0" t="n">
        <v>26.34</v>
      </c>
      <c r="H41" s="0" t="s">
        <v>1241</v>
      </c>
    </row>
    <row r="42" customFormat="false" ht="15" hidden="false" customHeight="false" outlineLevel="0" collapsed="false">
      <c r="A42" s="0" t="s">
        <v>830</v>
      </c>
      <c r="B42" s="0" t="s">
        <v>1087</v>
      </c>
      <c r="C42" s="0" t="n">
        <v>13.14</v>
      </c>
      <c r="D42" s="0" t="n">
        <v>2</v>
      </c>
      <c r="E42" s="0" t="n">
        <v>13.26</v>
      </c>
      <c r="F42" s="0" t="n">
        <v>3</v>
      </c>
      <c r="G42" s="0" t="n">
        <v>26.39</v>
      </c>
      <c r="H42" s="0" t="s">
        <v>1257</v>
      </c>
    </row>
    <row r="43" customFormat="false" ht="15" hidden="false" customHeight="false" outlineLevel="0" collapsed="false">
      <c r="A43" s="0" t="s">
        <v>830</v>
      </c>
      <c r="B43" s="0" t="s">
        <v>1077</v>
      </c>
      <c r="C43" s="0" t="n">
        <v>14.48</v>
      </c>
      <c r="D43" s="0" t="n">
        <v>3</v>
      </c>
      <c r="E43" s="0" t="n">
        <v>14.02</v>
      </c>
      <c r="F43" s="0" t="n">
        <v>3</v>
      </c>
      <c r="G43" s="0" t="n">
        <v>28.5</v>
      </c>
      <c r="H43" s="0" t="s">
        <v>1252</v>
      </c>
    </row>
    <row r="44" customFormat="false" ht="15" hidden="false" customHeight="false" outlineLevel="0" collapsed="false">
      <c r="A44" s="0" t="s">
        <v>830</v>
      </c>
      <c r="B44" s="0" t="s">
        <v>1089</v>
      </c>
      <c r="C44" s="0" t="n">
        <v>14.41</v>
      </c>
      <c r="D44" s="0" t="n">
        <v>3</v>
      </c>
      <c r="E44" s="0" t="n">
        <v>14.55</v>
      </c>
      <c r="F44" s="0" t="n">
        <v>3</v>
      </c>
      <c r="G44" s="0" t="n">
        <v>28.97</v>
      </c>
      <c r="H44" s="0" t="s">
        <v>1258</v>
      </c>
    </row>
    <row r="45" customFormat="false" ht="15" hidden="false" customHeight="false" outlineLevel="0" collapsed="false">
      <c r="A45" s="0" t="s">
        <v>830</v>
      </c>
      <c r="B45" s="0" t="s">
        <v>1079</v>
      </c>
      <c r="C45" s="0" t="n">
        <v>14.7</v>
      </c>
      <c r="D45" s="0" t="n">
        <v>3</v>
      </c>
      <c r="E45" s="0" t="n">
        <v>14.22</v>
      </c>
      <c r="F45" s="0" t="n">
        <v>3</v>
      </c>
      <c r="G45" s="0" t="n">
        <v>28.92</v>
      </c>
      <c r="H45" s="0" t="s">
        <v>1253</v>
      </c>
    </row>
    <row r="46" customFormat="false" ht="15" hidden="false" customHeight="false" outlineLevel="0" collapsed="false">
      <c r="A46" s="0" t="s">
        <v>830</v>
      </c>
      <c r="B46" s="0" t="s">
        <v>2122</v>
      </c>
      <c r="C46" s="0" t="n">
        <v>14.41</v>
      </c>
      <c r="D46" s="0" t="n">
        <v>3</v>
      </c>
      <c r="E46" s="0" t="n">
        <v>14.55</v>
      </c>
      <c r="F46" s="0" t="n">
        <v>3</v>
      </c>
      <c r="G46" s="0" t="n">
        <v>28.97</v>
      </c>
      <c r="H46" s="0" t="s">
        <v>1259</v>
      </c>
    </row>
    <row r="47" customFormat="false" ht="15" hidden="false" customHeight="false" outlineLevel="0" collapsed="false">
      <c r="A47" s="0" t="s">
        <v>830</v>
      </c>
      <c r="B47" s="0" t="s">
        <v>2123</v>
      </c>
      <c r="C47" s="0" t="n">
        <v>12.2</v>
      </c>
      <c r="D47" s="0" t="n">
        <v>3</v>
      </c>
      <c r="E47" s="0" t="n">
        <v>11.78</v>
      </c>
      <c r="F47" s="0" t="n">
        <v>3</v>
      </c>
      <c r="G47" s="0" t="n">
        <v>23.98</v>
      </c>
      <c r="H47" s="0" t="s">
        <v>1254</v>
      </c>
    </row>
    <row r="48" customFormat="false" ht="15" hidden="false" customHeight="false" outlineLevel="0" collapsed="false">
      <c r="A48" s="0" t="s">
        <v>830</v>
      </c>
      <c r="B48" s="0" t="s">
        <v>2124</v>
      </c>
      <c r="C48" s="0" t="n">
        <v>13.45</v>
      </c>
      <c r="D48" s="0" t="n">
        <v>3</v>
      </c>
      <c r="E48" s="0" t="n">
        <v>13</v>
      </c>
      <c r="F48" s="0" t="n">
        <v>2</v>
      </c>
      <c r="G48" s="0" t="n">
        <v>26.45</v>
      </c>
      <c r="H48" s="0" t="s">
        <v>1255</v>
      </c>
    </row>
    <row r="49" customFormat="false" ht="15" hidden="false" customHeight="false" outlineLevel="0" collapsed="false">
      <c r="A49" s="0" t="s">
        <v>830</v>
      </c>
      <c r="B49" s="0" t="s">
        <v>2125</v>
      </c>
      <c r="C49" s="0" t="n">
        <v>13.55</v>
      </c>
      <c r="D49" s="0" t="n">
        <v>3</v>
      </c>
      <c r="E49" s="0" t="n">
        <v>13.68</v>
      </c>
      <c r="F49" s="0" t="n">
        <v>3</v>
      </c>
      <c r="G49" s="0" t="n">
        <v>27.23</v>
      </c>
      <c r="H49" s="0" t="s">
        <v>1260</v>
      </c>
    </row>
    <row r="50" customFormat="false" ht="15" hidden="false" customHeight="false" outlineLevel="0" collapsed="false">
      <c r="A50" s="0" t="s">
        <v>830</v>
      </c>
      <c r="B50" s="0" t="s">
        <v>1085</v>
      </c>
      <c r="C50" s="0" t="n">
        <v>15.11</v>
      </c>
      <c r="D50" s="0" t="n">
        <v>3</v>
      </c>
      <c r="E50" s="0" t="n">
        <v>14.61</v>
      </c>
      <c r="F50" s="0" t="n">
        <v>3</v>
      </c>
      <c r="G50" s="0" t="n">
        <v>29.72</v>
      </c>
      <c r="H50" s="0" t="s">
        <v>1256</v>
      </c>
    </row>
    <row r="51" customFormat="false" ht="15" hidden="false" customHeight="false" outlineLevel="0" collapsed="false">
      <c r="A51" s="0" t="s">
        <v>830</v>
      </c>
      <c r="B51" s="0" t="s">
        <v>2126</v>
      </c>
      <c r="C51" s="0" t="n">
        <v>15.92</v>
      </c>
      <c r="D51" s="0" t="n">
        <v>3</v>
      </c>
      <c r="E51" s="0" t="n">
        <v>16.05</v>
      </c>
      <c r="F51" s="0" t="n">
        <v>3</v>
      </c>
      <c r="G51" s="0" t="n">
        <v>31.97</v>
      </c>
      <c r="H51" s="0" t="s">
        <v>1261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8.35" hidden="false" customHeight="false" outlineLevel="0" collapsed="false">
      <c r="A1" s="12" t="s">
        <v>737</v>
      </c>
      <c r="B1" s="12" t="s">
        <v>66</v>
      </c>
      <c r="C1" s="12" t="s">
        <v>2127</v>
      </c>
      <c r="D1" s="12" t="s">
        <v>2128</v>
      </c>
      <c r="E1" s="12" t="s">
        <v>2129</v>
      </c>
      <c r="F1" s="12" t="s">
        <v>2130</v>
      </c>
      <c r="G1" s="12" t="s">
        <v>2131</v>
      </c>
    </row>
    <row r="2" customFormat="false" ht="15" hidden="false" customHeight="false" outlineLevel="0" collapsed="false">
      <c r="A2" s="0" t="s">
        <v>785</v>
      </c>
      <c r="B2" s="0" t="n">
        <v>1</v>
      </c>
      <c r="C2" s="0" t="n">
        <v>17.5</v>
      </c>
      <c r="D2" s="0" t="n">
        <v>1.1</v>
      </c>
      <c r="E2" s="0" t="n">
        <v>5.8</v>
      </c>
      <c r="F2" s="10" t="n">
        <v>0.8406</v>
      </c>
      <c r="G2" s="0" t="n">
        <v>21.5</v>
      </c>
    </row>
    <row r="3" customFormat="false" ht="15" hidden="false" customHeight="false" outlineLevel="0" collapsed="false">
      <c r="A3" s="0" t="s">
        <v>785</v>
      </c>
      <c r="B3" s="0" t="n">
        <v>1</v>
      </c>
      <c r="C3" s="0" t="n">
        <v>18.5</v>
      </c>
      <c r="D3" s="0" t="n">
        <v>1.2</v>
      </c>
      <c r="E3" s="0" t="n">
        <v>4</v>
      </c>
      <c r="F3" s="10" t="n">
        <v>0.7692</v>
      </c>
      <c r="G3" s="0" t="n">
        <v>21.5</v>
      </c>
    </row>
    <row r="4" customFormat="false" ht="15" hidden="false" customHeight="false" outlineLevel="0" collapsed="false">
      <c r="A4" s="0" t="s">
        <v>785</v>
      </c>
      <c r="B4" s="0" t="n">
        <v>1</v>
      </c>
      <c r="C4" s="0" t="n">
        <v>19.5</v>
      </c>
      <c r="D4" s="0" t="n">
        <v>1.32</v>
      </c>
      <c r="E4" s="0" t="n">
        <v>3.1</v>
      </c>
      <c r="F4" s="10" t="n">
        <v>0.7014</v>
      </c>
      <c r="G4" s="0" t="n">
        <v>21.5</v>
      </c>
    </row>
    <row r="5" customFormat="false" ht="15" hidden="false" customHeight="false" outlineLevel="0" collapsed="false">
      <c r="A5" s="0" t="s">
        <v>785</v>
      </c>
      <c r="B5" s="0" t="n">
        <v>1</v>
      </c>
      <c r="C5" s="0" t="n">
        <v>20.5</v>
      </c>
      <c r="D5" s="0" t="n">
        <v>1.52</v>
      </c>
      <c r="E5" s="0" t="n">
        <v>2.35</v>
      </c>
      <c r="F5" s="10" t="n">
        <v>0.6072</v>
      </c>
      <c r="G5" s="0" t="n">
        <v>21.5</v>
      </c>
    </row>
    <row r="6" customFormat="false" ht="15" hidden="false" customHeight="false" outlineLevel="0" collapsed="false">
      <c r="A6" s="0" t="s">
        <v>785</v>
      </c>
      <c r="B6" s="0" t="n">
        <v>1</v>
      </c>
      <c r="C6" s="0" t="n">
        <v>21.5</v>
      </c>
      <c r="D6" s="0" t="n">
        <v>1.85</v>
      </c>
      <c r="E6" s="0" t="n">
        <v>1.85</v>
      </c>
      <c r="F6" s="10" t="n">
        <v>0.5</v>
      </c>
      <c r="G6" s="0" t="n">
        <v>21.5</v>
      </c>
    </row>
    <row r="7" customFormat="false" ht="15" hidden="false" customHeight="false" outlineLevel="0" collapsed="false">
      <c r="A7" s="0" t="s">
        <v>785</v>
      </c>
      <c r="B7" s="0" t="n">
        <v>1</v>
      </c>
      <c r="C7" s="0" t="n">
        <v>22.5</v>
      </c>
      <c r="D7" s="0" t="n">
        <v>2.4</v>
      </c>
      <c r="E7" s="0" t="n">
        <v>1.5</v>
      </c>
      <c r="F7" s="10" t="n">
        <v>0.3846</v>
      </c>
      <c r="G7" s="0" t="n">
        <v>21.5</v>
      </c>
    </row>
    <row r="8" customFormat="false" ht="15" hidden="false" customHeight="false" outlineLevel="0" collapsed="false">
      <c r="A8" s="0" t="s">
        <v>785</v>
      </c>
      <c r="B8" s="0" t="n">
        <v>2</v>
      </c>
      <c r="C8" s="0" t="n">
        <v>17.5</v>
      </c>
      <c r="D8" s="0" t="n">
        <v>1.12</v>
      </c>
      <c r="E8" s="0" t="n">
        <v>5.3</v>
      </c>
      <c r="F8" s="10" t="n">
        <v>0.8255</v>
      </c>
      <c r="G8" s="0" t="n">
        <v>21.36</v>
      </c>
    </row>
    <row r="9" customFormat="false" ht="15" hidden="false" customHeight="false" outlineLevel="0" collapsed="false">
      <c r="A9" s="0" t="s">
        <v>785</v>
      </c>
      <c r="B9" s="0" t="n">
        <v>2</v>
      </c>
      <c r="C9" s="0" t="n">
        <v>18.5</v>
      </c>
      <c r="D9" s="0" t="n">
        <v>1.22</v>
      </c>
      <c r="E9" s="0" t="n">
        <v>3.8</v>
      </c>
      <c r="F9" s="10" t="n">
        <v>0.757</v>
      </c>
      <c r="G9" s="0" t="n">
        <v>21.36</v>
      </c>
    </row>
    <row r="10" customFormat="false" ht="15" hidden="false" customHeight="false" outlineLevel="0" collapsed="false">
      <c r="A10" s="0" t="s">
        <v>785</v>
      </c>
      <c r="B10" s="0" t="n">
        <v>2</v>
      </c>
      <c r="C10" s="0" t="n">
        <v>19.5</v>
      </c>
      <c r="D10" s="0" t="n">
        <v>1.38</v>
      </c>
      <c r="E10" s="0" t="n">
        <v>2.8</v>
      </c>
      <c r="F10" s="10" t="n">
        <v>0.6699</v>
      </c>
      <c r="G10" s="0" t="n">
        <v>21.36</v>
      </c>
    </row>
    <row r="11" customFormat="false" ht="15" hidden="false" customHeight="false" outlineLevel="0" collapsed="false">
      <c r="A11" s="0" t="s">
        <v>785</v>
      </c>
      <c r="B11" s="0" t="n">
        <v>2</v>
      </c>
      <c r="C11" s="0" t="n">
        <v>20.5</v>
      </c>
      <c r="D11" s="0" t="n">
        <v>1.58</v>
      </c>
      <c r="E11" s="0" t="n">
        <v>2.2</v>
      </c>
      <c r="F11" s="10" t="n">
        <v>0.582</v>
      </c>
      <c r="G11" s="0" t="n">
        <v>21.36</v>
      </c>
    </row>
    <row r="12" customFormat="false" ht="15" hidden="false" customHeight="false" outlineLevel="0" collapsed="false">
      <c r="A12" s="0" t="s">
        <v>785</v>
      </c>
      <c r="B12" s="0" t="n">
        <v>2</v>
      </c>
      <c r="C12" s="0" t="n">
        <v>21.5</v>
      </c>
      <c r="D12" s="0" t="n">
        <v>1.9</v>
      </c>
      <c r="E12" s="0" t="n">
        <v>1.8</v>
      </c>
      <c r="F12" s="10" t="n">
        <v>0.4865</v>
      </c>
      <c r="G12" s="0" t="n">
        <v>21.36</v>
      </c>
    </row>
    <row r="13" customFormat="false" ht="15" hidden="false" customHeight="false" outlineLevel="0" collapsed="false">
      <c r="A13" s="0" t="s">
        <v>785</v>
      </c>
      <c r="B13" s="0" t="n">
        <v>2</v>
      </c>
      <c r="C13" s="0" t="n">
        <v>22.5</v>
      </c>
      <c r="D13" s="0" t="n">
        <v>2.4</v>
      </c>
      <c r="E13" s="0" t="n">
        <v>1.5</v>
      </c>
      <c r="F13" s="10" t="n">
        <v>0.3846</v>
      </c>
      <c r="G13" s="0" t="n">
        <v>21.36</v>
      </c>
    </row>
    <row r="14" customFormat="false" ht="15" hidden="false" customHeight="false" outlineLevel="0" collapsed="false">
      <c r="A14" s="0" t="s">
        <v>785</v>
      </c>
      <c r="B14" s="0" t="n">
        <v>3</v>
      </c>
      <c r="C14" s="0" t="n">
        <v>17.5</v>
      </c>
      <c r="D14" s="0" t="n">
        <v>1.1</v>
      </c>
      <c r="E14" s="0" t="n">
        <v>5.8</v>
      </c>
      <c r="F14" s="10" t="n">
        <v>0.8406</v>
      </c>
      <c r="G14" s="0" t="n">
        <v>21.42</v>
      </c>
    </row>
    <row r="15" customFormat="false" ht="15" hidden="false" customHeight="false" outlineLevel="0" collapsed="false">
      <c r="A15" s="0" t="s">
        <v>785</v>
      </c>
      <c r="B15" s="0" t="n">
        <v>3</v>
      </c>
      <c r="C15" s="0" t="n">
        <v>18.5</v>
      </c>
      <c r="D15" s="0" t="n">
        <v>1.22</v>
      </c>
      <c r="E15" s="0" t="n">
        <v>3.8</v>
      </c>
      <c r="F15" s="10" t="n">
        <v>0.757</v>
      </c>
      <c r="G15" s="0" t="n">
        <v>21.42</v>
      </c>
    </row>
    <row r="16" customFormat="false" ht="15" hidden="false" customHeight="false" outlineLevel="0" collapsed="false">
      <c r="A16" s="0" t="s">
        <v>785</v>
      </c>
      <c r="B16" s="0" t="n">
        <v>3</v>
      </c>
      <c r="C16" s="0" t="n">
        <v>19.5</v>
      </c>
      <c r="D16" s="0" t="n">
        <v>1.35</v>
      </c>
      <c r="E16" s="0" t="n">
        <v>2.9</v>
      </c>
      <c r="F16" s="10" t="n">
        <v>0.6824</v>
      </c>
      <c r="G16" s="0" t="n">
        <v>21.42</v>
      </c>
    </row>
    <row r="17" customFormat="false" ht="15" hidden="false" customHeight="false" outlineLevel="0" collapsed="false">
      <c r="A17" s="0" t="s">
        <v>785</v>
      </c>
      <c r="B17" s="0" t="n">
        <v>3</v>
      </c>
      <c r="C17" s="0" t="n">
        <v>20.5</v>
      </c>
      <c r="D17" s="0" t="n">
        <v>1.55</v>
      </c>
      <c r="E17" s="0" t="n">
        <v>2.3</v>
      </c>
      <c r="F17" s="10" t="n">
        <v>0.5974</v>
      </c>
      <c r="G17" s="0" t="n">
        <v>21.42</v>
      </c>
    </row>
    <row r="18" customFormat="false" ht="15" hidden="false" customHeight="false" outlineLevel="0" collapsed="false">
      <c r="A18" s="0" t="s">
        <v>785</v>
      </c>
      <c r="B18" s="0" t="n">
        <v>3</v>
      </c>
      <c r="C18" s="0" t="n">
        <v>21.5</v>
      </c>
      <c r="D18" s="0" t="n">
        <v>1.88</v>
      </c>
      <c r="E18" s="0" t="n">
        <v>1.82</v>
      </c>
      <c r="F18" s="10" t="n">
        <v>0.4919</v>
      </c>
      <c r="G18" s="0" t="n">
        <v>21.42</v>
      </c>
    </row>
    <row r="19" customFormat="false" ht="15" hidden="false" customHeight="false" outlineLevel="0" collapsed="false">
      <c r="A19" s="0" t="s">
        <v>785</v>
      </c>
      <c r="B19" s="0" t="n">
        <v>3</v>
      </c>
      <c r="C19" s="0" t="n">
        <v>22.5</v>
      </c>
      <c r="D19" s="0" t="n">
        <v>2.4</v>
      </c>
      <c r="E19" s="0" t="n">
        <v>1.5</v>
      </c>
      <c r="F19" s="10" t="n">
        <v>0.3846</v>
      </c>
      <c r="G19" s="0" t="n">
        <v>21.42</v>
      </c>
    </row>
    <row r="20" customFormat="false" ht="15" hidden="false" customHeight="false" outlineLevel="0" collapsed="false">
      <c r="A20" s="0" t="s">
        <v>800</v>
      </c>
      <c r="B20" s="0" t="n">
        <v>1</v>
      </c>
      <c r="C20" s="0" t="n">
        <v>18.5</v>
      </c>
      <c r="D20" s="0" t="n">
        <v>1.24</v>
      </c>
      <c r="E20" s="0" t="n">
        <v>3.52</v>
      </c>
      <c r="F20" s="10" t="n">
        <v>0.7395</v>
      </c>
      <c r="G20" s="0" t="n">
        <v>21.14</v>
      </c>
    </row>
    <row r="21" customFormat="false" ht="15" hidden="false" customHeight="false" outlineLevel="0" collapsed="false">
      <c r="A21" s="0" t="s">
        <v>800</v>
      </c>
      <c r="B21" s="0" t="n">
        <v>1</v>
      </c>
      <c r="C21" s="0" t="n">
        <v>19.5</v>
      </c>
      <c r="D21" s="0" t="n">
        <v>1.4</v>
      </c>
      <c r="E21" s="0" t="n">
        <v>2.67</v>
      </c>
      <c r="F21" s="10" t="n">
        <v>0.656</v>
      </c>
      <c r="G21" s="0" t="n">
        <v>21.14</v>
      </c>
    </row>
    <row r="22" customFormat="false" ht="15" hidden="false" customHeight="false" outlineLevel="0" collapsed="false">
      <c r="A22" s="0" t="s">
        <v>800</v>
      </c>
      <c r="B22" s="0" t="n">
        <v>1</v>
      </c>
      <c r="C22" s="0" t="n">
        <v>20.5</v>
      </c>
      <c r="D22" s="0" t="n">
        <v>1.64</v>
      </c>
      <c r="E22" s="0" t="n">
        <v>2.13</v>
      </c>
      <c r="F22" s="10" t="n">
        <v>0.565</v>
      </c>
      <c r="G22" s="0" t="n">
        <v>21.14</v>
      </c>
    </row>
    <row r="23" customFormat="false" ht="15" hidden="false" customHeight="false" outlineLevel="0" collapsed="false">
      <c r="A23" s="0" t="s">
        <v>800</v>
      </c>
      <c r="B23" s="0" t="n">
        <v>1</v>
      </c>
      <c r="C23" s="0" t="n">
        <v>21.5</v>
      </c>
      <c r="D23" s="0" t="n">
        <v>2</v>
      </c>
      <c r="E23" s="0" t="n">
        <v>1.73</v>
      </c>
      <c r="F23" s="10" t="n">
        <v>0.4638</v>
      </c>
      <c r="G23" s="0" t="n">
        <v>21.14</v>
      </c>
    </row>
    <row r="24" customFormat="false" ht="15" hidden="false" customHeight="false" outlineLevel="0" collapsed="false">
      <c r="A24" s="0" t="s">
        <v>800</v>
      </c>
      <c r="B24" s="0" t="n">
        <v>1</v>
      </c>
      <c r="C24" s="0" t="n">
        <v>22.5</v>
      </c>
      <c r="D24" s="0" t="n">
        <v>2.56</v>
      </c>
      <c r="E24" s="0" t="n">
        <v>1.43</v>
      </c>
      <c r="F24" s="10" t="n">
        <v>0.3584</v>
      </c>
      <c r="G24" s="0" t="n">
        <v>21.14</v>
      </c>
    </row>
    <row r="25" customFormat="false" ht="15" hidden="false" customHeight="false" outlineLevel="0" collapsed="false">
      <c r="A25" s="0" t="s">
        <v>800</v>
      </c>
      <c r="B25" s="0" t="n">
        <v>1</v>
      </c>
      <c r="C25" s="0" t="n">
        <v>23.5</v>
      </c>
      <c r="D25" s="0" t="n">
        <v>3.62</v>
      </c>
      <c r="E25" s="0" t="n">
        <v>1.23</v>
      </c>
      <c r="F25" s="10" t="n">
        <v>0.2536</v>
      </c>
      <c r="G25" s="0" t="n">
        <v>21.14</v>
      </c>
    </row>
    <row r="26" customFormat="false" ht="15" hidden="false" customHeight="false" outlineLevel="0" collapsed="false">
      <c r="A26" s="0" t="s">
        <v>800</v>
      </c>
      <c r="B26" s="0" t="n">
        <v>2</v>
      </c>
      <c r="C26" s="0" t="n">
        <v>18.5</v>
      </c>
      <c r="D26" s="0" t="n">
        <v>1.24</v>
      </c>
      <c r="E26" s="0" t="n">
        <v>3.5</v>
      </c>
      <c r="F26" s="10" t="n">
        <v>0.7384</v>
      </c>
      <c r="G26" s="0" t="n">
        <v>21.12</v>
      </c>
    </row>
    <row r="27" customFormat="false" ht="15" hidden="false" customHeight="false" outlineLevel="0" collapsed="false">
      <c r="A27" s="0" t="s">
        <v>800</v>
      </c>
      <c r="B27" s="0" t="n">
        <v>2</v>
      </c>
      <c r="C27" s="0" t="n">
        <v>19.5</v>
      </c>
      <c r="D27" s="0" t="n">
        <v>1.4</v>
      </c>
      <c r="E27" s="0" t="n">
        <v>2.66</v>
      </c>
      <c r="F27" s="10" t="n">
        <v>0.6552</v>
      </c>
      <c r="G27" s="0" t="n">
        <v>21.12</v>
      </c>
    </row>
    <row r="28" customFormat="false" ht="15" hidden="false" customHeight="false" outlineLevel="0" collapsed="false">
      <c r="A28" s="0" t="s">
        <v>800</v>
      </c>
      <c r="B28" s="0" t="n">
        <v>2</v>
      </c>
      <c r="C28" s="0" t="n">
        <v>20.5</v>
      </c>
      <c r="D28" s="0" t="n">
        <v>1.64</v>
      </c>
      <c r="E28" s="0" t="n">
        <v>2.12</v>
      </c>
      <c r="F28" s="10" t="n">
        <v>0.5638</v>
      </c>
      <c r="G28" s="0" t="n">
        <v>21.12</v>
      </c>
    </row>
    <row r="29" customFormat="false" ht="15" hidden="false" customHeight="false" outlineLevel="0" collapsed="false">
      <c r="A29" s="0" t="s">
        <v>800</v>
      </c>
      <c r="B29" s="0" t="n">
        <v>2</v>
      </c>
      <c r="C29" s="0" t="n">
        <v>21.5</v>
      </c>
      <c r="D29" s="0" t="n">
        <v>2.01</v>
      </c>
      <c r="E29" s="0" t="n">
        <v>1.72</v>
      </c>
      <c r="F29" s="10" t="n">
        <v>0.4611</v>
      </c>
      <c r="G29" s="0" t="n">
        <v>21.12</v>
      </c>
    </row>
    <row r="30" customFormat="false" ht="15" hidden="false" customHeight="false" outlineLevel="0" collapsed="false">
      <c r="A30" s="0" t="s">
        <v>800</v>
      </c>
      <c r="B30" s="0" t="n">
        <v>2</v>
      </c>
      <c r="C30" s="0" t="n">
        <v>22.5</v>
      </c>
      <c r="D30" s="0" t="n">
        <v>2.57</v>
      </c>
      <c r="E30" s="0" t="n">
        <v>1.43</v>
      </c>
      <c r="F30" s="10" t="n">
        <v>0.3575</v>
      </c>
      <c r="G30" s="0" t="n">
        <v>21.12</v>
      </c>
    </row>
    <row r="31" customFormat="false" ht="15" hidden="false" customHeight="false" outlineLevel="0" collapsed="false">
      <c r="A31" s="0" t="s">
        <v>800</v>
      </c>
      <c r="B31" s="0" t="n">
        <v>2</v>
      </c>
      <c r="C31" s="0" t="n">
        <v>23.5</v>
      </c>
      <c r="D31" s="0" t="n">
        <v>3.63</v>
      </c>
      <c r="E31" s="0" t="n">
        <v>1.23</v>
      </c>
      <c r="F31" s="10" t="n">
        <v>0.2531</v>
      </c>
      <c r="G31" s="0" t="n">
        <v>21.12</v>
      </c>
    </row>
    <row r="32" customFormat="false" ht="15" hidden="false" customHeight="false" outlineLevel="0" collapsed="false">
      <c r="A32" s="0" t="s">
        <v>807</v>
      </c>
      <c r="B32" s="0" t="n">
        <v>1</v>
      </c>
      <c r="C32" s="0" t="n">
        <v>18.5</v>
      </c>
      <c r="D32" s="0" t="n">
        <v>1.26</v>
      </c>
      <c r="E32" s="0" t="n">
        <v>3.38</v>
      </c>
      <c r="F32" s="10" t="n">
        <v>0.7284</v>
      </c>
      <c r="G32" s="0" t="n">
        <v>21.02</v>
      </c>
    </row>
    <row r="33" customFormat="false" ht="15" hidden="false" customHeight="false" outlineLevel="0" collapsed="false">
      <c r="A33" s="0" t="s">
        <v>807</v>
      </c>
      <c r="B33" s="0" t="n">
        <v>1</v>
      </c>
      <c r="C33" s="0" t="n">
        <v>19.5</v>
      </c>
      <c r="D33" s="0" t="n">
        <v>1.42</v>
      </c>
      <c r="E33" s="0" t="n">
        <v>2.59</v>
      </c>
      <c r="F33" s="10" t="n">
        <v>0.6459</v>
      </c>
      <c r="G33" s="0" t="n">
        <v>21.02</v>
      </c>
    </row>
    <row r="34" customFormat="false" ht="15" hidden="false" customHeight="false" outlineLevel="0" collapsed="false">
      <c r="A34" s="0" t="s">
        <v>807</v>
      </c>
      <c r="B34" s="0" t="n">
        <v>1</v>
      </c>
      <c r="C34" s="0" t="n">
        <v>20.5</v>
      </c>
      <c r="D34" s="0" t="n">
        <v>1.68</v>
      </c>
      <c r="E34" s="0" t="n">
        <v>2.07</v>
      </c>
      <c r="F34" s="10" t="n">
        <v>0.552</v>
      </c>
      <c r="G34" s="0" t="n">
        <v>21.02</v>
      </c>
    </row>
    <row r="35" customFormat="false" ht="15" hidden="false" customHeight="false" outlineLevel="0" collapsed="false">
      <c r="A35" s="0" t="s">
        <v>807</v>
      </c>
      <c r="B35" s="0" t="n">
        <v>1</v>
      </c>
      <c r="C35" s="0" t="n">
        <v>21.5</v>
      </c>
      <c r="D35" s="0" t="n">
        <v>2.05</v>
      </c>
      <c r="E35" s="0" t="n">
        <v>1.69</v>
      </c>
      <c r="F35" s="10" t="n">
        <v>0.4519</v>
      </c>
      <c r="G35" s="0" t="n">
        <v>21.02</v>
      </c>
    </row>
    <row r="36" customFormat="false" ht="15" hidden="false" customHeight="false" outlineLevel="0" collapsed="false">
      <c r="A36" s="0" t="s">
        <v>807</v>
      </c>
      <c r="B36" s="0" t="n">
        <v>1</v>
      </c>
      <c r="C36" s="0" t="n">
        <v>22.5</v>
      </c>
      <c r="D36" s="0" t="n">
        <v>2.62</v>
      </c>
      <c r="E36" s="0" t="n">
        <v>1.41</v>
      </c>
      <c r="F36" s="10" t="n">
        <v>0.3499</v>
      </c>
      <c r="G36" s="0" t="n">
        <v>21.02</v>
      </c>
    </row>
    <row r="37" customFormat="false" ht="15" hidden="false" customHeight="false" outlineLevel="0" collapsed="false">
      <c r="A37" s="0" t="s">
        <v>807</v>
      </c>
      <c r="B37" s="0" t="n">
        <v>1</v>
      </c>
      <c r="C37" s="0" t="n">
        <v>23.5</v>
      </c>
      <c r="D37" s="0" t="n">
        <v>3.71</v>
      </c>
      <c r="E37" s="0" t="n">
        <v>1.22</v>
      </c>
      <c r="F37" s="10" t="n">
        <v>0.2475</v>
      </c>
      <c r="G37" s="0" t="n">
        <v>21.02</v>
      </c>
    </row>
    <row r="38" customFormat="false" ht="15" hidden="false" customHeight="false" outlineLevel="0" collapsed="false">
      <c r="A38" s="0" t="s">
        <v>807</v>
      </c>
      <c r="B38" s="0" t="n">
        <v>2</v>
      </c>
      <c r="C38" s="0" t="n">
        <v>18.5</v>
      </c>
      <c r="D38" s="0" t="n">
        <v>1.26</v>
      </c>
      <c r="E38" s="0" t="n">
        <v>3.36</v>
      </c>
      <c r="F38" s="10" t="n">
        <v>0.7273</v>
      </c>
      <c r="G38" s="0" t="n">
        <v>21.01</v>
      </c>
    </row>
    <row r="39" customFormat="false" ht="15" hidden="false" customHeight="false" outlineLevel="0" collapsed="false">
      <c r="A39" s="0" t="s">
        <v>807</v>
      </c>
      <c r="B39" s="0" t="n">
        <v>2</v>
      </c>
      <c r="C39" s="0" t="n">
        <v>19.5</v>
      </c>
      <c r="D39" s="0" t="n">
        <v>1.43</v>
      </c>
      <c r="E39" s="0" t="n">
        <v>2.58</v>
      </c>
      <c r="F39" s="10" t="n">
        <v>0.6434</v>
      </c>
      <c r="G39" s="0" t="n">
        <v>21.01</v>
      </c>
    </row>
    <row r="40" customFormat="false" ht="15" hidden="false" customHeight="false" outlineLevel="0" collapsed="false">
      <c r="A40" s="0" t="s">
        <v>807</v>
      </c>
      <c r="B40" s="0" t="n">
        <v>2</v>
      </c>
      <c r="C40" s="0" t="n">
        <v>20.5</v>
      </c>
      <c r="D40" s="0" t="n">
        <v>1.68</v>
      </c>
      <c r="E40" s="0" t="n">
        <v>2.07</v>
      </c>
      <c r="F40" s="10" t="n">
        <v>0.552</v>
      </c>
      <c r="G40" s="0" t="n">
        <v>21.01</v>
      </c>
    </row>
    <row r="41" customFormat="false" ht="15" hidden="false" customHeight="false" outlineLevel="0" collapsed="false">
      <c r="A41" s="0" t="s">
        <v>807</v>
      </c>
      <c r="B41" s="0" t="n">
        <v>2</v>
      </c>
      <c r="C41" s="0" t="n">
        <v>21.5</v>
      </c>
      <c r="D41" s="0" t="n">
        <v>2.06</v>
      </c>
      <c r="E41" s="0" t="n">
        <v>1.69</v>
      </c>
      <c r="F41" s="10" t="n">
        <v>0.4507</v>
      </c>
      <c r="G41" s="0" t="n">
        <v>21.01</v>
      </c>
    </row>
    <row r="42" customFormat="false" ht="15" hidden="false" customHeight="false" outlineLevel="0" collapsed="false">
      <c r="A42" s="0" t="s">
        <v>807</v>
      </c>
      <c r="B42" s="0" t="n">
        <v>2</v>
      </c>
      <c r="C42" s="0" t="n">
        <v>22.5</v>
      </c>
      <c r="D42" s="0" t="n">
        <v>2.63</v>
      </c>
      <c r="E42" s="0" t="n">
        <v>1.41</v>
      </c>
      <c r="F42" s="10" t="n">
        <v>0.349</v>
      </c>
      <c r="G42" s="0" t="n">
        <v>21.01</v>
      </c>
    </row>
    <row r="43" customFormat="false" ht="15" hidden="false" customHeight="false" outlineLevel="0" collapsed="false">
      <c r="A43" s="0" t="s">
        <v>807</v>
      </c>
      <c r="B43" s="0" t="n">
        <v>2</v>
      </c>
      <c r="C43" s="0" t="n">
        <v>23.5</v>
      </c>
      <c r="D43" s="0" t="n">
        <v>3.73</v>
      </c>
      <c r="E43" s="0" t="n">
        <v>1.22</v>
      </c>
      <c r="F43" s="10" t="n">
        <v>0.2465</v>
      </c>
      <c r="G43" s="0" t="n">
        <v>21.01</v>
      </c>
    </row>
    <row r="44" customFormat="false" ht="15" hidden="false" customHeight="false" outlineLevel="0" collapsed="false">
      <c r="A44" s="0" t="s">
        <v>813</v>
      </c>
      <c r="B44" s="0" t="n">
        <v>1</v>
      </c>
      <c r="C44" s="0" t="n">
        <v>17.5</v>
      </c>
      <c r="D44" s="0" t="n">
        <v>1.1</v>
      </c>
      <c r="E44" s="0" t="n">
        <v>5.8</v>
      </c>
      <c r="F44" s="10" t="n">
        <v>0.8406</v>
      </c>
      <c r="G44" s="0" t="n">
        <v>21.5</v>
      </c>
    </row>
    <row r="45" customFormat="false" ht="15" hidden="false" customHeight="false" outlineLevel="0" collapsed="false">
      <c r="A45" s="0" t="s">
        <v>813</v>
      </c>
      <c r="B45" s="0" t="n">
        <v>1</v>
      </c>
      <c r="C45" s="0" t="n">
        <v>18.5</v>
      </c>
      <c r="D45" s="0" t="n">
        <v>1.2</v>
      </c>
      <c r="E45" s="0" t="n">
        <v>4</v>
      </c>
      <c r="F45" s="10" t="n">
        <v>0.7692</v>
      </c>
      <c r="G45" s="0" t="n">
        <v>21.5</v>
      </c>
    </row>
    <row r="46" customFormat="false" ht="15" hidden="false" customHeight="false" outlineLevel="0" collapsed="false">
      <c r="A46" s="0" t="s">
        <v>813</v>
      </c>
      <c r="B46" s="0" t="n">
        <v>1</v>
      </c>
      <c r="C46" s="0" t="n">
        <v>19.5</v>
      </c>
      <c r="D46" s="0" t="n">
        <v>1.32</v>
      </c>
      <c r="E46" s="0" t="n">
        <v>3.1</v>
      </c>
      <c r="F46" s="10" t="n">
        <v>0.7014</v>
      </c>
      <c r="G46" s="0" t="n">
        <v>21.5</v>
      </c>
    </row>
    <row r="47" customFormat="false" ht="15" hidden="false" customHeight="false" outlineLevel="0" collapsed="false">
      <c r="A47" s="0" t="s">
        <v>813</v>
      </c>
      <c r="B47" s="0" t="n">
        <v>1</v>
      </c>
      <c r="C47" s="0" t="n">
        <v>20.5</v>
      </c>
      <c r="D47" s="0" t="n">
        <v>1.52</v>
      </c>
      <c r="E47" s="0" t="n">
        <v>2.35</v>
      </c>
      <c r="F47" s="10" t="n">
        <v>0.6072</v>
      </c>
      <c r="G47" s="0" t="n">
        <v>21.5</v>
      </c>
    </row>
    <row r="48" customFormat="false" ht="15" hidden="false" customHeight="false" outlineLevel="0" collapsed="false">
      <c r="A48" s="0" t="s">
        <v>813</v>
      </c>
      <c r="B48" s="0" t="n">
        <v>1</v>
      </c>
      <c r="C48" s="0" t="n">
        <v>21.5</v>
      </c>
      <c r="D48" s="0" t="n">
        <v>1.85</v>
      </c>
      <c r="E48" s="0" t="n">
        <v>1.85</v>
      </c>
      <c r="F48" s="10" t="n">
        <v>0.5</v>
      </c>
      <c r="G48" s="0" t="n">
        <v>21.5</v>
      </c>
    </row>
    <row r="49" customFormat="false" ht="15" hidden="false" customHeight="false" outlineLevel="0" collapsed="false">
      <c r="A49" s="0" t="s">
        <v>813</v>
      </c>
      <c r="B49" s="0" t="n">
        <v>1</v>
      </c>
      <c r="C49" s="0" t="n">
        <v>22.5</v>
      </c>
      <c r="D49" s="0" t="n">
        <v>2.4</v>
      </c>
      <c r="E49" s="0" t="n">
        <v>1.5</v>
      </c>
      <c r="F49" s="10" t="n">
        <v>0.3846</v>
      </c>
      <c r="G49" s="0" t="n">
        <v>21.5</v>
      </c>
    </row>
    <row r="50" customFormat="false" ht="15" hidden="false" customHeight="false" outlineLevel="0" collapsed="false">
      <c r="A50" s="0" t="s">
        <v>813</v>
      </c>
      <c r="B50" s="0" t="n">
        <v>2</v>
      </c>
      <c r="C50" s="0" t="n">
        <v>17.5</v>
      </c>
      <c r="D50" s="0" t="n">
        <v>1.12</v>
      </c>
      <c r="E50" s="0" t="n">
        <v>5.3</v>
      </c>
      <c r="F50" s="10" t="n">
        <v>0.8255</v>
      </c>
      <c r="G50" s="0" t="n">
        <v>21.42</v>
      </c>
    </row>
    <row r="51" customFormat="false" ht="15" hidden="false" customHeight="false" outlineLevel="0" collapsed="false">
      <c r="A51" s="0" t="s">
        <v>813</v>
      </c>
      <c r="B51" s="0" t="n">
        <v>2</v>
      </c>
      <c r="C51" s="0" t="n">
        <v>18.5</v>
      </c>
      <c r="D51" s="0" t="n">
        <v>1.22</v>
      </c>
      <c r="E51" s="0" t="n">
        <v>3.8</v>
      </c>
      <c r="F51" s="10" t="n">
        <v>0.757</v>
      </c>
      <c r="G51" s="0" t="n">
        <v>21.42</v>
      </c>
    </row>
    <row r="52" customFormat="false" ht="15" hidden="false" customHeight="false" outlineLevel="0" collapsed="false">
      <c r="A52" s="0" t="s">
        <v>813</v>
      </c>
      <c r="B52" s="0" t="n">
        <v>2</v>
      </c>
      <c r="C52" s="0" t="n">
        <v>19.5</v>
      </c>
      <c r="D52" s="0" t="n">
        <v>1.35</v>
      </c>
      <c r="E52" s="0" t="n">
        <v>2.9</v>
      </c>
      <c r="F52" s="10" t="n">
        <v>0.6824</v>
      </c>
      <c r="G52" s="0" t="n">
        <v>21.42</v>
      </c>
    </row>
    <row r="53" customFormat="false" ht="15" hidden="false" customHeight="false" outlineLevel="0" collapsed="false">
      <c r="A53" s="0" t="s">
        <v>813</v>
      </c>
      <c r="B53" s="0" t="n">
        <v>2</v>
      </c>
      <c r="C53" s="0" t="n">
        <v>20.5</v>
      </c>
      <c r="D53" s="0" t="n">
        <v>1.55</v>
      </c>
      <c r="E53" s="0" t="n">
        <v>2.3</v>
      </c>
      <c r="F53" s="10" t="n">
        <v>0.5974</v>
      </c>
      <c r="G53" s="0" t="n">
        <v>21.42</v>
      </c>
    </row>
    <row r="54" customFormat="false" ht="15" hidden="false" customHeight="false" outlineLevel="0" collapsed="false">
      <c r="A54" s="0" t="s">
        <v>813</v>
      </c>
      <c r="B54" s="0" t="n">
        <v>2</v>
      </c>
      <c r="C54" s="0" t="n">
        <v>21.5</v>
      </c>
      <c r="D54" s="0" t="n">
        <v>1.88</v>
      </c>
      <c r="E54" s="0" t="n">
        <v>1.82</v>
      </c>
      <c r="F54" s="10" t="n">
        <v>0.4919</v>
      </c>
      <c r="G54" s="0" t="n">
        <v>21.42</v>
      </c>
    </row>
    <row r="55" customFormat="false" ht="15" hidden="false" customHeight="false" outlineLevel="0" collapsed="false">
      <c r="A55" s="0" t="s">
        <v>813</v>
      </c>
      <c r="B55" s="0" t="n">
        <v>2</v>
      </c>
      <c r="C55" s="0" t="n">
        <v>22.5</v>
      </c>
      <c r="D55" s="0" t="n">
        <v>2.4</v>
      </c>
      <c r="E55" s="0" t="n">
        <v>1.5</v>
      </c>
      <c r="F55" s="10" t="n">
        <v>0.3846</v>
      </c>
      <c r="G55" s="0" t="n">
        <v>21.42</v>
      </c>
    </row>
    <row r="56" customFormat="false" ht="15" hidden="false" customHeight="false" outlineLevel="0" collapsed="false">
      <c r="A56" s="0" t="s">
        <v>813</v>
      </c>
      <c r="B56" s="0" t="n">
        <v>3</v>
      </c>
      <c r="C56" s="0" t="n">
        <v>17.5</v>
      </c>
      <c r="D56" s="0" t="n">
        <v>1.1</v>
      </c>
      <c r="E56" s="0" t="n">
        <v>5.8</v>
      </c>
      <c r="F56" s="10" t="n">
        <v>0.8406</v>
      </c>
      <c r="G56" s="0" t="n">
        <v>21.5</v>
      </c>
    </row>
    <row r="57" customFormat="false" ht="15" hidden="false" customHeight="false" outlineLevel="0" collapsed="false">
      <c r="A57" s="0" t="s">
        <v>813</v>
      </c>
      <c r="B57" s="0" t="n">
        <v>3</v>
      </c>
      <c r="C57" s="0" t="n">
        <v>18.5</v>
      </c>
      <c r="D57" s="0" t="n">
        <v>1.2</v>
      </c>
      <c r="E57" s="0" t="n">
        <v>4</v>
      </c>
      <c r="F57" s="10" t="n">
        <v>0.7692</v>
      </c>
      <c r="G57" s="0" t="n">
        <v>21.5</v>
      </c>
    </row>
    <row r="58" customFormat="false" ht="15" hidden="false" customHeight="false" outlineLevel="0" collapsed="false">
      <c r="A58" s="0" t="s">
        <v>813</v>
      </c>
      <c r="B58" s="0" t="n">
        <v>3</v>
      </c>
      <c r="C58" s="0" t="n">
        <v>19.5</v>
      </c>
      <c r="D58" s="0" t="n">
        <v>1.35</v>
      </c>
      <c r="E58" s="0" t="n">
        <v>2.9</v>
      </c>
      <c r="F58" s="10" t="n">
        <v>0.6824</v>
      </c>
      <c r="G58" s="0" t="n">
        <v>21.5</v>
      </c>
    </row>
    <row r="59" customFormat="false" ht="15" hidden="false" customHeight="false" outlineLevel="0" collapsed="false">
      <c r="A59" s="0" t="s">
        <v>813</v>
      </c>
      <c r="B59" s="0" t="n">
        <v>3</v>
      </c>
      <c r="C59" s="0" t="n">
        <v>20.5</v>
      </c>
      <c r="D59" s="0" t="n">
        <v>1.55</v>
      </c>
      <c r="E59" s="0" t="n">
        <v>2.3</v>
      </c>
      <c r="F59" s="10" t="n">
        <v>0.5974</v>
      </c>
      <c r="G59" s="0" t="n">
        <v>21.5</v>
      </c>
    </row>
    <row r="60" customFormat="false" ht="15" hidden="false" customHeight="false" outlineLevel="0" collapsed="false">
      <c r="A60" s="0" t="s">
        <v>813</v>
      </c>
      <c r="B60" s="0" t="n">
        <v>3</v>
      </c>
      <c r="C60" s="0" t="n">
        <v>21.5</v>
      </c>
      <c r="D60" s="0" t="n">
        <v>1.85</v>
      </c>
      <c r="E60" s="0" t="n">
        <v>1.85</v>
      </c>
      <c r="F60" s="10" t="n">
        <v>0.5</v>
      </c>
      <c r="G60" s="0" t="n">
        <v>21.5</v>
      </c>
    </row>
    <row r="61" customFormat="false" ht="15" hidden="false" customHeight="false" outlineLevel="0" collapsed="false">
      <c r="A61" s="0" t="s">
        <v>813</v>
      </c>
      <c r="B61" s="0" t="n">
        <v>3</v>
      </c>
      <c r="C61" s="0" t="n">
        <v>22.5</v>
      </c>
      <c r="D61" s="0" t="n">
        <v>2.4</v>
      </c>
      <c r="E61" s="0" t="n">
        <v>1.5</v>
      </c>
      <c r="F61" s="10" t="n">
        <v>0.3846</v>
      </c>
      <c r="G61" s="0" t="n">
        <v>21.5</v>
      </c>
    </row>
    <row r="62" customFormat="false" ht="15" hidden="false" customHeight="false" outlineLevel="0" collapsed="false">
      <c r="A62" s="0" t="s">
        <v>819</v>
      </c>
      <c r="B62" s="0" t="n">
        <v>1</v>
      </c>
      <c r="C62" s="0" t="n">
        <v>17.5</v>
      </c>
      <c r="D62" s="0" t="n">
        <v>1.24</v>
      </c>
      <c r="E62" s="0" t="n">
        <v>3.49</v>
      </c>
      <c r="F62" s="10" t="n">
        <v>0.7378</v>
      </c>
      <c r="G62" s="0" t="n">
        <v>20.19</v>
      </c>
    </row>
    <row r="63" customFormat="false" ht="15" hidden="false" customHeight="false" outlineLevel="0" collapsed="false">
      <c r="A63" s="0" t="s">
        <v>819</v>
      </c>
      <c r="B63" s="0" t="n">
        <v>1</v>
      </c>
      <c r="C63" s="0" t="n">
        <v>18.5</v>
      </c>
      <c r="D63" s="0" t="n">
        <v>1.4</v>
      </c>
      <c r="E63" s="0" t="n">
        <v>2.64</v>
      </c>
      <c r="F63" s="10" t="n">
        <v>0.6535</v>
      </c>
      <c r="G63" s="0" t="n">
        <v>20.19</v>
      </c>
    </row>
    <row r="64" customFormat="false" ht="15" hidden="false" customHeight="false" outlineLevel="0" collapsed="false">
      <c r="A64" s="0" t="s">
        <v>819</v>
      </c>
      <c r="B64" s="0" t="n">
        <v>1</v>
      </c>
      <c r="C64" s="0" t="n">
        <v>19.5</v>
      </c>
      <c r="D64" s="0" t="n">
        <v>1.63</v>
      </c>
      <c r="E64" s="0" t="n">
        <v>2.12</v>
      </c>
      <c r="F64" s="10" t="n">
        <v>0.5653</v>
      </c>
      <c r="G64" s="0" t="n">
        <v>20.19</v>
      </c>
    </row>
    <row r="65" customFormat="false" ht="15" hidden="false" customHeight="false" outlineLevel="0" collapsed="false">
      <c r="A65" s="0" t="s">
        <v>819</v>
      </c>
      <c r="B65" s="0" t="n">
        <v>1</v>
      </c>
      <c r="C65" s="0" t="n">
        <v>20.5</v>
      </c>
      <c r="D65" s="0" t="n">
        <v>1.97</v>
      </c>
      <c r="E65" s="0" t="n">
        <v>1.75</v>
      </c>
      <c r="F65" s="10" t="n">
        <v>0.4704</v>
      </c>
      <c r="G65" s="0" t="n">
        <v>20.19</v>
      </c>
    </row>
    <row r="66" customFormat="false" ht="15" hidden="false" customHeight="false" outlineLevel="0" collapsed="false">
      <c r="A66" s="0" t="s">
        <v>819</v>
      </c>
      <c r="B66" s="0" t="n">
        <v>1</v>
      </c>
      <c r="C66" s="0" t="n">
        <v>21.5</v>
      </c>
      <c r="D66" s="0" t="n">
        <v>2.43</v>
      </c>
      <c r="E66" s="0" t="n">
        <v>1.47</v>
      </c>
      <c r="F66" s="10" t="n">
        <v>0.3769</v>
      </c>
      <c r="G66" s="0" t="n">
        <v>20.19</v>
      </c>
    </row>
    <row r="67" customFormat="false" ht="15" hidden="false" customHeight="false" outlineLevel="0" collapsed="false">
      <c r="A67" s="0" t="s">
        <v>819</v>
      </c>
      <c r="B67" s="0" t="n">
        <v>1</v>
      </c>
      <c r="C67" s="0" t="n">
        <v>22.5</v>
      </c>
      <c r="D67" s="0" t="n">
        <v>3.16</v>
      </c>
      <c r="E67" s="0" t="n">
        <v>1.29</v>
      </c>
      <c r="F67" s="10" t="n">
        <v>0.2899</v>
      </c>
      <c r="G67" s="0" t="n">
        <v>20.19</v>
      </c>
    </row>
    <row r="68" customFormat="false" ht="15" hidden="false" customHeight="false" outlineLevel="0" collapsed="false">
      <c r="A68" s="0" t="s">
        <v>819</v>
      </c>
      <c r="B68" s="0" t="n">
        <v>2</v>
      </c>
      <c r="C68" s="0" t="n">
        <v>17.5</v>
      </c>
      <c r="D68" s="0" t="n">
        <v>1.24</v>
      </c>
      <c r="E68" s="0" t="n">
        <v>3.49</v>
      </c>
      <c r="F68" s="10" t="n">
        <v>0.7378</v>
      </c>
      <c r="G68" s="0" t="n">
        <v>20.19</v>
      </c>
    </row>
    <row r="69" customFormat="false" ht="15" hidden="false" customHeight="false" outlineLevel="0" collapsed="false">
      <c r="A69" s="0" t="s">
        <v>819</v>
      </c>
      <c r="B69" s="0" t="n">
        <v>2</v>
      </c>
      <c r="C69" s="0" t="n">
        <v>18.5</v>
      </c>
      <c r="D69" s="0" t="n">
        <v>1.4</v>
      </c>
      <c r="E69" s="0" t="n">
        <v>2.64</v>
      </c>
      <c r="F69" s="10" t="n">
        <v>0.6535</v>
      </c>
      <c r="G69" s="0" t="n">
        <v>20.19</v>
      </c>
    </row>
    <row r="70" customFormat="false" ht="15" hidden="false" customHeight="false" outlineLevel="0" collapsed="false">
      <c r="A70" s="0" t="s">
        <v>819</v>
      </c>
      <c r="B70" s="0" t="n">
        <v>2</v>
      </c>
      <c r="C70" s="0" t="n">
        <v>19.5</v>
      </c>
      <c r="D70" s="0" t="n">
        <v>1.63</v>
      </c>
      <c r="E70" s="0" t="n">
        <v>2.12</v>
      </c>
      <c r="F70" s="10" t="n">
        <v>0.5653</v>
      </c>
      <c r="G70" s="0" t="n">
        <v>20.19</v>
      </c>
    </row>
    <row r="71" customFormat="false" ht="15" hidden="false" customHeight="false" outlineLevel="0" collapsed="false">
      <c r="A71" s="0" t="s">
        <v>819</v>
      </c>
      <c r="B71" s="0" t="n">
        <v>2</v>
      </c>
      <c r="C71" s="0" t="n">
        <v>20.5</v>
      </c>
      <c r="D71" s="0" t="n">
        <v>1.97</v>
      </c>
      <c r="E71" s="0" t="n">
        <v>1.75</v>
      </c>
      <c r="F71" s="10" t="n">
        <v>0.4704</v>
      </c>
      <c r="G71" s="0" t="n">
        <v>20.19</v>
      </c>
    </row>
    <row r="72" customFormat="false" ht="15" hidden="false" customHeight="false" outlineLevel="0" collapsed="false">
      <c r="A72" s="0" t="s">
        <v>819</v>
      </c>
      <c r="B72" s="0" t="n">
        <v>2</v>
      </c>
      <c r="C72" s="0" t="n">
        <v>21.5</v>
      </c>
      <c r="D72" s="0" t="n">
        <v>2.43</v>
      </c>
      <c r="E72" s="0" t="n">
        <v>1.47</v>
      </c>
      <c r="F72" s="10" t="n">
        <v>0.3769</v>
      </c>
      <c r="G72" s="0" t="n">
        <v>20.19</v>
      </c>
    </row>
    <row r="73" customFormat="false" ht="15" hidden="false" customHeight="false" outlineLevel="0" collapsed="false">
      <c r="A73" s="0" t="s">
        <v>819</v>
      </c>
      <c r="B73" s="0" t="n">
        <v>2</v>
      </c>
      <c r="C73" s="0" t="n">
        <v>22.5</v>
      </c>
      <c r="D73" s="0" t="n">
        <v>3.16</v>
      </c>
      <c r="E73" s="0" t="n">
        <v>1.29</v>
      </c>
      <c r="F73" s="10" t="n">
        <v>0.2899</v>
      </c>
      <c r="G73" s="0" t="n">
        <v>20.19</v>
      </c>
    </row>
    <row r="74" customFormat="false" ht="15" hidden="false" customHeight="false" outlineLevel="0" collapsed="false">
      <c r="A74" s="0" t="s">
        <v>826</v>
      </c>
      <c r="B74" s="0" t="n">
        <v>1</v>
      </c>
      <c r="C74" s="0" t="n">
        <v>18.5</v>
      </c>
      <c r="D74" s="0" t="n">
        <v>1.23</v>
      </c>
      <c r="E74" s="0" t="n">
        <v>3.59</v>
      </c>
      <c r="F74" s="10" t="n">
        <v>0.7448</v>
      </c>
      <c r="G74" s="0" t="n">
        <v>21.2</v>
      </c>
    </row>
    <row r="75" customFormat="false" ht="15" hidden="false" customHeight="false" outlineLevel="0" collapsed="false">
      <c r="A75" s="0" t="s">
        <v>826</v>
      </c>
      <c r="B75" s="0" t="n">
        <v>1</v>
      </c>
      <c r="C75" s="0" t="n">
        <v>19.5</v>
      </c>
      <c r="D75" s="0" t="n">
        <v>1.39</v>
      </c>
      <c r="E75" s="0" t="n">
        <v>2.72</v>
      </c>
      <c r="F75" s="10" t="n">
        <v>0.6618</v>
      </c>
      <c r="G75" s="0" t="n">
        <v>21.2</v>
      </c>
    </row>
    <row r="76" customFormat="false" ht="15" hidden="false" customHeight="false" outlineLevel="0" collapsed="false">
      <c r="A76" s="0" t="s">
        <v>826</v>
      </c>
      <c r="B76" s="0" t="n">
        <v>1</v>
      </c>
      <c r="C76" s="0" t="n">
        <v>20.5</v>
      </c>
      <c r="D76" s="0" t="n">
        <v>1.62</v>
      </c>
      <c r="E76" s="0" t="n">
        <v>2.15</v>
      </c>
      <c r="F76" s="10" t="n">
        <v>0.5703</v>
      </c>
      <c r="G76" s="0" t="n">
        <v>21.2</v>
      </c>
    </row>
    <row r="77" customFormat="false" ht="15" hidden="false" customHeight="false" outlineLevel="0" collapsed="false">
      <c r="A77" s="0" t="s">
        <v>826</v>
      </c>
      <c r="B77" s="0" t="n">
        <v>1</v>
      </c>
      <c r="C77" s="0" t="n">
        <v>21.5</v>
      </c>
      <c r="D77" s="0" t="n">
        <v>1.98</v>
      </c>
      <c r="E77" s="0" t="n">
        <v>1.75</v>
      </c>
      <c r="F77" s="10" t="n">
        <v>0.4692</v>
      </c>
      <c r="G77" s="0" t="n">
        <v>21.2</v>
      </c>
    </row>
    <row r="78" customFormat="false" ht="15" hidden="false" customHeight="false" outlineLevel="0" collapsed="false">
      <c r="A78" s="0" t="s">
        <v>826</v>
      </c>
      <c r="B78" s="0" t="n">
        <v>1</v>
      </c>
      <c r="C78" s="0" t="n">
        <v>22.5</v>
      </c>
      <c r="D78" s="0" t="n">
        <v>2.53</v>
      </c>
      <c r="E78" s="0" t="n">
        <v>1.44</v>
      </c>
      <c r="F78" s="10" t="n">
        <v>0.3627</v>
      </c>
      <c r="G78" s="0" t="n">
        <v>21.2</v>
      </c>
    </row>
    <row r="79" customFormat="false" ht="15" hidden="false" customHeight="false" outlineLevel="0" collapsed="false">
      <c r="A79" s="0" t="s">
        <v>826</v>
      </c>
      <c r="B79" s="0" t="n">
        <v>1</v>
      </c>
      <c r="C79" s="0" t="n">
        <v>23.5</v>
      </c>
      <c r="D79" s="0" t="n">
        <v>3.57</v>
      </c>
      <c r="E79" s="0" t="n">
        <v>1.23</v>
      </c>
      <c r="F79" s="10" t="n">
        <v>0.2563</v>
      </c>
      <c r="G79" s="0" t="n">
        <v>21.2</v>
      </c>
    </row>
    <row r="80" customFormat="false" ht="15" hidden="false" customHeight="false" outlineLevel="0" collapsed="false">
      <c r="A80" s="0" t="s">
        <v>826</v>
      </c>
      <c r="B80" s="0" t="n">
        <v>2</v>
      </c>
      <c r="C80" s="0" t="n">
        <v>18.5</v>
      </c>
      <c r="D80" s="0" t="n">
        <v>1.24</v>
      </c>
      <c r="E80" s="0" t="n">
        <v>3.57</v>
      </c>
      <c r="F80" s="10" t="n">
        <v>0.7422</v>
      </c>
      <c r="G80" s="0" t="n">
        <v>21.17</v>
      </c>
    </row>
    <row r="81" customFormat="false" ht="15" hidden="false" customHeight="false" outlineLevel="0" collapsed="false">
      <c r="A81" s="0" t="s">
        <v>826</v>
      </c>
      <c r="B81" s="0" t="n">
        <v>2</v>
      </c>
      <c r="C81" s="0" t="n">
        <v>19.5</v>
      </c>
      <c r="D81" s="0" t="n">
        <v>1.39</v>
      </c>
      <c r="E81" s="0" t="n">
        <v>2.7</v>
      </c>
      <c r="F81" s="10" t="n">
        <v>0.6601</v>
      </c>
      <c r="G81" s="0" t="n">
        <v>21.17</v>
      </c>
    </row>
    <row r="82" customFormat="false" ht="15" hidden="false" customHeight="false" outlineLevel="0" collapsed="false">
      <c r="A82" s="0" t="s">
        <v>826</v>
      </c>
      <c r="B82" s="0" t="n">
        <v>2</v>
      </c>
      <c r="C82" s="0" t="n">
        <v>20.5</v>
      </c>
      <c r="D82" s="0" t="n">
        <v>1.63</v>
      </c>
      <c r="E82" s="0" t="n">
        <v>2.15</v>
      </c>
      <c r="F82" s="10" t="n">
        <v>0.5688</v>
      </c>
      <c r="G82" s="0" t="n">
        <v>21.17</v>
      </c>
    </row>
    <row r="83" customFormat="false" ht="15" hidden="false" customHeight="false" outlineLevel="0" collapsed="false">
      <c r="A83" s="0" t="s">
        <v>826</v>
      </c>
      <c r="B83" s="0" t="n">
        <v>2</v>
      </c>
      <c r="C83" s="0" t="n">
        <v>21.5</v>
      </c>
      <c r="D83" s="0" t="n">
        <v>1.99</v>
      </c>
      <c r="E83" s="0" t="n">
        <v>1.74</v>
      </c>
      <c r="F83" s="10" t="n">
        <v>0.4665</v>
      </c>
      <c r="G83" s="0" t="n">
        <v>21.17</v>
      </c>
    </row>
    <row r="84" customFormat="false" ht="15" hidden="false" customHeight="false" outlineLevel="0" collapsed="false">
      <c r="A84" s="0" t="s">
        <v>826</v>
      </c>
      <c r="B84" s="0" t="n">
        <v>2</v>
      </c>
      <c r="C84" s="0" t="n">
        <v>22.5</v>
      </c>
      <c r="D84" s="0" t="n">
        <v>2.54</v>
      </c>
      <c r="E84" s="0" t="n">
        <v>1.44</v>
      </c>
      <c r="F84" s="10" t="n">
        <v>0.3618</v>
      </c>
      <c r="G84" s="0" t="n">
        <v>21.17</v>
      </c>
    </row>
    <row r="85" customFormat="false" ht="15" hidden="false" customHeight="false" outlineLevel="0" collapsed="false">
      <c r="A85" s="0" t="s">
        <v>826</v>
      </c>
      <c r="B85" s="0" t="n">
        <v>2</v>
      </c>
      <c r="C85" s="0" t="n">
        <v>23.5</v>
      </c>
      <c r="D85" s="0" t="n">
        <v>3.58</v>
      </c>
      <c r="E85" s="0" t="n">
        <v>1.23</v>
      </c>
      <c r="F85" s="10" t="n">
        <v>0.2557</v>
      </c>
      <c r="G85" s="0" t="n">
        <v>21.17</v>
      </c>
    </row>
    <row r="86" customFormat="false" ht="15" hidden="false" customHeight="false" outlineLevel="0" collapsed="false">
      <c r="A86" s="0" t="s">
        <v>830</v>
      </c>
      <c r="B86" s="0" t="n">
        <v>1</v>
      </c>
      <c r="C86" s="0" t="n">
        <v>18.5</v>
      </c>
      <c r="D86" s="0" t="n">
        <v>1.23</v>
      </c>
      <c r="E86" s="0" t="n">
        <v>3.59</v>
      </c>
      <c r="F86" s="10" t="n">
        <v>0.7448</v>
      </c>
      <c r="G86" s="0" t="n">
        <v>21.2</v>
      </c>
    </row>
    <row r="87" customFormat="false" ht="15" hidden="false" customHeight="false" outlineLevel="0" collapsed="false">
      <c r="A87" s="0" t="s">
        <v>830</v>
      </c>
      <c r="B87" s="0" t="n">
        <v>1</v>
      </c>
      <c r="C87" s="0" t="n">
        <v>19.5</v>
      </c>
      <c r="D87" s="0" t="n">
        <v>1.38</v>
      </c>
      <c r="E87" s="0" t="n">
        <v>2.72</v>
      </c>
      <c r="F87" s="10" t="n">
        <v>0.6634</v>
      </c>
      <c r="G87" s="0" t="n">
        <v>21.2</v>
      </c>
    </row>
    <row r="88" customFormat="false" ht="15" hidden="false" customHeight="false" outlineLevel="0" collapsed="false">
      <c r="A88" s="0" t="s">
        <v>830</v>
      </c>
      <c r="B88" s="0" t="n">
        <v>1</v>
      </c>
      <c r="C88" s="0" t="n">
        <v>20.5</v>
      </c>
      <c r="D88" s="0" t="n">
        <v>1.62</v>
      </c>
      <c r="E88" s="0" t="n">
        <v>2.16</v>
      </c>
      <c r="F88" s="10" t="n">
        <v>0.5714</v>
      </c>
      <c r="G88" s="0" t="n">
        <v>21.2</v>
      </c>
    </row>
    <row r="89" customFormat="false" ht="15" hidden="false" customHeight="false" outlineLevel="0" collapsed="false">
      <c r="A89" s="0" t="s">
        <v>830</v>
      </c>
      <c r="B89" s="0" t="n">
        <v>1</v>
      </c>
      <c r="C89" s="0" t="n">
        <v>21.5</v>
      </c>
      <c r="D89" s="0" t="n">
        <v>1.98</v>
      </c>
      <c r="E89" s="0" t="n">
        <v>1.75</v>
      </c>
      <c r="F89" s="10" t="n">
        <v>0.4692</v>
      </c>
      <c r="G89" s="0" t="n">
        <v>21.2</v>
      </c>
    </row>
    <row r="90" customFormat="false" ht="15" hidden="false" customHeight="false" outlineLevel="0" collapsed="false">
      <c r="A90" s="0" t="s">
        <v>830</v>
      </c>
      <c r="B90" s="0" t="n">
        <v>1</v>
      </c>
      <c r="C90" s="0" t="n">
        <v>22.5</v>
      </c>
      <c r="D90" s="0" t="n">
        <v>2.53</v>
      </c>
      <c r="E90" s="0" t="n">
        <v>1.44</v>
      </c>
      <c r="F90" s="10" t="n">
        <v>0.3627</v>
      </c>
      <c r="G90" s="0" t="n">
        <v>21.2</v>
      </c>
    </row>
    <row r="91" customFormat="false" ht="15" hidden="false" customHeight="false" outlineLevel="0" collapsed="false">
      <c r="A91" s="0" t="s">
        <v>830</v>
      </c>
      <c r="B91" s="0" t="n">
        <v>1</v>
      </c>
      <c r="C91" s="0" t="n">
        <v>23.5</v>
      </c>
      <c r="D91" s="0" t="n">
        <v>3.57</v>
      </c>
      <c r="E91" s="0" t="n">
        <v>1.23</v>
      </c>
      <c r="F91" s="10" t="n">
        <v>0.2563</v>
      </c>
      <c r="G91" s="0" t="n">
        <v>21.2</v>
      </c>
    </row>
    <row r="92" customFormat="false" ht="15" hidden="false" customHeight="false" outlineLevel="0" collapsed="false">
      <c r="A92" s="0" t="s">
        <v>830</v>
      </c>
      <c r="B92" s="0" t="n">
        <v>2</v>
      </c>
      <c r="C92" s="0" t="n">
        <v>18.5</v>
      </c>
      <c r="D92" s="0" t="n">
        <v>1.25</v>
      </c>
      <c r="E92" s="0" t="n">
        <v>3.43</v>
      </c>
      <c r="F92" s="10" t="n">
        <v>0.7329</v>
      </c>
      <c r="G92" s="0" t="n">
        <v>21.07</v>
      </c>
    </row>
    <row r="93" customFormat="false" ht="15" hidden="false" customHeight="false" outlineLevel="0" collapsed="false">
      <c r="A93" s="0" t="s">
        <v>830</v>
      </c>
      <c r="B93" s="0" t="n">
        <v>2</v>
      </c>
      <c r="C93" s="0" t="n">
        <v>19.5</v>
      </c>
      <c r="D93" s="0" t="n">
        <v>1.41</v>
      </c>
      <c r="E93" s="0" t="n">
        <v>2.62</v>
      </c>
      <c r="F93" s="10" t="n">
        <v>0.6501</v>
      </c>
      <c r="G93" s="0" t="n">
        <v>21.07</v>
      </c>
    </row>
    <row r="94" customFormat="false" ht="15" hidden="false" customHeight="false" outlineLevel="0" collapsed="false">
      <c r="A94" s="0" t="s">
        <v>830</v>
      </c>
      <c r="B94" s="0" t="n">
        <v>2</v>
      </c>
      <c r="C94" s="0" t="n">
        <v>20.5</v>
      </c>
      <c r="D94" s="0" t="n">
        <v>1.66</v>
      </c>
      <c r="E94" s="0" t="n">
        <v>2.09</v>
      </c>
      <c r="F94" s="10" t="n">
        <v>0.5573</v>
      </c>
      <c r="G94" s="0" t="n">
        <v>21.07</v>
      </c>
    </row>
    <row r="95" customFormat="false" ht="15" hidden="false" customHeight="false" outlineLevel="0" collapsed="false">
      <c r="A95" s="0" t="s">
        <v>830</v>
      </c>
      <c r="B95" s="0" t="n">
        <v>2</v>
      </c>
      <c r="C95" s="0" t="n">
        <v>21.5</v>
      </c>
      <c r="D95" s="0" t="n">
        <v>2.03</v>
      </c>
      <c r="E95" s="0" t="n">
        <v>1.71</v>
      </c>
      <c r="F95" s="10" t="n">
        <v>0.4572</v>
      </c>
      <c r="G95" s="0" t="n">
        <v>21.07</v>
      </c>
    </row>
    <row r="96" customFormat="false" ht="15" hidden="false" customHeight="false" outlineLevel="0" collapsed="false">
      <c r="A96" s="0" t="s">
        <v>830</v>
      </c>
      <c r="B96" s="0" t="n">
        <v>2</v>
      </c>
      <c r="C96" s="0" t="n">
        <v>22.5</v>
      </c>
      <c r="D96" s="0" t="n">
        <v>2.6</v>
      </c>
      <c r="E96" s="0" t="n">
        <v>1.42</v>
      </c>
      <c r="F96" s="10" t="n">
        <v>0.3532</v>
      </c>
      <c r="G96" s="0" t="n">
        <v>21.07</v>
      </c>
    </row>
    <row r="97" customFormat="false" ht="15" hidden="false" customHeight="false" outlineLevel="0" collapsed="false">
      <c r="A97" s="0" t="s">
        <v>830</v>
      </c>
      <c r="B97" s="0" t="n">
        <v>2</v>
      </c>
      <c r="C97" s="0" t="n">
        <v>23.5</v>
      </c>
      <c r="D97" s="0" t="n">
        <v>3.68</v>
      </c>
      <c r="E97" s="0" t="n">
        <v>1.22</v>
      </c>
      <c r="F97" s="10" t="n">
        <v>0.249</v>
      </c>
      <c r="G97" s="0" t="n">
        <v>21.07</v>
      </c>
    </row>
    <row r="98" customFormat="false" ht="15" hidden="false" customHeight="false" outlineLevel="0" collapsed="false">
      <c r="A98" s="0" t="s">
        <v>843</v>
      </c>
      <c r="B98" s="0" t="n">
        <v>1</v>
      </c>
      <c r="C98" s="0" t="n">
        <v>17.5</v>
      </c>
      <c r="D98" s="0" t="n">
        <v>1.1</v>
      </c>
      <c r="E98" s="0" t="n">
        <v>5.8</v>
      </c>
      <c r="F98" s="10" t="n">
        <v>0.8406</v>
      </c>
      <c r="G98" s="0" t="n">
        <v>21.5</v>
      </c>
    </row>
    <row r="99" customFormat="false" ht="15" hidden="false" customHeight="false" outlineLevel="0" collapsed="false">
      <c r="A99" s="0" t="s">
        <v>843</v>
      </c>
      <c r="B99" s="0" t="n">
        <v>1</v>
      </c>
      <c r="C99" s="0" t="n">
        <v>18.5</v>
      </c>
      <c r="D99" s="0" t="n">
        <v>1.2</v>
      </c>
      <c r="E99" s="0" t="n">
        <v>4</v>
      </c>
      <c r="F99" s="10" t="n">
        <v>0.7692</v>
      </c>
      <c r="G99" s="0" t="n">
        <v>21.5</v>
      </c>
    </row>
    <row r="100" customFormat="false" ht="15" hidden="false" customHeight="false" outlineLevel="0" collapsed="false">
      <c r="A100" s="0" t="s">
        <v>843</v>
      </c>
      <c r="B100" s="0" t="n">
        <v>1</v>
      </c>
      <c r="C100" s="0" t="n">
        <v>19.5</v>
      </c>
      <c r="D100" s="0" t="n">
        <v>1.35</v>
      </c>
      <c r="E100" s="0" t="n">
        <v>2.9</v>
      </c>
      <c r="F100" s="10" t="n">
        <v>0.6824</v>
      </c>
      <c r="G100" s="0" t="n">
        <v>21.5</v>
      </c>
    </row>
    <row r="101" customFormat="false" ht="15" hidden="false" customHeight="false" outlineLevel="0" collapsed="false">
      <c r="A101" s="0" t="s">
        <v>843</v>
      </c>
      <c r="B101" s="0" t="n">
        <v>1</v>
      </c>
      <c r="C101" s="0" t="n">
        <v>20.5</v>
      </c>
      <c r="D101" s="0" t="n">
        <v>1.52</v>
      </c>
      <c r="E101" s="0" t="n">
        <v>2.35</v>
      </c>
      <c r="F101" s="10" t="n">
        <v>0.6072</v>
      </c>
      <c r="G101" s="0" t="n">
        <v>21.5</v>
      </c>
    </row>
    <row r="102" customFormat="false" ht="15" hidden="false" customHeight="false" outlineLevel="0" collapsed="false">
      <c r="A102" s="0" t="s">
        <v>843</v>
      </c>
      <c r="B102" s="0" t="n">
        <v>1</v>
      </c>
      <c r="C102" s="0" t="n">
        <v>21.5</v>
      </c>
      <c r="D102" s="0" t="n">
        <v>1.85</v>
      </c>
      <c r="E102" s="0" t="n">
        <v>1.85</v>
      </c>
      <c r="F102" s="10" t="n">
        <v>0.5</v>
      </c>
      <c r="G102" s="0" t="n">
        <v>21.5</v>
      </c>
    </row>
    <row r="103" customFormat="false" ht="15" hidden="false" customHeight="false" outlineLevel="0" collapsed="false">
      <c r="A103" s="0" t="s">
        <v>843</v>
      </c>
      <c r="B103" s="0" t="n">
        <v>1</v>
      </c>
      <c r="C103" s="0" t="n">
        <v>22.5</v>
      </c>
      <c r="D103" s="0" t="n">
        <v>2.4</v>
      </c>
      <c r="E103" s="0" t="n">
        <v>1.5</v>
      </c>
      <c r="F103" s="10" t="n">
        <v>0.3846</v>
      </c>
      <c r="G103" s="0" t="n">
        <v>21.5</v>
      </c>
    </row>
    <row r="104" customFormat="false" ht="15" hidden="false" customHeight="false" outlineLevel="0" collapsed="false">
      <c r="A104" s="0" t="s">
        <v>843</v>
      </c>
      <c r="B104" s="0" t="n">
        <v>2</v>
      </c>
      <c r="C104" s="0" t="n">
        <v>17.5</v>
      </c>
      <c r="D104" s="0" t="n">
        <v>1.1</v>
      </c>
      <c r="E104" s="0" t="n">
        <v>5.8</v>
      </c>
      <c r="F104" s="10" t="n">
        <v>0.8406</v>
      </c>
      <c r="G104" s="0" t="n">
        <v>21.5</v>
      </c>
    </row>
    <row r="105" customFormat="false" ht="15" hidden="false" customHeight="false" outlineLevel="0" collapsed="false">
      <c r="A105" s="0" t="s">
        <v>843</v>
      </c>
      <c r="B105" s="0" t="n">
        <v>2</v>
      </c>
      <c r="C105" s="0" t="n">
        <v>18.5</v>
      </c>
      <c r="D105" s="0" t="n">
        <v>1.2</v>
      </c>
      <c r="E105" s="0" t="n">
        <v>4</v>
      </c>
      <c r="F105" s="10" t="n">
        <v>0.7692</v>
      </c>
      <c r="G105" s="0" t="n">
        <v>21.5</v>
      </c>
    </row>
    <row r="106" customFormat="false" ht="15" hidden="false" customHeight="false" outlineLevel="0" collapsed="false">
      <c r="A106" s="0" t="s">
        <v>843</v>
      </c>
      <c r="B106" s="0" t="n">
        <v>2</v>
      </c>
      <c r="C106" s="0" t="n">
        <v>19.5</v>
      </c>
      <c r="D106" s="0" t="n">
        <v>1.32</v>
      </c>
      <c r="E106" s="0" t="n">
        <v>3.1</v>
      </c>
      <c r="F106" s="10" t="n">
        <v>0.7014</v>
      </c>
      <c r="G106" s="0" t="n">
        <v>21.5</v>
      </c>
    </row>
    <row r="107" customFormat="false" ht="15" hidden="false" customHeight="false" outlineLevel="0" collapsed="false">
      <c r="A107" s="0" t="s">
        <v>843</v>
      </c>
      <c r="B107" s="0" t="n">
        <v>2</v>
      </c>
      <c r="C107" s="0" t="n">
        <v>20.5</v>
      </c>
      <c r="D107" s="0" t="n">
        <v>1.52</v>
      </c>
      <c r="E107" s="0" t="n">
        <v>2.35</v>
      </c>
      <c r="F107" s="10" t="n">
        <v>0.6072</v>
      </c>
      <c r="G107" s="0" t="n">
        <v>21.5</v>
      </c>
    </row>
    <row r="108" customFormat="false" ht="15" hidden="false" customHeight="false" outlineLevel="0" collapsed="false">
      <c r="A108" s="0" t="s">
        <v>843</v>
      </c>
      <c r="B108" s="0" t="n">
        <v>2</v>
      </c>
      <c r="C108" s="0" t="n">
        <v>21.5</v>
      </c>
      <c r="D108" s="0" t="n">
        <v>1.85</v>
      </c>
      <c r="E108" s="0" t="n">
        <v>1.85</v>
      </c>
      <c r="F108" s="10" t="n">
        <v>0.5</v>
      </c>
      <c r="G108" s="0" t="n">
        <v>21.5</v>
      </c>
    </row>
    <row r="109" customFormat="false" ht="15" hidden="false" customHeight="false" outlineLevel="0" collapsed="false">
      <c r="A109" s="0" t="s">
        <v>843</v>
      </c>
      <c r="B109" s="0" t="n">
        <v>2</v>
      </c>
      <c r="C109" s="0" t="n">
        <v>22.5</v>
      </c>
      <c r="D109" s="0" t="n">
        <v>2.4</v>
      </c>
      <c r="E109" s="0" t="n">
        <v>1.5</v>
      </c>
      <c r="F109" s="10" t="n">
        <v>0.3846</v>
      </c>
      <c r="G109" s="0" t="n">
        <v>21.5</v>
      </c>
    </row>
    <row r="110" customFormat="false" ht="15" hidden="false" customHeight="false" outlineLevel="0" collapsed="false">
      <c r="A110" s="0" t="s">
        <v>843</v>
      </c>
      <c r="B110" s="0" t="n">
        <v>3</v>
      </c>
      <c r="C110" s="0" t="n">
        <v>17.5</v>
      </c>
      <c r="D110" s="0" t="n">
        <v>1.1</v>
      </c>
      <c r="E110" s="0" t="n">
        <v>5.8</v>
      </c>
      <c r="F110" s="10" t="n">
        <v>0.8406</v>
      </c>
      <c r="G110" s="0" t="n">
        <v>21.5</v>
      </c>
    </row>
    <row r="111" customFormat="false" ht="15" hidden="false" customHeight="false" outlineLevel="0" collapsed="false">
      <c r="A111" s="0" t="s">
        <v>843</v>
      </c>
      <c r="B111" s="0" t="n">
        <v>3</v>
      </c>
      <c r="C111" s="0" t="n">
        <v>18.5</v>
      </c>
      <c r="D111" s="0" t="n">
        <v>1.2</v>
      </c>
      <c r="E111" s="0" t="n">
        <v>4</v>
      </c>
      <c r="F111" s="10" t="n">
        <v>0.7692</v>
      </c>
      <c r="G111" s="0" t="n">
        <v>21.5</v>
      </c>
    </row>
    <row r="112" customFormat="false" ht="15" hidden="false" customHeight="false" outlineLevel="0" collapsed="false">
      <c r="A112" s="0" t="s">
        <v>843</v>
      </c>
      <c r="B112" s="0" t="n">
        <v>3</v>
      </c>
      <c r="C112" s="0" t="n">
        <v>19.5</v>
      </c>
      <c r="D112" s="0" t="n">
        <v>1.32</v>
      </c>
      <c r="E112" s="0" t="n">
        <v>3.1</v>
      </c>
      <c r="F112" s="10" t="n">
        <v>0.7014</v>
      </c>
      <c r="G112" s="0" t="n">
        <v>21.5</v>
      </c>
    </row>
    <row r="113" customFormat="false" ht="15" hidden="false" customHeight="false" outlineLevel="0" collapsed="false">
      <c r="A113" s="0" t="s">
        <v>843</v>
      </c>
      <c r="B113" s="0" t="n">
        <v>3</v>
      </c>
      <c r="C113" s="0" t="n">
        <v>20.5</v>
      </c>
      <c r="D113" s="0" t="n">
        <v>1.52</v>
      </c>
      <c r="E113" s="0" t="n">
        <v>2.35</v>
      </c>
      <c r="F113" s="10" t="n">
        <v>0.6072</v>
      </c>
      <c r="G113" s="0" t="n">
        <v>21.5</v>
      </c>
    </row>
    <row r="114" customFormat="false" ht="15" hidden="false" customHeight="false" outlineLevel="0" collapsed="false">
      <c r="A114" s="0" t="s">
        <v>843</v>
      </c>
      <c r="B114" s="0" t="n">
        <v>3</v>
      </c>
      <c r="C114" s="0" t="n">
        <v>21.5</v>
      </c>
      <c r="D114" s="0" t="n">
        <v>1.85</v>
      </c>
      <c r="E114" s="0" t="n">
        <v>1.85</v>
      </c>
      <c r="F114" s="10" t="n">
        <v>0.5</v>
      </c>
      <c r="G114" s="0" t="n">
        <v>21.5</v>
      </c>
    </row>
    <row r="115" customFormat="false" ht="15" hidden="false" customHeight="false" outlineLevel="0" collapsed="false">
      <c r="A115" s="0" t="s">
        <v>843</v>
      </c>
      <c r="B115" s="0" t="n">
        <v>3</v>
      </c>
      <c r="C115" s="0" t="n">
        <v>22.5</v>
      </c>
      <c r="D115" s="0" t="n">
        <v>2.4</v>
      </c>
      <c r="E115" s="0" t="n">
        <v>1.5</v>
      </c>
      <c r="F115" s="10" t="n">
        <v>0.3846</v>
      </c>
      <c r="G115" s="0" t="n">
        <v>21.5</v>
      </c>
    </row>
    <row r="116" customFormat="false" ht="15" hidden="false" customHeight="false" outlineLevel="0" collapsed="false">
      <c r="A116" s="0" t="s">
        <v>857</v>
      </c>
      <c r="B116" s="0" t="n">
        <v>1</v>
      </c>
      <c r="C116" s="0" t="n">
        <v>17.5</v>
      </c>
      <c r="D116" s="0" t="n">
        <v>1.1</v>
      </c>
      <c r="E116" s="0" t="n">
        <v>5.8</v>
      </c>
      <c r="F116" s="10" t="n">
        <v>0.8406</v>
      </c>
      <c r="G116" s="0" t="n">
        <v>21.5</v>
      </c>
    </row>
    <row r="117" customFormat="false" ht="15" hidden="false" customHeight="false" outlineLevel="0" collapsed="false">
      <c r="A117" s="0" t="s">
        <v>857</v>
      </c>
      <c r="B117" s="0" t="n">
        <v>1</v>
      </c>
      <c r="C117" s="0" t="n">
        <v>18.5</v>
      </c>
      <c r="D117" s="0" t="n">
        <v>1.2</v>
      </c>
      <c r="E117" s="0" t="n">
        <v>4</v>
      </c>
      <c r="F117" s="10" t="n">
        <v>0.7692</v>
      </c>
      <c r="G117" s="0" t="n">
        <v>21.5</v>
      </c>
    </row>
    <row r="118" customFormat="false" ht="15" hidden="false" customHeight="false" outlineLevel="0" collapsed="false">
      <c r="A118" s="0" t="s">
        <v>857</v>
      </c>
      <c r="B118" s="0" t="n">
        <v>1</v>
      </c>
      <c r="C118" s="0" t="n">
        <v>19.5</v>
      </c>
      <c r="D118" s="0" t="n">
        <v>1.35</v>
      </c>
      <c r="E118" s="0" t="n">
        <v>2.9</v>
      </c>
      <c r="F118" s="10" t="n">
        <v>0.6824</v>
      </c>
      <c r="G118" s="0" t="n">
        <v>21.5</v>
      </c>
    </row>
    <row r="119" customFormat="false" ht="15" hidden="false" customHeight="false" outlineLevel="0" collapsed="false">
      <c r="A119" s="0" t="s">
        <v>857</v>
      </c>
      <c r="B119" s="0" t="n">
        <v>1</v>
      </c>
      <c r="C119" s="0" t="n">
        <v>20.5</v>
      </c>
      <c r="D119" s="0" t="n">
        <v>1.55</v>
      </c>
      <c r="E119" s="0" t="n">
        <v>2.3</v>
      </c>
      <c r="F119" s="10" t="n">
        <v>0.5974</v>
      </c>
      <c r="G119" s="0" t="n">
        <v>21.5</v>
      </c>
    </row>
    <row r="120" customFormat="false" ht="15" hidden="false" customHeight="false" outlineLevel="0" collapsed="false">
      <c r="A120" s="0" t="s">
        <v>857</v>
      </c>
      <c r="B120" s="0" t="n">
        <v>1</v>
      </c>
      <c r="C120" s="0" t="n">
        <v>21.5</v>
      </c>
      <c r="D120" s="0" t="n">
        <v>1.85</v>
      </c>
      <c r="E120" s="0" t="n">
        <v>1.85</v>
      </c>
      <c r="F120" s="10" t="n">
        <v>0.5</v>
      </c>
      <c r="G120" s="0" t="n">
        <v>21.5</v>
      </c>
    </row>
    <row r="121" customFormat="false" ht="15" hidden="false" customHeight="false" outlineLevel="0" collapsed="false">
      <c r="A121" s="0" t="s">
        <v>857</v>
      </c>
      <c r="B121" s="0" t="n">
        <v>1</v>
      </c>
      <c r="C121" s="0" t="n">
        <v>22.5</v>
      </c>
      <c r="D121" s="0" t="n">
        <v>2.4</v>
      </c>
      <c r="E121" s="0" t="n">
        <v>1.5</v>
      </c>
      <c r="F121" s="10" t="n">
        <v>0.3846</v>
      </c>
      <c r="G121" s="0" t="n">
        <v>21.5</v>
      </c>
    </row>
    <row r="122" customFormat="false" ht="15" hidden="false" customHeight="false" outlineLevel="0" collapsed="false">
      <c r="A122" s="0" t="s">
        <v>857</v>
      </c>
      <c r="B122" s="0" t="n">
        <v>2</v>
      </c>
      <c r="C122" s="0" t="n">
        <v>17.5</v>
      </c>
      <c r="D122" s="0" t="n">
        <v>1.12</v>
      </c>
      <c r="E122" s="0" t="n">
        <v>5.3</v>
      </c>
      <c r="F122" s="10" t="n">
        <v>0.8255</v>
      </c>
      <c r="G122" s="0" t="n">
        <v>21.31</v>
      </c>
    </row>
    <row r="123" customFormat="false" ht="15" hidden="false" customHeight="false" outlineLevel="0" collapsed="false">
      <c r="A123" s="0" t="s">
        <v>857</v>
      </c>
      <c r="B123" s="0" t="n">
        <v>2</v>
      </c>
      <c r="C123" s="0" t="n">
        <v>18.5</v>
      </c>
      <c r="D123" s="0" t="n">
        <v>1.22</v>
      </c>
      <c r="E123" s="0" t="n">
        <v>3.8</v>
      </c>
      <c r="F123" s="10" t="n">
        <v>0.757</v>
      </c>
      <c r="G123" s="0" t="n">
        <v>21.31</v>
      </c>
    </row>
    <row r="124" customFormat="false" ht="15" hidden="false" customHeight="false" outlineLevel="0" collapsed="false">
      <c r="A124" s="0" t="s">
        <v>857</v>
      </c>
      <c r="B124" s="0" t="n">
        <v>2</v>
      </c>
      <c r="C124" s="0" t="n">
        <v>19.5</v>
      </c>
      <c r="D124" s="0" t="n">
        <v>1.38</v>
      </c>
      <c r="E124" s="0" t="n">
        <v>2.8</v>
      </c>
      <c r="F124" s="10" t="n">
        <v>0.6699</v>
      </c>
      <c r="G124" s="0" t="n">
        <v>21.31</v>
      </c>
    </row>
    <row r="125" customFormat="false" ht="15" hidden="false" customHeight="false" outlineLevel="0" collapsed="false">
      <c r="A125" s="0" t="s">
        <v>857</v>
      </c>
      <c r="B125" s="0" t="n">
        <v>2</v>
      </c>
      <c r="C125" s="0" t="n">
        <v>20.5</v>
      </c>
      <c r="D125" s="0" t="n">
        <v>1.58</v>
      </c>
      <c r="E125" s="0" t="n">
        <v>2.2</v>
      </c>
      <c r="F125" s="10" t="n">
        <v>0.582</v>
      </c>
      <c r="G125" s="0" t="n">
        <v>21.31</v>
      </c>
    </row>
    <row r="126" customFormat="false" ht="15" hidden="false" customHeight="false" outlineLevel="0" collapsed="false">
      <c r="A126" s="0" t="s">
        <v>857</v>
      </c>
      <c r="B126" s="0" t="n">
        <v>2</v>
      </c>
      <c r="C126" s="0" t="n">
        <v>21.5</v>
      </c>
      <c r="D126" s="0" t="n">
        <v>1.92</v>
      </c>
      <c r="E126" s="0" t="n">
        <v>1.78</v>
      </c>
      <c r="F126" s="10" t="n">
        <v>0.4811</v>
      </c>
      <c r="G126" s="0" t="n">
        <v>21.31</v>
      </c>
    </row>
    <row r="127" customFormat="false" ht="15" hidden="false" customHeight="false" outlineLevel="0" collapsed="false">
      <c r="A127" s="0" t="s">
        <v>857</v>
      </c>
      <c r="B127" s="0" t="n">
        <v>2</v>
      </c>
      <c r="C127" s="0" t="n">
        <v>22.5</v>
      </c>
      <c r="D127" s="0" t="n">
        <v>2.5</v>
      </c>
      <c r="E127" s="0" t="n">
        <v>1.48</v>
      </c>
      <c r="F127" s="10" t="n">
        <v>0.3719</v>
      </c>
      <c r="G127" s="0" t="n">
        <v>21.31</v>
      </c>
    </row>
    <row r="128" customFormat="false" ht="15" hidden="false" customHeight="false" outlineLevel="0" collapsed="false">
      <c r="A128" s="0" t="s">
        <v>857</v>
      </c>
      <c r="B128" s="0" t="n">
        <v>3</v>
      </c>
      <c r="C128" s="0" t="n">
        <v>17.5</v>
      </c>
      <c r="D128" s="0" t="n">
        <v>1.12</v>
      </c>
      <c r="E128" s="0" t="n">
        <v>5.3</v>
      </c>
      <c r="F128" s="10" t="n">
        <v>0.8255</v>
      </c>
      <c r="G128" s="0" t="n">
        <v>21.42</v>
      </c>
    </row>
    <row r="129" customFormat="false" ht="15" hidden="false" customHeight="false" outlineLevel="0" collapsed="false">
      <c r="A129" s="0" t="s">
        <v>857</v>
      </c>
      <c r="B129" s="0" t="n">
        <v>3</v>
      </c>
      <c r="C129" s="0" t="n">
        <v>18.5</v>
      </c>
      <c r="D129" s="0" t="n">
        <v>1.22</v>
      </c>
      <c r="E129" s="0" t="n">
        <v>3.8</v>
      </c>
      <c r="F129" s="10" t="n">
        <v>0.757</v>
      </c>
      <c r="G129" s="0" t="n">
        <v>21.42</v>
      </c>
    </row>
    <row r="130" customFormat="false" ht="15" hidden="false" customHeight="false" outlineLevel="0" collapsed="false">
      <c r="A130" s="0" t="s">
        <v>857</v>
      </c>
      <c r="B130" s="0" t="n">
        <v>3</v>
      </c>
      <c r="C130" s="0" t="n">
        <v>19.5</v>
      </c>
      <c r="D130" s="0" t="n">
        <v>1.35</v>
      </c>
      <c r="E130" s="0" t="n">
        <v>2.9</v>
      </c>
      <c r="F130" s="10" t="n">
        <v>0.6824</v>
      </c>
      <c r="G130" s="0" t="n">
        <v>21.42</v>
      </c>
    </row>
    <row r="131" customFormat="false" ht="15" hidden="false" customHeight="false" outlineLevel="0" collapsed="false">
      <c r="A131" s="0" t="s">
        <v>857</v>
      </c>
      <c r="B131" s="0" t="n">
        <v>3</v>
      </c>
      <c r="C131" s="0" t="n">
        <v>20.5</v>
      </c>
      <c r="D131" s="0" t="n">
        <v>1.55</v>
      </c>
      <c r="E131" s="0" t="n">
        <v>2.3</v>
      </c>
      <c r="F131" s="10" t="n">
        <v>0.5974</v>
      </c>
      <c r="G131" s="0" t="n">
        <v>21.42</v>
      </c>
    </row>
    <row r="132" customFormat="false" ht="15" hidden="false" customHeight="false" outlineLevel="0" collapsed="false">
      <c r="A132" s="0" t="s">
        <v>857</v>
      </c>
      <c r="B132" s="0" t="n">
        <v>3</v>
      </c>
      <c r="C132" s="0" t="n">
        <v>21.5</v>
      </c>
      <c r="D132" s="0" t="n">
        <v>1.88</v>
      </c>
      <c r="E132" s="0" t="n">
        <v>1.82</v>
      </c>
      <c r="F132" s="10" t="n">
        <v>0.4919</v>
      </c>
      <c r="G132" s="0" t="n">
        <v>21.42</v>
      </c>
    </row>
    <row r="133" customFormat="false" ht="15" hidden="false" customHeight="false" outlineLevel="0" collapsed="false">
      <c r="A133" s="0" t="s">
        <v>857</v>
      </c>
      <c r="B133" s="0" t="n">
        <v>3</v>
      </c>
      <c r="C133" s="0" t="n">
        <v>22.5</v>
      </c>
      <c r="D133" s="0" t="n">
        <v>2.4</v>
      </c>
      <c r="E133" s="0" t="n">
        <v>1.5</v>
      </c>
      <c r="F133" s="10" t="n">
        <v>0.3846</v>
      </c>
      <c r="G133" s="0" t="n">
        <v>21.42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7" min="6" style="0" width="10"/>
    <col collapsed="false" customWidth="true" hidden="false" outlineLevel="0" max="11" min="8" style="0" width="7"/>
    <col collapsed="false" customWidth="true" hidden="false" outlineLevel="0" max="12" min="12" style="0" width="6"/>
    <col collapsed="false" customWidth="true" hidden="false" outlineLevel="0" max="13" min="13" style="0" width="9"/>
    <col collapsed="false" customWidth="true" hidden="false" outlineLevel="0" max="14" min="14" style="0" width="10"/>
  </cols>
  <sheetData>
    <row r="1" customFormat="false" ht="41.75" hidden="false" customHeight="false" outlineLevel="0" collapsed="false">
      <c r="A1" s="12" t="s">
        <v>1115</v>
      </c>
      <c r="B1" s="12" t="s">
        <v>737</v>
      </c>
      <c r="C1" s="12" t="s">
        <v>1148</v>
      </c>
      <c r="D1" s="12" t="s">
        <v>2132</v>
      </c>
      <c r="E1" s="12" t="s">
        <v>2133</v>
      </c>
      <c r="F1" s="12" t="s">
        <v>2134</v>
      </c>
      <c r="G1" s="12" t="s">
        <v>2135</v>
      </c>
      <c r="H1" s="12" t="s">
        <v>2136</v>
      </c>
      <c r="I1" s="12" t="s">
        <v>2137</v>
      </c>
      <c r="J1" s="12" t="s">
        <v>2138</v>
      </c>
      <c r="K1" s="12" t="s">
        <v>2139</v>
      </c>
      <c r="L1" s="12" t="s">
        <v>2140</v>
      </c>
      <c r="M1" s="12" t="s">
        <v>2141</v>
      </c>
      <c r="N1" s="12" t="s">
        <v>2142</v>
      </c>
    </row>
    <row r="2" customFormat="false" ht="15" hidden="false" customHeight="false" outlineLevel="0" collapsed="false">
      <c r="A2" s="0" t="s">
        <v>2143</v>
      </c>
      <c r="B2" s="0" t="s">
        <v>692</v>
      </c>
      <c r="C2" s="0" t="s">
        <v>2144</v>
      </c>
      <c r="D2" s="0" t="s">
        <v>2145</v>
      </c>
      <c r="F2" s="0" t="n">
        <v>7.57</v>
      </c>
      <c r="G2" s="0" t="n">
        <v>9.23</v>
      </c>
      <c r="H2" s="10" t="n">
        <v>0.471</v>
      </c>
      <c r="I2" s="10" t="n">
        <v>0.294</v>
      </c>
      <c r="J2" s="10" t="n">
        <v>0</v>
      </c>
      <c r="K2" s="10" t="n">
        <v>0.235</v>
      </c>
      <c r="L2" s="10" t="n">
        <v>0.047</v>
      </c>
      <c r="M2" s="10" t="n">
        <f aca="false">IFERROR((2*H2+2*I2+K2)/(2*H2+3*I2+2*J2+3*K2),"")</f>
        <v>0.697904310003954</v>
      </c>
      <c r="N2" s="10" t="n">
        <f aca="false">IFERROR((M2*13+(1-M2)*G2)/((M2*13+(1-M2)*G2)+(M2*F2+(1-M2)*13)),"")</f>
        <v>0.562898282353255</v>
      </c>
    </row>
    <row r="3" customFormat="false" ht="15" hidden="false" customHeight="false" outlineLevel="0" collapsed="false">
      <c r="A3" s="0" t="s">
        <v>2146</v>
      </c>
      <c r="B3" s="0" t="s">
        <v>692</v>
      </c>
      <c r="C3" s="0" t="s">
        <v>2147</v>
      </c>
      <c r="D3" s="0" t="s">
        <v>2148</v>
      </c>
      <c r="F3" s="0" t="n">
        <v>7.23</v>
      </c>
      <c r="G3" s="0" t="n">
        <v>8</v>
      </c>
      <c r="H3" s="10" t="n">
        <v>0.393</v>
      </c>
      <c r="I3" s="10" t="n">
        <v>0.25</v>
      </c>
      <c r="J3" s="10" t="n">
        <v>0.071</v>
      </c>
      <c r="K3" s="10" t="n">
        <v>0.286</v>
      </c>
      <c r="L3" s="10" t="n">
        <v>0.042</v>
      </c>
      <c r="M3" s="10" t="n">
        <f aca="false">IFERROR((2*H3+2*I3+K3)/(2*H3+3*I3+2*J3+3*K3),"")</f>
        <v>0.619873817034701</v>
      </c>
      <c r="N3" s="10" t="n">
        <f aca="false">IFERROR((M3*13+(1-M3)*G3)/((M3*13+(1-M3)*G3)+(M3*F3+(1-M3)*13)),"")</f>
        <v>0.54083383865982</v>
      </c>
    </row>
    <row r="4" customFormat="false" ht="15" hidden="false" customHeight="false" outlineLevel="0" collapsed="false">
      <c r="A4" s="0" t="s">
        <v>2149</v>
      </c>
      <c r="B4" s="0" t="s">
        <v>785</v>
      </c>
      <c r="C4" s="0" t="s">
        <v>2144</v>
      </c>
      <c r="D4" s="0" t="s">
        <v>2150</v>
      </c>
      <c r="F4" s="0" t="n">
        <v>7.9</v>
      </c>
      <c r="G4" s="0" t="n">
        <v>7.9</v>
      </c>
      <c r="H4" s="10" t="n">
        <v>0.393</v>
      </c>
      <c r="I4" s="10" t="n">
        <v>0.143</v>
      </c>
      <c r="J4" s="10" t="n">
        <v>0.143</v>
      </c>
      <c r="K4" s="10" t="n">
        <v>0.321</v>
      </c>
      <c r="L4" s="10" t="n">
        <v>0</v>
      </c>
      <c r="M4" s="10" t="n">
        <f aca="false">IFERROR((2*H4+2*I4+K4)/(2*H4+3*I4+2*J4+3*K4),"")</f>
        <v>0.565340909090909</v>
      </c>
      <c r="N4" s="10" t="n">
        <f aca="false">IFERROR((M4*13+(1-M4)*G4)/((M4*13+(1-M4)*G4)+(M4*F4+(1-M4)*13)),"")</f>
        <v>0.515944432361897</v>
      </c>
    </row>
    <row r="5" customFormat="false" ht="15" hidden="false" customHeight="false" outlineLevel="0" collapsed="false">
      <c r="A5" s="0" t="s">
        <v>2151</v>
      </c>
      <c r="B5" s="0" t="s">
        <v>785</v>
      </c>
      <c r="C5" s="0" t="s">
        <v>2147</v>
      </c>
      <c r="D5" s="0" t="s">
        <v>2152</v>
      </c>
      <c r="F5" s="0" t="n">
        <v>10.56</v>
      </c>
      <c r="G5" s="0" t="n">
        <v>7.06</v>
      </c>
      <c r="H5" s="10" t="n">
        <v>0.25</v>
      </c>
      <c r="I5" s="10" t="n">
        <v>0.083</v>
      </c>
      <c r="J5" s="10" t="n">
        <v>0.583</v>
      </c>
      <c r="K5" s="10" t="n">
        <v>0.083</v>
      </c>
      <c r="L5" s="10" t="n">
        <v>0</v>
      </c>
      <c r="M5" s="10" t="n">
        <f aca="false">IFERROR((2*H5+2*I5+K5)/(2*H5+3*I5+2*J5+3*K5),"")</f>
        <v>0.346118299445471</v>
      </c>
      <c r="N5" s="10" t="n">
        <f aca="false">IFERROR((M5*13+(1-M5)*G5)/((M5*13+(1-M5)*G5)+(M5*F5+(1-M5)*13)),"")</f>
        <v>0.428553676690707</v>
      </c>
    </row>
    <row r="6" customFormat="false" ht="15" hidden="false" customHeight="false" outlineLevel="0" collapsed="false">
      <c r="A6" s="0" t="s">
        <v>2153</v>
      </c>
      <c r="B6" s="0" t="s">
        <v>792</v>
      </c>
      <c r="C6" s="0" t="s">
        <v>2144</v>
      </c>
      <c r="D6" s="0" t="s">
        <v>2154</v>
      </c>
      <c r="F6" s="0" t="n">
        <v>8.88</v>
      </c>
      <c r="G6" s="0" t="n">
        <v>8.38</v>
      </c>
      <c r="H6" s="10" t="n">
        <v>0.385</v>
      </c>
      <c r="I6" s="10" t="n">
        <v>0.308</v>
      </c>
      <c r="J6" s="10" t="n">
        <v>0.115</v>
      </c>
      <c r="K6" s="10" t="n">
        <v>0.192</v>
      </c>
      <c r="L6" s="10" t="n">
        <v>0.015</v>
      </c>
      <c r="M6" s="10" t="n">
        <f aca="false">IFERROR((2*H6+2*I6+K6)/(2*H6+3*I6+2*J6+3*K6),"")</f>
        <v>0.6312</v>
      </c>
      <c r="N6" s="10" t="n">
        <f aca="false">IFERROR((M6*13+(1-M6)*G6)/((M6*13+(1-M6)*G6)+(M6*F6+(1-M6)*13)),"")</f>
        <v>0.520665204004499</v>
      </c>
    </row>
    <row r="7" customFormat="false" ht="15" hidden="false" customHeight="false" outlineLevel="0" collapsed="false">
      <c r="A7" s="0" t="s">
        <v>2155</v>
      </c>
      <c r="B7" s="0" t="s">
        <v>792</v>
      </c>
      <c r="C7" s="0" t="s">
        <v>2147</v>
      </c>
      <c r="D7" s="0" t="s">
        <v>799</v>
      </c>
      <c r="F7" s="0" t="n">
        <v>7.38</v>
      </c>
      <c r="G7" s="0" t="n">
        <v>8.43</v>
      </c>
      <c r="H7" s="10" t="n">
        <v>0.341</v>
      </c>
      <c r="I7" s="10" t="n">
        <v>0.273</v>
      </c>
      <c r="J7" s="10" t="n">
        <v>0.159</v>
      </c>
      <c r="K7" s="10" t="n">
        <v>0.227</v>
      </c>
      <c r="L7" s="10" t="n">
        <v>0.036</v>
      </c>
      <c r="M7" s="10" t="n">
        <f aca="false">IFERROR((2*H7+2*I7+K7)/(2*H7+3*I7+2*J7+3*K7),"")</f>
        <v>0.582</v>
      </c>
      <c r="N7" s="10" t="n">
        <f aca="false">IFERROR((M7*13+(1-M7)*G7)/((M7*13+(1-M7)*G7)+(M7*F7+(1-M7)*13)),"")</f>
        <v>0.532676558319604</v>
      </c>
    </row>
    <row r="8" customFormat="false" ht="15" hidden="false" customHeight="false" outlineLevel="0" collapsed="false">
      <c r="A8" s="0" t="s">
        <v>2156</v>
      </c>
      <c r="B8" s="0" t="s">
        <v>800</v>
      </c>
      <c r="C8" s="0" t="s">
        <v>2144</v>
      </c>
      <c r="D8" s="0" t="s">
        <v>805</v>
      </c>
      <c r="F8" s="0" t="n">
        <v>7.33</v>
      </c>
      <c r="G8" s="0" t="n">
        <v>8.34</v>
      </c>
      <c r="H8" s="10" t="n">
        <v>0.25</v>
      </c>
      <c r="I8" s="10" t="n">
        <v>0.25</v>
      </c>
      <c r="J8" s="10" t="n">
        <v>0.321</v>
      </c>
      <c r="K8" s="10" t="n">
        <v>0.179</v>
      </c>
      <c r="L8" s="10" t="n">
        <v>0.015</v>
      </c>
      <c r="M8" s="10" t="n">
        <f aca="false">IFERROR((2*H8+2*I8+K8)/(2*H8+3*I8+2*J8+3*K8),"")</f>
        <v>0.485384932070811</v>
      </c>
      <c r="N8" s="10" t="n">
        <f aca="false">IFERROR((M8*13+(1-M8)*G8)/((M8*13+(1-M8)*G8)+(M8*F8+(1-M8)*13)),"")</f>
        <v>0.508489937716301</v>
      </c>
    </row>
    <row r="9" customFormat="false" ht="15" hidden="false" customHeight="false" outlineLevel="0" collapsed="false">
      <c r="A9" s="0" t="s">
        <v>2157</v>
      </c>
      <c r="B9" s="0" t="s">
        <v>800</v>
      </c>
      <c r="C9" s="0" t="s">
        <v>2147</v>
      </c>
      <c r="D9" s="0" t="s">
        <v>2158</v>
      </c>
      <c r="F9" s="0" t="n">
        <v>7.75</v>
      </c>
      <c r="G9" s="0" t="n">
        <v>9.67</v>
      </c>
      <c r="H9" s="10" t="n">
        <v>0.364</v>
      </c>
      <c r="I9" s="10" t="n">
        <v>0.182</v>
      </c>
      <c r="J9" s="10" t="n">
        <v>0.091</v>
      </c>
      <c r="K9" s="10" t="n">
        <v>0.364</v>
      </c>
      <c r="L9" s="10" t="n">
        <v>0.036</v>
      </c>
      <c r="M9" s="10" t="n">
        <f aca="false">IFERROR((2*H9+2*I9+K9)/(2*H9+3*I9+2*J9+3*K9),"")</f>
        <v>0.571428571428571</v>
      </c>
      <c r="N9" s="10" t="n">
        <f aca="false">IFERROR((M9*13+(1-M9)*G9)/((M9*13+(1-M9)*G9)+(M9*F9+(1-M9)*13)),"")</f>
        <v>0.536454539434475</v>
      </c>
    </row>
    <row r="10" customFormat="false" ht="15" hidden="false" customHeight="false" outlineLevel="0" collapsed="false">
      <c r="A10" s="0" t="s">
        <v>2159</v>
      </c>
      <c r="B10" s="0" t="s">
        <v>807</v>
      </c>
      <c r="C10" s="0" t="s">
        <v>2144</v>
      </c>
      <c r="D10" s="0" t="s">
        <v>2160</v>
      </c>
      <c r="F10" s="0" t="n">
        <v>8.64</v>
      </c>
      <c r="G10" s="0" t="n">
        <v>8.75</v>
      </c>
      <c r="H10" s="10" t="n">
        <v>0.286</v>
      </c>
      <c r="I10" s="10" t="n">
        <v>0.143</v>
      </c>
      <c r="J10" s="10" t="n">
        <v>0.464</v>
      </c>
      <c r="K10" s="10" t="n">
        <v>0.107</v>
      </c>
      <c r="L10" s="10" t="n">
        <v>0.047</v>
      </c>
      <c r="M10" s="10" t="n">
        <f aca="false">IFERROR((2*H10+2*I10+K10)/(2*H10+3*I10+2*J10+3*K10),"")</f>
        <v>0.428888888888889</v>
      </c>
      <c r="N10" s="10" t="n">
        <f aca="false">IFERROR((M10*13+(1-M10)*G10)/((M10*13+(1-M10)*G10)+(M10*F10+(1-M10)*13)),"")</f>
        <v>0.48716142396227</v>
      </c>
    </row>
    <row r="11" customFormat="false" ht="15" hidden="false" customHeight="false" outlineLevel="0" collapsed="false">
      <c r="A11" s="0" t="s">
        <v>2161</v>
      </c>
      <c r="B11" s="0" t="s">
        <v>807</v>
      </c>
      <c r="C11" s="0" t="s">
        <v>2147</v>
      </c>
      <c r="D11" s="0" t="s">
        <v>2162</v>
      </c>
      <c r="F11" s="0" t="n">
        <v>8.17</v>
      </c>
      <c r="G11" s="0" t="n">
        <v>8.68</v>
      </c>
      <c r="H11" s="10" t="n">
        <v>0.364</v>
      </c>
      <c r="I11" s="10" t="n">
        <v>0.273</v>
      </c>
      <c r="J11" s="10" t="n">
        <v>0.212</v>
      </c>
      <c r="K11" s="10" t="n">
        <v>0.152</v>
      </c>
      <c r="L11" s="10" t="n">
        <v>0.037</v>
      </c>
      <c r="M11" s="10" t="n">
        <f aca="false">IFERROR((2*H11+2*I11+K11)/(2*H11+3*I11+2*J11+3*K11),"")</f>
        <v>0.587556654305727</v>
      </c>
      <c r="N11" s="10" t="n">
        <f aca="false">IFERROR((M11*13+(1-M11)*G11)/((M11*13+(1-M11)*G11)+(M11*F11+(1-M11)*13)),"")</f>
        <v>0.524698931009962</v>
      </c>
    </row>
    <row r="12" customFormat="false" ht="15" hidden="false" customHeight="false" outlineLevel="0" collapsed="false">
      <c r="A12" s="0" t="s">
        <v>2163</v>
      </c>
      <c r="B12" s="0" t="s">
        <v>813</v>
      </c>
      <c r="C12" s="0" t="s">
        <v>2144</v>
      </c>
      <c r="D12" s="0" t="s">
        <v>2164</v>
      </c>
      <c r="F12" s="0" t="n">
        <v>7.47</v>
      </c>
      <c r="G12" s="0" t="n">
        <v>7.78</v>
      </c>
      <c r="H12" s="10" t="n">
        <v>0.522</v>
      </c>
      <c r="I12" s="10" t="n">
        <v>0.174</v>
      </c>
      <c r="J12" s="10" t="n">
        <v>0.13</v>
      </c>
      <c r="K12" s="10" t="n">
        <v>0.174</v>
      </c>
      <c r="L12" s="10" t="n">
        <v>0</v>
      </c>
      <c r="M12" s="10" t="n">
        <f aca="false">IFERROR((2*H12+2*I12+K12)/(2*H12+3*I12+2*J12+3*K12),"")</f>
        <v>0.66695059625213</v>
      </c>
      <c r="N12" s="10" t="n">
        <f aca="false">IFERROR((M12*13+(1-M12)*G12)/((M12*13+(1-M12)*G12)+(M12*F12+(1-M12)*13)),"")</f>
        <v>0.547384816538242</v>
      </c>
    </row>
    <row r="13" customFormat="false" ht="15" hidden="false" customHeight="false" outlineLevel="0" collapsed="false">
      <c r="A13" s="0" t="s">
        <v>2165</v>
      </c>
      <c r="B13" s="0" t="s">
        <v>813</v>
      </c>
      <c r="C13" s="0" t="s">
        <v>2147</v>
      </c>
      <c r="D13" s="0" t="s">
        <v>2166</v>
      </c>
      <c r="F13" s="0" t="n">
        <v>9.76</v>
      </c>
      <c r="G13" s="0" t="n">
        <v>7.62</v>
      </c>
      <c r="H13" s="10" t="n">
        <v>0.348</v>
      </c>
      <c r="I13" s="10" t="n">
        <v>0.174</v>
      </c>
      <c r="J13" s="10" t="n">
        <v>0.261</v>
      </c>
      <c r="K13" s="10" t="n">
        <v>0.217</v>
      </c>
      <c r="L13" s="10" t="n">
        <v>0.091</v>
      </c>
      <c r="M13" s="10" t="n">
        <f aca="false">IFERROR((2*H13+2*I13+K13)/(2*H13+3*I13+2*J13+3*K13),"")</f>
        <v>0.527394395650356</v>
      </c>
      <c r="N13" s="10" t="n">
        <f aca="false">IFERROR((M13*13+(1-M13)*G13)/((M13*13+(1-M13)*G13)+(M13*F13+(1-M13)*13)),"")</f>
        <v>0.48082958468459</v>
      </c>
    </row>
    <row r="14" customFormat="false" ht="15" hidden="false" customHeight="false" outlineLevel="0" collapsed="false">
      <c r="A14" s="0" t="s">
        <v>2167</v>
      </c>
      <c r="B14" s="0" t="s">
        <v>819</v>
      </c>
      <c r="C14" s="0" t="s">
        <v>2144</v>
      </c>
      <c r="D14" s="0" t="s">
        <v>2168</v>
      </c>
      <c r="F14" s="0" t="n">
        <v>6.91</v>
      </c>
      <c r="G14" s="0" t="n">
        <v>8.69</v>
      </c>
      <c r="H14" s="10" t="n">
        <v>0.419</v>
      </c>
      <c r="I14" s="10" t="n">
        <v>0.323</v>
      </c>
      <c r="J14" s="10" t="n">
        <v>0.032</v>
      </c>
      <c r="K14" s="10" t="n">
        <v>0.226</v>
      </c>
      <c r="L14" s="10" t="n">
        <v>0.038</v>
      </c>
      <c r="M14" s="10" t="n">
        <f aca="false">IFERROR((2*H14+2*I14+K14)/(2*H14+3*I14+2*J14+3*K14),"")</f>
        <v>0.670851314240879</v>
      </c>
      <c r="N14" s="10" t="n">
        <f aca="false">IFERROR((M14*13+(1-M14)*G14)/((M14*13+(1-M14)*G14)+(M14*F14+(1-M14)*13)),"")</f>
        <v>0.565058271752111</v>
      </c>
    </row>
    <row r="15" customFormat="false" ht="15" hidden="false" customHeight="false" outlineLevel="0" collapsed="false">
      <c r="A15" s="0" t="s">
        <v>2169</v>
      </c>
      <c r="B15" s="0" t="s">
        <v>819</v>
      </c>
      <c r="C15" s="0" t="s">
        <v>2147</v>
      </c>
      <c r="D15" s="0" t="s">
        <v>2170</v>
      </c>
      <c r="F15" s="0" t="n">
        <v>7.65</v>
      </c>
      <c r="G15" s="0" t="n">
        <v>7.69</v>
      </c>
      <c r="H15" s="10" t="n">
        <v>0.217</v>
      </c>
      <c r="I15" s="10" t="n">
        <v>0.304</v>
      </c>
      <c r="J15" s="10" t="n">
        <v>0.217</v>
      </c>
      <c r="K15" s="10" t="n">
        <v>0.261</v>
      </c>
      <c r="L15" s="10" t="n">
        <v>0.033</v>
      </c>
      <c r="M15" s="10" t="n">
        <f aca="false">IFERROR((2*H15+2*I15+K15)/(2*H15+3*I15+2*J15+3*K15),"")</f>
        <v>0.508388607101054</v>
      </c>
      <c r="N15" s="10" t="n">
        <f aca="false">IFERROR((M15*13+(1-M15)*G15)/((M15*13+(1-M15)*G15)+(M15*F15+(1-M15)*13)),"")</f>
        <v>0.502646935849676</v>
      </c>
    </row>
    <row r="16" customFormat="false" ht="15" hidden="false" customHeight="false" outlineLevel="0" collapsed="false">
      <c r="A16" s="0" t="s">
        <v>2171</v>
      </c>
      <c r="B16" s="0" t="s">
        <v>826</v>
      </c>
      <c r="C16" s="0" t="s">
        <v>2144</v>
      </c>
      <c r="D16" s="0" t="s">
        <v>2172</v>
      </c>
      <c r="F16" s="0" t="n">
        <v>8.48</v>
      </c>
      <c r="G16" s="0" t="n">
        <v>8.25</v>
      </c>
      <c r="H16" s="10" t="n">
        <v>0.211</v>
      </c>
      <c r="I16" s="10" t="n">
        <v>0.316</v>
      </c>
      <c r="J16" s="10" t="n">
        <v>0.316</v>
      </c>
      <c r="K16" s="10" t="n">
        <v>0.158</v>
      </c>
      <c r="L16" s="10" t="n">
        <v>0.043</v>
      </c>
      <c r="M16" s="10" t="n">
        <f aca="false">IFERROR((2*H16+2*I16+K16)/(2*H16+3*I16+2*J16+3*K16),"")</f>
        <v>0.489499192245557</v>
      </c>
      <c r="N16" s="10" t="n">
        <f aca="false">IFERROR((M16*13+(1-M16)*G16)/((M16*13+(1-M16)*G16)+(M16*F16+(1-M16)*13)),"")</f>
        <v>0.495030037569649</v>
      </c>
    </row>
    <row r="17" customFormat="false" ht="15" hidden="false" customHeight="false" outlineLevel="0" collapsed="false">
      <c r="A17" s="0" t="s">
        <v>2173</v>
      </c>
      <c r="B17" s="0" t="s">
        <v>826</v>
      </c>
      <c r="C17" s="0" t="s">
        <v>2147</v>
      </c>
      <c r="D17" s="0" t="s">
        <v>2174</v>
      </c>
      <c r="F17" s="0" t="n">
        <v>7.53</v>
      </c>
      <c r="G17" s="0" t="n">
        <v>8.45</v>
      </c>
      <c r="H17" s="10" t="n">
        <v>0.333</v>
      </c>
      <c r="I17" s="10" t="n">
        <v>0.185</v>
      </c>
      <c r="J17" s="10" t="n">
        <v>0.333</v>
      </c>
      <c r="K17" s="10" t="n">
        <v>0.148</v>
      </c>
      <c r="L17" s="10" t="n">
        <v>0.048</v>
      </c>
      <c r="M17" s="10" t="n">
        <f aca="false">IFERROR((2*H17+2*I17+K17)/(2*H17+3*I17+2*J17+3*K17),"")</f>
        <v>0.507936507936508</v>
      </c>
      <c r="N17" s="10" t="n">
        <f aca="false">IFERROR((M17*13+(1-M17)*G17)/((M17*13+(1-M17)*G17)+(M17*F17+(1-M17)*13)),"")</f>
        <v>0.512856397182864</v>
      </c>
    </row>
    <row r="18" customFormat="false" ht="15" hidden="false" customHeight="false" outlineLevel="0" collapsed="false">
      <c r="A18" s="0" t="s">
        <v>2175</v>
      </c>
      <c r="B18" s="0" t="s">
        <v>830</v>
      </c>
      <c r="C18" s="0" t="s">
        <v>2144</v>
      </c>
      <c r="D18" s="0" t="s">
        <v>833</v>
      </c>
      <c r="F18" s="0" t="n">
        <v>8.84</v>
      </c>
      <c r="G18" s="0" t="n">
        <v>8.07</v>
      </c>
      <c r="H18" s="10" t="n">
        <v>0.529</v>
      </c>
      <c r="I18" s="10" t="n">
        <v>0.118</v>
      </c>
      <c r="J18" s="10" t="n">
        <v>0.176</v>
      </c>
      <c r="K18" s="10" t="n">
        <v>0.176</v>
      </c>
      <c r="L18" s="10" t="n">
        <v>0.026</v>
      </c>
      <c r="M18" s="10" t="n">
        <f aca="false">IFERROR((2*H18+2*I18+K18)/(2*H18+3*I18+2*J18+3*K18),"")</f>
        <v>0.641361256544503</v>
      </c>
      <c r="N18" s="10" t="n">
        <f aca="false">IFERROR((M18*13+(1-M18)*G18)/((M18*13+(1-M18)*G18)+(M18*F18+(1-M18)*13)),"")</f>
        <v>0.520867653467907</v>
      </c>
    </row>
    <row r="19" customFormat="false" ht="15" hidden="false" customHeight="false" outlineLevel="0" collapsed="false">
      <c r="A19" s="0" t="s">
        <v>2176</v>
      </c>
      <c r="B19" s="0" t="s">
        <v>830</v>
      </c>
      <c r="C19" s="0" t="s">
        <v>2147</v>
      </c>
      <c r="D19" s="0" t="s">
        <v>2177</v>
      </c>
      <c r="F19" s="0" t="n">
        <v>7.02</v>
      </c>
      <c r="G19" s="0" t="n">
        <v>7.79</v>
      </c>
      <c r="H19" s="10" t="n">
        <v>0.278</v>
      </c>
      <c r="I19" s="10" t="n">
        <v>0.25</v>
      </c>
      <c r="J19" s="10" t="n">
        <v>0.222</v>
      </c>
      <c r="K19" s="10" t="n">
        <v>0.25</v>
      </c>
      <c r="L19" s="10" t="n">
        <v>0.033</v>
      </c>
      <c r="M19" s="10" t="n">
        <f aca="false">IFERROR((2*H19+2*I19+K19)/(2*H19+3*I19+2*J19+3*K19),"")</f>
        <v>0.5224</v>
      </c>
      <c r="N19" s="10" t="n">
        <f aca="false">IFERROR((M19*13+(1-M19)*G19)/((M19*13+(1-M19)*G19)+(M19*F19+(1-M19)*13)),"")</f>
        <v>0.515589163533086</v>
      </c>
    </row>
    <row r="20" customFormat="false" ht="15" hidden="false" customHeight="false" outlineLevel="0" collapsed="false">
      <c r="A20" s="0" t="s">
        <v>2178</v>
      </c>
      <c r="B20" s="0" t="s">
        <v>843</v>
      </c>
      <c r="C20" s="0" t="s">
        <v>2144</v>
      </c>
      <c r="D20" s="0" t="s">
        <v>848</v>
      </c>
      <c r="F20" s="0" t="n">
        <v>7.82</v>
      </c>
      <c r="G20" s="0" t="n">
        <v>8.17</v>
      </c>
      <c r="H20" s="10" t="n">
        <v>0.375</v>
      </c>
      <c r="I20" s="10" t="n">
        <v>0.125</v>
      </c>
      <c r="J20" s="10" t="n">
        <v>0.125</v>
      </c>
      <c r="K20" s="10" t="n">
        <v>0.375</v>
      </c>
      <c r="L20" s="10" t="n">
        <v>0.025</v>
      </c>
      <c r="M20" s="10" t="n">
        <f aca="false">IFERROR((2*H20+2*I20+K20)/(2*H20+3*I20+2*J20+3*K20),"")</f>
        <v>0.55</v>
      </c>
      <c r="N20" s="10" t="n">
        <f aca="false">IFERROR((M20*13+(1-M20)*G20)/((M20*13+(1-M20)*G20)+(M20*F20+(1-M20)*13)),"")</f>
        <v>0.516100583959004</v>
      </c>
    </row>
    <row r="21" customFormat="false" ht="15" hidden="false" customHeight="false" outlineLevel="0" collapsed="false">
      <c r="A21" s="0" t="s">
        <v>2179</v>
      </c>
      <c r="B21" s="0" t="s">
        <v>843</v>
      </c>
      <c r="C21" s="0" t="s">
        <v>2147</v>
      </c>
      <c r="D21" s="0" t="s">
        <v>2180</v>
      </c>
      <c r="F21" s="0" t="n">
        <v>8.55</v>
      </c>
      <c r="G21" s="0" t="n">
        <v>8.36</v>
      </c>
      <c r="H21" s="10" t="n">
        <v>0.333</v>
      </c>
      <c r="I21" s="10" t="n">
        <v>0.111</v>
      </c>
      <c r="J21" s="10" t="n">
        <v>0.222</v>
      </c>
      <c r="K21" s="10" t="n">
        <v>0.333</v>
      </c>
      <c r="L21" s="10" t="n">
        <v>0.045</v>
      </c>
      <c r="M21" s="10" t="n">
        <f aca="false">IFERROR((2*H21+2*I21+K21)/(2*H21+3*I21+2*J21+3*K21),"")</f>
        <v>0.5</v>
      </c>
      <c r="N21" s="10" t="n">
        <f aca="false">IFERROR((M21*13+(1-M21)*G21)/((M21*13+(1-M21)*G21)+(M21*F21+(1-M21)*13)),"")</f>
        <v>0.497786063854579</v>
      </c>
    </row>
    <row r="22" customFormat="false" ht="15" hidden="false" customHeight="false" outlineLevel="0" collapsed="false">
      <c r="A22" s="0" t="s">
        <v>2181</v>
      </c>
      <c r="B22" s="0" t="s">
        <v>850</v>
      </c>
      <c r="C22" s="0" t="s">
        <v>2144</v>
      </c>
      <c r="D22" s="0" t="s">
        <v>855</v>
      </c>
      <c r="F22" s="0" t="n">
        <v>8.44</v>
      </c>
      <c r="G22" s="0" t="n">
        <v>8.34</v>
      </c>
      <c r="H22" s="10" t="n">
        <v>0.357</v>
      </c>
      <c r="I22" s="10" t="n">
        <v>0.143</v>
      </c>
      <c r="J22" s="10" t="n">
        <v>0.214</v>
      </c>
      <c r="K22" s="10" t="n">
        <v>0.286</v>
      </c>
      <c r="L22" s="10" t="n">
        <v>0.044</v>
      </c>
      <c r="M22" s="10" t="n">
        <f aca="false">IFERROR((2*H22+2*I22+K22)/(2*H22+3*I22+2*J22+3*K22),"")</f>
        <v>0.52943598188555</v>
      </c>
      <c r="N22" s="10" t="n">
        <f aca="false">IFERROR((M22*13+(1-M22)*G22)/((M22*13+(1-M22)*G22)+(M22*F22+(1-M22)*13)),"")</f>
        <v>0.505174597688453</v>
      </c>
    </row>
    <row r="23" customFormat="false" ht="15" hidden="false" customHeight="false" outlineLevel="0" collapsed="false">
      <c r="A23" s="0" t="s">
        <v>2182</v>
      </c>
      <c r="B23" s="0" t="s">
        <v>850</v>
      </c>
      <c r="C23" s="0" t="s">
        <v>2147</v>
      </c>
      <c r="D23" s="0" t="s">
        <v>2183</v>
      </c>
      <c r="F23" s="0" t="n">
        <v>7.33</v>
      </c>
      <c r="G23" s="0" t="n">
        <v>7.55</v>
      </c>
      <c r="H23" s="10" t="n">
        <v>0.519</v>
      </c>
      <c r="I23" s="10" t="n">
        <v>0.173</v>
      </c>
      <c r="J23" s="10" t="n">
        <v>0.115</v>
      </c>
      <c r="K23" s="10" t="n">
        <v>0.192</v>
      </c>
      <c r="L23" s="10" t="n">
        <v>0</v>
      </c>
      <c r="M23" s="10" t="n">
        <f aca="false">IFERROR((2*H23+2*I23+K23)/(2*H23+3*I23+2*J23+3*K23),"")</f>
        <v>0.666948793906052</v>
      </c>
      <c r="N23" s="10" t="n">
        <f aca="false">IFERROR((M23*13+(1-M23)*G23)/((M23*13+(1-M23)*G23)+(M23*F23+(1-M23)*13)),"")</f>
        <v>0.54819008095961</v>
      </c>
    </row>
    <row r="24" customFormat="false" ht="15" hidden="false" customHeight="false" outlineLevel="0" collapsed="false">
      <c r="A24" s="0" t="s">
        <v>2184</v>
      </c>
      <c r="B24" s="0" t="s">
        <v>857</v>
      </c>
      <c r="C24" s="0" t="s">
        <v>2144</v>
      </c>
      <c r="D24" s="0" t="s">
        <v>2185</v>
      </c>
      <c r="F24" s="0" t="n">
        <v>7.71</v>
      </c>
      <c r="G24" s="0" t="n">
        <v>8.89</v>
      </c>
      <c r="H24" s="10" t="n">
        <v>0.438</v>
      </c>
      <c r="I24" s="10" t="n">
        <v>0.281</v>
      </c>
      <c r="J24" s="10" t="n">
        <v>0.125</v>
      </c>
      <c r="K24" s="10" t="n">
        <v>0.156</v>
      </c>
      <c r="L24" s="10" t="n">
        <v>0.026</v>
      </c>
      <c r="M24" s="10" t="n">
        <f aca="false">IFERROR((2*H24+2*I24+K24)/(2*H24+3*I24+2*J24+3*K24),"")</f>
        <v>0.654082888797702</v>
      </c>
      <c r="N24" s="10" t="n">
        <f aca="false">IFERROR((M24*13+(1-M24)*G24)/((M24*13+(1-M24)*G24)+(M24*F24+(1-M24)*13)),"")</f>
        <v>0.548261236129168</v>
      </c>
    </row>
    <row r="25" customFormat="false" ht="15" hidden="false" customHeight="false" outlineLevel="0" collapsed="false">
      <c r="A25" s="0" t="s">
        <v>2186</v>
      </c>
      <c r="B25" s="0" t="s">
        <v>857</v>
      </c>
      <c r="C25" s="0" t="s">
        <v>2147</v>
      </c>
      <c r="D25" s="0" t="s">
        <v>2187</v>
      </c>
      <c r="F25" s="0" t="n">
        <v>7.47</v>
      </c>
      <c r="G25" s="0" t="n">
        <v>7.79</v>
      </c>
      <c r="H25" s="10" t="n">
        <v>0.214</v>
      </c>
      <c r="I25" s="10" t="n">
        <v>0.214</v>
      </c>
      <c r="J25" s="10" t="n">
        <v>0.357</v>
      </c>
      <c r="K25" s="10" t="n">
        <v>0.214</v>
      </c>
      <c r="L25" s="10" t="n">
        <v>0</v>
      </c>
      <c r="M25" s="10" t="n">
        <f aca="false">IFERROR((2*H25+2*I25+K25)/(2*H25+3*I25+2*J25+3*K25),"")</f>
        <v>0.441055234954658</v>
      </c>
      <c r="N25" s="10" t="n">
        <f aca="false">IFERROR((M25*13+(1-M25)*G25)/((M25*13+(1-M25)*G25)+(M25*F25+(1-M25)*13)),"")</f>
        <v>0.488544967535125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8"/>
  </cols>
  <sheetData>
    <row r="1" customFormat="false" ht="15" hidden="false" customHeight="false" outlineLevel="0" collapsed="false">
      <c r="A1" s="12" t="s">
        <v>2188</v>
      </c>
      <c r="B1" s="12" t="s">
        <v>1273</v>
      </c>
    </row>
    <row r="2" customFormat="false" ht="15" hidden="false" customHeight="false" outlineLevel="0" collapsed="false">
      <c r="A2" s="0" t="s">
        <v>2189</v>
      </c>
      <c r="B2" s="0" t="n">
        <v>7.57</v>
      </c>
    </row>
    <row r="3" customFormat="false" ht="15" hidden="false" customHeight="false" outlineLevel="0" collapsed="false">
      <c r="A3" s="0" t="s">
        <v>2190</v>
      </c>
      <c r="B3" s="0" t="n">
        <v>9.23</v>
      </c>
    </row>
    <row r="4" customFormat="false" ht="15" hidden="false" customHeight="false" outlineLevel="0" collapsed="false">
      <c r="A4" s="0" t="s">
        <v>2191</v>
      </c>
      <c r="B4" s="0" t="n">
        <v>8.5</v>
      </c>
    </row>
    <row r="5" customFormat="false" ht="15" hidden="false" customHeight="false" outlineLevel="0" collapsed="false">
      <c r="A5" s="0" t="s">
        <v>2192</v>
      </c>
      <c r="B5" s="0" t="n">
        <v>11</v>
      </c>
    </row>
    <row r="6" customFormat="false" ht="15" hidden="false" customHeight="false" outlineLevel="0" collapsed="false">
      <c r="A6" s="0" t="s">
        <v>2193</v>
      </c>
      <c r="B6" s="0" t="n">
        <v>7</v>
      </c>
    </row>
    <row r="7" customFormat="false" ht="15" hidden="false" customHeight="false" outlineLevel="0" collapsed="false">
      <c r="A7" s="0" t="s">
        <v>2194</v>
      </c>
      <c r="B7" s="0" t="n">
        <v>10</v>
      </c>
    </row>
    <row r="8" customFormat="false" ht="15" hidden="false" customHeight="false" outlineLevel="0" collapsed="false">
      <c r="A8" s="0" t="s">
        <v>2195</v>
      </c>
      <c r="B8" s="0" t="n">
        <v>5</v>
      </c>
    </row>
    <row r="9" customFormat="false" ht="15" hidden="false" customHeight="false" outlineLevel="0" collapsed="false">
      <c r="A9" s="0" t="s">
        <v>2196</v>
      </c>
      <c r="B9" s="0" t="n">
        <v>14</v>
      </c>
    </row>
    <row r="10" customFormat="false" ht="15" hidden="false" customHeight="false" outlineLevel="0" collapsed="false">
      <c r="A10" s="0" t="s">
        <v>2197</v>
      </c>
      <c r="B10" s="0" t="n">
        <v>12</v>
      </c>
    </row>
    <row r="11" customFormat="false" ht="15" hidden="false" customHeight="false" outlineLevel="0" collapsed="false">
      <c r="A11" s="0" t="s">
        <v>2198</v>
      </c>
      <c r="B11" s="0" t="n">
        <v>8</v>
      </c>
    </row>
    <row r="12" customFormat="false" ht="15" hidden="false" customHeight="false" outlineLevel="0" collapsed="false">
      <c r="A12" s="0" t="s">
        <v>2199</v>
      </c>
      <c r="B12" s="0" t="n">
        <v>10</v>
      </c>
    </row>
    <row r="13" customFormat="false" ht="15" hidden="false" customHeight="false" outlineLevel="0" collapsed="false">
      <c r="A13" s="0" t="s">
        <v>2200</v>
      </c>
      <c r="B13" s="0" t="n">
        <v>6</v>
      </c>
    </row>
    <row r="14" customFormat="false" ht="15" hidden="false" customHeight="false" outlineLevel="0" collapsed="false">
      <c r="A14" s="0" t="s">
        <v>2201</v>
      </c>
      <c r="B14" s="0" t="n">
        <v>6.57</v>
      </c>
    </row>
    <row r="15" customFormat="false" ht="15" hidden="false" customHeight="false" outlineLevel="0" collapsed="false">
      <c r="A15" s="0" t="s">
        <v>2202</v>
      </c>
      <c r="B15" s="0" t="n">
        <v>6</v>
      </c>
    </row>
    <row r="16" customFormat="false" ht="15" hidden="false" customHeight="false" outlineLevel="0" collapsed="false">
      <c r="A16" s="0" t="s">
        <v>2203</v>
      </c>
      <c r="B16" s="0" t="n">
        <v>8</v>
      </c>
    </row>
    <row r="17" customFormat="false" ht="15" hidden="false" customHeight="false" outlineLevel="0" collapsed="false">
      <c r="A17" s="0" t="s">
        <v>2204</v>
      </c>
      <c r="B17" s="0" t="n">
        <v>7.23</v>
      </c>
    </row>
    <row r="18" customFormat="false" ht="15" hidden="false" customHeight="false" outlineLevel="0" collapsed="false">
      <c r="A18" s="0" t="s">
        <v>2205</v>
      </c>
      <c r="B18" s="0" t="n">
        <v>8</v>
      </c>
    </row>
    <row r="19" customFormat="false" ht="15" hidden="false" customHeight="false" outlineLevel="0" collapsed="false">
      <c r="A19" s="0" t="s">
        <v>2206</v>
      </c>
      <c r="B19" s="0" t="n">
        <v>5.8</v>
      </c>
    </row>
    <row r="20" customFormat="false" ht="15" hidden="false" customHeight="false" outlineLevel="0" collapsed="false">
      <c r="A20" s="0" t="s">
        <v>2207</v>
      </c>
      <c r="B20" s="0" t="n">
        <v>9.33</v>
      </c>
    </row>
    <row r="21" customFormat="false" ht="15" hidden="false" customHeight="false" outlineLevel="0" collapsed="false">
      <c r="A21" s="0" t="s">
        <v>2208</v>
      </c>
      <c r="B21" s="0" t="n">
        <v>6.46</v>
      </c>
    </row>
    <row r="22" customFormat="false" ht="15" hidden="false" customHeight="false" outlineLevel="0" collapsed="false">
      <c r="A22" s="0" t="s">
        <v>2209</v>
      </c>
      <c r="B22" s="0" t="n">
        <v>8.78</v>
      </c>
    </row>
    <row r="23" customFormat="false" ht="15" hidden="false" customHeight="false" outlineLevel="0" collapsed="false">
      <c r="A23" s="0" t="s">
        <v>2210</v>
      </c>
      <c r="B23" s="0" t="n">
        <v>10.25</v>
      </c>
    </row>
    <row r="24" customFormat="false" ht="15" hidden="false" customHeight="false" outlineLevel="0" collapsed="false">
      <c r="A24" s="0" t="s">
        <v>2211</v>
      </c>
      <c r="B24" s="0" t="n">
        <v>6.67</v>
      </c>
    </row>
    <row r="25" customFormat="false" ht="15" hidden="false" customHeight="false" outlineLevel="0" collapsed="false">
      <c r="A25" s="0" t="s">
        <v>2212</v>
      </c>
      <c r="B25" s="0" t="n">
        <v>7.38</v>
      </c>
    </row>
    <row r="26" customFormat="false" ht="15" hidden="false" customHeight="false" outlineLevel="0" collapsed="false">
      <c r="A26" s="0" t="s">
        <v>2213</v>
      </c>
      <c r="B26" s="0" t="n">
        <v>7.75</v>
      </c>
    </row>
    <row r="27" customFormat="false" ht="15" hidden="false" customHeight="false" outlineLevel="0" collapsed="false">
      <c r="A27" s="0" t="s">
        <v>2214</v>
      </c>
      <c r="B27" s="0" t="n">
        <v>9.33</v>
      </c>
    </row>
    <row r="28" customFormat="false" ht="15" hidden="false" customHeight="false" outlineLevel="0" collapsed="false">
      <c r="A28" s="0" t="s">
        <v>2215</v>
      </c>
      <c r="B28" s="0" t="n">
        <v>7.33</v>
      </c>
    </row>
    <row r="29" customFormat="false" ht="15" hidden="false" customHeight="false" outlineLevel="0" collapsed="false">
      <c r="A29" s="0" t="s">
        <v>2216</v>
      </c>
      <c r="B29" s="0" t="n">
        <v>6.67</v>
      </c>
    </row>
    <row r="30" customFormat="false" ht="15" hidden="false" customHeight="false" outlineLevel="0" collapsed="false">
      <c r="A30" s="0" t="s">
        <v>2217</v>
      </c>
      <c r="B30" s="0" t="n">
        <v>14</v>
      </c>
    </row>
    <row r="31" customFormat="false" ht="15" hidden="false" customHeight="false" outlineLevel="0" collapsed="false">
      <c r="A31" s="0" t="s">
        <v>2218</v>
      </c>
      <c r="B31" s="0" t="n">
        <v>7.9</v>
      </c>
    </row>
    <row r="32" customFormat="false" ht="15" hidden="false" customHeight="false" outlineLevel="0" collapsed="false">
      <c r="A32" s="0" t="s">
        <v>2219</v>
      </c>
      <c r="B32" s="0" t="n">
        <v>7.9</v>
      </c>
    </row>
    <row r="33" customFormat="false" ht="15" hidden="false" customHeight="false" outlineLevel="0" collapsed="false">
      <c r="A33" s="0" t="s">
        <v>2220</v>
      </c>
      <c r="B33" s="0" t="n">
        <v>9.67</v>
      </c>
    </row>
    <row r="34" customFormat="false" ht="15" hidden="false" customHeight="false" outlineLevel="0" collapsed="false">
      <c r="A34" s="0" t="s">
        <v>2221</v>
      </c>
      <c r="B34" s="0" t="n">
        <v>8.8</v>
      </c>
    </row>
    <row r="35" customFormat="false" ht="15" hidden="false" customHeight="false" outlineLevel="0" collapsed="false">
      <c r="A35" s="0" t="s">
        <v>2222</v>
      </c>
      <c r="B35" s="0" t="n">
        <v>9.11</v>
      </c>
    </row>
    <row r="36" customFormat="false" ht="15" hidden="false" customHeight="false" outlineLevel="0" collapsed="false">
      <c r="A36" s="0" t="s">
        <v>2223</v>
      </c>
      <c r="B36" s="0" t="n">
        <v>9.75</v>
      </c>
    </row>
    <row r="37" customFormat="false" ht="15" hidden="false" customHeight="false" outlineLevel="0" collapsed="false">
      <c r="A37" s="0" t="s">
        <v>2224</v>
      </c>
      <c r="B37" s="0" t="n">
        <v>6.33</v>
      </c>
    </row>
    <row r="38" customFormat="false" ht="15" hidden="false" customHeight="false" outlineLevel="0" collapsed="false">
      <c r="A38" s="0" t="s">
        <v>2225</v>
      </c>
      <c r="B38" s="0" t="n">
        <v>8.75</v>
      </c>
    </row>
    <row r="39" customFormat="false" ht="15" hidden="false" customHeight="false" outlineLevel="0" collapsed="false">
      <c r="A39" s="0" t="s">
        <v>2226</v>
      </c>
      <c r="B39" s="0" t="n">
        <v>9</v>
      </c>
    </row>
    <row r="40" customFormat="false" ht="15" hidden="false" customHeight="false" outlineLevel="0" collapsed="false">
      <c r="A40" s="0" t="s">
        <v>2227</v>
      </c>
      <c r="B40" s="0" t="n">
        <v>7.83</v>
      </c>
    </row>
    <row r="41" customFormat="false" ht="15" hidden="false" customHeight="false" outlineLevel="0" collapsed="false">
      <c r="A41" s="0" t="s">
        <v>2228</v>
      </c>
      <c r="B41" s="0" t="n">
        <v>8.22</v>
      </c>
    </row>
    <row r="42" customFormat="false" ht="15" hidden="false" customHeight="false" outlineLevel="0" collapsed="false">
      <c r="A42" s="0" t="s">
        <v>2229</v>
      </c>
      <c r="B42" s="0" t="n">
        <v>7.25</v>
      </c>
    </row>
    <row r="43" customFormat="false" ht="15" hidden="false" customHeight="false" outlineLevel="0" collapsed="false">
      <c r="A43" s="0" t="s">
        <v>2230</v>
      </c>
      <c r="B43" s="0" t="n">
        <v>6.67</v>
      </c>
    </row>
    <row r="44" customFormat="false" ht="15" hidden="false" customHeight="false" outlineLevel="0" collapsed="false">
      <c r="A44" s="0" t="s">
        <v>2231</v>
      </c>
      <c r="B44" s="0" t="n">
        <v>7</v>
      </c>
    </row>
    <row r="45" customFormat="false" ht="15" hidden="false" customHeight="false" outlineLevel="0" collapsed="false">
      <c r="A45" s="0" t="s">
        <v>2232</v>
      </c>
      <c r="B45" s="0" t="n">
        <v>10.56</v>
      </c>
    </row>
    <row r="46" customFormat="false" ht="15" hidden="false" customHeight="false" outlineLevel="0" collapsed="false">
      <c r="A46" s="0" t="s">
        <v>2233</v>
      </c>
      <c r="B46" s="0" t="n">
        <v>7.06</v>
      </c>
    </row>
    <row r="47" customFormat="false" ht="15" hidden="false" customHeight="false" outlineLevel="0" collapsed="false">
      <c r="A47" s="0" t="s">
        <v>2234</v>
      </c>
      <c r="B47" s="0" t="n">
        <v>6.25</v>
      </c>
    </row>
    <row r="48" customFormat="false" ht="15" hidden="false" customHeight="false" outlineLevel="0" collapsed="false">
      <c r="A48" s="0" t="s">
        <v>2235</v>
      </c>
      <c r="B48" s="0" t="n">
        <v>8.2</v>
      </c>
    </row>
    <row r="49" customFormat="false" ht="15" hidden="false" customHeight="false" outlineLevel="0" collapsed="false">
      <c r="A49" s="0" t="s">
        <v>2236</v>
      </c>
      <c r="B49" s="0" t="n">
        <v>10.25</v>
      </c>
    </row>
    <row r="50" customFormat="false" ht="15" hidden="false" customHeight="false" outlineLevel="0" collapsed="false">
      <c r="A50" s="0" t="s">
        <v>2237</v>
      </c>
      <c r="B50" s="0" t="n">
        <v>6.83</v>
      </c>
    </row>
    <row r="51" customFormat="false" ht="15" hidden="false" customHeight="false" outlineLevel="0" collapsed="false">
      <c r="A51" s="0" t="s">
        <v>2238</v>
      </c>
      <c r="B51" s="0" t="n">
        <v>10.5</v>
      </c>
    </row>
    <row r="52" customFormat="false" ht="15" hidden="false" customHeight="false" outlineLevel="0" collapsed="false">
      <c r="A52" s="0" t="s">
        <v>2239</v>
      </c>
      <c r="B52" s="0" t="n">
        <v>11</v>
      </c>
    </row>
    <row r="53" customFormat="false" ht="15" hidden="false" customHeight="false" outlineLevel="0" collapsed="false">
      <c r="A53" s="0" t="s">
        <v>2240</v>
      </c>
      <c r="B53" s="0" t="n">
        <v>6.5</v>
      </c>
    </row>
    <row r="54" customFormat="false" ht="15" hidden="false" customHeight="false" outlineLevel="0" collapsed="false">
      <c r="A54" s="0" t="s">
        <v>2241</v>
      </c>
      <c r="B54" s="0" t="n">
        <v>8.88</v>
      </c>
    </row>
    <row r="55" customFormat="false" ht="15" hidden="false" customHeight="false" outlineLevel="0" collapsed="false">
      <c r="A55" s="0" t="s">
        <v>2242</v>
      </c>
      <c r="B55" s="0" t="n">
        <v>8.38</v>
      </c>
    </row>
    <row r="56" customFormat="false" ht="15" hidden="false" customHeight="false" outlineLevel="0" collapsed="false">
      <c r="A56" s="0" t="s">
        <v>2243</v>
      </c>
      <c r="B56" s="0" t="n">
        <v>10</v>
      </c>
    </row>
    <row r="57" customFormat="false" ht="15" hidden="false" customHeight="false" outlineLevel="0" collapsed="false">
      <c r="A57" s="0" t="s">
        <v>2244</v>
      </c>
      <c r="B57" s="0" t="n">
        <v>8</v>
      </c>
    </row>
    <row r="58" customFormat="false" ht="15" hidden="false" customHeight="false" outlineLevel="0" collapsed="false">
      <c r="A58" s="0" t="s">
        <v>2245</v>
      </c>
      <c r="B58" s="0" t="n">
        <v>9.25</v>
      </c>
    </row>
    <row r="59" customFormat="false" ht="15" hidden="false" customHeight="false" outlineLevel="0" collapsed="false">
      <c r="A59" s="0" t="s">
        <v>2246</v>
      </c>
      <c r="B59" s="0" t="n">
        <v>8.75</v>
      </c>
    </row>
    <row r="60" customFormat="false" ht="15" hidden="false" customHeight="false" outlineLevel="0" collapsed="false">
      <c r="A60" s="0" t="s">
        <v>2247</v>
      </c>
      <c r="B60" s="0" t="n">
        <v>8.56</v>
      </c>
    </row>
    <row r="61" customFormat="false" ht="15" hidden="false" customHeight="false" outlineLevel="0" collapsed="false">
      <c r="A61" s="0" t="s">
        <v>2248</v>
      </c>
      <c r="B61" s="0" t="n">
        <v>7.6</v>
      </c>
    </row>
    <row r="62" customFormat="false" ht="15" hidden="false" customHeight="false" outlineLevel="0" collapsed="false">
      <c r="A62" s="0" t="s">
        <v>2249</v>
      </c>
      <c r="B62" s="0" t="n">
        <v>9.9</v>
      </c>
    </row>
    <row r="63" customFormat="false" ht="15" hidden="false" customHeight="false" outlineLevel="0" collapsed="false">
      <c r="A63" s="0" t="s">
        <v>2250</v>
      </c>
      <c r="B63" s="0" t="n">
        <v>8.14</v>
      </c>
    </row>
    <row r="64" customFormat="false" ht="15" hidden="false" customHeight="false" outlineLevel="0" collapsed="false">
      <c r="A64" s="0" t="s">
        <v>2251</v>
      </c>
      <c r="B64" s="0" t="n">
        <v>6.33</v>
      </c>
    </row>
    <row r="65" customFormat="false" ht="15" hidden="false" customHeight="false" outlineLevel="0" collapsed="false">
      <c r="A65" s="0" t="s">
        <v>2252</v>
      </c>
      <c r="B65" s="0" t="n">
        <v>9.67</v>
      </c>
    </row>
    <row r="66" customFormat="false" ht="15" hidden="false" customHeight="false" outlineLevel="0" collapsed="false">
      <c r="A66" s="0" t="s">
        <v>2253</v>
      </c>
      <c r="B66" s="0" t="n">
        <v>9.2</v>
      </c>
    </row>
    <row r="67" customFormat="false" ht="15" hidden="false" customHeight="false" outlineLevel="0" collapsed="false">
      <c r="A67" s="0" t="s">
        <v>2254</v>
      </c>
      <c r="B67" s="0" t="n">
        <v>9</v>
      </c>
    </row>
    <row r="68" customFormat="false" ht="15" hidden="false" customHeight="false" outlineLevel="0" collapsed="false">
      <c r="A68" s="0" t="s">
        <v>2255</v>
      </c>
      <c r="B68" s="0" t="n">
        <v>7.38</v>
      </c>
    </row>
    <row r="69" customFormat="false" ht="15" hidden="false" customHeight="false" outlineLevel="0" collapsed="false">
      <c r="A69" s="0" t="s">
        <v>2256</v>
      </c>
      <c r="B69" s="0" t="n">
        <v>8.43</v>
      </c>
    </row>
    <row r="70" customFormat="false" ht="15" hidden="false" customHeight="false" outlineLevel="0" collapsed="false">
      <c r="A70" s="0" t="s">
        <v>2257</v>
      </c>
      <c r="B70" s="0" t="n">
        <v>4.8</v>
      </c>
    </row>
    <row r="71" customFormat="false" ht="15" hidden="false" customHeight="false" outlineLevel="0" collapsed="false">
      <c r="A71" s="0" t="s">
        <v>2258</v>
      </c>
      <c r="B71" s="0" t="n">
        <v>10</v>
      </c>
    </row>
    <row r="72" customFormat="false" ht="15" hidden="false" customHeight="false" outlineLevel="0" collapsed="false">
      <c r="A72" s="0" t="s">
        <v>2259</v>
      </c>
      <c r="B72" s="0" t="n">
        <v>7.67</v>
      </c>
    </row>
    <row r="73" customFormat="false" ht="15" hidden="false" customHeight="false" outlineLevel="0" collapsed="false">
      <c r="A73" s="0" t="s">
        <v>2260</v>
      </c>
      <c r="B73" s="0" t="n">
        <v>9</v>
      </c>
    </row>
    <row r="74" customFormat="false" ht="15" hidden="false" customHeight="false" outlineLevel="0" collapsed="false">
      <c r="A74" s="0" t="s">
        <v>2261</v>
      </c>
      <c r="B74" s="0" t="n">
        <v>7.43</v>
      </c>
    </row>
    <row r="75" customFormat="false" ht="15" hidden="false" customHeight="false" outlineLevel="0" collapsed="false">
      <c r="A75" s="0" t="s">
        <v>2262</v>
      </c>
      <c r="B75" s="0" t="n">
        <v>9.5</v>
      </c>
    </row>
    <row r="76" customFormat="false" ht="15" hidden="false" customHeight="false" outlineLevel="0" collapsed="false">
      <c r="A76" s="0" t="s">
        <v>2263</v>
      </c>
      <c r="B76" s="0" t="n">
        <v>6.33</v>
      </c>
    </row>
    <row r="77" customFormat="false" ht="15" hidden="false" customHeight="false" outlineLevel="0" collapsed="false">
      <c r="A77" s="0" t="s">
        <v>2264</v>
      </c>
      <c r="B77" s="0" t="n">
        <v>8.5</v>
      </c>
    </row>
    <row r="78" customFormat="false" ht="15" hidden="false" customHeight="false" outlineLevel="0" collapsed="false">
      <c r="A78" s="0" t="s">
        <v>2265</v>
      </c>
      <c r="B78" s="0" t="n">
        <v>10.31</v>
      </c>
    </row>
    <row r="79" customFormat="false" ht="15" hidden="false" customHeight="false" outlineLevel="0" collapsed="false">
      <c r="A79" s="0" t="s">
        <v>2266</v>
      </c>
      <c r="B79" s="0" t="n">
        <v>8.73</v>
      </c>
    </row>
    <row r="80" customFormat="false" ht="15" hidden="false" customHeight="false" outlineLevel="0" collapsed="false">
      <c r="A80" s="0" t="s">
        <v>2267</v>
      </c>
      <c r="B80" s="0" t="n">
        <v>7</v>
      </c>
    </row>
    <row r="81" customFormat="false" ht="15" hidden="false" customHeight="false" outlineLevel="0" collapsed="false">
      <c r="A81" s="0" t="s">
        <v>2268</v>
      </c>
      <c r="B81" s="0" t="n">
        <v>6</v>
      </c>
    </row>
    <row r="82" customFormat="false" ht="15" hidden="false" customHeight="false" outlineLevel="0" collapsed="false">
      <c r="A82" s="0" t="s">
        <v>2269</v>
      </c>
      <c r="B82" s="0" t="n">
        <v>7.15</v>
      </c>
    </row>
    <row r="83" customFormat="false" ht="15" hidden="false" customHeight="false" outlineLevel="0" collapsed="false">
      <c r="A83" s="0" t="s">
        <v>2270</v>
      </c>
      <c r="B83" s="0" t="n">
        <v>6</v>
      </c>
    </row>
    <row r="84" customFormat="false" ht="15" hidden="false" customHeight="false" outlineLevel="0" collapsed="false">
      <c r="A84" s="0" t="s">
        <v>2271</v>
      </c>
      <c r="B84" s="0" t="n">
        <v>7.33</v>
      </c>
    </row>
    <row r="85" customFormat="false" ht="15" hidden="false" customHeight="false" outlineLevel="0" collapsed="false">
      <c r="A85" s="0" t="s">
        <v>2272</v>
      </c>
      <c r="B85" s="0" t="n">
        <v>8.34</v>
      </c>
    </row>
    <row r="86" customFormat="false" ht="15" hidden="false" customHeight="false" outlineLevel="0" collapsed="false">
      <c r="A86" s="0" t="s">
        <v>2273</v>
      </c>
      <c r="B86" s="0" t="n">
        <v>6.67</v>
      </c>
    </row>
    <row r="87" customFormat="false" ht="15" hidden="false" customHeight="false" outlineLevel="0" collapsed="false">
      <c r="A87" s="0" t="s">
        <v>2274</v>
      </c>
      <c r="B87" s="0" t="n">
        <v>10</v>
      </c>
    </row>
    <row r="88" customFormat="false" ht="15" hidden="false" customHeight="false" outlineLevel="0" collapsed="false">
      <c r="A88" s="0" t="s">
        <v>2275</v>
      </c>
      <c r="B88" s="0" t="n">
        <v>6.6</v>
      </c>
    </row>
    <row r="89" customFormat="false" ht="15" hidden="false" customHeight="false" outlineLevel="0" collapsed="false">
      <c r="A89" s="0" t="s">
        <v>2276</v>
      </c>
      <c r="B89" s="0" t="n">
        <v>6.33</v>
      </c>
    </row>
    <row r="90" customFormat="false" ht="15" hidden="false" customHeight="false" outlineLevel="0" collapsed="false">
      <c r="A90" s="0" t="s">
        <v>2277</v>
      </c>
      <c r="B90" s="0" t="n">
        <v>10</v>
      </c>
    </row>
    <row r="91" customFormat="false" ht="15" hidden="false" customHeight="false" outlineLevel="0" collapsed="false">
      <c r="A91" s="0" t="s">
        <v>2278</v>
      </c>
      <c r="B91" s="0" t="n">
        <v>8.5</v>
      </c>
    </row>
    <row r="92" customFormat="false" ht="15" hidden="false" customHeight="false" outlineLevel="0" collapsed="false">
      <c r="A92" s="0" t="s">
        <v>2279</v>
      </c>
      <c r="B92" s="0" t="n">
        <v>7.09</v>
      </c>
    </row>
    <row r="93" customFormat="false" ht="15" hidden="false" customHeight="false" outlineLevel="0" collapsed="false">
      <c r="A93" s="0" t="s">
        <v>2280</v>
      </c>
      <c r="B93" s="0" t="n">
        <v>7.4</v>
      </c>
    </row>
    <row r="94" customFormat="false" ht="15" hidden="false" customHeight="false" outlineLevel="0" collapsed="false">
      <c r="A94" s="0" t="s">
        <v>2281</v>
      </c>
      <c r="B94" s="0" t="n">
        <v>4.33</v>
      </c>
    </row>
    <row r="95" customFormat="false" ht="15" hidden="false" customHeight="false" outlineLevel="0" collapsed="false">
      <c r="A95" s="0" t="s">
        <v>2282</v>
      </c>
      <c r="B95" s="0" t="n">
        <v>9.25</v>
      </c>
    </row>
    <row r="96" customFormat="false" ht="15" hidden="false" customHeight="false" outlineLevel="0" collapsed="false">
      <c r="A96" s="0" t="s">
        <v>2283</v>
      </c>
      <c r="B96" s="0" t="n">
        <v>9.33</v>
      </c>
    </row>
    <row r="97" customFormat="false" ht="15" hidden="false" customHeight="false" outlineLevel="0" collapsed="false">
      <c r="A97" s="0" t="s">
        <v>2284</v>
      </c>
      <c r="B97" s="0" t="n">
        <v>9.75</v>
      </c>
    </row>
    <row r="98" customFormat="false" ht="15" hidden="false" customHeight="false" outlineLevel="0" collapsed="false">
      <c r="A98" s="0" t="s">
        <v>2285</v>
      </c>
      <c r="B98" s="0" t="n">
        <v>7.75</v>
      </c>
    </row>
    <row r="99" customFormat="false" ht="15" hidden="false" customHeight="false" outlineLevel="0" collapsed="false">
      <c r="A99" s="0" t="s">
        <v>2286</v>
      </c>
      <c r="B99" s="0" t="n">
        <v>9.67</v>
      </c>
    </row>
    <row r="100" customFormat="false" ht="15" hidden="false" customHeight="false" outlineLevel="0" collapsed="false">
      <c r="A100" s="0" t="s">
        <v>2287</v>
      </c>
      <c r="B100" s="0" t="n">
        <v>8.8</v>
      </c>
    </row>
    <row r="101" customFormat="false" ht="15" hidden="false" customHeight="false" outlineLevel="0" collapsed="false">
      <c r="A101" s="0" t="s">
        <v>2288</v>
      </c>
      <c r="B101" s="0" t="n">
        <v>6</v>
      </c>
    </row>
    <row r="102" customFormat="false" ht="15" hidden="false" customHeight="false" outlineLevel="0" collapsed="false">
      <c r="A102" s="0" t="s">
        <v>2289</v>
      </c>
      <c r="B102" s="0" t="n">
        <v>4.5</v>
      </c>
    </row>
    <row r="103" customFormat="false" ht="15" hidden="false" customHeight="false" outlineLevel="0" collapsed="false">
      <c r="A103" s="0" t="s">
        <v>2290</v>
      </c>
      <c r="B103" s="0" t="n">
        <v>7</v>
      </c>
    </row>
    <row r="104" customFormat="false" ht="15" hidden="false" customHeight="false" outlineLevel="0" collapsed="false">
      <c r="A104" s="0" t="s">
        <v>2291</v>
      </c>
      <c r="B104" s="0" t="n">
        <v>9.5</v>
      </c>
    </row>
    <row r="105" customFormat="false" ht="15" hidden="false" customHeight="false" outlineLevel="0" collapsed="false">
      <c r="A105" s="0" t="s">
        <v>2292</v>
      </c>
      <c r="B105" s="0" t="n">
        <v>7.67</v>
      </c>
    </row>
    <row r="106" customFormat="false" ht="15" hidden="false" customHeight="false" outlineLevel="0" collapsed="false">
      <c r="A106" s="0" t="s">
        <v>2293</v>
      </c>
      <c r="B106" s="0" t="n">
        <v>9</v>
      </c>
    </row>
    <row r="107" customFormat="false" ht="15" hidden="false" customHeight="false" outlineLevel="0" collapsed="false">
      <c r="A107" s="0" t="s">
        <v>2294</v>
      </c>
      <c r="B107" s="0" t="n">
        <v>9</v>
      </c>
    </row>
    <row r="108" customFormat="false" ht="15" hidden="false" customHeight="false" outlineLevel="0" collapsed="false">
      <c r="A108" s="0" t="s">
        <v>2295</v>
      </c>
      <c r="B108" s="0" t="n">
        <v>11.75</v>
      </c>
    </row>
    <row r="109" customFormat="false" ht="15" hidden="false" customHeight="false" outlineLevel="0" collapsed="false">
      <c r="A109" s="0" t="s">
        <v>2296</v>
      </c>
      <c r="B109" s="0" t="n">
        <v>7</v>
      </c>
    </row>
    <row r="110" customFormat="false" ht="15" hidden="false" customHeight="false" outlineLevel="0" collapsed="false">
      <c r="A110" s="0" t="s">
        <v>2297</v>
      </c>
      <c r="B110" s="0" t="n">
        <v>7.5</v>
      </c>
    </row>
    <row r="111" customFormat="false" ht="15" hidden="false" customHeight="false" outlineLevel="0" collapsed="false">
      <c r="A111" s="0" t="s">
        <v>2298</v>
      </c>
      <c r="B111" s="0" t="n">
        <v>11</v>
      </c>
    </row>
    <row r="112" customFormat="false" ht="15" hidden="false" customHeight="false" outlineLevel="0" collapsed="false">
      <c r="A112" s="0" t="s">
        <v>2299</v>
      </c>
      <c r="B112" s="0" t="n">
        <v>8.64</v>
      </c>
    </row>
    <row r="113" customFormat="false" ht="15" hidden="false" customHeight="false" outlineLevel="0" collapsed="false">
      <c r="A113" s="0" t="s">
        <v>2300</v>
      </c>
      <c r="B113" s="0" t="n">
        <v>8.75</v>
      </c>
    </row>
    <row r="114" customFormat="false" ht="15" hidden="false" customHeight="false" outlineLevel="0" collapsed="false">
      <c r="A114" s="0" t="s">
        <v>2301</v>
      </c>
      <c r="B114" s="0" t="n">
        <v>6</v>
      </c>
    </row>
    <row r="115" customFormat="false" ht="15" hidden="false" customHeight="false" outlineLevel="0" collapsed="false">
      <c r="A115" s="0" t="s">
        <v>2302</v>
      </c>
      <c r="B115" s="0" t="n">
        <v>13.5</v>
      </c>
    </row>
    <row r="116" customFormat="false" ht="15" hidden="false" customHeight="false" outlineLevel="0" collapsed="false">
      <c r="A116" s="0" t="s">
        <v>2303</v>
      </c>
      <c r="B116" s="0" t="n">
        <v>12</v>
      </c>
    </row>
    <row r="117" customFormat="false" ht="15" hidden="false" customHeight="false" outlineLevel="0" collapsed="false">
      <c r="A117" s="0" t="s">
        <v>2304</v>
      </c>
      <c r="B117" s="0" t="n">
        <v>8.67</v>
      </c>
    </row>
    <row r="118" customFormat="false" ht="15" hidden="false" customHeight="false" outlineLevel="0" collapsed="false">
      <c r="A118" s="0" t="s">
        <v>2305</v>
      </c>
      <c r="B118" s="0" t="n">
        <v>9.33</v>
      </c>
    </row>
    <row r="119" customFormat="false" ht="15" hidden="false" customHeight="false" outlineLevel="0" collapsed="false">
      <c r="A119" s="0" t="s">
        <v>2306</v>
      </c>
      <c r="B119" s="0" t="n">
        <v>10</v>
      </c>
    </row>
    <row r="120" customFormat="false" ht="15" hidden="false" customHeight="false" outlineLevel="0" collapsed="false">
      <c r="A120" s="0" t="s">
        <v>2307</v>
      </c>
      <c r="B120" s="0" t="n">
        <v>9.33</v>
      </c>
    </row>
    <row r="121" customFormat="false" ht="15" hidden="false" customHeight="false" outlineLevel="0" collapsed="false">
      <c r="A121" s="0" t="s">
        <v>2308</v>
      </c>
      <c r="B121" s="0" t="n">
        <v>7.17</v>
      </c>
    </row>
    <row r="122" customFormat="false" ht="15" hidden="false" customHeight="false" outlineLevel="0" collapsed="false">
      <c r="A122" s="0" t="s">
        <v>2309</v>
      </c>
      <c r="B122" s="0" t="n">
        <v>10</v>
      </c>
    </row>
    <row r="123" customFormat="false" ht="15" hidden="false" customHeight="false" outlineLevel="0" collapsed="false">
      <c r="A123" s="0" t="s">
        <v>2310</v>
      </c>
      <c r="B123" s="0" t="n">
        <v>7.75</v>
      </c>
    </row>
    <row r="124" customFormat="false" ht="15" hidden="false" customHeight="false" outlineLevel="0" collapsed="false">
      <c r="A124" s="0" t="s">
        <v>2311</v>
      </c>
      <c r="B124" s="0" t="n">
        <v>9.2</v>
      </c>
    </row>
    <row r="125" customFormat="false" ht="15" hidden="false" customHeight="false" outlineLevel="0" collapsed="false">
      <c r="A125" s="0" t="s">
        <v>2312</v>
      </c>
      <c r="B125" s="0" t="n">
        <v>8.88</v>
      </c>
    </row>
    <row r="126" customFormat="false" ht="15" hidden="false" customHeight="false" outlineLevel="0" collapsed="false">
      <c r="A126" s="0" t="s">
        <v>2313</v>
      </c>
      <c r="B126" s="0" t="n">
        <v>5</v>
      </c>
    </row>
    <row r="127" customFormat="false" ht="15" hidden="false" customHeight="false" outlineLevel="0" collapsed="false">
      <c r="A127" s="0" t="s">
        <v>2314</v>
      </c>
      <c r="B127" s="0" t="n">
        <v>8.17</v>
      </c>
    </row>
    <row r="128" customFormat="false" ht="15" hidden="false" customHeight="false" outlineLevel="0" collapsed="false">
      <c r="A128" s="0" t="s">
        <v>2315</v>
      </c>
      <c r="B128" s="0" t="n">
        <v>8.68</v>
      </c>
    </row>
    <row r="129" customFormat="false" ht="15" hidden="false" customHeight="false" outlineLevel="0" collapsed="false">
      <c r="A129" s="0" t="s">
        <v>2316</v>
      </c>
      <c r="B129" s="0" t="n">
        <v>9.57</v>
      </c>
    </row>
    <row r="130" customFormat="false" ht="15" hidden="false" customHeight="false" outlineLevel="0" collapsed="false">
      <c r="A130" s="0" t="s">
        <v>2317</v>
      </c>
      <c r="B130" s="0" t="n">
        <v>9.43</v>
      </c>
    </row>
    <row r="131" customFormat="false" ht="15" hidden="false" customHeight="false" outlineLevel="0" collapsed="false">
      <c r="A131" s="0" t="s">
        <v>2318</v>
      </c>
      <c r="B131" s="0" t="n">
        <v>7.36</v>
      </c>
    </row>
    <row r="132" customFormat="false" ht="15" hidden="false" customHeight="false" outlineLevel="0" collapsed="false">
      <c r="A132" s="0" t="s">
        <v>2319</v>
      </c>
      <c r="B132" s="0" t="n">
        <v>9.8</v>
      </c>
    </row>
    <row r="133" customFormat="false" ht="15" hidden="false" customHeight="false" outlineLevel="0" collapsed="false">
      <c r="A133" s="0" t="s">
        <v>2320</v>
      </c>
      <c r="B133" s="0" t="n">
        <v>9.12</v>
      </c>
    </row>
    <row r="134" customFormat="false" ht="15" hidden="false" customHeight="false" outlineLevel="0" collapsed="false">
      <c r="A134" s="0" t="s">
        <v>2321</v>
      </c>
      <c r="B134" s="0" t="n">
        <v>9.57</v>
      </c>
    </row>
    <row r="135" customFormat="false" ht="15" hidden="false" customHeight="false" outlineLevel="0" collapsed="false">
      <c r="A135" s="0" t="s">
        <v>2322</v>
      </c>
      <c r="B135" s="0" t="n">
        <v>4</v>
      </c>
    </row>
    <row r="136" customFormat="false" ht="15" hidden="false" customHeight="false" outlineLevel="0" collapsed="false">
      <c r="A136" s="0" t="s">
        <v>2323</v>
      </c>
      <c r="B136" s="0" t="n">
        <v>7.4</v>
      </c>
    </row>
    <row r="137" customFormat="false" ht="15" hidden="false" customHeight="false" outlineLevel="0" collapsed="false">
      <c r="A137" s="0" t="s">
        <v>2324</v>
      </c>
      <c r="B137" s="0" t="n">
        <v>8.33</v>
      </c>
    </row>
    <row r="138" customFormat="false" ht="15" hidden="false" customHeight="false" outlineLevel="0" collapsed="false">
      <c r="A138" s="0" t="s">
        <v>2325</v>
      </c>
      <c r="B138" s="0" t="n">
        <v>8.8</v>
      </c>
    </row>
    <row r="139" customFormat="false" ht="15" hidden="false" customHeight="false" outlineLevel="0" collapsed="false">
      <c r="A139" s="0" t="s">
        <v>2326</v>
      </c>
      <c r="B139" s="0" t="n">
        <v>10.67</v>
      </c>
    </row>
    <row r="140" customFormat="false" ht="15" hidden="false" customHeight="false" outlineLevel="0" collapsed="false">
      <c r="A140" s="0" t="s">
        <v>2327</v>
      </c>
      <c r="B140" s="0" t="n">
        <v>8</v>
      </c>
    </row>
    <row r="141" customFormat="false" ht="15" hidden="false" customHeight="false" outlineLevel="0" collapsed="false">
      <c r="A141" s="0" t="s">
        <v>2328</v>
      </c>
      <c r="B141" s="0" t="n">
        <v>7.47</v>
      </c>
    </row>
    <row r="142" customFormat="false" ht="15" hidden="false" customHeight="false" outlineLevel="0" collapsed="false">
      <c r="A142" s="0" t="s">
        <v>2329</v>
      </c>
      <c r="B142" s="0" t="n">
        <v>7.78</v>
      </c>
    </row>
    <row r="143" customFormat="false" ht="15" hidden="false" customHeight="false" outlineLevel="0" collapsed="false">
      <c r="A143" s="0" t="s">
        <v>2330</v>
      </c>
      <c r="B143" s="0" t="n">
        <v>8.14</v>
      </c>
    </row>
    <row r="144" customFormat="false" ht="15" hidden="false" customHeight="false" outlineLevel="0" collapsed="false">
      <c r="A144" s="0" t="s">
        <v>2331</v>
      </c>
      <c r="B144" s="0" t="n">
        <v>9</v>
      </c>
    </row>
    <row r="145" customFormat="false" ht="15" hidden="false" customHeight="false" outlineLevel="0" collapsed="false">
      <c r="A145" s="0" t="s">
        <v>2332</v>
      </c>
      <c r="B145" s="0" t="n">
        <v>8.33</v>
      </c>
    </row>
    <row r="146" customFormat="false" ht="15" hidden="false" customHeight="false" outlineLevel="0" collapsed="false">
      <c r="A146" s="0" t="s">
        <v>2333</v>
      </c>
      <c r="B146" s="0" t="n">
        <v>4.5</v>
      </c>
    </row>
    <row r="147" customFormat="false" ht="15" hidden="false" customHeight="false" outlineLevel="0" collapsed="false">
      <c r="A147" s="0" t="s">
        <v>2334</v>
      </c>
      <c r="B147" s="0" t="n">
        <v>7.83</v>
      </c>
    </row>
    <row r="148" customFormat="false" ht="15" hidden="false" customHeight="false" outlineLevel="0" collapsed="false">
      <c r="A148" s="0" t="s">
        <v>2335</v>
      </c>
      <c r="B148" s="0" t="n">
        <v>9</v>
      </c>
    </row>
    <row r="149" customFormat="false" ht="15" hidden="false" customHeight="false" outlineLevel="0" collapsed="false">
      <c r="A149" s="0" t="s">
        <v>2336</v>
      </c>
      <c r="B149" s="0" t="n">
        <v>7.6</v>
      </c>
    </row>
    <row r="150" customFormat="false" ht="15" hidden="false" customHeight="false" outlineLevel="0" collapsed="false">
      <c r="A150" s="0" t="s">
        <v>2337</v>
      </c>
      <c r="B150" s="0" t="n">
        <v>7</v>
      </c>
    </row>
    <row r="151" customFormat="false" ht="15" hidden="false" customHeight="false" outlineLevel="0" collapsed="false">
      <c r="A151" s="0" t="s">
        <v>2338</v>
      </c>
      <c r="B151" s="0" t="n">
        <v>6.67</v>
      </c>
    </row>
    <row r="152" customFormat="false" ht="15" hidden="false" customHeight="false" outlineLevel="0" collapsed="false">
      <c r="A152" s="0" t="s">
        <v>2339</v>
      </c>
      <c r="B152" s="0" t="n">
        <v>8.75</v>
      </c>
    </row>
    <row r="153" customFormat="false" ht="15" hidden="false" customHeight="false" outlineLevel="0" collapsed="false">
      <c r="A153" s="0" t="s">
        <v>2340</v>
      </c>
      <c r="B153" s="0" t="n">
        <v>10</v>
      </c>
    </row>
    <row r="154" customFormat="false" ht="15" hidden="false" customHeight="false" outlineLevel="0" collapsed="false">
      <c r="A154" s="0" t="s">
        <v>2341</v>
      </c>
      <c r="B154" s="0" t="n">
        <v>6.89</v>
      </c>
    </row>
    <row r="155" customFormat="false" ht="15" hidden="false" customHeight="false" outlineLevel="0" collapsed="false">
      <c r="A155" s="0" t="s">
        <v>2342</v>
      </c>
      <c r="B155" s="0" t="n">
        <v>8.33</v>
      </c>
    </row>
    <row r="156" customFormat="false" ht="15" hidden="false" customHeight="false" outlineLevel="0" collapsed="false">
      <c r="A156" s="0" t="s">
        <v>2343</v>
      </c>
      <c r="B156" s="0" t="n">
        <v>9.76</v>
      </c>
    </row>
    <row r="157" customFormat="false" ht="15" hidden="false" customHeight="false" outlineLevel="0" collapsed="false">
      <c r="A157" s="0" t="s">
        <v>2344</v>
      </c>
      <c r="B157" s="0" t="n">
        <v>7.62</v>
      </c>
    </row>
    <row r="158" customFormat="false" ht="15" hidden="false" customHeight="false" outlineLevel="0" collapsed="false">
      <c r="A158" s="0" t="s">
        <v>2345</v>
      </c>
      <c r="B158" s="0" t="n">
        <v>12.83</v>
      </c>
    </row>
    <row r="159" customFormat="false" ht="15" hidden="false" customHeight="false" outlineLevel="0" collapsed="false">
      <c r="A159" s="0" t="s">
        <v>2346</v>
      </c>
      <c r="B159" s="0" t="n">
        <v>9</v>
      </c>
    </row>
    <row r="160" customFormat="false" ht="15" hidden="false" customHeight="false" outlineLevel="0" collapsed="false">
      <c r="A160" s="0" t="s">
        <v>2347</v>
      </c>
      <c r="B160" s="0" t="n">
        <v>6.75</v>
      </c>
    </row>
    <row r="161" customFormat="false" ht="15" hidden="false" customHeight="false" outlineLevel="0" collapsed="false">
      <c r="A161" s="0" t="s">
        <v>2348</v>
      </c>
      <c r="B161" s="0" t="n">
        <v>8.4</v>
      </c>
    </row>
    <row r="162" customFormat="false" ht="15" hidden="false" customHeight="false" outlineLevel="0" collapsed="false">
      <c r="A162" s="0" t="s">
        <v>2349</v>
      </c>
      <c r="B162" s="0" t="n">
        <v>7.33</v>
      </c>
    </row>
    <row r="163" customFormat="false" ht="15" hidden="false" customHeight="false" outlineLevel="0" collapsed="false">
      <c r="A163" s="0" t="s">
        <v>2350</v>
      </c>
      <c r="B163" s="0" t="n">
        <v>8.4</v>
      </c>
    </row>
    <row r="164" customFormat="false" ht="15" hidden="false" customHeight="false" outlineLevel="0" collapsed="false">
      <c r="A164" s="0" t="s">
        <v>2351</v>
      </c>
      <c r="B164" s="0" t="n">
        <v>11.33</v>
      </c>
    </row>
    <row r="165" customFormat="false" ht="15" hidden="false" customHeight="false" outlineLevel="0" collapsed="false">
      <c r="A165" s="0" t="s">
        <v>2352</v>
      </c>
      <c r="B165" s="0" t="n">
        <v>7.5</v>
      </c>
    </row>
    <row r="166" customFormat="false" ht="15" hidden="false" customHeight="false" outlineLevel="0" collapsed="false">
      <c r="A166" s="0" t="s">
        <v>2353</v>
      </c>
      <c r="B166" s="0" t="n">
        <v>9.91</v>
      </c>
    </row>
    <row r="167" customFormat="false" ht="15" hidden="false" customHeight="false" outlineLevel="0" collapsed="false">
      <c r="A167" s="0" t="s">
        <v>2354</v>
      </c>
      <c r="B167" s="0" t="n">
        <v>6.67</v>
      </c>
    </row>
    <row r="168" customFormat="false" ht="15" hidden="false" customHeight="false" outlineLevel="0" collapsed="false">
      <c r="A168" s="0" t="s">
        <v>2355</v>
      </c>
      <c r="B168" s="0" t="n">
        <v>7</v>
      </c>
    </row>
    <row r="169" customFormat="false" ht="15" hidden="false" customHeight="false" outlineLevel="0" collapsed="false">
      <c r="A169" s="0" t="s">
        <v>2356</v>
      </c>
      <c r="B169" s="0" t="n">
        <v>7</v>
      </c>
    </row>
    <row r="170" customFormat="false" ht="15" hidden="false" customHeight="false" outlineLevel="0" collapsed="false">
      <c r="A170" s="0" t="s">
        <v>2357</v>
      </c>
      <c r="B170" s="0" t="n">
        <v>6.91</v>
      </c>
    </row>
    <row r="171" customFormat="false" ht="15" hidden="false" customHeight="false" outlineLevel="0" collapsed="false">
      <c r="A171" s="0" t="s">
        <v>2358</v>
      </c>
      <c r="B171" s="0" t="n">
        <v>8.69</v>
      </c>
    </row>
    <row r="172" customFormat="false" ht="15" hidden="false" customHeight="false" outlineLevel="0" collapsed="false">
      <c r="A172" s="0" t="s">
        <v>2359</v>
      </c>
      <c r="B172" s="0" t="n">
        <v>7.78</v>
      </c>
    </row>
    <row r="173" customFormat="false" ht="15" hidden="false" customHeight="false" outlineLevel="0" collapsed="false">
      <c r="A173" s="0" t="s">
        <v>2360</v>
      </c>
      <c r="B173" s="0" t="n">
        <v>7.4</v>
      </c>
    </row>
    <row r="174" customFormat="false" ht="15" hidden="false" customHeight="false" outlineLevel="0" collapsed="false">
      <c r="A174" s="0" t="s">
        <v>2361</v>
      </c>
      <c r="B174" s="0" t="n">
        <v>6.7</v>
      </c>
    </row>
    <row r="175" customFormat="false" ht="15" hidden="false" customHeight="false" outlineLevel="0" collapsed="false">
      <c r="A175" s="0" t="s">
        <v>2362</v>
      </c>
      <c r="B175" s="0" t="n">
        <v>9.57</v>
      </c>
    </row>
    <row r="176" customFormat="false" ht="15" hidden="false" customHeight="false" outlineLevel="0" collapsed="false">
      <c r="A176" s="0" t="s">
        <v>2363</v>
      </c>
      <c r="B176" s="0" t="n">
        <v>8.86</v>
      </c>
    </row>
    <row r="177" customFormat="false" ht="15" hidden="false" customHeight="false" outlineLevel="0" collapsed="false">
      <c r="A177" s="0" t="s">
        <v>2364</v>
      </c>
      <c r="B177" s="0" t="n">
        <v>10.5</v>
      </c>
    </row>
    <row r="178" customFormat="false" ht="15" hidden="false" customHeight="false" outlineLevel="0" collapsed="false">
      <c r="A178" s="0" t="s">
        <v>2365</v>
      </c>
      <c r="B178" s="0" t="n">
        <v>5.45</v>
      </c>
    </row>
    <row r="179" customFormat="false" ht="15" hidden="false" customHeight="false" outlineLevel="0" collapsed="false">
      <c r="A179" s="0" t="s">
        <v>2366</v>
      </c>
      <c r="B179" s="0" t="n">
        <v>7.25</v>
      </c>
    </row>
    <row r="180" customFormat="false" ht="15" hidden="false" customHeight="false" outlineLevel="0" collapsed="false">
      <c r="A180" s="0" t="s">
        <v>2367</v>
      </c>
      <c r="B180" s="0" t="n">
        <v>7.4</v>
      </c>
    </row>
    <row r="181" customFormat="false" ht="15" hidden="false" customHeight="false" outlineLevel="0" collapsed="false">
      <c r="A181" s="0" t="s">
        <v>2368</v>
      </c>
      <c r="B181" s="0" t="n">
        <v>8</v>
      </c>
    </row>
    <row r="182" customFormat="false" ht="15" hidden="false" customHeight="false" outlineLevel="0" collapsed="false">
      <c r="A182" s="0" t="s">
        <v>2369</v>
      </c>
      <c r="B182" s="0" t="n">
        <v>6.36</v>
      </c>
    </row>
    <row r="183" customFormat="false" ht="15" hidden="false" customHeight="false" outlineLevel="0" collapsed="false">
      <c r="A183" s="0" t="s">
        <v>2370</v>
      </c>
      <c r="B183" s="0" t="n">
        <v>8.6</v>
      </c>
    </row>
    <row r="184" customFormat="false" ht="15" hidden="false" customHeight="false" outlineLevel="0" collapsed="false">
      <c r="A184" s="0" t="s">
        <v>2371</v>
      </c>
      <c r="B184" s="0" t="n">
        <v>7.65</v>
      </c>
    </row>
    <row r="185" customFormat="false" ht="15" hidden="false" customHeight="false" outlineLevel="0" collapsed="false">
      <c r="A185" s="0" t="s">
        <v>2372</v>
      </c>
      <c r="B185" s="0" t="n">
        <v>7.69</v>
      </c>
    </row>
    <row r="186" customFormat="false" ht="15" hidden="false" customHeight="false" outlineLevel="0" collapsed="false">
      <c r="A186" s="0" t="s">
        <v>2373</v>
      </c>
      <c r="B186" s="0" t="n">
        <v>7.2</v>
      </c>
    </row>
    <row r="187" customFormat="false" ht="15" hidden="false" customHeight="false" outlineLevel="0" collapsed="false">
      <c r="A187" s="0" t="s">
        <v>2374</v>
      </c>
      <c r="B187" s="0" t="n">
        <v>7.6</v>
      </c>
    </row>
    <row r="188" customFormat="false" ht="15" hidden="false" customHeight="false" outlineLevel="0" collapsed="false">
      <c r="A188" s="0" t="s">
        <v>2375</v>
      </c>
      <c r="B188" s="0" t="n">
        <v>7.25</v>
      </c>
    </row>
    <row r="189" customFormat="false" ht="15" hidden="false" customHeight="false" outlineLevel="0" collapsed="false">
      <c r="A189" s="0" t="s">
        <v>2376</v>
      </c>
      <c r="B189" s="0" t="n">
        <v>5</v>
      </c>
    </row>
    <row r="190" customFormat="false" ht="15" hidden="false" customHeight="false" outlineLevel="0" collapsed="false">
      <c r="A190" s="0" t="s">
        <v>2377</v>
      </c>
      <c r="B190" s="0" t="n">
        <v>7.2</v>
      </c>
    </row>
    <row r="191" customFormat="false" ht="15" hidden="false" customHeight="false" outlineLevel="0" collapsed="false">
      <c r="A191" s="0" t="s">
        <v>2378</v>
      </c>
      <c r="B191" s="0" t="n">
        <v>8.4</v>
      </c>
    </row>
    <row r="192" customFormat="false" ht="15" hidden="false" customHeight="false" outlineLevel="0" collapsed="false">
      <c r="A192" s="0" t="s">
        <v>2379</v>
      </c>
      <c r="B192" s="0" t="n">
        <v>7.6</v>
      </c>
    </row>
    <row r="193" customFormat="false" ht="15" hidden="false" customHeight="false" outlineLevel="0" collapsed="false">
      <c r="A193" s="0" t="s">
        <v>2380</v>
      </c>
      <c r="B193" s="0" t="n">
        <v>6.75</v>
      </c>
    </row>
    <row r="194" customFormat="false" ht="15" hidden="false" customHeight="false" outlineLevel="0" collapsed="false">
      <c r="A194" s="0" t="s">
        <v>2381</v>
      </c>
      <c r="B194" s="0" t="n">
        <v>10</v>
      </c>
    </row>
    <row r="195" customFormat="false" ht="15" hidden="false" customHeight="false" outlineLevel="0" collapsed="false">
      <c r="A195" s="0" t="s">
        <v>2382</v>
      </c>
      <c r="B195" s="0" t="n">
        <v>9.71</v>
      </c>
    </row>
    <row r="196" customFormat="false" ht="15" hidden="false" customHeight="false" outlineLevel="0" collapsed="false">
      <c r="A196" s="0" t="s">
        <v>2383</v>
      </c>
      <c r="B196" s="0" t="n">
        <v>11</v>
      </c>
    </row>
    <row r="197" customFormat="false" ht="15" hidden="false" customHeight="false" outlineLevel="0" collapsed="false">
      <c r="A197" s="0" t="s">
        <v>2384</v>
      </c>
      <c r="B197" s="0" t="n">
        <v>7.67</v>
      </c>
    </row>
    <row r="198" customFormat="false" ht="15" hidden="false" customHeight="false" outlineLevel="0" collapsed="false">
      <c r="A198" s="0" t="s">
        <v>2385</v>
      </c>
      <c r="B198" s="0" t="n">
        <v>8.48</v>
      </c>
    </row>
    <row r="199" customFormat="false" ht="15" hidden="false" customHeight="false" outlineLevel="0" collapsed="false">
      <c r="A199" s="0" t="s">
        <v>2386</v>
      </c>
      <c r="B199" s="0" t="n">
        <v>8.25</v>
      </c>
    </row>
    <row r="200" customFormat="false" ht="15" hidden="false" customHeight="false" outlineLevel="0" collapsed="false">
      <c r="A200" s="0" t="s">
        <v>2387</v>
      </c>
      <c r="B200" s="0" t="n">
        <v>8.25</v>
      </c>
    </row>
    <row r="201" customFormat="false" ht="15" hidden="false" customHeight="false" outlineLevel="0" collapsed="false">
      <c r="A201" s="0" t="s">
        <v>2388</v>
      </c>
      <c r="B201" s="0" t="n">
        <v>7.4</v>
      </c>
    </row>
    <row r="202" customFormat="false" ht="15" hidden="false" customHeight="false" outlineLevel="0" collapsed="false">
      <c r="A202" s="0" t="s">
        <v>2389</v>
      </c>
      <c r="B202" s="0" t="n">
        <v>6.5</v>
      </c>
    </row>
    <row r="203" customFormat="false" ht="15" hidden="false" customHeight="false" outlineLevel="0" collapsed="false">
      <c r="A203" s="0" t="s">
        <v>2390</v>
      </c>
      <c r="B203" s="0" t="n">
        <v>8.43</v>
      </c>
    </row>
    <row r="204" customFormat="false" ht="15" hidden="false" customHeight="false" outlineLevel="0" collapsed="false">
      <c r="A204" s="0" t="s">
        <v>2391</v>
      </c>
      <c r="B204" s="0" t="n">
        <v>6.57</v>
      </c>
    </row>
    <row r="205" customFormat="false" ht="15" hidden="false" customHeight="false" outlineLevel="0" collapsed="false">
      <c r="A205" s="0" t="s">
        <v>2392</v>
      </c>
      <c r="B205" s="0" t="n">
        <v>8</v>
      </c>
    </row>
    <row r="206" customFormat="false" ht="15" hidden="false" customHeight="false" outlineLevel="0" collapsed="false">
      <c r="A206" s="0" t="s">
        <v>2393</v>
      </c>
      <c r="B206" s="0" t="n">
        <v>7.5</v>
      </c>
    </row>
    <row r="207" customFormat="false" ht="15" hidden="false" customHeight="false" outlineLevel="0" collapsed="false">
      <c r="A207" s="0" t="s">
        <v>2394</v>
      </c>
      <c r="B207" s="0" t="n">
        <v>9</v>
      </c>
    </row>
    <row r="208" customFormat="false" ht="15" hidden="false" customHeight="false" outlineLevel="0" collapsed="false">
      <c r="A208" s="0" t="s">
        <v>2395</v>
      </c>
      <c r="B208" s="0" t="n">
        <v>12</v>
      </c>
    </row>
    <row r="209" customFormat="false" ht="15" hidden="false" customHeight="false" outlineLevel="0" collapsed="false">
      <c r="A209" s="0" t="s">
        <v>2396</v>
      </c>
      <c r="B209" s="0" t="n">
        <v>9.67</v>
      </c>
    </row>
    <row r="210" customFormat="false" ht="15" hidden="false" customHeight="false" outlineLevel="0" collapsed="false">
      <c r="A210" s="0" t="s">
        <v>2397</v>
      </c>
      <c r="B210" s="0" t="n">
        <v>10</v>
      </c>
    </row>
    <row r="211" customFormat="false" ht="15" hidden="false" customHeight="false" outlineLevel="0" collapsed="false">
      <c r="A211" s="0" t="s">
        <v>2398</v>
      </c>
      <c r="B211" s="0" t="n">
        <v>7.33</v>
      </c>
    </row>
    <row r="212" customFormat="false" ht="15" hidden="false" customHeight="false" outlineLevel="0" collapsed="false">
      <c r="A212" s="0" t="s">
        <v>2399</v>
      </c>
      <c r="B212" s="0" t="n">
        <v>7.53</v>
      </c>
    </row>
    <row r="213" customFormat="false" ht="15" hidden="false" customHeight="false" outlineLevel="0" collapsed="false">
      <c r="A213" s="0" t="s">
        <v>2400</v>
      </c>
      <c r="B213" s="0" t="n">
        <v>8.45</v>
      </c>
    </row>
    <row r="214" customFormat="false" ht="15" hidden="false" customHeight="false" outlineLevel="0" collapsed="false">
      <c r="A214" s="0" t="s">
        <v>2401</v>
      </c>
      <c r="B214" s="0" t="n">
        <v>6.67</v>
      </c>
    </row>
    <row r="215" customFormat="false" ht="15" hidden="false" customHeight="false" outlineLevel="0" collapsed="false">
      <c r="A215" s="0" t="s">
        <v>2402</v>
      </c>
      <c r="B215" s="0" t="n">
        <v>8</v>
      </c>
    </row>
    <row r="216" customFormat="false" ht="15" hidden="false" customHeight="false" outlineLevel="0" collapsed="false">
      <c r="A216" s="0" t="s">
        <v>2403</v>
      </c>
      <c r="B216" s="0" t="n">
        <v>10</v>
      </c>
    </row>
    <row r="217" customFormat="false" ht="15" hidden="false" customHeight="false" outlineLevel="0" collapsed="false">
      <c r="A217" s="0" t="s">
        <v>2404</v>
      </c>
      <c r="B217" s="0" t="n">
        <v>6</v>
      </c>
    </row>
    <row r="218" customFormat="false" ht="15" hidden="false" customHeight="false" outlineLevel="0" collapsed="false">
      <c r="A218" s="0" t="s">
        <v>2405</v>
      </c>
      <c r="B218" s="0" t="n">
        <v>5.43</v>
      </c>
    </row>
    <row r="219" customFormat="false" ht="15" hidden="false" customHeight="false" outlineLevel="0" collapsed="false">
      <c r="A219" s="0" t="s">
        <v>2406</v>
      </c>
      <c r="B219" s="0" t="n">
        <v>9</v>
      </c>
    </row>
    <row r="220" customFormat="false" ht="15" hidden="false" customHeight="false" outlineLevel="0" collapsed="false">
      <c r="A220" s="0" t="s">
        <v>2407</v>
      </c>
      <c r="B220" s="0" t="n">
        <v>8.38</v>
      </c>
    </row>
    <row r="221" customFormat="false" ht="15" hidden="false" customHeight="false" outlineLevel="0" collapsed="false">
      <c r="A221" s="0" t="s">
        <v>2408</v>
      </c>
      <c r="B221" s="0" t="n">
        <v>10.33</v>
      </c>
    </row>
    <row r="222" customFormat="false" ht="15" hidden="false" customHeight="false" outlineLevel="0" collapsed="false">
      <c r="A222" s="0" t="s">
        <v>2409</v>
      </c>
      <c r="B222" s="0" t="n">
        <v>7.71</v>
      </c>
    </row>
    <row r="223" customFormat="false" ht="15" hidden="false" customHeight="false" outlineLevel="0" collapsed="false">
      <c r="A223" s="0" t="s">
        <v>2410</v>
      </c>
      <c r="B223" s="0" t="n">
        <v>10</v>
      </c>
    </row>
    <row r="224" customFormat="false" ht="15" hidden="false" customHeight="false" outlineLevel="0" collapsed="false">
      <c r="A224" s="0" t="s">
        <v>2411</v>
      </c>
      <c r="B224" s="0" t="n">
        <v>6</v>
      </c>
    </row>
    <row r="225" customFormat="false" ht="15" hidden="false" customHeight="false" outlineLevel="0" collapsed="false">
      <c r="A225" s="0" t="s">
        <v>2412</v>
      </c>
      <c r="B225" s="0" t="n">
        <v>11</v>
      </c>
    </row>
    <row r="226" customFormat="false" ht="15" hidden="false" customHeight="false" outlineLevel="0" collapsed="false">
      <c r="A226" s="0" t="s">
        <v>2413</v>
      </c>
      <c r="B226" s="0" t="n">
        <v>8.84</v>
      </c>
    </row>
    <row r="227" customFormat="false" ht="15" hidden="false" customHeight="false" outlineLevel="0" collapsed="false">
      <c r="A227" s="0" t="s">
        <v>2414</v>
      </c>
      <c r="B227" s="0" t="n">
        <v>8.07</v>
      </c>
    </row>
    <row r="228" customFormat="false" ht="15" hidden="false" customHeight="false" outlineLevel="0" collapsed="false">
      <c r="A228" s="0" t="s">
        <v>2415</v>
      </c>
      <c r="B228" s="0" t="n">
        <v>9.67</v>
      </c>
    </row>
    <row r="229" customFormat="false" ht="15" hidden="false" customHeight="false" outlineLevel="0" collapsed="false">
      <c r="A229" s="0" t="s">
        <v>2416</v>
      </c>
      <c r="B229" s="0" t="n">
        <v>8.5</v>
      </c>
    </row>
    <row r="230" customFormat="false" ht="15" hidden="false" customHeight="false" outlineLevel="0" collapsed="false">
      <c r="A230" s="0" t="s">
        <v>2417</v>
      </c>
      <c r="B230" s="0" t="n">
        <v>10</v>
      </c>
    </row>
    <row r="231" customFormat="false" ht="15" hidden="false" customHeight="false" outlineLevel="0" collapsed="false">
      <c r="A231" s="0" t="s">
        <v>2418</v>
      </c>
      <c r="B231" s="0" t="n">
        <v>5.5</v>
      </c>
    </row>
    <row r="232" customFormat="false" ht="15" hidden="false" customHeight="false" outlineLevel="0" collapsed="false">
      <c r="A232" s="0" t="s">
        <v>2419</v>
      </c>
      <c r="B232" s="0" t="n">
        <v>9</v>
      </c>
    </row>
    <row r="233" customFormat="false" ht="15" hidden="false" customHeight="false" outlineLevel="0" collapsed="false">
      <c r="A233" s="0" t="s">
        <v>2420</v>
      </c>
      <c r="B233" s="0" t="n">
        <v>10</v>
      </c>
    </row>
    <row r="234" customFormat="false" ht="15" hidden="false" customHeight="false" outlineLevel="0" collapsed="false">
      <c r="A234" s="0" t="s">
        <v>2421</v>
      </c>
      <c r="B234" s="0" t="n">
        <v>7.5</v>
      </c>
    </row>
    <row r="235" customFormat="false" ht="15" hidden="false" customHeight="false" outlineLevel="0" collapsed="false">
      <c r="A235" s="0" t="s">
        <v>2422</v>
      </c>
      <c r="B235" s="0" t="n">
        <v>9.5</v>
      </c>
    </row>
    <row r="236" customFormat="false" ht="15" hidden="false" customHeight="false" outlineLevel="0" collapsed="false">
      <c r="A236" s="0" t="s">
        <v>2423</v>
      </c>
      <c r="B236" s="0" t="n">
        <v>7.75</v>
      </c>
    </row>
    <row r="237" customFormat="false" ht="15" hidden="false" customHeight="false" outlineLevel="0" collapsed="false">
      <c r="A237" s="0" t="s">
        <v>2424</v>
      </c>
      <c r="B237" s="0" t="n">
        <v>8.33</v>
      </c>
    </row>
    <row r="238" customFormat="false" ht="15" hidden="false" customHeight="false" outlineLevel="0" collapsed="false">
      <c r="A238" s="0" t="s">
        <v>2425</v>
      </c>
      <c r="B238" s="0" t="n">
        <v>10</v>
      </c>
    </row>
    <row r="239" customFormat="false" ht="15" hidden="false" customHeight="false" outlineLevel="0" collapsed="false">
      <c r="A239" s="0" t="s">
        <v>2426</v>
      </c>
      <c r="B239" s="0" t="n">
        <v>10</v>
      </c>
    </row>
    <row r="240" customFormat="false" ht="15" hidden="false" customHeight="false" outlineLevel="0" collapsed="false">
      <c r="A240" s="0" t="s">
        <v>2427</v>
      </c>
      <c r="B240" s="0" t="n">
        <v>7.02</v>
      </c>
    </row>
    <row r="241" customFormat="false" ht="15" hidden="false" customHeight="false" outlineLevel="0" collapsed="false">
      <c r="A241" s="0" t="s">
        <v>2428</v>
      </c>
      <c r="B241" s="0" t="n">
        <v>7.79</v>
      </c>
    </row>
    <row r="242" customFormat="false" ht="15" hidden="false" customHeight="false" outlineLevel="0" collapsed="false">
      <c r="A242" s="0" t="s">
        <v>2429</v>
      </c>
      <c r="B242" s="0" t="n">
        <v>8.71</v>
      </c>
    </row>
    <row r="243" customFormat="false" ht="15" hidden="false" customHeight="false" outlineLevel="0" collapsed="false">
      <c r="A243" s="0" t="s">
        <v>2430</v>
      </c>
      <c r="B243" s="0" t="n">
        <v>8.7</v>
      </c>
    </row>
    <row r="244" customFormat="false" ht="15" hidden="false" customHeight="false" outlineLevel="0" collapsed="false">
      <c r="A244" s="0" t="s">
        <v>2431</v>
      </c>
      <c r="B244" s="0" t="n">
        <v>6.29</v>
      </c>
    </row>
    <row r="245" customFormat="false" ht="15" hidden="false" customHeight="false" outlineLevel="0" collapsed="false">
      <c r="A245" s="0" t="s">
        <v>2432</v>
      </c>
      <c r="B245" s="0" t="n">
        <v>7</v>
      </c>
    </row>
    <row r="246" customFormat="false" ht="15" hidden="false" customHeight="false" outlineLevel="0" collapsed="false">
      <c r="A246" s="0" t="s">
        <v>2433</v>
      </c>
      <c r="B246" s="0" t="n">
        <v>7.56</v>
      </c>
    </row>
    <row r="247" customFormat="false" ht="15" hidden="false" customHeight="false" outlineLevel="0" collapsed="false">
      <c r="A247" s="0" t="s">
        <v>2434</v>
      </c>
      <c r="B247" s="0" t="n">
        <v>7.38</v>
      </c>
    </row>
    <row r="248" customFormat="false" ht="15" hidden="false" customHeight="false" outlineLevel="0" collapsed="false">
      <c r="A248" s="0" t="s">
        <v>2435</v>
      </c>
      <c r="B248" s="0" t="n">
        <v>6.5</v>
      </c>
    </row>
    <row r="249" customFormat="false" ht="15" hidden="false" customHeight="false" outlineLevel="0" collapsed="false">
      <c r="A249" s="0" t="s">
        <v>2436</v>
      </c>
      <c r="B249" s="0" t="n">
        <v>6.43</v>
      </c>
    </row>
    <row r="250" customFormat="false" ht="15" hidden="false" customHeight="false" outlineLevel="0" collapsed="false">
      <c r="A250" s="0" t="s">
        <v>2437</v>
      </c>
      <c r="B250" s="0" t="n">
        <v>3.67</v>
      </c>
    </row>
    <row r="251" customFormat="false" ht="15" hidden="false" customHeight="false" outlineLevel="0" collapsed="false">
      <c r="A251" s="0" t="s">
        <v>2438</v>
      </c>
      <c r="B251" s="0" t="n">
        <v>9.43</v>
      </c>
    </row>
    <row r="252" customFormat="false" ht="15" hidden="false" customHeight="false" outlineLevel="0" collapsed="false">
      <c r="A252" s="0" t="s">
        <v>2439</v>
      </c>
      <c r="B252" s="0" t="n">
        <v>7.6</v>
      </c>
    </row>
    <row r="253" customFormat="false" ht="15" hidden="false" customHeight="false" outlineLevel="0" collapsed="false">
      <c r="A253" s="0" t="s">
        <v>2440</v>
      </c>
      <c r="B253" s="0" t="n">
        <v>7.2</v>
      </c>
    </row>
    <row r="254" customFormat="false" ht="15" hidden="false" customHeight="false" outlineLevel="0" collapsed="false">
      <c r="A254" s="0" t="s">
        <v>2441</v>
      </c>
      <c r="B254" s="0" t="n">
        <v>7.82</v>
      </c>
    </row>
    <row r="255" customFormat="false" ht="15" hidden="false" customHeight="false" outlineLevel="0" collapsed="false">
      <c r="A255" s="0" t="s">
        <v>2442</v>
      </c>
      <c r="B255" s="0" t="n">
        <v>8.17</v>
      </c>
    </row>
    <row r="256" customFormat="false" ht="15" hidden="false" customHeight="false" outlineLevel="0" collapsed="false">
      <c r="A256" s="0" t="s">
        <v>2443</v>
      </c>
      <c r="B256" s="0" t="n">
        <v>7</v>
      </c>
    </row>
    <row r="257" customFormat="false" ht="15" hidden="false" customHeight="false" outlineLevel="0" collapsed="false">
      <c r="A257" s="0" t="s">
        <v>2444</v>
      </c>
      <c r="B257" s="0" t="n">
        <v>8</v>
      </c>
    </row>
    <row r="258" customFormat="false" ht="15" hidden="false" customHeight="false" outlineLevel="0" collapsed="false">
      <c r="A258" s="0" t="s">
        <v>2445</v>
      </c>
      <c r="B258" s="0" t="n">
        <v>8.5</v>
      </c>
    </row>
    <row r="259" customFormat="false" ht="15" hidden="false" customHeight="false" outlineLevel="0" collapsed="false">
      <c r="A259" s="0" t="s">
        <v>2446</v>
      </c>
      <c r="B259" s="0" t="n">
        <v>10</v>
      </c>
    </row>
    <row r="260" customFormat="false" ht="15" hidden="false" customHeight="false" outlineLevel="0" collapsed="false">
      <c r="A260" s="0" t="s">
        <v>2447</v>
      </c>
      <c r="B260" s="0" t="n">
        <v>9.25</v>
      </c>
    </row>
    <row r="261" customFormat="false" ht="15" hidden="false" customHeight="false" outlineLevel="0" collapsed="false">
      <c r="A261" s="0" t="s">
        <v>2448</v>
      </c>
      <c r="B261" s="0" t="n">
        <v>7.8</v>
      </c>
    </row>
    <row r="262" customFormat="false" ht="15" hidden="false" customHeight="false" outlineLevel="0" collapsed="false">
      <c r="A262" s="0" t="s">
        <v>2449</v>
      </c>
      <c r="B262" s="0" t="n">
        <v>8.17</v>
      </c>
    </row>
    <row r="263" customFormat="false" ht="15" hidden="false" customHeight="false" outlineLevel="0" collapsed="false">
      <c r="A263" s="0" t="s">
        <v>2450</v>
      </c>
      <c r="B263" s="0" t="n">
        <v>5</v>
      </c>
    </row>
    <row r="264" customFormat="false" ht="15" hidden="false" customHeight="false" outlineLevel="0" collapsed="false">
      <c r="A264" s="0" t="s">
        <v>2451</v>
      </c>
      <c r="B264" s="0" t="n">
        <v>6</v>
      </c>
    </row>
    <row r="265" customFormat="false" ht="15" hidden="false" customHeight="false" outlineLevel="0" collapsed="false">
      <c r="A265" s="0" t="s">
        <v>2452</v>
      </c>
      <c r="B265" s="0" t="n">
        <v>9</v>
      </c>
    </row>
    <row r="266" customFormat="false" ht="15" hidden="false" customHeight="false" outlineLevel="0" collapsed="false">
      <c r="A266" s="0" t="s">
        <v>2453</v>
      </c>
      <c r="B266" s="0" t="n">
        <v>7.33</v>
      </c>
    </row>
    <row r="267" customFormat="false" ht="15" hidden="false" customHeight="false" outlineLevel="0" collapsed="false">
      <c r="A267" s="0" t="s">
        <v>2454</v>
      </c>
      <c r="B267" s="0" t="n">
        <v>9.75</v>
      </c>
    </row>
    <row r="268" customFormat="false" ht="15" hidden="false" customHeight="false" outlineLevel="0" collapsed="false">
      <c r="A268" s="0" t="s">
        <v>2455</v>
      </c>
      <c r="B268" s="0" t="n">
        <v>8.55</v>
      </c>
    </row>
    <row r="269" customFormat="false" ht="15" hidden="false" customHeight="false" outlineLevel="0" collapsed="false">
      <c r="A269" s="0" t="s">
        <v>2456</v>
      </c>
      <c r="B269" s="0" t="n">
        <v>8.36</v>
      </c>
    </row>
    <row r="270" customFormat="false" ht="15" hidden="false" customHeight="false" outlineLevel="0" collapsed="false">
      <c r="A270" s="0" t="s">
        <v>2457</v>
      </c>
      <c r="B270" s="0" t="n">
        <v>8</v>
      </c>
    </row>
    <row r="271" customFormat="false" ht="15" hidden="false" customHeight="false" outlineLevel="0" collapsed="false">
      <c r="A271" s="0" t="s">
        <v>2458</v>
      </c>
      <c r="B271" s="0" t="n">
        <v>11.33</v>
      </c>
    </row>
    <row r="272" customFormat="false" ht="15" hidden="false" customHeight="false" outlineLevel="0" collapsed="false">
      <c r="A272" s="0" t="s">
        <v>2459</v>
      </c>
      <c r="B272" s="0" t="n">
        <v>9</v>
      </c>
    </row>
    <row r="273" customFormat="false" ht="15" hidden="false" customHeight="false" outlineLevel="0" collapsed="false">
      <c r="A273" s="0" t="s">
        <v>2460</v>
      </c>
      <c r="B273" s="0" t="n">
        <v>7</v>
      </c>
    </row>
    <row r="274" customFormat="false" ht="15" hidden="false" customHeight="false" outlineLevel="0" collapsed="false">
      <c r="A274" s="0" t="s">
        <v>2461</v>
      </c>
      <c r="B274" s="0" t="n">
        <v>9</v>
      </c>
    </row>
    <row r="275" customFormat="false" ht="15" hidden="false" customHeight="false" outlineLevel="0" collapsed="false">
      <c r="A275" s="0" t="s">
        <v>2462</v>
      </c>
      <c r="B275" s="0" t="n">
        <v>7</v>
      </c>
    </row>
    <row r="276" customFormat="false" ht="15" hidden="false" customHeight="false" outlineLevel="0" collapsed="false">
      <c r="A276" s="0" t="s">
        <v>2463</v>
      </c>
      <c r="B276" s="0" t="n">
        <v>7.25</v>
      </c>
    </row>
    <row r="277" customFormat="false" ht="15" hidden="false" customHeight="false" outlineLevel="0" collapsed="false">
      <c r="A277" s="0" t="s">
        <v>2464</v>
      </c>
      <c r="B277" s="0" t="n">
        <v>10</v>
      </c>
    </row>
    <row r="278" customFormat="false" ht="15" hidden="false" customHeight="false" outlineLevel="0" collapsed="false">
      <c r="A278" s="0" t="s">
        <v>2465</v>
      </c>
      <c r="B278" s="0" t="n">
        <v>9.33</v>
      </c>
    </row>
    <row r="279" customFormat="false" ht="15" hidden="false" customHeight="false" outlineLevel="0" collapsed="false">
      <c r="A279" s="0" t="s">
        <v>2466</v>
      </c>
      <c r="B279" s="0" t="n">
        <v>7</v>
      </c>
    </row>
    <row r="280" customFormat="false" ht="15" hidden="false" customHeight="false" outlineLevel="0" collapsed="false">
      <c r="A280" s="0" t="s">
        <v>2467</v>
      </c>
      <c r="B280" s="0" t="n">
        <v>8</v>
      </c>
    </row>
    <row r="281" customFormat="false" ht="15" hidden="false" customHeight="false" outlineLevel="0" collapsed="false">
      <c r="A281" s="0" t="s">
        <v>2468</v>
      </c>
      <c r="B281" s="0" t="n">
        <v>8.44</v>
      </c>
    </row>
    <row r="282" customFormat="false" ht="15" hidden="false" customHeight="false" outlineLevel="0" collapsed="false">
      <c r="A282" s="0" t="s">
        <v>2469</v>
      </c>
      <c r="B282" s="0" t="n">
        <v>8.34</v>
      </c>
    </row>
    <row r="283" customFormat="false" ht="15" hidden="false" customHeight="false" outlineLevel="0" collapsed="false">
      <c r="A283" s="0" t="s">
        <v>2470</v>
      </c>
      <c r="B283" s="0" t="n">
        <v>9.9</v>
      </c>
    </row>
    <row r="284" customFormat="false" ht="15" hidden="false" customHeight="false" outlineLevel="0" collapsed="false">
      <c r="A284" s="0" t="s">
        <v>2471</v>
      </c>
      <c r="B284" s="0" t="n">
        <v>7.5</v>
      </c>
    </row>
    <row r="285" customFormat="false" ht="15" hidden="false" customHeight="false" outlineLevel="0" collapsed="false">
      <c r="A285" s="0" t="s">
        <v>2472</v>
      </c>
      <c r="B285" s="0" t="n">
        <v>7.8</v>
      </c>
    </row>
    <row r="286" customFormat="false" ht="15" hidden="false" customHeight="false" outlineLevel="0" collapsed="false">
      <c r="A286" s="0" t="s">
        <v>2473</v>
      </c>
      <c r="B286" s="0" t="n">
        <v>7.5</v>
      </c>
    </row>
    <row r="287" customFormat="false" ht="15" hidden="false" customHeight="false" outlineLevel="0" collapsed="false">
      <c r="A287" s="0" t="s">
        <v>2474</v>
      </c>
      <c r="B287" s="0" t="n">
        <v>11.67</v>
      </c>
    </row>
    <row r="288" customFormat="false" ht="15" hidden="false" customHeight="false" outlineLevel="0" collapsed="false">
      <c r="A288" s="0" t="s">
        <v>2475</v>
      </c>
      <c r="B288" s="0" t="n">
        <v>12.33</v>
      </c>
    </row>
    <row r="289" customFormat="false" ht="15" hidden="false" customHeight="false" outlineLevel="0" collapsed="false">
      <c r="A289" s="0" t="s">
        <v>2476</v>
      </c>
      <c r="B289" s="0" t="n">
        <v>12</v>
      </c>
    </row>
    <row r="290" customFormat="false" ht="15" hidden="false" customHeight="false" outlineLevel="0" collapsed="false">
      <c r="A290" s="0" t="s">
        <v>2477</v>
      </c>
      <c r="B290" s="0" t="n">
        <v>7.33</v>
      </c>
    </row>
    <row r="291" customFormat="false" ht="15" hidden="false" customHeight="false" outlineLevel="0" collapsed="false">
      <c r="A291" s="0" t="s">
        <v>2478</v>
      </c>
      <c r="B291" s="0" t="n">
        <v>7.5</v>
      </c>
    </row>
    <row r="292" customFormat="false" ht="15" hidden="false" customHeight="false" outlineLevel="0" collapsed="false">
      <c r="A292" s="0" t="s">
        <v>2479</v>
      </c>
      <c r="B292" s="0" t="n">
        <v>6.8</v>
      </c>
    </row>
    <row r="293" customFormat="false" ht="15" hidden="false" customHeight="false" outlineLevel="0" collapsed="false">
      <c r="A293" s="0" t="s">
        <v>2480</v>
      </c>
      <c r="B293" s="0" t="n">
        <v>5.83</v>
      </c>
    </row>
    <row r="294" customFormat="false" ht="15" hidden="false" customHeight="false" outlineLevel="0" collapsed="false">
      <c r="A294" s="0" t="s">
        <v>2481</v>
      </c>
      <c r="B294" s="0" t="n">
        <v>7.67</v>
      </c>
    </row>
    <row r="295" customFormat="false" ht="15" hidden="false" customHeight="false" outlineLevel="0" collapsed="false">
      <c r="A295" s="0" t="s">
        <v>2482</v>
      </c>
      <c r="B295" s="0" t="n">
        <v>8</v>
      </c>
    </row>
    <row r="296" customFormat="false" ht="15" hidden="false" customHeight="false" outlineLevel="0" collapsed="false">
      <c r="A296" s="0" t="s">
        <v>2483</v>
      </c>
      <c r="B296" s="0" t="n">
        <v>8</v>
      </c>
    </row>
    <row r="297" customFormat="false" ht="15" hidden="false" customHeight="false" outlineLevel="0" collapsed="false">
      <c r="A297" s="0" t="s">
        <v>2484</v>
      </c>
      <c r="B297" s="0" t="n">
        <v>7.33</v>
      </c>
    </row>
    <row r="298" customFormat="false" ht="15" hidden="false" customHeight="false" outlineLevel="0" collapsed="false">
      <c r="A298" s="0" t="s">
        <v>2485</v>
      </c>
      <c r="B298" s="0" t="n">
        <v>7.55</v>
      </c>
    </row>
    <row r="299" customFormat="false" ht="15" hidden="false" customHeight="false" outlineLevel="0" collapsed="false">
      <c r="A299" s="0" t="s">
        <v>2486</v>
      </c>
      <c r="B299" s="0" t="n">
        <v>6.65</v>
      </c>
    </row>
    <row r="300" customFormat="false" ht="15" hidden="false" customHeight="false" outlineLevel="0" collapsed="false">
      <c r="A300" s="0" t="s">
        <v>2487</v>
      </c>
      <c r="B300" s="0" t="n">
        <v>7.43</v>
      </c>
    </row>
    <row r="301" customFormat="false" ht="15" hidden="false" customHeight="false" outlineLevel="0" collapsed="false">
      <c r="A301" s="0" t="s">
        <v>2488</v>
      </c>
      <c r="B301" s="0" t="n">
        <v>7.82</v>
      </c>
    </row>
    <row r="302" customFormat="false" ht="15" hidden="false" customHeight="false" outlineLevel="0" collapsed="false">
      <c r="A302" s="0" t="s">
        <v>2489</v>
      </c>
      <c r="B302" s="0" t="n">
        <v>9.12</v>
      </c>
    </row>
    <row r="303" customFormat="false" ht="15" hidden="false" customHeight="false" outlineLevel="0" collapsed="false">
      <c r="A303" s="0" t="s">
        <v>2490</v>
      </c>
      <c r="B303" s="0" t="n">
        <v>6.67</v>
      </c>
    </row>
    <row r="304" customFormat="false" ht="15" hidden="false" customHeight="false" outlineLevel="0" collapsed="false">
      <c r="A304" s="0" t="s">
        <v>2491</v>
      </c>
      <c r="B304" s="0" t="n">
        <v>5.62</v>
      </c>
    </row>
    <row r="305" customFormat="false" ht="15" hidden="false" customHeight="false" outlineLevel="0" collapsed="false">
      <c r="A305" s="0" t="s">
        <v>2492</v>
      </c>
      <c r="B305" s="0" t="n">
        <v>7.54</v>
      </c>
    </row>
    <row r="306" customFormat="false" ht="15" hidden="false" customHeight="false" outlineLevel="0" collapsed="false">
      <c r="A306" s="0" t="s">
        <v>2493</v>
      </c>
      <c r="B306" s="0" t="n">
        <v>9.17</v>
      </c>
    </row>
    <row r="307" customFormat="false" ht="15" hidden="false" customHeight="false" outlineLevel="0" collapsed="false">
      <c r="A307" s="0" t="s">
        <v>2494</v>
      </c>
      <c r="B307" s="0" t="n">
        <v>8.67</v>
      </c>
    </row>
    <row r="308" customFormat="false" ht="15" hidden="false" customHeight="false" outlineLevel="0" collapsed="false">
      <c r="A308" s="0" t="s">
        <v>2495</v>
      </c>
      <c r="B308" s="0" t="n">
        <v>8.89</v>
      </c>
    </row>
    <row r="309" customFormat="false" ht="15" hidden="false" customHeight="false" outlineLevel="0" collapsed="false">
      <c r="A309" s="0" t="s">
        <v>2496</v>
      </c>
      <c r="B309" s="0" t="n">
        <v>8.83</v>
      </c>
    </row>
    <row r="310" customFormat="false" ht="15" hidden="false" customHeight="false" outlineLevel="0" collapsed="false">
      <c r="A310" s="0" t="s">
        <v>2497</v>
      </c>
      <c r="B310" s="0" t="n">
        <v>4</v>
      </c>
    </row>
    <row r="311" customFormat="false" ht="15" hidden="false" customHeight="false" outlineLevel="0" collapsed="false">
      <c r="A311" s="0" t="s">
        <v>2498</v>
      </c>
      <c r="B311" s="0" t="n">
        <v>7.71</v>
      </c>
    </row>
    <row r="312" customFormat="false" ht="15" hidden="false" customHeight="false" outlineLevel="0" collapsed="false">
      <c r="A312" s="0" t="s">
        <v>2499</v>
      </c>
      <c r="B312" s="0" t="n">
        <v>8.89</v>
      </c>
    </row>
    <row r="313" customFormat="false" ht="15" hidden="false" customHeight="false" outlineLevel="0" collapsed="false">
      <c r="A313" s="0" t="s">
        <v>2500</v>
      </c>
      <c r="B313" s="0" t="n">
        <v>8.13</v>
      </c>
    </row>
    <row r="314" customFormat="false" ht="15" hidden="false" customHeight="false" outlineLevel="0" collapsed="false">
      <c r="A314" s="0" t="s">
        <v>2501</v>
      </c>
      <c r="B314" s="0" t="n">
        <v>8.33</v>
      </c>
    </row>
    <row r="315" customFormat="false" ht="15" hidden="false" customHeight="false" outlineLevel="0" collapsed="false">
      <c r="A315" s="0" t="s">
        <v>2502</v>
      </c>
      <c r="B315" s="0" t="n">
        <v>7</v>
      </c>
    </row>
    <row r="316" customFormat="false" ht="15" hidden="false" customHeight="false" outlineLevel="0" collapsed="false">
      <c r="A316" s="0" t="s">
        <v>2503</v>
      </c>
      <c r="B316" s="0" t="n">
        <v>7.43</v>
      </c>
    </row>
    <row r="317" customFormat="false" ht="15" hidden="false" customHeight="false" outlineLevel="0" collapsed="false">
      <c r="A317" s="0" t="s">
        <v>2504</v>
      </c>
      <c r="B317" s="0" t="n">
        <v>7</v>
      </c>
    </row>
    <row r="318" customFormat="false" ht="15" hidden="false" customHeight="false" outlineLevel="0" collapsed="false">
      <c r="A318" s="0" t="s">
        <v>2505</v>
      </c>
      <c r="B318" s="0" t="n">
        <v>11.86</v>
      </c>
    </row>
    <row r="319" customFormat="false" ht="15" hidden="false" customHeight="false" outlineLevel="0" collapsed="false">
      <c r="A319" s="0" t="s">
        <v>2506</v>
      </c>
      <c r="B319" s="0" t="n">
        <v>8.11</v>
      </c>
    </row>
    <row r="320" customFormat="false" ht="15" hidden="false" customHeight="false" outlineLevel="0" collapsed="false">
      <c r="A320" s="0" t="s">
        <v>2507</v>
      </c>
      <c r="B320" s="0" t="n">
        <v>8.75</v>
      </c>
    </row>
    <row r="321" customFormat="false" ht="15" hidden="false" customHeight="false" outlineLevel="0" collapsed="false">
      <c r="A321" s="0" t="s">
        <v>2508</v>
      </c>
      <c r="B321" s="0" t="n">
        <v>7.33</v>
      </c>
    </row>
    <row r="322" customFormat="false" ht="15" hidden="false" customHeight="false" outlineLevel="0" collapsed="false">
      <c r="A322" s="0" t="s">
        <v>2509</v>
      </c>
      <c r="B322" s="0" t="n">
        <v>6.5</v>
      </c>
    </row>
    <row r="323" customFormat="false" ht="15" hidden="false" customHeight="false" outlineLevel="0" collapsed="false">
      <c r="A323" s="0" t="s">
        <v>2510</v>
      </c>
      <c r="B323" s="0" t="n">
        <v>7.62</v>
      </c>
    </row>
    <row r="324" customFormat="false" ht="15" hidden="false" customHeight="false" outlineLevel="0" collapsed="false">
      <c r="A324" s="0" t="s">
        <v>2511</v>
      </c>
      <c r="B324" s="0" t="n">
        <v>9.5</v>
      </c>
    </row>
    <row r="325" customFormat="false" ht="15" hidden="false" customHeight="false" outlineLevel="0" collapsed="false">
      <c r="A325" s="0" t="s">
        <v>2512</v>
      </c>
      <c r="B325" s="0" t="n">
        <v>7.47</v>
      </c>
    </row>
    <row r="326" customFormat="false" ht="15" hidden="false" customHeight="false" outlineLevel="0" collapsed="false">
      <c r="A326" s="0" t="s">
        <v>2513</v>
      </c>
      <c r="B326" s="0" t="n">
        <v>7.79</v>
      </c>
    </row>
    <row r="327" customFormat="false" ht="15" hidden="false" customHeight="false" outlineLevel="0" collapsed="false">
      <c r="A327" s="0" t="s">
        <v>2514</v>
      </c>
      <c r="B327" s="0" t="n">
        <v>10</v>
      </c>
    </row>
    <row r="328" customFormat="false" ht="15" hidden="false" customHeight="false" outlineLevel="0" collapsed="false">
      <c r="A328" s="0" t="s">
        <v>2515</v>
      </c>
      <c r="B328" s="0" t="n">
        <v>5</v>
      </c>
    </row>
    <row r="329" customFormat="false" ht="15" hidden="false" customHeight="false" outlineLevel="0" collapsed="false">
      <c r="A329" s="0" t="s">
        <v>2516</v>
      </c>
      <c r="B329" s="0" t="n">
        <v>7.2</v>
      </c>
    </row>
    <row r="330" customFormat="false" ht="15" hidden="false" customHeight="false" outlineLevel="0" collapsed="false">
      <c r="A330" s="0" t="s">
        <v>2517</v>
      </c>
      <c r="B330" s="0" t="n">
        <v>7.5</v>
      </c>
    </row>
    <row r="331" customFormat="false" ht="15" hidden="false" customHeight="false" outlineLevel="0" collapsed="false">
      <c r="A331" s="0" t="s">
        <v>2518</v>
      </c>
      <c r="B331" s="0" t="n">
        <v>8.67</v>
      </c>
    </row>
    <row r="332" customFormat="false" ht="15" hidden="false" customHeight="false" outlineLevel="0" collapsed="false">
      <c r="A332" s="0" t="s">
        <v>2519</v>
      </c>
      <c r="B332" s="0" t="n">
        <v>8</v>
      </c>
    </row>
    <row r="333" customFormat="false" ht="15" hidden="false" customHeight="false" outlineLevel="0" collapsed="false">
      <c r="A333" s="0" t="s">
        <v>2520</v>
      </c>
      <c r="B333" s="0" t="n">
        <v>9.17</v>
      </c>
    </row>
    <row r="334" customFormat="false" ht="15" hidden="false" customHeight="false" outlineLevel="0" collapsed="false">
      <c r="A334" s="0" t="s">
        <v>2521</v>
      </c>
      <c r="B334" s="0" t="n">
        <v>7.57</v>
      </c>
    </row>
    <row r="335" customFormat="false" ht="15" hidden="false" customHeight="false" outlineLevel="0" collapsed="false">
      <c r="A335" s="0" t="s">
        <v>2522</v>
      </c>
      <c r="B335" s="0" t="n">
        <v>6.5</v>
      </c>
    </row>
    <row r="336" customFormat="false" ht="15" hidden="false" customHeight="false" outlineLevel="0" collapsed="false">
      <c r="A336" s="0" t="s">
        <v>2523</v>
      </c>
      <c r="B336" s="0" t="n">
        <v>5</v>
      </c>
    </row>
    <row r="337" customFormat="false" ht="15" hidden="false" customHeight="false" outlineLevel="0" collapsed="false">
      <c r="A337" s="0" t="s">
        <v>2524</v>
      </c>
      <c r="B337" s="0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7"/>
    <col collapsed="false" customWidth="true" hidden="false" outlineLevel="0" max="7" min="7" style="0" width="10"/>
  </cols>
  <sheetData>
    <row r="1" customFormat="false" ht="55.2" hidden="false" customHeight="false" outlineLevel="0" collapsed="false">
      <c r="A1" s="12" t="s">
        <v>737</v>
      </c>
      <c r="B1" s="12" t="s">
        <v>66</v>
      </c>
      <c r="C1" s="12" t="s">
        <v>712</v>
      </c>
      <c r="D1" s="12" t="s">
        <v>2525</v>
      </c>
      <c r="E1" s="12" t="s">
        <v>2526</v>
      </c>
      <c r="F1" s="12" t="s">
        <v>2527</v>
      </c>
      <c r="G1" s="12" t="s">
        <v>2528</v>
      </c>
    </row>
    <row r="2" customFormat="false" ht="15" hidden="false" customHeight="false" outlineLevel="0" collapsed="false">
      <c r="A2" s="0" t="s">
        <v>692</v>
      </c>
      <c r="B2" s="0" t="s">
        <v>131</v>
      </c>
      <c r="C2" s="0" t="s">
        <v>2145</v>
      </c>
      <c r="D2" s="0" t="n">
        <v>8</v>
      </c>
      <c r="E2" s="0" t="n">
        <v>25</v>
      </c>
      <c r="F2" s="0" t="n">
        <v>67</v>
      </c>
      <c r="G2" s="0" t="n">
        <v>6</v>
      </c>
    </row>
    <row r="3" customFormat="false" ht="15" hidden="false" customHeight="false" outlineLevel="0" collapsed="false">
      <c r="A3" s="0" t="s">
        <v>692</v>
      </c>
      <c r="B3" s="0" t="s">
        <v>131</v>
      </c>
      <c r="C3" s="0" t="s">
        <v>2148</v>
      </c>
      <c r="D3" s="0" t="n">
        <v>34</v>
      </c>
      <c r="E3" s="0" t="n">
        <v>0</v>
      </c>
      <c r="F3" s="0" t="n">
        <v>77</v>
      </c>
      <c r="G3" s="0" t="n">
        <v>13</v>
      </c>
    </row>
    <row r="4" customFormat="false" ht="15" hidden="false" customHeight="false" outlineLevel="0" collapsed="false">
      <c r="A4" s="0" t="s">
        <v>692</v>
      </c>
      <c r="B4" s="0" t="s">
        <v>96</v>
      </c>
      <c r="C4" s="0" t="s">
        <v>2145</v>
      </c>
      <c r="D4" s="0" t="n">
        <v>54</v>
      </c>
      <c r="E4" s="0" t="n">
        <v>0</v>
      </c>
      <c r="F4" s="0" t="n">
        <v>67</v>
      </c>
      <c r="G4" s="0" t="n">
        <v>15</v>
      </c>
    </row>
    <row r="5" customFormat="false" ht="15" hidden="false" customHeight="false" outlineLevel="0" collapsed="false">
      <c r="A5" s="0" t="s">
        <v>692</v>
      </c>
      <c r="B5" s="0" t="s">
        <v>96</v>
      </c>
      <c r="C5" s="0" t="s">
        <v>2148</v>
      </c>
      <c r="D5" s="0" t="n">
        <v>47</v>
      </c>
      <c r="E5" s="0" t="n">
        <v>0</v>
      </c>
      <c r="F5" s="0" t="n">
        <v>61</v>
      </c>
      <c r="G5" s="0" t="n">
        <v>23</v>
      </c>
    </row>
    <row r="6" customFormat="false" ht="15" hidden="false" customHeight="false" outlineLevel="0" collapsed="false">
      <c r="A6" s="0" t="s">
        <v>692</v>
      </c>
      <c r="B6" s="0" t="s">
        <v>142</v>
      </c>
      <c r="C6" s="0" t="s">
        <v>2145</v>
      </c>
      <c r="D6" s="0" t="n">
        <v>17</v>
      </c>
      <c r="E6" s="0" t="n">
        <v>0</v>
      </c>
      <c r="F6" s="0" t="n">
        <v>75</v>
      </c>
      <c r="G6" s="0" t="n">
        <v>4</v>
      </c>
    </row>
    <row r="7" customFormat="false" ht="15" hidden="false" customHeight="false" outlineLevel="0" collapsed="false">
      <c r="A7" s="0" t="s">
        <v>692</v>
      </c>
      <c r="B7" s="0" t="s">
        <v>142</v>
      </c>
      <c r="C7" s="0" t="s">
        <v>2148</v>
      </c>
      <c r="D7" s="0" t="n">
        <v>3</v>
      </c>
      <c r="E7" s="0" t="n">
        <v>0</v>
      </c>
      <c r="F7" s="0" t="n">
        <v>62</v>
      </c>
      <c r="G7" s="0" t="n">
        <v>8</v>
      </c>
    </row>
    <row r="8" customFormat="false" ht="15" hidden="false" customHeight="false" outlineLevel="0" collapsed="false">
      <c r="A8" s="0" t="s">
        <v>692</v>
      </c>
      <c r="B8" s="0" t="s">
        <v>109</v>
      </c>
      <c r="C8" s="0" t="s">
        <v>2145</v>
      </c>
      <c r="D8" s="0" t="n">
        <v>0</v>
      </c>
      <c r="E8" s="0" t="n">
        <v>38</v>
      </c>
      <c r="F8" s="0" t="n">
        <v>60</v>
      </c>
      <c r="G8" s="0" t="n">
        <v>5</v>
      </c>
    </row>
    <row r="9" customFormat="false" ht="15" hidden="false" customHeight="false" outlineLevel="0" collapsed="false">
      <c r="A9" s="0" t="s">
        <v>692</v>
      </c>
      <c r="B9" s="0" t="s">
        <v>109</v>
      </c>
      <c r="C9" s="0" t="s">
        <v>2148</v>
      </c>
      <c r="D9" s="0" t="n">
        <v>9</v>
      </c>
      <c r="E9" s="0" t="n">
        <v>0</v>
      </c>
      <c r="F9" s="0" t="n">
        <v>67</v>
      </c>
      <c r="G9" s="0" t="n">
        <v>12</v>
      </c>
    </row>
    <row r="10" customFormat="false" ht="15" hidden="false" customHeight="false" outlineLevel="0" collapsed="false">
      <c r="A10" s="0" t="s">
        <v>692</v>
      </c>
      <c r="B10" s="0" t="s">
        <v>118</v>
      </c>
      <c r="C10" s="0" t="s">
        <v>2145</v>
      </c>
      <c r="D10" s="0" t="n">
        <v>8</v>
      </c>
      <c r="E10" s="0" t="n">
        <v>38</v>
      </c>
      <c r="F10" s="0" t="n">
        <v>50</v>
      </c>
      <c r="G10" s="0" t="n">
        <v>2</v>
      </c>
    </row>
    <row r="11" customFormat="false" ht="15" hidden="false" customHeight="false" outlineLevel="0" collapsed="false">
      <c r="A11" s="0" t="s">
        <v>692</v>
      </c>
      <c r="B11" s="0" t="s">
        <v>118</v>
      </c>
      <c r="C11" s="0" t="s">
        <v>2148</v>
      </c>
      <c r="D11" s="0" t="n">
        <v>0</v>
      </c>
      <c r="E11" s="0" t="n">
        <v>97</v>
      </c>
      <c r="G11" s="0" t="n">
        <v>0</v>
      </c>
    </row>
    <row r="12" customFormat="false" ht="15" hidden="false" customHeight="false" outlineLevel="0" collapsed="false">
      <c r="A12" s="0" t="s">
        <v>692</v>
      </c>
      <c r="B12" s="0" t="s">
        <v>82</v>
      </c>
      <c r="C12" s="0" t="s">
        <v>2145</v>
      </c>
      <c r="D12" s="0" t="n">
        <v>0</v>
      </c>
      <c r="E12" s="0" t="n">
        <v>0</v>
      </c>
      <c r="F12" s="0" t="n">
        <v>78</v>
      </c>
      <c r="G12" s="0" t="n">
        <v>9</v>
      </c>
    </row>
    <row r="13" customFormat="false" ht="15" hidden="false" customHeight="false" outlineLevel="0" collapsed="false">
      <c r="A13" s="0" t="s">
        <v>692</v>
      </c>
      <c r="B13" s="0" t="s">
        <v>82</v>
      </c>
      <c r="C13" s="0" t="s">
        <v>2148</v>
      </c>
      <c r="D13" s="0" t="n">
        <v>3</v>
      </c>
      <c r="E13" s="0" t="n">
        <v>3</v>
      </c>
      <c r="F13" s="0" t="n">
        <v>54</v>
      </c>
      <c r="G13" s="0" t="n">
        <v>13</v>
      </c>
    </row>
    <row r="14" customFormat="false" ht="15" hidden="false" customHeight="false" outlineLevel="0" collapsed="false">
      <c r="A14" s="0" t="s">
        <v>692</v>
      </c>
      <c r="B14" s="0" t="s">
        <v>149</v>
      </c>
      <c r="C14" s="0" t="s">
        <v>2145</v>
      </c>
      <c r="D14" s="0" t="n">
        <v>8</v>
      </c>
      <c r="E14" s="0" t="n">
        <v>0</v>
      </c>
      <c r="F14" s="0" t="n">
        <v>100</v>
      </c>
      <c r="G14" s="0" t="n">
        <v>2</v>
      </c>
    </row>
    <row r="15" customFormat="false" ht="15" hidden="false" customHeight="false" outlineLevel="0" collapsed="false">
      <c r="A15" s="0" t="s">
        <v>692</v>
      </c>
      <c r="B15" s="0" t="s">
        <v>149</v>
      </c>
      <c r="C15" s="0" t="s">
        <v>2148</v>
      </c>
      <c r="D15" s="0" t="n">
        <v>3</v>
      </c>
      <c r="E15" s="0" t="n">
        <v>0</v>
      </c>
      <c r="F15" s="0" t="n">
        <v>75</v>
      </c>
      <c r="G15" s="0" t="n">
        <v>4</v>
      </c>
    </row>
    <row r="16" customFormat="false" ht="15" hidden="false" customHeight="false" outlineLevel="0" collapsed="false">
      <c r="A16" s="0" t="s">
        <v>785</v>
      </c>
      <c r="B16" s="0" t="s">
        <v>131</v>
      </c>
      <c r="C16" s="0" t="s">
        <v>2150</v>
      </c>
      <c r="D16" s="0" t="n">
        <v>0</v>
      </c>
      <c r="E16" s="0" t="n">
        <v>9</v>
      </c>
      <c r="F16" s="0" t="n">
        <v>21</v>
      </c>
      <c r="G16" s="0" t="n">
        <v>14</v>
      </c>
    </row>
    <row r="17" customFormat="false" ht="15" hidden="false" customHeight="false" outlineLevel="0" collapsed="false">
      <c r="A17" s="0" t="s">
        <v>785</v>
      </c>
      <c r="B17" s="0" t="s">
        <v>131</v>
      </c>
      <c r="C17" s="0" t="s">
        <v>2152</v>
      </c>
      <c r="D17" s="0" t="n">
        <v>0</v>
      </c>
      <c r="E17" s="0" t="n">
        <v>5</v>
      </c>
      <c r="F17" s="0" t="n">
        <v>0</v>
      </c>
      <c r="G17" s="0" t="n">
        <v>4</v>
      </c>
    </row>
    <row r="18" customFormat="false" ht="15" hidden="false" customHeight="false" outlineLevel="0" collapsed="false">
      <c r="A18" s="0" t="s">
        <v>785</v>
      </c>
      <c r="B18" s="0" t="s">
        <v>96</v>
      </c>
      <c r="C18" s="0" t="s">
        <v>2150</v>
      </c>
      <c r="D18" s="0" t="n">
        <v>27</v>
      </c>
      <c r="E18" s="0" t="n">
        <v>0</v>
      </c>
      <c r="F18" s="0" t="n">
        <v>71</v>
      </c>
      <c r="G18" s="0" t="n">
        <v>14</v>
      </c>
    </row>
    <row r="19" customFormat="false" ht="15" hidden="false" customHeight="false" outlineLevel="0" collapsed="false">
      <c r="A19" s="0" t="s">
        <v>785</v>
      </c>
      <c r="B19" s="0" t="s">
        <v>96</v>
      </c>
      <c r="C19" s="0" t="s">
        <v>2152</v>
      </c>
      <c r="D19" s="0" t="n">
        <v>11</v>
      </c>
      <c r="E19" s="0" t="n">
        <v>0</v>
      </c>
      <c r="F19" s="0" t="n">
        <v>0</v>
      </c>
      <c r="G19" s="0" t="n">
        <v>5</v>
      </c>
    </row>
    <row r="20" customFormat="false" ht="15" hidden="false" customHeight="false" outlineLevel="0" collapsed="false">
      <c r="A20" s="0" t="s">
        <v>785</v>
      </c>
      <c r="B20" s="0" t="s">
        <v>142</v>
      </c>
      <c r="C20" s="0" t="s">
        <v>2150</v>
      </c>
      <c r="D20" s="0" t="n">
        <v>45</v>
      </c>
      <c r="E20" s="0" t="n">
        <v>0</v>
      </c>
      <c r="F20" s="0" t="n">
        <v>75</v>
      </c>
      <c r="G20" s="0" t="n">
        <v>16</v>
      </c>
    </row>
    <row r="21" customFormat="false" ht="15" hidden="false" customHeight="false" outlineLevel="0" collapsed="false">
      <c r="A21" s="0" t="s">
        <v>785</v>
      </c>
      <c r="B21" s="0" t="s">
        <v>142</v>
      </c>
      <c r="C21" s="0" t="s">
        <v>2152</v>
      </c>
      <c r="D21" s="0" t="n">
        <v>0</v>
      </c>
      <c r="E21" s="0" t="n">
        <v>92</v>
      </c>
      <c r="G21" s="0" t="n">
        <v>0</v>
      </c>
    </row>
    <row r="22" customFormat="false" ht="15" hidden="false" customHeight="false" outlineLevel="0" collapsed="false">
      <c r="A22" s="0" t="s">
        <v>785</v>
      </c>
      <c r="B22" s="0" t="s">
        <v>109</v>
      </c>
      <c r="C22" s="0" t="s">
        <v>2150</v>
      </c>
      <c r="D22" s="0" t="n">
        <v>0</v>
      </c>
      <c r="E22" s="0" t="n">
        <v>73</v>
      </c>
      <c r="G22" s="0" t="n">
        <v>0</v>
      </c>
    </row>
    <row r="23" customFormat="false" ht="15" hidden="false" customHeight="false" outlineLevel="0" collapsed="false">
      <c r="A23" s="0" t="s">
        <v>785</v>
      </c>
      <c r="B23" s="0" t="s">
        <v>109</v>
      </c>
      <c r="C23" s="0" t="s">
        <v>2152</v>
      </c>
      <c r="D23" s="0" t="n">
        <v>57</v>
      </c>
      <c r="E23" s="0" t="n">
        <v>0</v>
      </c>
      <c r="F23" s="0" t="n">
        <v>40</v>
      </c>
      <c r="G23" s="0" t="n">
        <v>10</v>
      </c>
    </row>
    <row r="24" customFormat="false" ht="15" hidden="false" customHeight="false" outlineLevel="0" collapsed="false">
      <c r="A24" s="0" t="s">
        <v>785</v>
      </c>
      <c r="B24" s="0" t="s">
        <v>118</v>
      </c>
      <c r="C24" s="0" t="s">
        <v>2150</v>
      </c>
      <c r="D24" s="0" t="n">
        <v>0</v>
      </c>
      <c r="E24" s="0" t="n">
        <v>0</v>
      </c>
      <c r="F24" s="0" t="n">
        <v>33</v>
      </c>
      <c r="G24" s="0" t="n">
        <v>9</v>
      </c>
    </row>
    <row r="25" customFormat="false" ht="15" hidden="false" customHeight="false" outlineLevel="0" collapsed="false">
      <c r="A25" s="0" t="s">
        <v>785</v>
      </c>
      <c r="B25" s="0" t="s">
        <v>118</v>
      </c>
      <c r="C25" s="0" t="s">
        <v>2152</v>
      </c>
      <c r="D25" s="0" t="n">
        <v>3</v>
      </c>
      <c r="E25" s="0" t="n">
        <v>3</v>
      </c>
      <c r="F25" s="0" t="n">
        <v>100</v>
      </c>
      <c r="G25" s="0" t="n">
        <v>2</v>
      </c>
    </row>
    <row r="26" customFormat="false" ht="15" hidden="false" customHeight="false" outlineLevel="0" collapsed="false">
      <c r="A26" s="0" t="s">
        <v>785</v>
      </c>
      <c r="B26" s="0" t="s">
        <v>82</v>
      </c>
      <c r="C26" s="0" t="s">
        <v>2150</v>
      </c>
      <c r="D26" s="0" t="n">
        <v>27</v>
      </c>
      <c r="E26" s="0" t="n">
        <v>0</v>
      </c>
      <c r="F26" s="0" t="n">
        <v>69</v>
      </c>
      <c r="G26" s="0" t="n">
        <v>13</v>
      </c>
    </row>
    <row r="27" customFormat="false" ht="15" hidden="false" customHeight="false" outlineLevel="0" collapsed="false">
      <c r="A27" s="0" t="s">
        <v>785</v>
      </c>
      <c r="B27" s="0" t="s">
        <v>82</v>
      </c>
      <c r="C27" s="0" t="s">
        <v>2152</v>
      </c>
      <c r="D27" s="0" t="n">
        <v>8</v>
      </c>
      <c r="E27" s="0" t="n">
        <v>0</v>
      </c>
      <c r="F27" s="0" t="n">
        <v>60</v>
      </c>
      <c r="G27" s="0" t="n">
        <v>5</v>
      </c>
    </row>
    <row r="28" customFormat="false" ht="15" hidden="false" customHeight="false" outlineLevel="0" collapsed="false">
      <c r="A28" s="0" t="s">
        <v>785</v>
      </c>
      <c r="B28" s="0" t="s">
        <v>149</v>
      </c>
      <c r="C28" s="0" t="s">
        <v>2150</v>
      </c>
      <c r="D28" s="0" t="n">
        <v>0</v>
      </c>
      <c r="E28" s="0" t="n">
        <v>18</v>
      </c>
      <c r="F28" s="0" t="n">
        <v>75</v>
      </c>
      <c r="G28" s="0" t="n">
        <v>4</v>
      </c>
    </row>
    <row r="29" customFormat="false" ht="15" hidden="false" customHeight="false" outlineLevel="0" collapsed="false">
      <c r="A29" s="0" t="s">
        <v>785</v>
      </c>
      <c r="B29" s="0" t="s">
        <v>149</v>
      </c>
      <c r="C29" s="0" t="s">
        <v>2152</v>
      </c>
      <c r="D29" s="0" t="n">
        <v>16</v>
      </c>
      <c r="E29" s="0" t="n">
        <v>0</v>
      </c>
      <c r="G29" s="0" t="n">
        <v>0</v>
      </c>
    </row>
    <row r="30" customFormat="false" ht="15" hidden="false" customHeight="false" outlineLevel="0" collapsed="false">
      <c r="A30" s="0" t="s">
        <v>792</v>
      </c>
      <c r="B30" s="0" t="s">
        <v>131</v>
      </c>
      <c r="C30" s="0" t="s">
        <v>2154</v>
      </c>
      <c r="D30" s="0" t="n">
        <v>0</v>
      </c>
      <c r="E30" s="0" t="n">
        <v>0</v>
      </c>
      <c r="F30" s="0" t="n">
        <v>43</v>
      </c>
      <c r="G30" s="0" t="n">
        <v>7</v>
      </c>
    </row>
    <row r="31" customFormat="false" ht="15" hidden="false" customHeight="false" outlineLevel="0" collapsed="false">
      <c r="A31" s="0" t="s">
        <v>792</v>
      </c>
      <c r="B31" s="0" t="s">
        <v>131</v>
      </c>
      <c r="C31" s="0" t="s">
        <v>799</v>
      </c>
      <c r="D31" s="0" t="n">
        <v>9</v>
      </c>
      <c r="E31" s="0" t="n">
        <v>12</v>
      </c>
      <c r="F31" s="0" t="n">
        <v>50</v>
      </c>
      <c r="G31" s="0" t="n">
        <v>12</v>
      </c>
    </row>
    <row r="32" customFormat="false" ht="15" hidden="false" customHeight="false" outlineLevel="0" collapsed="false">
      <c r="A32" s="0" t="s">
        <v>792</v>
      </c>
      <c r="B32" s="0" t="s">
        <v>96</v>
      </c>
      <c r="C32" s="0" t="s">
        <v>2154</v>
      </c>
      <c r="D32" s="0" t="n">
        <v>0</v>
      </c>
      <c r="E32" s="0" t="n">
        <v>100</v>
      </c>
      <c r="G32" s="0" t="n">
        <v>0</v>
      </c>
    </row>
    <row r="33" customFormat="false" ht="15" hidden="false" customHeight="false" outlineLevel="0" collapsed="false">
      <c r="A33" s="0" t="s">
        <v>792</v>
      </c>
      <c r="B33" s="0" t="s">
        <v>96</v>
      </c>
      <c r="C33" s="0" t="s">
        <v>799</v>
      </c>
      <c r="D33" s="0" t="n">
        <v>41</v>
      </c>
      <c r="E33" s="0" t="n">
        <v>0</v>
      </c>
      <c r="F33" s="0" t="n">
        <v>61</v>
      </c>
      <c r="G33" s="0" t="n">
        <v>28</v>
      </c>
    </row>
    <row r="34" customFormat="false" ht="15" hidden="false" customHeight="false" outlineLevel="0" collapsed="false">
      <c r="A34" s="0" t="s">
        <v>792</v>
      </c>
      <c r="B34" s="0" t="s">
        <v>142</v>
      </c>
      <c r="C34" s="0" t="s">
        <v>2154</v>
      </c>
      <c r="D34" s="0" t="n">
        <v>0</v>
      </c>
      <c r="E34" s="0" t="n">
        <v>0</v>
      </c>
      <c r="F34" s="0" t="n">
        <v>62</v>
      </c>
      <c r="G34" s="0" t="n">
        <v>13</v>
      </c>
    </row>
    <row r="35" customFormat="false" ht="15" hidden="false" customHeight="false" outlineLevel="0" collapsed="false">
      <c r="A35" s="0" t="s">
        <v>792</v>
      </c>
      <c r="B35" s="0" t="s">
        <v>142</v>
      </c>
      <c r="C35" s="0" t="s">
        <v>799</v>
      </c>
      <c r="D35" s="0" t="n">
        <v>4</v>
      </c>
      <c r="E35" s="0" t="n">
        <v>5</v>
      </c>
      <c r="F35" s="0" t="n">
        <v>50</v>
      </c>
      <c r="G35" s="0" t="n">
        <v>14</v>
      </c>
    </row>
    <row r="36" customFormat="false" ht="15" hidden="false" customHeight="false" outlineLevel="0" collapsed="false">
      <c r="A36" s="0" t="s">
        <v>792</v>
      </c>
      <c r="B36" s="0" t="s">
        <v>109</v>
      </c>
      <c r="C36" s="0" t="s">
        <v>2154</v>
      </c>
      <c r="D36" s="0" t="n">
        <v>31</v>
      </c>
      <c r="E36" s="0" t="n">
        <v>0</v>
      </c>
      <c r="F36" s="0" t="n">
        <v>64</v>
      </c>
      <c r="G36" s="0" t="n">
        <v>14</v>
      </c>
    </row>
    <row r="37" customFormat="false" ht="15" hidden="false" customHeight="false" outlineLevel="0" collapsed="false">
      <c r="A37" s="0" t="s">
        <v>792</v>
      </c>
      <c r="B37" s="0" t="s">
        <v>109</v>
      </c>
      <c r="C37" s="0" t="s">
        <v>799</v>
      </c>
      <c r="D37" s="0" t="n">
        <v>3</v>
      </c>
      <c r="E37" s="0" t="n">
        <v>20</v>
      </c>
      <c r="F37" s="0" t="n">
        <v>50</v>
      </c>
      <c r="G37" s="0" t="n">
        <v>8</v>
      </c>
    </row>
    <row r="38" customFormat="false" ht="15" hidden="false" customHeight="false" outlineLevel="0" collapsed="false">
      <c r="A38" s="0" t="s">
        <v>792</v>
      </c>
      <c r="B38" s="0" t="s">
        <v>118</v>
      </c>
      <c r="C38" s="0" t="s">
        <v>2154</v>
      </c>
      <c r="D38" s="0" t="n">
        <v>53</v>
      </c>
      <c r="E38" s="0" t="n">
        <v>0</v>
      </c>
      <c r="F38" s="0" t="n">
        <v>58</v>
      </c>
      <c r="G38" s="0" t="n">
        <v>19</v>
      </c>
    </row>
    <row r="39" customFormat="false" ht="15" hidden="false" customHeight="false" outlineLevel="0" collapsed="false">
      <c r="A39" s="0" t="s">
        <v>792</v>
      </c>
      <c r="B39" s="0" t="s">
        <v>118</v>
      </c>
      <c r="C39" s="0" t="s">
        <v>799</v>
      </c>
      <c r="D39" s="0" t="n">
        <v>26</v>
      </c>
      <c r="E39" s="0" t="n">
        <v>0</v>
      </c>
      <c r="F39" s="0" t="n">
        <v>56</v>
      </c>
      <c r="G39" s="0" t="n">
        <v>25</v>
      </c>
    </row>
    <row r="40" customFormat="false" ht="15" hidden="false" customHeight="false" outlineLevel="0" collapsed="false">
      <c r="A40" s="0" t="s">
        <v>792</v>
      </c>
      <c r="B40" s="0" t="s">
        <v>82</v>
      </c>
      <c r="C40" s="0" t="s">
        <v>2154</v>
      </c>
      <c r="D40" s="0" t="n">
        <v>6</v>
      </c>
      <c r="E40" s="0" t="n">
        <v>0</v>
      </c>
      <c r="F40" s="0" t="n">
        <v>67</v>
      </c>
      <c r="G40" s="0" t="n">
        <v>9</v>
      </c>
    </row>
    <row r="41" customFormat="false" ht="15" hidden="false" customHeight="false" outlineLevel="0" collapsed="false">
      <c r="A41" s="0" t="s">
        <v>792</v>
      </c>
      <c r="B41" s="0" t="s">
        <v>82</v>
      </c>
      <c r="C41" s="0" t="s">
        <v>799</v>
      </c>
      <c r="D41" s="0" t="n">
        <v>1</v>
      </c>
      <c r="E41" s="0" t="n">
        <v>63</v>
      </c>
      <c r="F41" s="0" t="n">
        <v>67</v>
      </c>
      <c r="G41" s="0" t="n">
        <v>9</v>
      </c>
    </row>
    <row r="42" customFormat="false" ht="15" hidden="false" customHeight="false" outlineLevel="0" collapsed="false">
      <c r="A42" s="0" t="s">
        <v>792</v>
      </c>
      <c r="B42" s="0" t="s">
        <v>149</v>
      </c>
      <c r="C42" s="0" t="s">
        <v>2154</v>
      </c>
      <c r="D42" s="0" t="n">
        <v>3</v>
      </c>
      <c r="E42" s="0" t="n">
        <v>0</v>
      </c>
      <c r="F42" s="0" t="n">
        <v>56</v>
      </c>
      <c r="G42" s="0" t="n">
        <v>9</v>
      </c>
    </row>
    <row r="43" customFormat="false" ht="15" hidden="false" customHeight="false" outlineLevel="0" collapsed="false">
      <c r="A43" s="0" t="s">
        <v>792</v>
      </c>
      <c r="B43" s="0" t="s">
        <v>149</v>
      </c>
      <c r="C43" s="0" t="s">
        <v>799</v>
      </c>
      <c r="D43" s="0" t="n">
        <v>16</v>
      </c>
      <c r="E43" s="0" t="n">
        <v>0</v>
      </c>
      <c r="F43" s="0" t="n">
        <v>79</v>
      </c>
      <c r="G43" s="0" t="n">
        <v>19</v>
      </c>
    </row>
    <row r="44" customFormat="false" ht="15" hidden="false" customHeight="false" outlineLevel="0" collapsed="false">
      <c r="A44" s="0" t="s">
        <v>800</v>
      </c>
      <c r="B44" s="0" t="s">
        <v>131</v>
      </c>
      <c r="C44" s="0" t="s">
        <v>805</v>
      </c>
      <c r="D44" s="0" t="n">
        <v>7</v>
      </c>
      <c r="E44" s="0" t="n">
        <v>4</v>
      </c>
      <c r="F44" s="0" t="n">
        <v>43</v>
      </c>
      <c r="G44" s="0" t="n">
        <v>14</v>
      </c>
    </row>
    <row r="45" customFormat="false" ht="15" hidden="false" customHeight="false" outlineLevel="0" collapsed="false">
      <c r="A45" s="0" t="s">
        <v>800</v>
      </c>
      <c r="B45" s="0" t="s">
        <v>131</v>
      </c>
      <c r="C45" s="0" t="s">
        <v>2158</v>
      </c>
      <c r="D45" s="0" t="n">
        <v>33</v>
      </c>
      <c r="E45" s="0" t="n">
        <v>0</v>
      </c>
      <c r="F45" s="0" t="n">
        <v>89</v>
      </c>
      <c r="G45" s="0" t="n">
        <v>9</v>
      </c>
    </row>
    <row r="46" customFormat="false" ht="15" hidden="false" customHeight="false" outlineLevel="0" collapsed="false">
      <c r="A46" s="0" t="s">
        <v>800</v>
      </c>
      <c r="B46" s="0" t="s">
        <v>96</v>
      </c>
      <c r="C46" s="0" t="s">
        <v>805</v>
      </c>
      <c r="D46" s="0" t="n">
        <v>0</v>
      </c>
      <c r="E46" s="0" t="n">
        <v>96</v>
      </c>
      <c r="G46" s="0" t="n">
        <v>0</v>
      </c>
    </row>
    <row r="47" customFormat="false" ht="15" hidden="false" customHeight="false" outlineLevel="0" collapsed="false">
      <c r="A47" s="0" t="s">
        <v>800</v>
      </c>
      <c r="B47" s="0" t="s">
        <v>96</v>
      </c>
      <c r="C47" s="0" t="s">
        <v>2158</v>
      </c>
      <c r="D47" s="0" t="n">
        <v>6</v>
      </c>
      <c r="E47" s="0" t="n">
        <v>0</v>
      </c>
      <c r="F47" s="0" t="n">
        <v>100</v>
      </c>
      <c r="G47" s="0" t="n">
        <v>5</v>
      </c>
    </row>
    <row r="48" customFormat="false" ht="15" hidden="false" customHeight="false" outlineLevel="0" collapsed="false">
      <c r="A48" s="0" t="s">
        <v>800</v>
      </c>
      <c r="B48" s="0" t="s">
        <v>142</v>
      </c>
      <c r="C48" s="0" t="s">
        <v>805</v>
      </c>
      <c r="D48" s="0" t="n">
        <v>0</v>
      </c>
      <c r="E48" s="0" t="n">
        <v>0</v>
      </c>
      <c r="F48" s="0" t="n">
        <v>43</v>
      </c>
      <c r="G48" s="0" t="n">
        <v>14</v>
      </c>
    </row>
    <row r="49" customFormat="false" ht="15" hidden="false" customHeight="false" outlineLevel="0" collapsed="false">
      <c r="A49" s="0" t="s">
        <v>800</v>
      </c>
      <c r="B49" s="0" t="s">
        <v>142</v>
      </c>
      <c r="C49" s="0" t="s">
        <v>2158</v>
      </c>
      <c r="D49" s="0" t="n">
        <v>22</v>
      </c>
      <c r="E49" s="0" t="n">
        <v>0</v>
      </c>
      <c r="F49" s="0" t="n">
        <v>71</v>
      </c>
      <c r="G49" s="0" t="n">
        <v>7</v>
      </c>
    </row>
    <row r="50" customFormat="false" ht="15" hidden="false" customHeight="false" outlineLevel="0" collapsed="false">
      <c r="A50" s="0" t="s">
        <v>800</v>
      </c>
      <c r="B50" s="0" t="s">
        <v>109</v>
      </c>
      <c r="C50" s="0" t="s">
        <v>805</v>
      </c>
      <c r="D50" s="0" t="n">
        <v>11</v>
      </c>
      <c r="E50" s="0" t="n">
        <v>0</v>
      </c>
      <c r="F50" s="0" t="n">
        <v>55</v>
      </c>
      <c r="G50" s="0" t="n">
        <v>11</v>
      </c>
    </row>
    <row r="51" customFormat="false" ht="15" hidden="false" customHeight="false" outlineLevel="0" collapsed="false">
      <c r="A51" s="0" t="s">
        <v>800</v>
      </c>
      <c r="B51" s="0" t="s">
        <v>109</v>
      </c>
      <c r="C51" s="0" t="s">
        <v>2158</v>
      </c>
      <c r="D51" s="0" t="n">
        <v>11</v>
      </c>
      <c r="E51" s="0" t="n">
        <v>11</v>
      </c>
      <c r="F51" s="0" t="n">
        <v>60</v>
      </c>
      <c r="G51" s="0" t="n">
        <v>5</v>
      </c>
    </row>
    <row r="52" customFormat="false" ht="15" hidden="false" customHeight="false" outlineLevel="0" collapsed="false">
      <c r="A52" s="0" t="s">
        <v>800</v>
      </c>
      <c r="B52" s="0" t="s">
        <v>118</v>
      </c>
      <c r="C52" s="0" t="s">
        <v>805</v>
      </c>
      <c r="D52" s="0" t="n">
        <v>50</v>
      </c>
      <c r="E52" s="0" t="n">
        <v>0</v>
      </c>
      <c r="F52" s="0" t="n">
        <v>57</v>
      </c>
      <c r="G52" s="0" t="n">
        <v>23</v>
      </c>
    </row>
    <row r="53" customFormat="false" ht="15" hidden="false" customHeight="false" outlineLevel="0" collapsed="false">
      <c r="A53" s="0" t="s">
        <v>800</v>
      </c>
      <c r="B53" s="0" t="s">
        <v>118</v>
      </c>
      <c r="C53" s="0" t="s">
        <v>2158</v>
      </c>
      <c r="D53" s="0" t="n">
        <v>0</v>
      </c>
      <c r="E53" s="0" t="n">
        <v>6</v>
      </c>
      <c r="F53" s="0" t="n">
        <v>44</v>
      </c>
      <c r="G53" s="0" t="n">
        <v>9</v>
      </c>
    </row>
    <row r="54" customFormat="false" ht="15" hidden="false" customHeight="false" outlineLevel="0" collapsed="false">
      <c r="A54" s="0" t="s">
        <v>800</v>
      </c>
      <c r="B54" s="0" t="s">
        <v>82</v>
      </c>
      <c r="C54" s="0" t="s">
        <v>805</v>
      </c>
      <c r="D54" s="0" t="n">
        <v>7</v>
      </c>
      <c r="E54" s="0" t="n">
        <v>0</v>
      </c>
      <c r="F54" s="0" t="n">
        <v>55</v>
      </c>
      <c r="G54" s="0" t="n">
        <v>11</v>
      </c>
    </row>
    <row r="55" customFormat="false" ht="15" hidden="false" customHeight="false" outlineLevel="0" collapsed="false">
      <c r="A55" s="0" t="s">
        <v>800</v>
      </c>
      <c r="B55" s="0" t="s">
        <v>82</v>
      </c>
      <c r="C55" s="0" t="s">
        <v>2158</v>
      </c>
      <c r="D55" s="0" t="n">
        <v>0</v>
      </c>
      <c r="E55" s="0" t="n">
        <v>67</v>
      </c>
      <c r="F55" s="0" t="n">
        <v>33</v>
      </c>
      <c r="G55" s="0" t="n">
        <v>3</v>
      </c>
    </row>
    <row r="56" customFormat="false" ht="15" hidden="false" customHeight="false" outlineLevel="0" collapsed="false">
      <c r="A56" s="0" t="s">
        <v>800</v>
      </c>
      <c r="B56" s="0" t="s">
        <v>149</v>
      </c>
      <c r="C56" s="0" t="s">
        <v>805</v>
      </c>
      <c r="D56" s="0" t="n">
        <v>0</v>
      </c>
      <c r="E56" s="0" t="n">
        <v>0</v>
      </c>
      <c r="F56" s="0" t="n">
        <v>43</v>
      </c>
      <c r="G56" s="0" t="n">
        <v>7</v>
      </c>
    </row>
    <row r="57" customFormat="false" ht="15" hidden="false" customHeight="false" outlineLevel="0" collapsed="false">
      <c r="A57" s="0" t="s">
        <v>800</v>
      </c>
      <c r="B57" s="0" t="s">
        <v>149</v>
      </c>
      <c r="C57" s="0" t="s">
        <v>2158</v>
      </c>
      <c r="D57" s="0" t="n">
        <v>0</v>
      </c>
      <c r="E57" s="0" t="n">
        <v>17</v>
      </c>
      <c r="F57" s="0" t="n">
        <v>0</v>
      </c>
      <c r="G57" s="0" t="n">
        <v>1</v>
      </c>
    </row>
    <row r="58" customFormat="false" ht="15" hidden="false" customHeight="false" outlineLevel="0" collapsed="false">
      <c r="A58" s="0" t="s">
        <v>807</v>
      </c>
      <c r="B58" s="0" t="s">
        <v>131</v>
      </c>
      <c r="C58" s="0" t="s">
        <v>2160</v>
      </c>
      <c r="D58" s="0" t="n">
        <v>0</v>
      </c>
      <c r="E58" s="0" t="n">
        <v>7</v>
      </c>
      <c r="F58" s="0" t="n">
        <v>60</v>
      </c>
      <c r="G58" s="0" t="n">
        <v>5</v>
      </c>
    </row>
    <row r="59" customFormat="false" ht="15" hidden="false" customHeight="false" outlineLevel="0" collapsed="false">
      <c r="A59" s="0" t="s">
        <v>807</v>
      </c>
      <c r="B59" s="0" t="s">
        <v>131</v>
      </c>
      <c r="C59" s="0" t="s">
        <v>2162</v>
      </c>
      <c r="D59" s="0" t="n">
        <v>21</v>
      </c>
      <c r="E59" s="0" t="n">
        <v>0</v>
      </c>
      <c r="F59" s="0" t="n">
        <v>59</v>
      </c>
      <c r="G59" s="0" t="n">
        <v>17</v>
      </c>
    </row>
    <row r="60" customFormat="false" ht="15" hidden="false" customHeight="false" outlineLevel="0" collapsed="false">
      <c r="A60" s="0" t="s">
        <v>807</v>
      </c>
      <c r="B60" s="0" t="s">
        <v>96</v>
      </c>
      <c r="C60" s="0" t="s">
        <v>2160</v>
      </c>
      <c r="D60" s="0" t="n">
        <v>24</v>
      </c>
      <c r="E60" s="0" t="n">
        <v>0</v>
      </c>
      <c r="F60" s="0" t="n">
        <v>21</v>
      </c>
      <c r="G60" s="0" t="n">
        <v>14</v>
      </c>
    </row>
    <row r="61" customFormat="false" ht="15" hidden="false" customHeight="false" outlineLevel="0" collapsed="false">
      <c r="A61" s="0" t="s">
        <v>807</v>
      </c>
      <c r="B61" s="0" t="s">
        <v>96</v>
      </c>
      <c r="C61" s="0" t="s">
        <v>2162</v>
      </c>
      <c r="D61" s="0" t="n">
        <v>36</v>
      </c>
      <c r="E61" s="0" t="n">
        <v>0</v>
      </c>
      <c r="F61" s="0" t="n">
        <v>67</v>
      </c>
      <c r="G61" s="0" t="n">
        <v>18</v>
      </c>
    </row>
    <row r="62" customFormat="false" ht="15" hidden="false" customHeight="false" outlineLevel="0" collapsed="false">
      <c r="A62" s="0" t="s">
        <v>807</v>
      </c>
      <c r="B62" s="0" t="s">
        <v>142</v>
      </c>
      <c r="C62" s="0" t="s">
        <v>2160</v>
      </c>
      <c r="D62" s="0" t="n">
        <v>33</v>
      </c>
      <c r="E62" s="0" t="n">
        <v>0</v>
      </c>
      <c r="F62" s="0" t="n">
        <v>56</v>
      </c>
      <c r="G62" s="0" t="n">
        <v>18</v>
      </c>
    </row>
    <row r="63" customFormat="false" ht="15" hidden="false" customHeight="false" outlineLevel="0" collapsed="false">
      <c r="A63" s="0" t="s">
        <v>807</v>
      </c>
      <c r="B63" s="0" t="s">
        <v>142</v>
      </c>
      <c r="C63" s="0" t="s">
        <v>2162</v>
      </c>
      <c r="D63" s="0" t="n">
        <v>8</v>
      </c>
      <c r="E63" s="0" t="n">
        <v>0</v>
      </c>
      <c r="F63" s="0" t="n">
        <v>50</v>
      </c>
      <c r="G63" s="0" t="n">
        <v>16</v>
      </c>
    </row>
    <row r="64" customFormat="false" ht="15" hidden="false" customHeight="false" outlineLevel="0" collapsed="false">
      <c r="A64" s="0" t="s">
        <v>807</v>
      </c>
      <c r="B64" s="0" t="s">
        <v>109</v>
      </c>
      <c r="C64" s="0" t="s">
        <v>2160</v>
      </c>
      <c r="D64" s="0" t="n">
        <v>2</v>
      </c>
      <c r="E64" s="0" t="n">
        <v>4</v>
      </c>
      <c r="F64" s="0" t="n">
        <v>33</v>
      </c>
      <c r="G64" s="0" t="n">
        <v>9</v>
      </c>
    </row>
    <row r="65" customFormat="false" ht="15" hidden="false" customHeight="false" outlineLevel="0" collapsed="false">
      <c r="A65" s="0" t="s">
        <v>807</v>
      </c>
      <c r="B65" s="0" t="s">
        <v>109</v>
      </c>
      <c r="C65" s="0" t="s">
        <v>2162</v>
      </c>
      <c r="D65" s="0" t="n">
        <v>0</v>
      </c>
      <c r="E65" s="0" t="n">
        <v>26</v>
      </c>
      <c r="F65" s="0" t="n">
        <v>55</v>
      </c>
      <c r="G65" s="0" t="n">
        <v>11</v>
      </c>
    </row>
    <row r="66" customFormat="false" ht="15" hidden="false" customHeight="false" outlineLevel="0" collapsed="false">
      <c r="A66" s="0" t="s">
        <v>807</v>
      </c>
      <c r="B66" s="0" t="s">
        <v>118</v>
      </c>
      <c r="C66" s="0" t="s">
        <v>2160</v>
      </c>
      <c r="D66" s="0" t="n">
        <v>7</v>
      </c>
      <c r="E66" s="0" t="n">
        <v>7</v>
      </c>
      <c r="F66" s="0" t="n">
        <v>38</v>
      </c>
      <c r="G66" s="0" t="n">
        <v>8</v>
      </c>
    </row>
    <row r="67" customFormat="false" ht="15" hidden="false" customHeight="false" outlineLevel="0" collapsed="false">
      <c r="A67" s="0" t="s">
        <v>807</v>
      </c>
      <c r="B67" s="0" t="s">
        <v>118</v>
      </c>
      <c r="C67" s="0" t="s">
        <v>2162</v>
      </c>
      <c r="D67" s="0" t="n">
        <v>0</v>
      </c>
      <c r="E67" s="0" t="n">
        <v>70</v>
      </c>
      <c r="G67" s="0" t="n">
        <v>0</v>
      </c>
    </row>
    <row r="68" customFormat="false" ht="15" hidden="false" customHeight="false" outlineLevel="0" collapsed="false">
      <c r="A68" s="0" t="s">
        <v>807</v>
      </c>
      <c r="B68" s="0" t="s">
        <v>82</v>
      </c>
      <c r="C68" s="0" t="s">
        <v>2160</v>
      </c>
      <c r="D68" s="0" t="n">
        <v>31</v>
      </c>
      <c r="E68" s="0" t="n">
        <v>0</v>
      </c>
      <c r="F68" s="0" t="n">
        <v>43</v>
      </c>
      <c r="G68" s="0" t="n">
        <v>14</v>
      </c>
    </row>
    <row r="69" customFormat="false" ht="15" hidden="false" customHeight="false" outlineLevel="0" collapsed="false">
      <c r="A69" s="0" t="s">
        <v>807</v>
      </c>
      <c r="B69" s="0" t="s">
        <v>82</v>
      </c>
      <c r="C69" s="0" t="s">
        <v>2162</v>
      </c>
      <c r="D69" s="0" t="n">
        <v>25</v>
      </c>
      <c r="E69" s="0" t="n">
        <v>2</v>
      </c>
      <c r="F69" s="0" t="n">
        <v>71</v>
      </c>
      <c r="G69" s="0" t="n">
        <v>17</v>
      </c>
    </row>
    <row r="70" customFormat="false" ht="15" hidden="false" customHeight="false" outlineLevel="0" collapsed="false">
      <c r="A70" s="0" t="s">
        <v>807</v>
      </c>
      <c r="B70" s="0" t="s">
        <v>149</v>
      </c>
      <c r="C70" s="0" t="s">
        <v>2160</v>
      </c>
      <c r="D70" s="0" t="n">
        <v>0</v>
      </c>
      <c r="E70" s="0" t="n">
        <v>80</v>
      </c>
      <c r="F70" s="0" t="n">
        <v>0</v>
      </c>
      <c r="G70" s="0" t="n">
        <v>1</v>
      </c>
    </row>
    <row r="71" customFormat="false" ht="15" hidden="false" customHeight="false" outlineLevel="0" collapsed="false">
      <c r="A71" s="0" t="s">
        <v>807</v>
      </c>
      <c r="B71" s="0" t="s">
        <v>149</v>
      </c>
      <c r="C71" s="0" t="s">
        <v>2162</v>
      </c>
      <c r="D71" s="0" t="n">
        <v>6</v>
      </c>
      <c r="E71" s="0" t="n">
        <v>0</v>
      </c>
      <c r="F71" s="0" t="n">
        <v>58</v>
      </c>
      <c r="G71" s="0" t="n">
        <v>12</v>
      </c>
    </row>
    <row r="72" customFormat="false" ht="15" hidden="false" customHeight="false" outlineLevel="0" collapsed="false">
      <c r="A72" s="0" t="s">
        <v>813</v>
      </c>
      <c r="B72" s="0" t="s">
        <v>131</v>
      </c>
      <c r="C72" s="0" t="s">
        <v>2164</v>
      </c>
      <c r="D72" s="0" t="n">
        <v>9</v>
      </c>
      <c r="E72" s="0" t="n">
        <v>3</v>
      </c>
      <c r="F72" s="0" t="n">
        <v>62</v>
      </c>
      <c r="G72" s="0" t="n">
        <v>13</v>
      </c>
    </row>
    <row r="73" customFormat="false" ht="15" hidden="false" customHeight="false" outlineLevel="0" collapsed="false">
      <c r="A73" s="0" t="s">
        <v>813</v>
      </c>
      <c r="B73" s="0" t="s">
        <v>131</v>
      </c>
      <c r="C73" s="0" t="s">
        <v>2166</v>
      </c>
      <c r="D73" s="0" t="n">
        <v>0</v>
      </c>
      <c r="E73" s="0" t="n">
        <v>0</v>
      </c>
      <c r="F73" s="0" t="n">
        <v>75</v>
      </c>
      <c r="G73" s="0" t="n">
        <v>8</v>
      </c>
    </row>
    <row r="74" customFormat="false" ht="15" hidden="false" customHeight="false" outlineLevel="0" collapsed="false">
      <c r="A74" s="0" t="s">
        <v>813</v>
      </c>
      <c r="B74" s="0" t="s">
        <v>96</v>
      </c>
      <c r="C74" s="0" t="s">
        <v>2164</v>
      </c>
      <c r="D74" s="0" t="n">
        <v>9</v>
      </c>
      <c r="E74" s="0" t="n">
        <v>9</v>
      </c>
      <c r="F74" s="0" t="n">
        <v>38</v>
      </c>
      <c r="G74" s="0" t="n">
        <v>8</v>
      </c>
    </row>
    <row r="75" customFormat="false" ht="15" hidden="false" customHeight="false" outlineLevel="0" collapsed="false">
      <c r="A75" s="0" t="s">
        <v>813</v>
      </c>
      <c r="B75" s="0" t="s">
        <v>96</v>
      </c>
      <c r="C75" s="0" t="s">
        <v>2166</v>
      </c>
      <c r="D75" s="0" t="n">
        <v>5</v>
      </c>
      <c r="E75" s="0" t="n">
        <v>0</v>
      </c>
      <c r="F75" s="0" t="n">
        <v>44</v>
      </c>
      <c r="G75" s="0" t="n">
        <v>9</v>
      </c>
    </row>
    <row r="76" customFormat="false" ht="15" hidden="false" customHeight="false" outlineLevel="0" collapsed="false">
      <c r="A76" s="0" t="s">
        <v>813</v>
      </c>
      <c r="B76" s="0" t="s">
        <v>142</v>
      </c>
      <c r="C76" s="0" t="s">
        <v>2164</v>
      </c>
      <c r="D76" s="0" t="n">
        <v>14</v>
      </c>
      <c r="E76" s="0" t="n">
        <v>0</v>
      </c>
      <c r="F76" s="0" t="n">
        <v>80</v>
      </c>
      <c r="G76" s="0" t="n">
        <v>10</v>
      </c>
    </row>
    <row r="77" customFormat="false" ht="15" hidden="false" customHeight="false" outlineLevel="0" collapsed="false">
      <c r="A77" s="0" t="s">
        <v>813</v>
      </c>
      <c r="B77" s="0" t="s">
        <v>142</v>
      </c>
      <c r="C77" s="0" t="s">
        <v>2166</v>
      </c>
      <c r="D77" s="0" t="n">
        <v>35</v>
      </c>
      <c r="E77" s="0" t="n">
        <v>0</v>
      </c>
      <c r="F77" s="0" t="n">
        <v>33</v>
      </c>
      <c r="G77" s="0" t="n">
        <v>9</v>
      </c>
    </row>
    <row r="78" customFormat="false" ht="15" hidden="false" customHeight="false" outlineLevel="0" collapsed="false">
      <c r="A78" s="0" t="s">
        <v>813</v>
      </c>
      <c r="B78" s="0" t="s">
        <v>109</v>
      </c>
      <c r="C78" s="0" t="s">
        <v>2164</v>
      </c>
      <c r="D78" s="0" t="n">
        <v>11</v>
      </c>
      <c r="E78" s="0" t="n">
        <v>3</v>
      </c>
      <c r="F78" s="0" t="n">
        <v>86</v>
      </c>
      <c r="G78" s="0" t="n">
        <v>7</v>
      </c>
    </row>
    <row r="79" customFormat="false" ht="15" hidden="false" customHeight="false" outlineLevel="0" collapsed="false">
      <c r="A79" s="0" t="s">
        <v>813</v>
      </c>
      <c r="B79" s="0" t="s">
        <v>109</v>
      </c>
      <c r="C79" s="0" t="s">
        <v>2166</v>
      </c>
      <c r="D79" s="0" t="n">
        <v>0</v>
      </c>
      <c r="E79" s="0" t="n">
        <v>2</v>
      </c>
      <c r="F79" s="0" t="n">
        <v>60</v>
      </c>
      <c r="G79" s="0" t="n">
        <v>5</v>
      </c>
    </row>
    <row r="80" customFormat="false" ht="15" hidden="false" customHeight="false" outlineLevel="0" collapsed="false">
      <c r="A80" s="0" t="s">
        <v>813</v>
      </c>
      <c r="B80" s="0" t="s">
        <v>118</v>
      </c>
      <c r="C80" s="0" t="s">
        <v>2164</v>
      </c>
      <c r="D80" s="0" t="n">
        <v>14</v>
      </c>
      <c r="E80" s="0" t="n">
        <v>0</v>
      </c>
      <c r="F80" s="0" t="n">
        <v>54</v>
      </c>
      <c r="G80" s="0" t="n">
        <v>13</v>
      </c>
    </row>
    <row r="81" customFormat="false" ht="15" hidden="false" customHeight="false" outlineLevel="0" collapsed="false">
      <c r="A81" s="0" t="s">
        <v>813</v>
      </c>
      <c r="B81" s="0" t="s">
        <v>118</v>
      </c>
      <c r="C81" s="0" t="s">
        <v>2166</v>
      </c>
      <c r="D81" s="0" t="n">
        <v>0</v>
      </c>
      <c r="E81" s="0" t="n">
        <v>95</v>
      </c>
      <c r="G81" s="0" t="n">
        <v>0</v>
      </c>
    </row>
    <row r="82" customFormat="false" ht="15" hidden="false" customHeight="false" outlineLevel="0" collapsed="false">
      <c r="A82" s="0" t="s">
        <v>813</v>
      </c>
      <c r="B82" s="0" t="s">
        <v>82</v>
      </c>
      <c r="C82" s="0" t="s">
        <v>2164</v>
      </c>
      <c r="D82" s="0" t="n">
        <v>0</v>
      </c>
      <c r="E82" s="0" t="n">
        <v>63</v>
      </c>
      <c r="F82" s="0" t="n">
        <v>0</v>
      </c>
      <c r="G82" s="0" t="n">
        <v>1</v>
      </c>
    </row>
    <row r="83" customFormat="false" ht="15" hidden="false" customHeight="false" outlineLevel="0" collapsed="false">
      <c r="A83" s="0" t="s">
        <v>813</v>
      </c>
      <c r="B83" s="0" t="s">
        <v>82</v>
      </c>
      <c r="C83" s="0" t="s">
        <v>2166</v>
      </c>
      <c r="D83" s="0" t="n">
        <v>60</v>
      </c>
      <c r="E83" s="0" t="n">
        <v>0</v>
      </c>
      <c r="F83" s="0" t="n">
        <v>55</v>
      </c>
      <c r="G83" s="0" t="n">
        <v>20</v>
      </c>
    </row>
    <row r="84" customFormat="false" ht="15" hidden="false" customHeight="false" outlineLevel="0" collapsed="false">
      <c r="A84" s="0" t="s">
        <v>813</v>
      </c>
      <c r="B84" s="0" t="s">
        <v>149</v>
      </c>
      <c r="C84" s="0" t="s">
        <v>2164</v>
      </c>
      <c r="D84" s="0" t="n">
        <v>31</v>
      </c>
      <c r="E84" s="0" t="n">
        <v>0</v>
      </c>
      <c r="F84" s="0" t="n">
        <v>75</v>
      </c>
      <c r="G84" s="0" t="n">
        <v>12</v>
      </c>
    </row>
    <row r="85" customFormat="false" ht="15" hidden="false" customHeight="false" outlineLevel="0" collapsed="false">
      <c r="A85" s="0" t="s">
        <v>813</v>
      </c>
      <c r="B85" s="0" t="s">
        <v>149</v>
      </c>
      <c r="C85" s="0" t="s">
        <v>2166</v>
      </c>
      <c r="D85" s="0" t="n">
        <v>0</v>
      </c>
      <c r="E85" s="0" t="n">
        <v>2</v>
      </c>
      <c r="F85" s="0" t="n">
        <v>40</v>
      </c>
      <c r="G85" s="0" t="n">
        <v>5</v>
      </c>
    </row>
    <row r="86" customFormat="false" ht="15" hidden="false" customHeight="false" outlineLevel="0" collapsed="false">
      <c r="A86" s="0" t="s">
        <v>819</v>
      </c>
      <c r="B86" s="0" t="s">
        <v>131</v>
      </c>
      <c r="C86" s="0" t="s">
        <v>2168</v>
      </c>
      <c r="D86" s="0" t="n">
        <v>0</v>
      </c>
      <c r="E86" s="0" t="n">
        <v>4</v>
      </c>
      <c r="F86" s="0" t="n">
        <v>64</v>
      </c>
      <c r="G86" s="0" t="n">
        <v>14</v>
      </c>
    </row>
    <row r="87" customFormat="false" ht="15" hidden="false" customHeight="false" outlineLevel="0" collapsed="false">
      <c r="A87" s="0" t="s">
        <v>819</v>
      </c>
      <c r="B87" s="0" t="s">
        <v>131</v>
      </c>
      <c r="C87" s="0" t="s">
        <v>2170</v>
      </c>
      <c r="D87" s="0" t="n">
        <v>31</v>
      </c>
      <c r="E87" s="0" t="n">
        <v>0</v>
      </c>
      <c r="F87" s="0" t="n">
        <v>67</v>
      </c>
      <c r="G87" s="0" t="n">
        <v>15</v>
      </c>
    </row>
    <row r="88" customFormat="false" ht="15" hidden="false" customHeight="false" outlineLevel="0" collapsed="false">
      <c r="A88" s="0" t="s">
        <v>819</v>
      </c>
      <c r="B88" s="0" t="s">
        <v>96</v>
      </c>
      <c r="C88" s="0" t="s">
        <v>2168</v>
      </c>
      <c r="D88" s="0" t="n">
        <v>23</v>
      </c>
      <c r="E88" s="0" t="n">
        <v>2</v>
      </c>
      <c r="F88" s="0" t="n">
        <v>59</v>
      </c>
      <c r="G88" s="0" t="n">
        <v>17</v>
      </c>
    </row>
    <row r="89" customFormat="false" ht="15" hidden="false" customHeight="false" outlineLevel="0" collapsed="false">
      <c r="A89" s="0" t="s">
        <v>819</v>
      </c>
      <c r="B89" s="0" t="s">
        <v>96</v>
      </c>
      <c r="C89" s="0" t="s">
        <v>2170</v>
      </c>
      <c r="D89" s="0" t="n">
        <v>21</v>
      </c>
      <c r="E89" s="0" t="n">
        <v>5</v>
      </c>
      <c r="F89" s="0" t="n">
        <v>44</v>
      </c>
      <c r="G89" s="0" t="n">
        <v>9</v>
      </c>
    </row>
    <row r="90" customFormat="false" ht="15" hidden="false" customHeight="false" outlineLevel="0" collapsed="false">
      <c r="A90" s="0" t="s">
        <v>819</v>
      </c>
      <c r="B90" s="0" t="s">
        <v>142</v>
      </c>
      <c r="C90" s="0" t="s">
        <v>2168</v>
      </c>
      <c r="D90" s="0" t="n">
        <v>15</v>
      </c>
      <c r="E90" s="0" t="n">
        <v>2</v>
      </c>
      <c r="F90" s="0" t="n">
        <v>64</v>
      </c>
      <c r="G90" s="0" t="n">
        <v>11</v>
      </c>
    </row>
    <row r="91" customFormat="false" ht="15" hidden="false" customHeight="false" outlineLevel="0" collapsed="false">
      <c r="A91" s="0" t="s">
        <v>819</v>
      </c>
      <c r="B91" s="0" t="s">
        <v>142</v>
      </c>
      <c r="C91" s="0" t="s">
        <v>2170</v>
      </c>
      <c r="D91" s="0" t="n">
        <v>10</v>
      </c>
      <c r="E91" s="0" t="n">
        <v>0</v>
      </c>
      <c r="F91" s="0" t="n">
        <v>45</v>
      </c>
      <c r="G91" s="0" t="n">
        <v>11</v>
      </c>
    </row>
    <row r="92" customFormat="false" ht="15" hidden="false" customHeight="false" outlineLevel="0" collapsed="false">
      <c r="A92" s="0" t="s">
        <v>819</v>
      </c>
      <c r="B92" s="0" t="s">
        <v>109</v>
      </c>
      <c r="C92" s="0" t="s">
        <v>2168</v>
      </c>
      <c r="D92" s="0" t="n">
        <v>31</v>
      </c>
      <c r="E92" s="0" t="n">
        <v>0</v>
      </c>
      <c r="F92" s="0" t="n">
        <v>73</v>
      </c>
      <c r="G92" s="0" t="n">
        <v>15</v>
      </c>
    </row>
    <row r="93" customFormat="false" ht="15" hidden="false" customHeight="false" outlineLevel="0" collapsed="false">
      <c r="A93" s="0" t="s">
        <v>819</v>
      </c>
      <c r="B93" s="0" t="s">
        <v>109</v>
      </c>
      <c r="C93" s="0" t="s">
        <v>2170</v>
      </c>
      <c r="D93" s="0" t="n">
        <v>5</v>
      </c>
      <c r="E93" s="0" t="n">
        <v>21</v>
      </c>
      <c r="F93" s="0" t="n">
        <v>50</v>
      </c>
      <c r="G93" s="0" t="n">
        <v>10</v>
      </c>
    </row>
    <row r="94" customFormat="false" ht="15" hidden="false" customHeight="false" outlineLevel="0" collapsed="false">
      <c r="A94" s="0" t="s">
        <v>819</v>
      </c>
      <c r="B94" s="0" t="s">
        <v>118</v>
      </c>
      <c r="C94" s="0" t="s">
        <v>2168</v>
      </c>
      <c r="D94" s="0" t="n">
        <v>17</v>
      </c>
      <c r="E94" s="0" t="n">
        <v>0</v>
      </c>
      <c r="F94" s="0" t="n">
        <v>86</v>
      </c>
      <c r="G94" s="0" t="n">
        <v>7</v>
      </c>
    </row>
    <row r="95" customFormat="false" ht="15" hidden="false" customHeight="false" outlineLevel="0" collapsed="false">
      <c r="A95" s="0" t="s">
        <v>819</v>
      </c>
      <c r="B95" s="0" t="s">
        <v>118</v>
      </c>
      <c r="C95" s="0" t="s">
        <v>2170</v>
      </c>
      <c r="D95" s="0" t="n">
        <v>0</v>
      </c>
      <c r="E95" s="0" t="n">
        <v>74</v>
      </c>
      <c r="G95" s="0" t="n">
        <v>0</v>
      </c>
    </row>
    <row r="96" customFormat="false" ht="15" hidden="false" customHeight="false" outlineLevel="0" collapsed="false">
      <c r="A96" s="0" t="s">
        <v>819</v>
      </c>
      <c r="B96" s="0" t="s">
        <v>82</v>
      </c>
      <c r="C96" s="0" t="s">
        <v>2168</v>
      </c>
      <c r="D96" s="0" t="n">
        <v>10</v>
      </c>
      <c r="E96" s="0" t="n">
        <v>0</v>
      </c>
      <c r="F96" s="0" t="n">
        <v>69</v>
      </c>
      <c r="G96" s="0" t="n">
        <v>16</v>
      </c>
    </row>
    <row r="97" customFormat="false" ht="15" hidden="false" customHeight="false" outlineLevel="0" collapsed="false">
      <c r="A97" s="0" t="s">
        <v>819</v>
      </c>
      <c r="B97" s="0" t="s">
        <v>82</v>
      </c>
      <c r="C97" s="0" t="s">
        <v>2170</v>
      </c>
      <c r="D97" s="0" t="n">
        <v>10</v>
      </c>
      <c r="E97" s="0" t="n">
        <v>0</v>
      </c>
      <c r="F97" s="0" t="n">
        <v>33</v>
      </c>
      <c r="G97" s="0" t="n">
        <v>12</v>
      </c>
    </row>
    <row r="98" customFormat="false" ht="15" hidden="false" customHeight="false" outlineLevel="0" collapsed="false">
      <c r="A98" s="0" t="s">
        <v>819</v>
      </c>
      <c r="B98" s="0" t="s">
        <v>149</v>
      </c>
      <c r="C98" s="0" t="s">
        <v>2168</v>
      </c>
      <c r="D98" s="0" t="n">
        <v>0</v>
      </c>
      <c r="E98" s="0" t="n">
        <v>92</v>
      </c>
      <c r="G98" s="0" t="n">
        <v>0</v>
      </c>
    </row>
    <row r="99" customFormat="false" ht="15" hidden="false" customHeight="false" outlineLevel="0" collapsed="false">
      <c r="A99" s="0" t="s">
        <v>819</v>
      </c>
      <c r="B99" s="0" t="s">
        <v>149</v>
      </c>
      <c r="C99" s="0" t="s">
        <v>2170</v>
      </c>
      <c r="D99" s="0" t="n">
        <v>19</v>
      </c>
      <c r="E99" s="0" t="n">
        <v>0</v>
      </c>
      <c r="F99" s="0" t="n">
        <v>50</v>
      </c>
      <c r="G99" s="0" t="n">
        <v>6</v>
      </c>
    </row>
    <row r="100" customFormat="false" ht="15" hidden="false" customHeight="false" outlineLevel="0" collapsed="false">
      <c r="A100" s="0" t="s">
        <v>826</v>
      </c>
      <c r="B100" s="0" t="s">
        <v>131</v>
      </c>
      <c r="C100" s="0" t="s">
        <v>2172</v>
      </c>
      <c r="D100" s="0" t="n">
        <v>6</v>
      </c>
      <c r="E100" s="0" t="n">
        <v>6</v>
      </c>
      <c r="F100" s="0" t="n">
        <v>40</v>
      </c>
      <c r="G100" s="0" t="n">
        <v>10</v>
      </c>
    </row>
    <row r="101" customFormat="false" ht="15" hidden="false" customHeight="false" outlineLevel="0" collapsed="false">
      <c r="A101" s="0" t="s">
        <v>826</v>
      </c>
      <c r="B101" s="0" t="s">
        <v>131</v>
      </c>
      <c r="C101" s="0" t="s">
        <v>2174</v>
      </c>
      <c r="D101" s="0" t="n">
        <v>9</v>
      </c>
      <c r="E101" s="0" t="n">
        <v>0</v>
      </c>
      <c r="F101" s="0" t="n">
        <v>27</v>
      </c>
      <c r="G101" s="0" t="n">
        <v>11</v>
      </c>
    </row>
    <row r="102" customFormat="false" ht="15" hidden="false" customHeight="false" outlineLevel="0" collapsed="false">
      <c r="A102" s="0" t="s">
        <v>826</v>
      </c>
      <c r="B102" s="0" t="s">
        <v>96</v>
      </c>
      <c r="C102" s="0" t="s">
        <v>2172</v>
      </c>
      <c r="D102" s="0" t="n">
        <v>11</v>
      </c>
      <c r="E102" s="0" t="n">
        <v>0</v>
      </c>
      <c r="F102" s="0" t="n">
        <v>22</v>
      </c>
      <c r="G102" s="0" t="n">
        <v>9</v>
      </c>
    </row>
    <row r="103" customFormat="false" ht="15" hidden="false" customHeight="false" outlineLevel="0" collapsed="false">
      <c r="A103" s="0" t="s">
        <v>826</v>
      </c>
      <c r="B103" s="0" t="s">
        <v>96</v>
      </c>
      <c r="C103" s="0" t="s">
        <v>2174</v>
      </c>
      <c r="D103" s="0" t="n">
        <v>0</v>
      </c>
      <c r="E103" s="0" t="n">
        <v>96</v>
      </c>
      <c r="G103" s="0" t="n">
        <v>0</v>
      </c>
    </row>
    <row r="104" customFormat="false" ht="15" hidden="false" customHeight="false" outlineLevel="0" collapsed="false">
      <c r="A104" s="0" t="s">
        <v>826</v>
      </c>
      <c r="B104" s="0" t="s">
        <v>142</v>
      </c>
      <c r="C104" s="0" t="s">
        <v>2172</v>
      </c>
      <c r="D104" s="0" t="n">
        <v>31</v>
      </c>
      <c r="E104" s="0" t="n">
        <v>0</v>
      </c>
      <c r="F104" s="0" t="n">
        <v>77</v>
      </c>
      <c r="G104" s="0" t="n">
        <v>13</v>
      </c>
    </row>
    <row r="105" customFormat="false" ht="15" hidden="false" customHeight="false" outlineLevel="0" collapsed="false">
      <c r="A105" s="0" t="s">
        <v>826</v>
      </c>
      <c r="B105" s="0" t="s">
        <v>142</v>
      </c>
      <c r="C105" s="0" t="s">
        <v>2174</v>
      </c>
      <c r="D105" s="0" t="n">
        <v>4</v>
      </c>
      <c r="E105" s="0" t="n">
        <v>0</v>
      </c>
      <c r="F105" s="0" t="n">
        <v>46</v>
      </c>
      <c r="G105" s="0" t="n">
        <v>13</v>
      </c>
    </row>
    <row r="106" customFormat="false" ht="15" hidden="false" customHeight="false" outlineLevel="0" collapsed="false">
      <c r="A106" s="0" t="s">
        <v>826</v>
      </c>
      <c r="B106" s="0" t="s">
        <v>109</v>
      </c>
      <c r="C106" s="0" t="s">
        <v>2172</v>
      </c>
      <c r="D106" s="0" t="n">
        <v>14</v>
      </c>
      <c r="E106" s="0" t="n">
        <v>0</v>
      </c>
      <c r="F106" s="0" t="n">
        <v>50</v>
      </c>
      <c r="G106" s="0" t="n">
        <v>6</v>
      </c>
    </row>
    <row r="107" customFormat="false" ht="15" hidden="false" customHeight="false" outlineLevel="0" collapsed="false">
      <c r="A107" s="0" t="s">
        <v>826</v>
      </c>
      <c r="B107" s="0" t="s">
        <v>109</v>
      </c>
      <c r="C107" s="0" t="s">
        <v>2174</v>
      </c>
      <c r="D107" s="0" t="n">
        <v>43</v>
      </c>
      <c r="E107" s="0" t="n">
        <v>0</v>
      </c>
      <c r="F107" s="0" t="n">
        <v>57</v>
      </c>
      <c r="G107" s="0" t="n">
        <v>14</v>
      </c>
    </row>
    <row r="108" customFormat="false" ht="15" hidden="false" customHeight="false" outlineLevel="0" collapsed="false">
      <c r="A108" s="0" t="s">
        <v>826</v>
      </c>
      <c r="B108" s="0" t="s">
        <v>118</v>
      </c>
      <c r="C108" s="0" t="s">
        <v>2172</v>
      </c>
      <c r="D108" s="0" t="n">
        <v>0</v>
      </c>
      <c r="E108" s="0" t="n">
        <v>89</v>
      </c>
      <c r="G108" s="0" t="n">
        <v>0</v>
      </c>
    </row>
    <row r="109" customFormat="false" ht="15" hidden="false" customHeight="false" outlineLevel="0" collapsed="false">
      <c r="A109" s="0" t="s">
        <v>826</v>
      </c>
      <c r="B109" s="0" t="s">
        <v>118</v>
      </c>
      <c r="C109" s="0" t="s">
        <v>2174</v>
      </c>
      <c r="D109" s="0" t="n">
        <v>26</v>
      </c>
      <c r="E109" s="0" t="n">
        <v>4</v>
      </c>
      <c r="F109" s="0" t="n">
        <v>73</v>
      </c>
      <c r="G109" s="0" t="n">
        <v>11</v>
      </c>
    </row>
    <row r="110" customFormat="false" ht="15" hidden="false" customHeight="false" outlineLevel="0" collapsed="false">
      <c r="A110" s="0" t="s">
        <v>826</v>
      </c>
      <c r="B110" s="0" t="s">
        <v>82</v>
      </c>
      <c r="C110" s="0" t="s">
        <v>2172</v>
      </c>
      <c r="D110" s="0" t="n">
        <v>31</v>
      </c>
      <c r="E110" s="0" t="n">
        <v>0</v>
      </c>
      <c r="F110" s="0" t="n">
        <v>57</v>
      </c>
      <c r="G110" s="0" t="n">
        <v>7</v>
      </c>
    </row>
    <row r="111" customFormat="false" ht="15" hidden="false" customHeight="false" outlineLevel="0" collapsed="false">
      <c r="A111" s="0" t="s">
        <v>826</v>
      </c>
      <c r="B111" s="0" t="s">
        <v>82</v>
      </c>
      <c r="C111" s="0" t="s">
        <v>2174</v>
      </c>
      <c r="D111" s="0" t="n">
        <v>9</v>
      </c>
      <c r="E111" s="0" t="n">
        <v>0</v>
      </c>
      <c r="F111" s="0" t="n">
        <v>54</v>
      </c>
      <c r="G111" s="0" t="n">
        <v>13</v>
      </c>
    </row>
    <row r="112" customFormat="false" ht="15" hidden="false" customHeight="false" outlineLevel="0" collapsed="false">
      <c r="A112" s="0" t="s">
        <v>826</v>
      </c>
      <c r="B112" s="0" t="s">
        <v>149</v>
      </c>
      <c r="C112" s="0" t="s">
        <v>2172</v>
      </c>
      <c r="D112" s="0" t="n">
        <v>0</v>
      </c>
      <c r="E112" s="0" t="n">
        <v>3</v>
      </c>
      <c r="F112" s="0" t="n">
        <v>60</v>
      </c>
      <c r="G112" s="0" t="n">
        <v>10</v>
      </c>
    </row>
    <row r="113" customFormat="false" ht="15" hidden="false" customHeight="false" outlineLevel="0" collapsed="false">
      <c r="A113" s="0" t="s">
        <v>826</v>
      </c>
      <c r="B113" s="0" t="s">
        <v>149</v>
      </c>
      <c r="C113" s="0" t="s">
        <v>2174</v>
      </c>
      <c r="D113" s="0" t="n">
        <v>4</v>
      </c>
      <c r="E113" s="0" t="n">
        <v>0</v>
      </c>
      <c r="F113" s="0" t="n">
        <v>67</v>
      </c>
      <c r="G113" s="0" t="n">
        <v>3</v>
      </c>
    </row>
    <row r="114" customFormat="false" ht="15" hidden="false" customHeight="false" outlineLevel="0" collapsed="false">
      <c r="A114" s="0" t="s">
        <v>830</v>
      </c>
      <c r="B114" s="0" t="s">
        <v>131</v>
      </c>
      <c r="C114" s="0" t="s">
        <v>833</v>
      </c>
      <c r="D114" s="0" t="n">
        <v>17</v>
      </c>
      <c r="E114" s="0" t="n">
        <v>17</v>
      </c>
      <c r="F114" s="0" t="n">
        <v>80</v>
      </c>
      <c r="G114" s="0" t="n">
        <v>10</v>
      </c>
    </row>
    <row r="115" customFormat="false" ht="15" hidden="false" customHeight="false" outlineLevel="0" collapsed="false">
      <c r="A115" s="0" t="s">
        <v>830</v>
      </c>
      <c r="B115" s="0" t="s">
        <v>131</v>
      </c>
      <c r="C115" s="0" t="s">
        <v>2177</v>
      </c>
      <c r="D115" s="0" t="n">
        <v>4</v>
      </c>
      <c r="E115" s="0" t="n">
        <v>2</v>
      </c>
      <c r="F115" s="0" t="n">
        <v>41</v>
      </c>
      <c r="G115" s="0" t="n">
        <v>17</v>
      </c>
    </row>
    <row r="116" customFormat="false" ht="15" hidden="false" customHeight="false" outlineLevel="0" collapsed="false">
      <c r="A116" s="0" t="s">
        <v>830</v>
      </c>
      <c r="B116" s="0" t="s">
        <v>96</v>
      </c>
      <c r="C116" s="0" t="s">
        <v>833</v>
      </c>
      <c r="D116" s="0" t="n">
        <v>6</v>
      </c>
      <c r="E116" s="0" t="n">
        <v>0</v>
      </c>
      <c r="F116" s="0" t="n">
        <v>20</v>
      </c>
      <c r="G116" s="0" t="n">
        <v>5</v>
      </c>
    </row>
    <row r="117" customFormat="false" ht="15" hidden="false" customHeight="false" outlineLevel="0" collapsed="false">
      <c r="A117" s="0" t="s">
        <v>830</v>
      </c>
      <c r="B117" s="0" t="s">
        <v>96</v>
      </c>
      <c r="C117" s="0" t="s">
        <v>2177</v>
      </c>
      <c r="D117" s="0" t="n">
        <v>33</v>
      </c>
      <c r="E117" s="0" t="n">
        <v>2</v>
      </c>
      <c r="F117" s="0" t="n">
        <v>68</v>
      </c>
      <c r="G117" s="0" t="n">
        <v>22</v>
      </c>
    </row>
    <row r="118" customFormat="false" ht="15" hidden="false" customHeight="false" outlineLevel="0" collapsed="false">
      <c r="A118" s="0" t="s">
        <v>830</v>
      </c>
      <c r="B118" s="0" t="s">
        <v>142</v>
      </c>
      <c r="C118" s="0" t="s">
        <v>833</v>
      </c>
      <c r="D118" s="0" t="n">
        <v>0</v>
      </c>
      <c r="E118" s="0" t="n">
        <v>60</v>
      </c>
      <c r="G118" s="0" t="n">
        <v>0</v>
      </c>
    </row>
    <row r="119" customFormat="false" ht="15" hidden="false" customHeight="false" outlineLevel="0" collapsed="false">
      <c r="A119" s="0" t="s">
        <v>830</v>
      </c>
      <c r="B119" s="0" t="s">
        <v>142</v>
      </c>
      <c r="C119" s="0" t="s">
        <v>2177</v>
      </c>
      <c r="D119" s="0" t="n">
        <v>33</v>
      </c>
      <c r="E119" s="0" t="n">
        <v>0</v>
      </c>
      <c r="F119" s="0" t="n">
        <v>62</v>
      </c>
      <c r="G119" s="0" t="n">
        <v>21</v>
      </c>
    </row>
    <row r="120" customFormat="false" ht="15" hidden="false" customHeight="false" outlineLevel="0" collapsed="false">
      <c r="A120" s="0" t="s">
        <v>830</v>
      </c>
      <c r="B120" s="0" t="s">
        <v>109</v>
      </c>
      <c r="C120" s="0" t="s">
        <v>833</v>
      </c>
      <c r="D120" s="0" t="n">
        <v>40</v>
      </c>
      <c r="E120" s="0" t="n">
        <v>0</v>
      </c>
      <c r="F120" s="0" t="n">
        <v>91</v>
      </c>
      <c r="G120" s="0" t="n">
        <v>11</v>
      </c>
    </row>
    <row r="121" customFormat="false" ht="15" hidden="false" customHeight="false" outlineLevel="0" collapsed="false">
      <c r="A121" s="0" t="s">
        <v>830</v>
      </c>
      <c r="B121" s="0" t="s">
        <v>109</v>
      </c>
      <c r="C121" s="0" t="s">
        <v>2177</v>
      </c>
      <c r="D121" s="0" t="n">
        <v>4</v>
      </c>
      <c r="E121" s="0" t="n">
        <v>6</v>
      </c>
      <c r="F121" s="0" t="n">
        <v>36</v>
      </c>
      <c r="G121" s="0" t="n">
        <v>11</v>
      </c>
    </row>
    <row r="122" customFormat="false" ht="15" hidden="false" customHeight="false" outlineLevel="0" collapsed="false">
      <c r="A122" s="0" t="s">
        <v>830</v>
      </c>
      <c r="B122" s="0" t="s">
        <v>118</v>
      </c>
      <c r="C122" s="0" t="s">
        <v>833</v>
      </c>
      <c r="D122" s="0" t="n">
        <v>11</v>
      </c>
      <c r="E122" s="0" t="n">
        <v>0</v>
      </c>
      <c r="F122" s="0" t="n">
        <v>56</v>
      </c>
      <c r="G122" s="0" t="n">
        <v>9</v>
      </c>
    </row>
    <row r="123" customFormat="false" ht="15" hidden="false" customHeight="false" outlineLevel="0" collapsed="false">
      <c r="A123" s="0" t="s">
        <v>830</v>
      </c>
      <c r="B123" s="0" t="s">
        <v>118</v>
      </c>
      <c r="C123" s="0" t="s">
        <v>2177</v>
      </c>
      <c r="D123" s="0" t="n">
        <v>6</v>
      </c>
      <c r="E123" s="0" t="n">
        <v>4</v>
      </c>
      <c r="F123" s="0" t="n">
        <v>30</v>
      </c>
      <c r="G123" s="0" t="n">
        <v>10</v>
      </c>
    </row>
    <row r="124" customFormat="false" ht="15" hidden="false" customHeight="false" outlineLevel="0" collapsed="false">
      <c r="A124" s="0" t="s">
        <v>830</v>
      </c>
      <c r="B124" s="0" t="s">
        <v>82</v>
      </c>
      <c r="C124" s="0" t="s">
        <v>833</v>
      </c>
      <c r="D124" s="0" t="n">
        <v>3</v>
      </c>
      <c r="E124" s="0" t="n">
        <v>0</v>
      </c>
      <c r="F124" s="0" t="n">
        <v>62</v>
      </c>
      <c r="G124" s="0" t="n">
        <v>8</v>
      </c>
    </row>
    <row r="125" customFormat="false" ht="15" hidden="false" customHeight="false" outlineLevel="0" collapsed="false">
      <c r="A125" s="0" t="s">
        <v>830</v>
      </c>
      <c r="B125" s="0" t="s">
        <v>82</v>
      </c>
      <c r="C125" s="0" t="s">
        <v>2177</v>
      </c>
      <c r="D125" s="0" t="n">
        <v>10</v>
      </c>
      <c r="E125" s="0" t="n">
        <v>2</v>
      </c>
      <c r="F125" s="0" t="n">
        <v>67</v>
      </c>
      <c r="G125" s="0" t="n">
        <v>15</v>
      </c>
    </row>
    <row r="126" customFormat="false" ht="15" hidden="false" customHeight="false" outlineLevel="0" collapsed="false">
      <c r="A126" s="0" t="s">
        <v>830</v>
      </c>
      <c r="B126" s="0" t="s">
        <v>149</v>
      </c>
      <c r="C126" s="0" t="s">
        <v>833</v>
      </c>
      <c r="D126" s="0" t="n">
        <v>11</v>
      </c>
      <c r="E126" s="0" t="n">
        <v>0</v>
      </c>
      <c r="F126" s="0" t="n">
        <v>56</v>
      </c>
      <c r="G126" s="0" t="n">
        <v>9</v>
      </c>
    </row>
    <row r="127" customFormat="false" ht="15" hidden="false" customHeight="false" outlineLevel="0" collapsed="false">
      <c r="A127" s="0" t="s">
        <v>830</v>
      </c>
      <c r="B127" s="0" t="s">
        <v>149</v>
      </c>
      <c r="C127" s="0" t="s">
        <v>2177</v>
      </c>
      <c r="D127" s="0" t="n">
        <v>0</v>
      </c>
      <c r="E127" s="0" t="n">
        <v>84</v>
      </c>
      <c r="G127" s="0" t="n">
        <v>0</v>
      </c>
    </row>
    <row r="128" customFormat="false" ht="15" hidden="false" customHeight="false" outlineLevel="0" collapsed="false">
      <c r="A128" s="0" t="s">
        <v>843</v>
      </c>
      <c r="B128" s="0" t="s">
        <v>131</v>
      </c>
      <c r="C128" s="0" t="s">
        <v>848</v>
      </c>
      <c r="D128" s="0" t="n">
        <v>25</v>
      </c>
      <c r="E128" s="0" t="n">
        <v>0</v>
      </c>
      <c r="F128" s="0" t="n">
        <v>55</v>
      </c>
      <c r="G128" s="0" t="n">
        <v>11</v>
      </c>
    </row>
    <row r="129" customFormat="false" ht="15" hidden="false" customHeight="false" outlineLevel="0" collapsed="false">
      <c r="A129" s="0" t="s">
        <v>843</v>
      </c>
      <c r="B129" s="0" t="s">
        <v>131</v>
      </c>
      <c r="C129" s="0" t="s">
        <v>2180</v>
      </c>
      <c r="D129" s="0" t="n">
        <v>4</v>
      </c>
      <c r="E129" s="0" t="n">
        <v>0</v>
      </c>
      <c r="F129" s="0" t="n">
        <v>100</v>
      </c>
      <c r="G129" s="0" t="n">
        <v>1</v>
      </c>
    </row>
    <row r="130" customFormat="false" ht="15" hidden="false" customHeight="false" outlineLevel="0" collapsed="false">
      <c r="A130" s="0" t="s">
        <v>843</v>
      </c>
      <c r="B130" s="0" t="s">
        <v>96</v>
      </c>
      <c r="C130" s="0" t="s">
        <v>848</v>
      </c>
      <c r="D130" s="0" t="n">
        <v>3</v>
      </c>
      <c r="E130" s="0" t="n">
        <v>14</v>
      </c>
      <c r="F130" s="0" t="n">
        <v>67</v>
      </c>
      <c r="G130" s="0" t="n">
        <v>3</v>
      </c>
    </row>
    <row r="131" customFormat="false" ht="15" hidden="false" customHeight="false" outlineLevel="0" collapsed="false">
      <c r="A131" s="0" t="s">
        <v>843</v>
      </c>
      <c r="B131" s="0" t="s">
        <v>96</v>
      </c>
      <c r="C131" s="0" t="s">
        <v>2180</v>
      </c>
      <c r="D131" s="0" t="n">
        <v>4</v>
      </c>
      <c r="E131" s="0" t="n">
        <v>0</v>
      </c>
      <c r="F131" s="0" t="n">
        <v>75</v>
      </c>
      <c r="G131" s="0" t="n">
        <v>4</v>
      </c>
    </row>
    <row r="132" customFormat="false" ht="15" hidden="false" customHeight="false" outlineLevel="0" collapsed="false">
      <c r="A132" s="0" t="s">
        <v>843</v>
      </c>
      <c r="B132" s="0" t="s">
        <v>142</v>
      </c>
      <c r="C132" s="0" t="s">
        <v>848</v>
      </c>
      <c r="D132" s="0" t="n">
        <v>6</v>
      </c>
      <c r="E132" s="0" t="n">
        <v>11</v>
      </c>
      <c r="F132" s="0" t="n">
        <v>44</v>
      </c>
      <c r="G132" s="0" t="n">
        <v>9</v>
      </c>
    </row>
    <row r="133" customFormat="false" ht="15" hidden="false" customHeight="false" outlineLevel="0" collapsed="false">
      <c r="A133" s="0" t="s">
        <v>843</v>
      </c>
      <c r="B133" s="0" t="s">
        <v>142</v>
      </c>
      <c r="C133" s="0" t="s">
        <v>2180</v>
      </c>
      <c r="D133" s="0" t="n">
        <v>21</v>
      </c>
      <c r="E133" s="0" t="n">
        <v>0</v>
      </c>
      <c r="F133" s="0" t="n">
        <v>50</v>
      </c>
      <c r="G133" s="0" t="n">
        <v>4</v>
      </c>
    </row>
    <row r="134" customFormat="false" ht="15" hidden="false" customHeight="false" outlineLevel="0" collapsed="false">
      <c r="A134" s="0" t="s">
        <v>843</v>
      </c>
      <c r="B134" s="0" t="s">
        <v>109</v>
      </c>
      <c r="C134" s="0" t="s">
        <v>848</v>
      </c>
      <c r="D134" s="0" t="n">
        <v>25</v>
      </c>
      <c r="E134" s="0" t="n">
        <v>17</v>
      </c>
      <c r="F134" s="0" t="n">
        <v>75</v>
      </c>
      <c r="G134" s="0" t="n">
        <v>8</v>
      </c>
    </row>
    <row r="135" customFormat="false" ht="15" hidden="false" customHeight="false" outlineLevel="0" collapsed="false">
      <c r="A135" s="0" t="s">
        <v>843</v>
      </c>
      <c r="B135" s="0" t="s">
        <v>109</v>
      </c>
      <c r="C135" s="0" t="s">
        <v>2180</v>
      </c>
      <c r="D135" s="0" t="n">
        <v>46</v>
      </c>
      <c r="E135" s="0" t="n">
        <v>0</v>
      </c>
      <c r="F135" s="0" t="n">
        <v>43</v>
      </c>
      <c r="G135" s="0" t="n">
        <v>7</v>
      </c>
    </row>
    <row r="136" customFormat="false" ht="15" hidden="false" customHeight="false" outlineLevel="0" collapsed="false">
      <c r="A136" s="0" t="s">
        <v>843</v>
      </c>
      <c r="B136" s="0" t="s">
        <v>118</v>
      </c>
      <c r="C136" s="0" t="s">
        <v>848</v>
      </c>
      <c r="D136" s="0" t="n">
        <v>0</v>
      </c>
      <c r="E136" s="0" t="n">
        <v>22</v>
      </c>
      <c r="F136" s="0" t="n">
        <v>67</v>
      </c>
      <c r="G136" s="0" t="n">
        <v>3</v>
      </c>
    </row>
    <row r="137" customFormat="false" ht="15" hidden="false" customHeight="false" outlineLevel="0" collapsed="false">
      <c r="A137" s="0" t="s">
        <v>843</v>
      </c>
      <c r="B137" s="0" t="s">
        <v>118</v>
      </c>
      <c r="C137" s="0" t="s">
        <v>2180</v>
      </c>
      <c r="D137" s="0" t="n">
        <v>12</v>
      </c>
      <c r="E137" s="0" t="n">
        <v>0</v>
      </c>
      <c r="F137" s="0" t="n">
        <v>25</v>
      </c>
      <c r="G137" s="0" t="n">
        <v>4</v>
      </c>
    </row>
    <row r="138" customFormat="false" ht="15" hidden="false" customHeight="false" outlineLevel="0" collapsed="false">
      <c r="A138" s="0" t="s">
        <v>843</v>
      </c>
      <c r="B138" s="0" t="s">
        <v>82</v>
      </c>
      <c r="C138" s="0" t="s">
        <v>848</v>
      </c>
      <c r="D138" s="0" t="n">
        <v>11</v>
      </c>
      <c r="E138" s="0" t="n">
        <v>6</v>
      </c>
      <c r="F138" s="0" t="n">
        <v>43</v>
      </c>
      <c r="G138" s="0" t="n">
        <v>7</v>
      </c>
    </row>
    <row r="139" customFormat="false" ht="15" hidden="false" customHeight="false" outlineLevel="0" collapsed="false">
      <c r="A139" s="0" t="s">
        <v>843</v>
      </c>
      <c r="B139" s="0" t="s">
        <v>82</v>
      </c>
      <c r="C139" s="0" t="s">
        <v>2180</v>
      </c>
      <c r="D139" s="0" t="n">
        <v>4</v>
      </c>
      <c r="E139" s="0" t="n">
        <v>4</v>
      </c>
      <c r="F139" s="0" t="n">
        <v>67</v>
      </c>
      <c r="G139" s="0" t="n">
        <v>3</v>
      </c>
    </row>
    <row r="140" customFormat="false" ht="15" hidden="false" customHeight="false" outlineLevel="0" collapsed="false">
      <c r="A140" s="0" t="s">
        <v>843</v>
      </c>
      <c r="B140" s="0" t="s">
        <v>149</v>
      </c>
      <c r="C140" s="0" t="s">
        <v>848</v>
      </c>
      <c r="D140" s="0" t="n">
        <v>0</v>
      </c>
      <c r="E140" s="0" t="n">
        <v>31</v>
      </c>
      <c r="G140" s="0" t="n">
        <v>0</v>
      </c>
    </row>
    <row r="141" customFormat="false" ht="15" hidden="false" customHeight="false" outlineLevel="0" collapsed="false">
      <c r="A141" s="0" t="s">
        <v>843</v>
      </c>
      <c r="B141" s="0" t="s">
        <v>149</v>
      </c>
      <c r="C141" s="0" t="s">
        <v>2180</v>
      </c>
      <c r="D141" s="0" t="n">
        <v>0</v>
      </c>
      <c r="E141" s="0" t="n">
        <v>96</v>
      </c>
      <c r="G141" s="0" t="n">
        <v>0</v>
      </c>
    </row>
    <row r="142" customFormat="false" ht="15" hidden="false" customHeight="false" outlineLevel="0" collapsed="false">
      <c r="A142" s="0" t="s">
        <v>850</v>
      </c>
      <c r="B142" s="0" t="s">
        <v>131</v>
      </c>
      <c r="C142" s="0" t="s">
        <v>855</v>
      </c>
      <c r="D142" s="0" t="n">
        <v>23</v>
      </c>
      <c r="E142" s="0" t="n">
        <v>0</v>
      </c>
      <c r="F142" s="0" t="n">
        <v>87</v>
      </c>
      <c r="G142" s="0" t="n">
        <v>15</v>
      </c>
    </row>
    <row r="143" customFormat="false" ht="15" hidden="false" customHeight="false" outlineLevel="0" collapsed="false">
      <c r="A143" s="0" t="s">
        <v>850</v>
      </c>
      <c r="B143" s="0" t="s">
        <v>131</v>
      </c>
      <c r="C143" s="0" t="s">
        <v>2183</v>
      </c>
      <c r="D143" s="0" t="n">
        <v>32</v>
      </c>
      <c r="E143" s="0" t="n">
        <v>0</v>
      </c>
      <c r="F143" s="0" t="n">
        <v>77</v>
      </c>
      <c r="G143" s="0" t="n">
        <v>30</v>
      </c>
    </row>
    <row r="144" customFormat="false" ht="15" hidden="false" customHeight="false" outlineLevel="0" collapsed="false">
      <c r="A144" s="0" t="s">
        <v>850</v>
      </c>
      <c r="B144" s="0" t="s">
        <v>96</v>
      </c>
      <c r="C144" s="0" t="s">
        <v>855</v>
      </c>
      <c r="D144" s="0" t="n">
        <v>21</v>
      </c>
      <c r="E144" s="0" t="n">
        <v>4</v>
      </c>
      <c r="F144" s="0" t="n">
        <v>40</v>
      </c>
      <c r="G144" s="0" t="n">
        <v>15</v>
      </c>
    </row>
    <row r="145" customFormat="false" ht="15" hidden="false" customHeight="false" outlineLevel="0" collapsed="false">
      <c r="A145" s="0" t="s">
        <v>850</v>
      </c>
      <c r="B145" s="0" t="s">
        <v>96</v>
      </c>
      <c r="C145" s="0" t="s">
        <v>2183</v>
      </c>
      <c r="D145" s="0" t="n">
        <v>20</v>
      </c>
      <c r="E145" s="0" t="n">
        <v>0</v>
      </c>
      <c r="F145" s="0" t="n">
        <v>65</v>
      </c>
      <c r="G145" s="0" t="n">
        <v>26</v>
      </c>
    </row>
    <row r="146" customFormat="false" ht="15" hidden="false" customHeight="false" outlineLevel="0" collapsed="false">
      <c r="A146" s="0" t="s">
        <v>850</v>
      </c>
      <c r="B146" s="0" t="s">
        <v>142</v>
      </c>
      <c r="C146" s="0" t="s">
        <v>855</v>
      </c>
      <c r="D146" s="0" t="n">
        <v>2</v>
      </c>
      <c r="E146" s="0" t="n">
        <v>4</v>
      </c>
      <c r="F146" s="0" t="n">
        <v>33</v>
      </c>
      <c r="G146" s="0" t="n">
        <v>9</v>
      </c>
    </row>
    <row r="147" customFormat="false" ht="15" hidden="false" customHeight="false" outlineLevel="0" collapsed="false">
      <c r="A147" s="0" t="s">
        <v>850</v>
      </c>
      <c r="B147" s="0" t="s">
        <v>142</v>
      </c>
      <c r="C147" s="0" t="s">
        <v>2183</v>
      </c>
      <c r="D147" s="0" t="n">
        <v>6</v>
      </c>
      <c r="E147" s="0" t="n">
        <v>0</v>
      </c>
      <c r="F147" s="0" t="n">
        <v>53</v>
      </c>
      <c r="G147" s="0" t="n">
        <v>17</v>
      </c>
    </row>
    <row r="148" customFormat="false" ht="15" hidden="false" customHeight="false" outlineLevel="0" collapsed="false">
      <c r="A148" s="0" t="s">
        <v>850</v>
      </c>
      <c r="B148" s="0" t="s">
        <v>109</v>
      </c>
      <c r="C148" s="0" t="s">
        <v>855</v>
      </c>
      <c r="D148" s="0" t="n">
        <v>10</v>
      </c>
      <c r="E148" s="0" t="n">
        <v>21</v>
      </c>
      <c r="F148" s="0" t="n">
        <v>20</v>
      </c>
      <c r="G148" s="0" t="n">
        <v>5</v>
      </c>
    </row>
    <row r="149" customFormat="false" ht="15" hidden="false" customHeight="false" outlineLevel="0" collapsed="false">
      <c r="A149" s="0" t="s">
        <v>850</v>
      </c>
      <c r="B149" s="0" t="s">
        <v>109</v>
      </c>
      <c r="C149" s="0" t="s">
        <v>2183</v>
      </c>
      <c r="D149" s="0" t="n">
        <v>25</v>
      </c>
      <c r="E149" s="0" t="n">
        <v>0</v>
      </c>
      <c r="F149" s="0" t="n">
        <v>68</v>
      </c>
      <c r="G149" s="0" t="n">
        <v>19</v>
      </c>
    </row>
    <row r="150" customFormat="false" ht="15" hidden="false" customHeight="false" outlineLevel="0" collapsed="false">
      <c r="A150" s="0" t="s">
        <v>850</v>
      </c>
      <c r="B150" s="0" t="s">
        <v>118</v>
      </c>
      <c r="C150" s="0" t="s">
        <v>855</v>
      </c>
      <c r="D150" s="0" t="n">
        <v>8</v>
      </c>
      <c r="E150" s="0" t="n">
        <v>10</v>
      </c>
      <c r="F150" s="0" t="n">
        <v>60</v>
      </c>
      <c r="G150" s="0" t="n">
        <v>15</v>
      </c>
    </row>
    <row r="151" customFormat="false" ht="15" hidden="false" customHeight="false" outlineLevel="0" collapsed="false">
      <c r="A151" s="0" t="s">
        <v>850</v>
      </c>
      <c r="B151" s="0" t="s">
        <v>118</v>
      </c>
      <c r="C151" s="0" t="s">
        <v>2183</v>
      </c>
      <c r="D151" s="0" t="n">
        <v>14</v>
      </c>
      <c r="E151" s="0" t="n">
        <v>0</v>
      </c>
      <c r="F151" s="0" t="n">
        <v>57</v>
      </c>
      <c r="G151" s="0" t="n">
        <v>21</v>
      </c>
    </row>
    <row r="152" customFormat="false" ht="15" hidden="false" customHeight="false" outlineLevel="0" collapsed="false">
      <c r="A152" s="0" t="s">
        <v>850</v>
      </c>
      <c r="B152" s="0" t="s">
        <v>82</v>
      </c>
      <c r="C152" s="0" t="s">
        <v>855</v>
      </c>
      <c r="D152" s="0" t="n">
        <v>31</v>
      </c>
      <c r="E152" s="0" t="n">
        <v>0</v>
      </c>
      <c r="F152" s="0" t="n">
        <v>54</v>
      </c>
      <c r="G152" s="0" t="n">
        <v>13</v>
      </c>
    </row>
    <row r="153" customFormat="false" ht="15" hidden="false" customHeight="false" outlineLevel="0" collapsed="false">
      <c r="A153" s="0" t="s">
        <v>850</v>
      </c>
      <c r="B153" s="0" t="s">
        <v>82</v>
      </c>
      <c r="C153" s="0" t="s">
        <v>2183</v>
      </c>
      <c r="D153" s="0" t="n">
        <v>0</v>
      </c>
      <c r="E153" s="0" t="n">
        <v>99</v>
      </c>
      <c r="G153" s="0" t="n">
        <v>0</v>
      </c>
    </row>
    <row r="154" customFormat="false" ht="15" hidden="false" customHeight="false" outlineLevel="0" collapsed="false">
      <c r="A154" s="0" t="s">
        <v>850</v>
      </c>
      <c r="B154" s="0" t="s">
        <v>149</v>
      </c>
      <c r="C154" s="0" t="s">
        <v>855</v>
      </c>
      <c r="D154" s="0" t="n">
        <v>0</v>
      </c>
      <c r="E154" s="0" t="n">
        <v>60</v>
      </c>
      <c r="F154" s="0" t="n">
        <v>60</v>
      </c>
      <c r="G154" s="0" t="n">
        <v>5</v>
      </c>
    </row>
    <row r="155" customFormat="false" ht="15" hidden="false" customHeight="false" outlineLevel="0" collapsed="false">
      <c r="A155" s="0" t="s">
        <v>850</v>
      </c>
      <c r="B155" s="0" t="s">
        <v>149</v>
      </c>
      <c r="C155" s="0" t="s">
        <v>2183</v>
      </c>
      <c r="D155" s="0" t="n">
        <v>4</v>
      </c>
      <c r="E155" s="0" t="n">
        <v>1</v>
      </c>
      <c r="F155" s="0" t="n">
        <v>67</v>
      </c>
      <c r="G155" s="0" t="n">
        <v>9</v>
      </c>
    </row>
    <row r="156" customFormat="false" ht="15" hidden="false" customHeight="false" outlineLevel="0" collapsed="false">
      <c r="A156" s="0" t="s">
        <v>857</v>
      </c>
      <c r="B156" s="0" t="s">
        <v>131</v>
      </c>
      <c r="C156" s="0" t="s">
        <v>2185</v>
      </c>
      <c r="D156" s="0" t="n">
        <v>23</v>
      </c>
      <c r="E156" s="0" t="n">
        <v>0</v>
      </c>
      <c r="F156" s="0" t="n">
        <v>83</v>
      </c>
      <c r="G156" s="0" t="n">
        <v>18</v>
      </c>
    </row>
    <row r="157" customFormat="false" ht="15" hidden="false" customHeight="false" outlineLevel="0" collapsed="false">
      <c r="A157" s="0" t="s">
        <v>857</v>
      </c>
      <c r="B157" s="0" t="s">
        <v>131</v>
      </c>
      <c r="C157" s="0" t="s">
        <v>2187</v>
      </c>
      <c r="D157" s="0" t="n">
        <v>0</v>
      </c>
      <c r="E157" s="0" t="n">
        <v>0</v>
      </c>
      <c r="F157" s="0" t="n">
        <v>50</v>
      </c>
      <c r="G157" s="0" t="n">
        <v>2</v>
      </c>
    </row>
    <row r="158" customFormat="false" ht="15" hidden="false" customHeight="false" outlineLevel="0" collapsed="false">
      <c r="A158" s="0" t="s">
        <v>857</v>
      </c>
      <c r="B158" s="0" t="s">
        <v>96</v>
      </c>
      <c r="C158" s="0" t="s">
        <v>2185</v>
      </c>
      <c r="D158" s="0" t="n">
        <v>6</v>
      </c>
      <c r="E158" s="0" t="n">
        <v>0</v>
      </c>
      <c r="F158" s="0" t="n">
        <v>30</v>
      </c>
      <c r="G158" s="0" t="n">
        <v>10</v>
      </c>
    </row>
    <row r="159" customFormat="false" ht="15" hidden="false" customHeight="false" outlineLevel="0" collapsed="false">
      <c r="A159" s="0" t="s">
        <v>857</v>
      </c>
      <c r="B159" s="0" t="s">
        <v>96</v>
      </c>
      <c r="C159" s="0" t="s">
        <v>2187</v>
      </c>
      <c r="D159" s="0" t="n">
        <v>34</v>
      </c>
      <c r="E159" s="0" t="n">
        <v>0</v>
      </c>
      <c r="F159" s="0" t="n">
        <v>17</v>
      </c>
      <c r="G159" s="0" t="n">
        <v>6</v>
      </c>
    </row>
    <row r="160" customFormat="false" ht="15" hidden="false" customHeight="false" outlineLevel="0" collapsed="false">
      <c r="A160" s="0" t="s">
        <v>857</v>
      </c>
      <c r="B160" s="0" t="s">
        <v>142</v>
      </c>
      <c r="C160" s="0" t="s">
        <v>2185</v>
      </c>
      <c r="D160" s="0" t="n">
        <v>6</v>
      </c>
      <c r="E160" s="0" t="n">
        <v>0</v>
      </c>
      <c r="F160" s="0" t="n">
        <v>36</v>
      </c>
      <c r="G160" s="0" t="n">
        <v>11</v>
      </c>
    </row>
    <row r="161" customFormat="false" ht="15" hidden="false" customHeight="false" outlineLevel="0" collapsed="false">
      <c r="A161" s="0" t="s">
        <v>857</v>
      </c>
      <c r="B161" s="0" t="s">
        <v>142</v>
      </c>
      <c r="C161" s="0" t="s">
        <v>2187</v>
      </c>
      <c r="D161" s="0" t="n">
        <v>7</v>
      </c>
      <c r="E161" s="0" t="n">
        <v>0</v>
      </c>
      <c r="F161" s="0" t="n">
        <v>40</v>
      </c>
      <c r="G161" s="0" t="n">
        <v>5</v>
      </c>
    </row>
    <row r="162" customFormat="false" ht="15" hidden="false" customHeight="false" outlineLevel="0" collapsed="false">
      <c r="A162" s="0" t="s">
        <v>857</v>
      </c>
      <c r="B162" s="0" t="s">
        <v>109</v>
      </c>
      <c r="C162" s="0" t="s">
        <v>2185</v>
      </c>
      <c r="D162" s="0" t="n">
        <v>17</v>
      </c>
      <c r="E162" s="0" t="n">
        <v>0</v>
      </c>
      <c r="F162" s="0" t="n">
        <v>69</v>
      </c>
      <c r="G162" s="0" t="n">
        <v>13</v>
      </c>
    </row>
    <row r="163" customFormat="false" ht="15" hidden="false" customHeight="false" outlineLevel="0" collapsed="false">
      <c r="A163" s="0" t="s">
        <v>857</v>
      </c>
      <c r="B163" s="0" t="s">
        <v>109</v>
      </c>
      <c r="C163" s="0" t="s">
        <v>2187</v>
      </c>
      <c r="D163" s="0" t="n">
        <v>10</v>
      </c>
      <c r="E163" s="0" t="n">
        <v>0</v>
      </c>
      <c r="F163" s="0" t="n">
        <v>33</v>
      </c>
      <c r="G163" s="0" t="n">
        <v>9</v>
      </c>
    </row>
    <row r="164" customFormat="false" ht="15" hidden="false" customHeight="false" outlineLevel="0" collapsed="false">
      <c r="A164" s="0" t="s">
        <v>857</v>
      </c>
      <c r="B164" s="0" t="s">
        <v>118</v>
      </c>
      <c r="C164" s="0" t="s">
        <v>2185</v>
      </c>
      <c r="D164" s="0" t="n">
        <v>0</v>
      </c>
      <c r="E164" s="0" t="n">
        <v>98</v>
      </c>
      <c r="G164" s="0" t="n">
        <v>0</v>
      </c>
    </row>
    <row r="165" customFormat="false" ht="15" hidden="false" customHeight="false" outlineLevel="0" collapsed="false">
      <c r="A165" s="0" t="s">
        <v>857</v>
      </c>
      <c r="B165" s="0" t="s">
        <v>118</v>
      </c>
      <c r="C165" s="0" t="s">
        <v>2187</v>
      </c>
      <c r="D165" s="0" t="n">
        <v>0</v>
      </c>
      <c r="E165" s="0" t="n">
        <v>100</v>
      </c>
      <c r="G165" s="0" t="n">
        <v>0</v>
      </c>
    </row>
    <row r="166" customFormat="false" ht="15" hidden="false" customHeight="false" outlineLevel="0" collapsed="false">
      <c r="A166" s="0" t="s">
        <v>857</v>
      </c>
      <c r="B166" s="0" t="s">
        <v>82</v>
      </c>
      <c r="C166" s="0" t="s">
        <v>2185</v>
      </c>
      <c r="D166" s="0" t="n">
        <v>20</v>
      </c>
      <c r="E166" s="0" t="n">
        <v>0</v>
      </c>
      <c r="F166" s="0" t="n">
        <v>67</v>
      </c>
      <c r="G166" s="0" t="n">
        <v>18</v>
      </c>
    </row>
    <row r="167" customFormat="false" ht="15" hidden="false" customHeight="false" outlineLevel="0" collapsed="false">
      <c r="A167" s="0" t="s">
        <v>857</v>
      </c>
      <c r="B167" s="0" t="s">
        <v>82</v>
      </c>
      <c r="C167" s="0" t="s">
        <v>2187</v>
      </c>
      <c r="D167" s="0" t="n">
        <v>45</v>
      </c>
      <c r="E167" s="0" t="n">
        <v>0</v>
      </c>
      <c r="F167" s="0" t="n">
        <v>78</v>
      </c>
      <c r="G167" s="0" t="n">
        <v>9</v>
      </c>
    </row>
    <row r="168" customFormat="false" ht="15" hidden="false" customHeight="false" outlineLevel="0" collapsed="false">
      <c r="A168" s="0" t="s">
        <v>857</v>
      </c>
      <c r="B168" s="0" t="s">
        <v>149</v>
      </c>
      <c r="C168" s="0" t="s">
        <v>2185</v>
      </c>
      <c r="D168" s="0" t="n">
        <v>28</v>
      </c>
      <c r="E168" s="0" t="n">
        <v>0</v>
      </c>
      <c r="F168" s="0" t="n">
        <v>80</v>
      </c>
      <c r="G168" s="0" t="n">
        <v>10</v>
      </c>
    </row>
    <row r="169" customFormat="false" ht="15" hidden="false" customHeight="false" outlineLevel="0" collapsed="false">
      <c r="A169" s="0" t="s">
        <v>857</v>
      </c>
      <c r="B169" s="0" t="s">
        <v>149</v>
      </c>
      <c r="C169" s="0" t="s">
        <v>2187</v>
      </c>
      <c r="D169" s="0" t="n">
        <v>0</v>
      </c>
      <c r="E169" s="0" t="n">
        <v>0</v>
      </c>
      <c r="F169" s="0" t="n">
        <v>25</v>
      </c>
      <c r="G169" s="0" t="n">
        <v>4</v>
      </c>
    </row>
  </sheetData>
  <autoFilter ref="A1:G1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5"/>
    <col collapsed="false" customWidth="true" hidden="false" outlineLevel="0" max="4" min="4" style="0" width="2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6"/>
    <col collapsed="false" customWidth="true" hidden="false" outlineLevel="0" max="8" min="8" style="0" width="7"/>
    <col collapsed="false" customWidth="true" hidden="false" outlineLevel="0" max="10" min="9" style="0" width="8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3" min="13" style="0" width="9"/>
    <col collapsed="false" customWidth="true" hidden="false" outlineLevel="0" max="15" min="14" style="0" width="7"/>
    <col collapsed="false" customWidth="true" hidden="false" outlineLevel="0" max="17" min="16" style="0" width="8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0" min="20" style="0" width="10"/>
    <col collapsed="false" customWidth="true" hidden="false" outlineLevel="0" max="21" min="21" style="0" width="11"/>
  </cols>
  <sheetData>
    <row r="1" customFormat="false" ht="28.35" hidden="false" customHeight="false" outlineLevel="0" collapsed="false">
      <c r="A1" s="12" t="s">
        <v>2529</v>
      </c>
      <c r="B1" s="12" t="s">
        <v>1301</v>
      </c>
      <c r="C1" s="12" t="s">
        <v>738</v>
      </c>
      <c r="D1" s="12" t="s">
        <v>737</v>
      </c>
      <c r="E1" s="12" t="s">
        <v>713</v>
      </c>
      <c r="F1" s="12" t="s">
        <v>864</v>
      </c>
      <c r="G1" s="12" t="s">
        <v>865</v>
      </c>
      <c r="H1" s="12" t="s">
        <v>866</v>
      </c>
      <c r="I1" s="12" t="s">
        <v>722</v>
      </c>
      <c r="J1" s="12" t="s">
        <v>868</v>
      </c>
      <c r="K1" s="12" t="s">
        <v>877</v>
      </c>
      <c r="L1" s="12" t="s">
        <v>878</v>
      </c>
      <c r="M1" s="12" t="s">
        <v>871</v>
      </c>
      <c r="N1" s="12" t="s">
        <v>725</v>
      </c>
      <c r="O1" s="12" t="s">
        <v>2530</v>
      </c>
      <c r="P1" s="12" t="s">
        <v>2531</v>
      </c>
      <c r="Q1" s="12" t="s">
        <v>882</v>
      </c>
      <c r="R1" s="12" t="s">
        <v>884</v>
      </c>
      <c r="S1" s="12" t="s">
        <v>719</v>
      </c>
      <c r="T1" s="12" t="s">
        <v>2532</v>
      </c>
      <c r="U1" s="12" t="s">
        <v>2533</v>
      </c>
    </row>
    <row r="2" customFormat="false" ht="15" hidden="false" customHeight="false" outlineLevel="0" collapsed="false">
      <c r="A2" s="0" t="s">
        <v>1305</v>
      </c>
      <c r="B2" s="0" t="s">
        <v>1303</v>
      </c>
      <c r="C2" s="0" t="s">
        <v>775</v>
      </c>
      <c r="D2" s="0" t="s">
        <v>692</v>
      </c>
      <c r="E2" s="0" t="s">
        <v>887</v>
      </c>
      <c r="F2" s="0" t="s">
        <v>888</v>
      </c>
      <c r="G2" s="0" t="n">
        <v>27</v>
      </c>
      <c r="H2" s="0" t="n">
        <v>27.46</v>
      </c>
      <c r="I2" s="10" t="n">
        <v>0.4974</v>
      </c>
      <c r="J2" s="10" t="n">
        <v>0.4385</v>
      </c>
      <c r="K2" s="9" t="s">
        <v>2534</v>
      </c>
      <c r="L2" s="9" t="s">
        <v>2535</v>
      </c>
      <c r="N2" s="10" t="n">
        <v>0.5</v>
      </c>
      <c r="O2" s="19"/>
      <c r="P2" s="0" t="str">
        <f aca="false">IF(O2="","",IF(O2&gt;G2,"OVER",IF(O2&lt;G2,"UNDER","PUSH")))</f>
        <v/>
      </c>
      <c r="Q2" s="0" t="n">
        <v>27.46</v>
      </c>
      <c r="R2" s="10" t="n">
        <v>0.4974</v>
      </c>
      <c r="S2" s="0" t="n">
        <v>1</v>
      </c>
      <c r="T2" s="0" t="n">
        <v>27.95</v>
      </c>
      <c r="U2" s="0" t="n">
        <v>27.95</v>
      </c>
    </row>
    <row r="3" customFormat="false" ht="15" hidden="false" customHeight="false" outlineLevel="0" collapsed="false">
      <c r="A3" s="0" t="s">
        <v>1305</v>
      </c>
      <c r="B3" s="0" t="s">
        <v>1303</v>
      </c>
      <c r="C3" s="0" t="s">
        <v>775</v>
      </c>
      <c r="D3" s="0" t="s">
        <v>692</v>
      </c>
      <c r="E3" s="0" t="s">
        <v>892</v>
      </c>
      <c r="F3" s="0" t="s">
        <v>893</v>
      </c>
      <c r="G3" s="0" t="n">
        <v>20.5</v>
      </c>
      <c r="H3" s="0" t="n">
        <v>22.27</v>
      </c>
      <c r="I3" s="10" t="n">
        <v>0.6311</v>
      </c>
      <c r="J3" s="10" t="n">
        <v>0.3689</v>
      </c>
      <c r="K3" s="9" t="s">
        <v>2534</v>
      </c>
      <c r="L3" s="9" t="s">
        <v>2535</v>
      </c>
      <c r="N3" s="10" t="n">
        <v>0.5</v>
      </c>
      <c r="O3" s="19"/>
      <c r="P3" s="0" t="str">
        <f aca="false">IF(O3="","",IF(O3&gt;G3,"OVER",IF(O3&lt;G3,"UNDER","PUSH")))</f>
        <v/>
      </c>
      <c r="Q3" s="0" t="n">
        <v>22.27</v>
      </c>
      <c r="R3" s="10" t="n">
        <v>0.6311</v>
      </c>
      <c r="S3" s="0" t="n">
        <v>1</v>
      </c>
      <c r="T3" s="0" t="n">
        <v>21.78</v>
      </c>
      <c r="U3" s="0" t="n">
        <v>21.78</v>
      </c>
    </row>
    <row r="4" customFormat="false" ht="15" hidden="false" customHeight="false" outlineLevel="0" collapsed="false">
      <c r="A4" s="0" t="s">
        <v>1305</v>
      </c>
      <c r="B4" s="0" t="s">
        <v>1303</v>
      </c>
      <c r="C4" s="0" t="s">
        <v>775</v>
      </c>
      <c r="D4" s="0" t="s">
        <v>692</v>
      </c>
      <c r="E4" s="0" t="s">
        <v>892</v>
      </c>
      <c r="F4" s="0" t="s">
        <v>888</v>
      </c>
      <c r="G4" s="0" t="n">
        <v>32.5</v>
      </c>
      <c r="H4" s="0" t="n">
        <v>35.09</v>
      </c>
      <c r="I4" s="10" t="n">
        <v>0.644</v>
      </c>
      <c r="J4" s="10" t="n">
        <v>0.356</v>
      </c>
      <c r="K4" s="9" t="s">
        <v>2534</v>
      </c>
      <c r="L4" s="9" t="s">
        <v>2535</v>
      </c>
      <c r="N4" s="10" t="n">
        <v>0.5</v>
      </c>
      <c r="O4" s="19"/>
      <c r="P4" s="0" t="str">
        <f aca="false">IF(O4="","",IF(O4&gt;G4,"OVER",IF(O4&lt;G4,"UNDER","PUSH")))</f>
        <v/>
      </c>
      <c r="Q4" s="0" t="n">
        <v>35.09</v>
      </c>
      <c r="R4" s="10" t="n">
        <v>0.644</v>
      </c>
      <c r="S4" s="0" t="n">
        <v>1</v>
      </c>
      <c r="T4" s="0" t="n">
        <v>34.4</v>
      </c>
      <c r="U4" s="0" t="n">
        <v>34.4</v>
      </c>
    </row>
    <row r="5" customFormat="false" ht="15" hidden="false" customHeight="false" outlineLevel="0" collapsed="false">
      <c r="A5" s="0" t="s">
        <v>1305</v>
      </c>
      <c r="B5" s="0" t="s">
        <v>1303</v>
      </c>
      <c r="C5" s="0" t="s">
        <v>775</v>
      </c>
      <c r="D5" s="0" t="s">
        <v>692</v>
      </c>
      <c r="E5" s="0" t="s">
        <v>897</v>
      </c>
      <c r="F5" s="0" t="s">
        <v>893</v>
      </c>
      <c r="G5" s="0" t="n">
        <v>10.5</v>
      </c>
      <c r="H5" s="0" t="n">
        <v>13.42</v>
      </c>
      <c r="I5" s="10" t="n">
        <v>0.7691</v>
      </c>
      <c r="J5" s="10" t="n">
        <v>0.2309</v>
      </c>
      <c r="K5" s="9" t="s">
        <v>2534</v>
      </c>
      <c r="L5" s="9" t="s">
        <v>2535</v>
      </c>
      <c r="N5" s="10" t="n">
        <v>0.5</v>
      </c>
      <c r="O5" s="19"/>
      <c r="P5" s="0" t="str">
        <f aca="false">IF(O5="","",IF(O5&gt;G5,"OVER",IF(O5&lt;G5,"UNDER","PUSH")))</f>
        <v/>
      </c>
      <c r="Q5" s="0" t="n">
        <v>13.42</v>
      </c>
      <c r="R5" s="10" t="n">
        <v>0.7691</v>
      </c>
      <c r="S5" s="0" t="n">
        <v>1</v>
      </c>
      <c r="T5" s="0" t="n">
        <v>12.54</v>
      </c>
      <c r="U5" s="0" t="n">
        <v>12.54</v>
      </c>
    </row>
    <row r="6" customFormat="false" ht="15" hidden="false" customHeight="false" outlineLevel="0" collapsed="false">
      <c r="A6" s="0" t="s">
        <v>1305</v>
      </c>
      <c r="B6" s="0" t="s">
        <v>1303</v>
      </c>
      <c r="C6" s="0" t="s">
        <v>775</v>
      </c>
      <c r="D6" s="0" t="s">
        <v>692</v>
      </c>
      <c r="E6" s="0" t="s">
        <v>897</v>
      </c>
      <c r="F6" s="0" t="s">
        <v>888</v>
      </c>
      <c r="G6" s="0" t="n">
        <v>30.5</v>
      </c>
      <c r="H6" s="0" t="n">
        <v>31.48</v>
      </c>
      <c r="I6" s="10" t="n">
        <v>0.5587</v>
      </c>
      <c r="J6" s="10" t="n">
        <v>0.4413</v>
      </c>
      <c r="K6" s="9" t="s">
        <v>2534</v>
      </c>
      <c r="L6" s="9" t="s">
        <v>2535</v>
      </c>
      <c r="N6" s="10" t="n">
        <v>0.5</v>
      </c>
      <c r="O6" s="19"/>
      <c r="P6" s="0" t="str">
        <f aca="false">IF(O6="","",IF(O6&gt;G6,"OVER",IF(O6&lt;G6,"UNDER","PUSH")))</f>
        <v/>
      </c>
      <c r="Q6" s="0" t="n">
        <v>31.48</v>
      </c>
      <c r="R6" s="10" t="n">
        <v>0.5587</v>
      </c>
      <c r="S6" s="0" t="n">
        <v>1</v>
      </c>
      <c r="T6" s="0" t="n">
        <v>30.96</v>
      </c>
      <c r="U6" s="0" t="n">
        <v>30.96</v>
      </c>
    </row>
    <row r="7" customFormat="false" ht="15" hidden="false" customHeight="false" outlineLevel="0" collapsed="false">
      <c r="A7" s="0" t="s">
        <v>1305</v>
      </c>
      <c r="B7" s="0" t="s">
        <v>1303</v>
      </c>
      <c r="C7" s="0" t="s">
        <v>775</v>
      </c>
      <c r="D7" s="0" t="s">
        <v>692</v>
      </c>
      <c r="E7" s="0" t="s">
        <v>899</v>
      </c>
      <c r="F7" s="0" t="s">
        <v>893</v>
      </c>
      <c r="G7" s="0" t="n">
        <v>17.5</v>
      </c>
      <c r="H7" s="0" t="n">
        <v>18.35</v>
      </c>
      <c r="I7" s="10" t="n">
        <v>0.5706</v>
      </c>
      <c r="J7" s="10" t="n">
        <v>0.4294</v>
      </c>
      <c r="K7" s="9" t="s">
        <v>2534</v>
      </c>
      <c r="L7" s="9" t="s">
        <v>2535</v>
      </c>
      <c r="N7" s="10" t="n">
        <v>0.5</v>
      </c>
      <c r="O7" s="19"/>
      <c r="P7" s="0" t="str">
        <f aca="false">IF(O7="","",IF(O7&gt;G7,"OVER",IF(O7&lt;G7,"UNDER","PUSH")))</f>
        <v/>
      </c>
      <c r="Q7" s="0" t="n">
        <v>18.35</v>
      </c>
      <c r="R7" s="10" t="n">
        <v>0.5706</v>
      </c>
      <c r="S7" s="0" t="n">
        <v>1</v>
      </c>
      <c r="T7" s="0" t="n">
        <v>17.98</v>
      </c>
      <c r="U7" s="0" t="n">
        <v>17.98</v>
      </c>
    </row>
    <row r="8" customFormat="false" ht="15" hidden="false" customHeight="false" outlineLevel="0" collapsed="false">
      <c r="A8" s="0" t="s">
        <v>1305</v>
      </c>
      <c r="B8" s="0" t="s">
        <v>1303</v>
      </c>
      <c r="C8" s="0" t="s">
        <v>775</v>
      </c>
      <c r="D8" s="0" t="s">
        <v>692</v>
      </c>
      <c r="E8" s="0" t="s">
        <v>899</v>
      </c>
      <c r="F8" s="0" t="s">
        <v>888</v>
      </c>
      <c r="G8" s="0" t="n">
        <v>31.5</v>
      </c>
      <c r="H8" s="0" t="n">
        <v>31.03</v>
      </c>
      <c r="I8" s="10" t="n">
        <v>0.4717</v>
      </c>
      <c r="J8" s="10" t="n">
        <v>0.5283</v>
      </c>
      <c r="K8" s="9" t="s">
        <v>2534</v>
      </c>
      <c r="L8" s="9" t="s">
        <v>2535</v>
      </c>
      <c r="N8" s="10" t="n">
        <v>0.4</v>
      </c>
      <c r="O8" s="19"/>
      <c r="P8" s="0" t="str">
        <f aca="false">IF(O8="","",IF(O8&gt;G8,"OVER",IF(O8&lt;G8,"UNDER","PUSH")))</f>
        <v/>
      </c>
      <c r="Q8" s="0" t="n">
        <v>31.03</v>
      </c>
      <c r="R8" s="10" t="n">
        <v>0.4717</v>
      </c>
      <c r="S8" s="0" t="n">
        <v>1</v>
      </c>
      <c r="T8" s="0" t="n">
        <v>30.53</v>
      </c>
      <c r="U8" s="0" t="n">
        <v>30.53</v>
      </c>
    </row>
    <row r="9" customFormat="false" ht="15" hidden="false" customHeight="false" outlineLevel="0" collapsed="false">
      <c r="A9" s="0" t="s">
        <v>1305</v>
      </c>
      <c r="B9" s="0" t="s">
        <v>1303</v>
      </c>
      <c r="C9" s="0" t="s">
        <v>775</v>
      </c>
      <c r="D9" s="0" t="s">
        <v>692</v>
      </c>
      <c r="E9" s="0" t="s">
        <v>903</v>
      </c>
      <c r="F9" s="0" t="s">
        <v>893</v>
      </c>
      <c r="G9" s="0" t="n">
        <v>15.5</v>
      </c>
      <c r="H9" s="0" t="n">
        <v>16.74</v>
      </c>
      <c r="I9" s="10" t="n">
        <v>0.6066</v>
      </c>
      <c r="J9" s="10" t="n">
        <v>0.3934</v>
      </c>
      <c r="K9" s="9" t="s">
        <v>2534</v>
      </c>
      <c r="L9" s="9" t="s">
        <v>2535</v>
      </c>
      <c r="N9" s="10" t="n">
        <v>0.5</v>
      </c>
      <c r="O9" s="19"/>
      <c r="P9" s="0" t="str">
        <f aca="false">IF(O9="","",IF(O9&gt;G9,"OVER",IF(O9&lt;G9,"UNDER","PUSH")))</f>
        <v/>
      </c>
      <c r="Q9" s="0" t="n">
        <v>16.74</v>
      </c>
      <c r="R9" s="10" t="n">
        <v>0.6066</v>
      </c>
      <c r="S9" s="0" t="n">
        <v>1</v>
      </c>
      <c r="T9" s="0" t="n">
        <v>15.27</v>
      </c>
      <c r="U9" s="0" t="n">
        <v>15.27</v>
      </c>
    </row>
    <row r="10" customFormat="false" ht="15" hidden="false" customHeight="false" outlineLevel="0" collapsed="false">
      <c r="A10" s="0" t="s">
        <v>1305</v>
      </c>
      <c r="B10" s="0" t="s">
        <v>1303</v>
      </c>
      <c r="C10" s="0" t="s">
        <v>775</v>
      </c>
      <c r="D10" s="0" t="s">
        <v>692</v>
      </c>
      <c r="E10" s="0" t="s">
        <v>903</v>
      </c>
      <c r="F10" s="0" t="s">
        <v>888</v>
      </c>
      <c r="G10" s="0" t="n">
        <v>27</v>
      </c>
      <c r="H10" s="0" t="n">
        <v>26.71</v>
      </c>
      <c r="I10" s="10" t="n">
        <v>0.4489</v>
      </c>
      <c r="J10" s="10" t="n">
        <v>0.4861</v>
      </c>
      <c r="K10" s="9" t="s">
        <v>2534</v>
      </c>
      <c r="L10" s="9" t="s">
        <v>2535</v>
      </c>
      <c r="N10" s="10" t="n">
        <v>0.4</v>
      </c>
      <c r="O10" s="19"/>
      <c r="P10" s="0" t="str">
        <f aca="false">IF(O10="","",IF(O10&gt;G10,"OVER",IF(O10&lt;G10,"UNDER","PUSH")))</f>
        <v/>
      </c>
      <c r="Q10" s="0" t="n">
        <v>26.71</v>
      </c>
      <c r="R10" s="10" t="n">
        <v>0.4489</v>
      </c>
      <c r="S10" s="0" t="n">
        <v>1</v>
      </c>
      <c r="T10" s="0" t="n">
        <v>25.37</v>
      </c>
      <c r="U10" s="0" t="n">
        <v>25.37</v>
      </c>
    </row>
    <row r="11" customFormat="false" ht="15" hidden="false" customHeight="false" outlineLevel="0" collapsed="false">
      <c r="A11" s="0" t="s">
        <v>1305</v>
      </c>
      <c r="B11" s="0" t="s">
        <v>1303</v>
      </c>
      <c r="C11" s="0" t="s">
        <v>775</v>
      </c>
      <c r="D11" s="0" t="s">
        <v>835</v>
      </c>
      <c r="E11" s="0" t="s">
        <v>906</v>
      </c>
      <c r="F11" s="0" t="s">
        <v>893</v>
      </c>
      <c r="G11" s="0" t="n">
        <v>11.5</v>
      </c>
      <c r="H11" s="0" t="n">
        <v>10.83</v>
      </c>
      <c r="I11" s="10" t="n">
        <v>0.4243</v>
      </c>
      <c r="J11" s="10" t="n">
        <v>0.5757</v>
      </c>
      <c r="K11" s="9" t="s">
        <v>2536</v>
      </c>
      <c r="L11" s="9" t="s">
        <v>2535</v>
      </c>
      <c r="N11" s="10" t="n">
        <v>0.6</v>
      </c>
      <c r="O11" s="19"/>
      <c r="P11" s="0" t="str">
        <f aca="false">IF(O11="","",IF(O11&gt;G11,"OVER",IF(O11&lt;G11,"UNDER","PUSH")))</f>
        <v/>
      </c>
      <c r="Q11" s="0" t="n">
        <v>10.83</v>
      </c>
      <c r="R11" s="10" t="n">
        <v>0.4243</v>
      </c>
      <c r="S11" s="0" t="n">
        <v>1</v>
      </c>
      <c r="T11" s="0" t="n">
        <v>10.53</v>
      </c>
      <c r="U11" s="0" t="n">
        <v>10.53</v>
      </c>
    </row>
    <row r="12" customFormat="false" ht="15" hidden="false" customHeight="false" outlineLevel="0" collapsed="false">
      <c r="A12" s="0" t="s">
        <v>1305</v>
      </c>
      <c r="B12" s="0" t="s">
        <v>1303</v>
      </c>
      <c r="C12" s="0" t="s">
        <v>775</v>
      </c>
      <c r="D12" s="0" t="s">
        <v>835</v>
      </c>
      <c r="E12" s="0" t="s">
        <v>906</v>
      </c>
      <c r="F12" s="0" t="s">
        <v>888</v>
      </c>
      <c r="G12" s="0" t="n">
        <v>31.5</v>
      </c>
      <c r="H12" s="0" t="n">
        <v>30.88</v>
      </c>
      <c r="I12" s="10" t="n">
        <v>0.4625</v>
      </c>
      <c r="J12" s="10" t="n">
        <v>0.5375</v>
      </c>
      <c r="K12" s="9" t="s">
        <v>2536</v>
      </c>
      <c r="L12" s="9" t="s">
        <v>2535</v>
      </c>
      <c r="N12" s="10" t="n">
        <v>0.5</v>
      </c>
      <c r="O12" s="19"/>
      <c r="P12" s="0" t="str">
        <f aca="false">IF(O12="","",IF(O12&gt;G12,"OVER",IF(O12&lt;G12,"UNDER","PUSH")))</f>
        <v/>
      </c>
      <c r="Q12" s="0" t="n">
        <v>30.88</v>
      </c>
      <c r="R12" s="10" t="n">
        <v>0.4625</v>
      </c>
      <c r="S12" s="0" t="n">
        <v>1</v>
      </c>
      <c r="T12" s="0" t="n">
        <v>31.82</v>
      </c>
      <c r="U12" s="0" t="n">
        <v>31.82</v>
      </c>
    </row>
    <row r="13" customFormat="false" ht="15" hidden="false" customHeight="false" outlineLevel="0" collapsed="false">
      <c r="A13" s="0" t="s">
        <v>1305</v>
      </c>
      <c r="B13" s="0" t="s">
        <v>1303</v>
      </c>
      <c r="C13" s="0" t="s">
        <v>775</v>
      </c>
      <c r="D13" s="0" t="s">
        <v>835</v>
      </c>
      <c r="E13" s="0" t="s">
        <v>909</v>
      </c>
      <c r="F13" s="0" t="s">
        <v>893</v>
      </c>
      <c r="G13" s="0" t="n">
        <v>16.5</v>
      </c>
      <c r="H13" s="0" t="n">
        <v>16.57</v>
      </c>
      <c r="I13" s="10" t="n">
        <v>0.5065</v>
      </c>
      <c r="J13" s="10" t="n">
        <v>0.4935</v>
      </c>
      <c r="K13" s="9" t="s">
        <v>2536</v>
      </c>
      <c r="L13" s="9" t="s">
        <v>2535</v>
      </c>
      <c r="N13" s="10" t="n">
        <v>0.3</v>
      </c>
      <c r="O13" s="19"/>
      <c r="P13" s="0" t="str">
        <f aca="false">IF(O13="","",IF(O13&gt;G13,"OVER",IF(O13&lt;G13,"UNDER","PUSH")))</f>
        <v/>
      </c>
      <c r="Q13" s="0" t="n">
        <v>16.57</v>
      </c>
      <c r="R13" s="10" t="n">
        <v>0.5065</v>
      </c>
      <c r="S13" s="0" t="n">
        <v>1</v>
      </c>
      <c r="T13" s="0" t="n">
        <v>16.18</v>
      </c>
      <c r="U13" s="0" t="n">
        <v>16.18</v>
      </c>
    </row>
    <row r="14" customFormat="false" ht="15" hidden="false" customHeight="false" outlineLevel="0" collapsed="false">
      <c r="A14" s="0" t="s">
        <v>1305</v>
      </c>
      <c r="B14" s="0" t="s">
        <v>1303</v>
      </c>
      <c r="C14" s="0" t="s">
        <v>775</v>
      </c>
      <c r="D14" s="0" t="s">
        <v>835</v>
      </c>
      <c r="E14" s="0" t="s">
        <v>909</v>
      </c>
      <c r="F14" s="0" t="s">
        <v>888</v>
      </c>
      <c r="G14" s="0" t="n">
        <v>28</v>
      </c>
      <c r="H14" s="0" t="n">
        <v>27.05</v>
      </c>
      <c r="I14" s="10" t="n">
        <v>0.4069</v>
      </c>
      <c r="J14" s="10" t="n">
        <v>0.5291</v>
      </c>
      <c r="K14" s="9" t="s">
        <v>2536</v>
      </c>
      <c r="L14" s="9" t="s">
        <v>2535</v>
      </c>
      <c r="N14" s="10" t="n">
        <v>0.6</v>
      </c>
      <c r="O14" s="19"/>
      <c r="P14" s="0" t="str">
        <f aca="false">IF(O14="","",IF(O14&gt;G14,"OVER",IF(O14&lt;G14,"UNDER","PUSH")))</f>
        <v/>
      </c>
      <c r="Q14" s="0" t="n">
        <v>27.05</v>
      </c>
      <c r="R14" s="10" t="n">
        <v>0.4069</v>
      </c>
      <c r="S14" s="0" t="n">
        <v>1</v>
      </c>
      <c r="T14" s="0" t="n">
        <v>27.52</v>
      </c>
      <c r="U14" s="0" t="n">
        <v>27.52</v>
      </c>
    </row>
    <row r="15" customFormat="false" ht="15" hidden="false" customHeight="false" outlineLevel="0" collapsed="false">
      <c r="A15" s="0" t="s">
        <v>1305</v>
      </c>
      <c r="B15" s="0" t="s">
        <v>1303</v>
      </c>
      <c r="C15" s="0" t="s">
        <v>775</v>
      </c>
      <c r="D15" s="0" t="s">
        <v>835</v>
      </c>
      <c r="E15" s="0" t="s">
        <v>911</v>
      </c>
      <c r="F15" s="0" t="s">
        <v>893</v>
      </c>
      <c r="G15" s="0" t="n">
        <v>15</v>
      </c>
      <c r="H15" s="0" t="n">
        <v>14.81</v>
      </c>
      <c r="I15" s="10" t="n">
        <v>0.4353</v>
      </c>
      <c r="J15" s="10" t="n">
        <v>0.471</v>
      </c>
      <c r="K15" s="9" t="s">
        <v>2536</v>
      </c>
      <c r="L15" s="9" t="s">
        <v>2535</v>
      </c>
      <c r="N15" s="10" t="n">
        <v>0.8</v>
      </c>
      <c r="O15" s="19"/>
      <c r="P15" s="0" t="str">
        <f aca="false">IF(O15="","",IF(O15&gt;G15,"OVER",IF(O15&lt;G15,"UNDER","PUSH")))</f>
        <v/>
      </c>
      <c r="Q15" s="0" t="n">
        <v>14.81</v>
      </c>
      <c r="R15" s="10" t="n">
        <v>0.4353</v>
      </c>
      <c r="S15" s="0" t="n">
        <v>1</v>
      </c>
      <c r="T15" s="0" t="n">
        <v>14.61</v>
      </c>
      <c r="U15" s="0" t="n">
        <v>14.61</v>
      </c>
    </row>
    <row r="16" customFormat="false" ht="15" hidden="false" customHeight="false" outlineLevel="0" collapsed="false">
      <c r="A16" s="0" t="s">
        <v>1305</v>
      </c>
      <c r="B16" s="0" t="s">
        <v>1303</v>
      </c>
      <c r="C16" s="0" t="s">
        <v>775</v>
      </c>
      <c r="D16" s="0" t="s">
        <v>835</v>
      </c>
      <c r="E16" s="0" t="s">
        <v>911</v>
      </c>
      <c r="F16" s="0" t="s">
        <v>888</v>
      </c>
      <c r="G16" s="0" t="n">
        <v>27.5</v>
      </c>
      <c r="H16" s="0" t="n">
        <v>27.29</v>
      </c>
      <c r="I16" s="10" t="n">
        <v>0.4862</v>
      </c>
      <c r="J16" s="10" t="n">
        <v>0.5138</v>
      </c>
      <c r="K16" s="9" t="s">
        <v>2536</v>
      </c>
      <c r="L16" s="9" t="s">
        <v>2535</v>
      </c>
      <c r="N16" s="10" t="n">
        <v>0.9</v>
      </c>
      <c r="O16" s="19"/>
      <c r="P16" s="0" t="str">
        <f aca="false">IF(O16="","",IF(O16&gt;G16,"OVER",IF(O16&lt;G16,"UNDER","PUSH")))</f>
        <v/>
      </c>
      <c r="Q16" s="0" t="n">
        <v>27.29</v>
      </c>
      <c r="R16" s="10" t="n">
        <v>0.4862</v>
      </c>
      <c r="S16" s="0" t="n">
        <v>1</v>
      </c>
      <c r="T16" s="0" t="n">
        <v>27.52</v>
      </c>
      <c r="U16" s="0" t="n">
        <v>27.52</v>
      </c>
    </row>
    <row r="17" customFormat="false" ht="15" hidden="false" customHeight="false" outlineLevel="0" collapsed="false">
      <c r="A17" s="0" t="s">
        <v>1305</v>
      </c>
      <c r="B17" s="0" t="s">
        <v>1303</v>
      </c>
      <c r="C17" s="0" t="s">
        <v>775</v>
      </c>
      <c r="D17" s="0" t="s">
        <v>835</v>
      </c>
      <c r="E17" s="0" t="s">
        <v>913</v>
      </c>
      <c r="F17" s="0" t="s">
        <v>893</v>
      </c>
      <c r="G17" s="0" t="n">
        <v>14</v>
      </c>
      <c r="H17" s="0" t="n">
        <v>12.96</v>
      </c>
      <c r="I17" s="10" t="n">
        <v>0.3468</v>
      </c>
      <c r="J17" s="10" t="n">
        <v>0.5552</v>
      </c>
      <c r="K17" s="9" t="s">
        <v>2536</v>
      </c>
      <c r="L17" s="9" t="s">
        <v>2535</v>
      </c>
      <c r="N17" s="10" t="n">
        <v>0.3</v>
      </c>
      <c r="O17" s="19"/>
      <c r="P17" s="0" t="str">
        <f aca="false">IF(O17="","",IF(O17&gt;G17,"OVER",IF(O17&lt;G17,"UNDER","PUSH")))</f>
        <v/>
      </c>
      <c r="Q17" s="0" t="n">
        <v>12.96</v>
      </c>
      <c r="R17" s="10" t="n">
        <v>0.3468</v>
      </c>
      <c r="S17" s="0" t="n">
        <v>1</v>
      </c>
      <c r="T17" s="0" t="n">
        <v>13.22</v>
      </c>
      <c r="U17" s="0" t="n">
        <v>13.22</v>
      </c>
    </row>
    <row r="18" customFormat="false" ht="15" hidden="false" customHeight="false" outlineLevel="0" collapsed="false">
      <c r="A18" s="0" t="s">
        <v>1305</v>
      </c>
      <c r="B18" s="0" t="s">
        <v>1303</v>
      </c>
      <c r="C18" s="0" t="s">
        <v>775</v>
      </c>
      <c r="D18" s="0" t="s">
        <v>835</v>
      </c>
      <c r="E18" s="0" t="s">
        <v>913</v>
      </c>
      <c r="F18" s="0" t="s">
        <v>888</v>
      </c>
      <c r="G18" s="0" t="n">
        <v>28.5</v>
      </c>
      <c r="H18" s="0" t="n">
        <v>28.07</v>
      </c>
      <c r="I18" s="10" t="n">
        <v>0.4725</v>
      </c>
      <c r="J18" s="10" t="n">
        <v>0.5275</v>
      </c>
      <c r="K18" s="9" t="s">
        <v>2536</v>
      </c>
      <c r="L18" s="9" t="s">
        <v>2535</v>
      </c>
      <c r="N18" s="10" t="n">
        <v>0.5</v>
      </c>
      <c r="O18" s="19"/>
      <c r="P18" s="0" t="str">
        <f aca="false">IF(O18="","",IF(O18&gt;G18,"OVER",IF(O18&lt;G18,"UNDER","PUSH")))</f>
        <v/>
      </c>
      <c r="Q18" s="0" t="n">
        <v>28.07</v>
      </c>
      <c r="R18" s="10" t="n">
        <v>0.4725</v>
      </c>
      <c r="S18" s="0" t="n">
        <v>1</v>
      </c>
      <c r="T18" s="0" t="n">
        <v>27.95</v>
      </c>
      <c r="U18" s="0" t="n">
        <v>27.95</v>
      </c>
    </row>
    <row r="19" customFormat="false" ht="15" hidden="false" customHeight="false" outlineLevel="0" collapsed="false">
      <c r="A19" s="0" t="s">
        <v>1305</v>
      </c>
      <c r="B19" s="0" t="s">
        <v>1303</v>
      </c>
      <c r="C19" s="0" t="s">
        <v>775</v>
      </c>
      <c r="D19" s="0" t="s">
        <v>835</v>
      </c>
      <c r="E19" s="0" t="s">
        <v>915</v>
      </c>
      <c r="F19" s="0" t="s">
        <v>893</v>
      </c>
      <c r="G19" s="0" t="n">
        <v>17</v>
      </c>
      <c r="H19" s="0" t="n">
        <v>17.4</v>
      </c>
      <c r="I19" s="10" t="n">
        <v>0.4913</v>
      </c>
      <c r="J19" s="10" t="n">
        <v>0.423</v>
      </c>
      <c r="K19" s="9" t="s">
        <v>2536</v>
      </c>
      <c r="L19" s="9" t="s">
        <v>2535</v>
      </c>
      <c r="N19" s="10" t="n">
        <v>0.5</v>
      </c>
      <c r="O19" s="19"/>
      <c r="P19" s="0" t="str">
        <f aca="false">IF(O19="","",IF(O19&gt;G19,"OVER",IF(O19&lt;G19,"UNDER","PUSH")))</f>
        <v/>
      </c>
      <c r="Q19" s="0" t="n">
        <v>17.4</v>
      </c>
      <c r="R19" s="10" t="n">
        <v>0.4913</v>
      </c>
      <c r="S19" s="0" t="n">
        <v>1</v>
      </c>
      <c r="T19" s="0" t="n">
        <v>17.8</v>
      </c>
      <c r="U19" s="0" t="n">
        <v>17.8</v>
      </c>
    </row>
    <row r="20" customFormat="false" ht="15" hidden="false" customHeight="false" outlineLevel="0" collapsed="false">
      <c r="A20" s="0" t="s">
        <v>1305</v>
      </c>
      <c r="B20" s="0" t="s">
        <v>1303</v>
      </c>
      <c r="C20" s="0" t="s">
        <v>775</v>
      </c>
      <c r="D20" s="0" t="s">
        <v>835</v>
      </c>
      <c r="E20" s="0" t="s">
        <v>915</v>
      </c>
      <c r="F20" s="0" t="s">
        <v>888</v>
      </c>
      <c r="G20" s="0" t="n">
        <v>29.5</v>
      </c>
      <c r="H20" s="0" t="n">
        <v>30.22</v>
      </c>
      <c r="I20" s="10" t="n">
        <v>0.5439</v>
      </c>
      <c r="J20" s="10" t="n">
        <v>0.4561</v>
      </c>
      <c r="K20" s="9" t="s">
        <v>2536</v>
      </c>
      <c r="L20" s="9" t="s">
        <v>2535</v>
      </c>
      <c r="N20" s="10" t="n">
        <v>0.6</v>
      </c>
      <c r="O20" s="19"/>
      <c r="P20" s="0" t="str">
        <f aca="false">IF(O20="","",IF(O20&gt;G20,"OVER",IF(O20&lt;G20,"UNDER","PUSH")))</f>
        <v/>
      </c>
      <c r="Q20" s="0" t="n">
        <v>30.22</v>
      </c>
      <c r="R20" s="10" t="n">
        <v>0.5439</v>
      </c>
      <c r="S20" s="0" t="n">
        <v>1</v>
      </c>
      <c r="T20" s="0" t="n">
        <v>31.39</v>
      </c>
      <c r="U20" s="0" t="n">
        <v>31.39</v>
      </c>
    </row>
    <row r="21" customFormat="false" ht="15" hidden="false" customHeight="false" outlineLevel="0" collapsed="false">
      <c r="A21" s="0" t="s">
        <v>1305</v>
      </c>
      <c r="B21" s="0" t="s">
        <v>1303</v>
      </c>
      <c r="C21" s="0" t="s">
        <v>775</v>
      </c>
      <c r="D21" s="0" t="s">
        <v>850</v>
      </c>
      <c r="E21" s="0" t="s">
        <v>917</v>
      </c>
      <c r="F21" s="0" t="s">
        <v>893</v>
      </c>
      <c r="G21" s="0" t="n">
        <v>13.5</v>
      </c>
      <c r="H21" s="0" t="n">
        <v>13.13</v>
      </c>
      <c r="I21" s="10" t="n">
        <v>0.4629</v>
      </c>
      <c r="J21" s="10" t="n">
        <v>0.5371</v>
      </c>
      <c r="K21" s="9" t="s">
        <v>2537</v>
      </c>
      <c r="L21" s="9" t="s">
        <v>2535</v>
      </c>
      <c r="N21" s="10" t="n">
        <v>0.7</v>
      </c>
      <c r="O21" s="19"/>
      <c r="P21" s="0" t="str">
        <f aca="false">IF(O21="","",IF(O21&gt;G21,"OVER",IF(O21&lt;G21,"UNDER","PUSH")))</f>
        <v/>
      </c>
      <c r="Q21" s="0" t="n">
        <v>13.13</v>
      </c>
      <c r="R21" s="10" t="n">
        <v>0.4629</v>
      </c>
      <c r="S21" s="0" t="n">
        <v>1</v>
      </c>
      <c r="T21" s="0" t="n">
        <v>13.01</v>
      </c>
      <c r="U21" s="0" t="n">
        <v>13.01</v>
      </c>
    </row>
    <row r="22" customFormat="false" ht="15" hidden="false" customHeight="false" outlineLevel="0" collapsed="false">
      <c r="A22" s="0" t="s">
        <v>1305</v>
      </c>
      <c r="B22" s="0" t="s">
        <v>1303</v>
      </c>
      <c r="C22" s="0" t="s">
        <v>775</v>
      </c>
      <c r="D22" s="0" t="s">
        <v>850</v>
      </c>
      <c r="E22" s="0" t="s">
        <v>917</v>
      </c>
      <c r="F22" s="0" t="s">
        <v>888</v>
      </c>
      <c r="G22" s="0" t="n">
        <v>28.5</v>
      </c>
      <c r="H22" s="0" t="n">
        <v>26.14</v>
      </c>
      <c r="I22" s="10" t="n">
        <v>0.3482</v>
      </c>
      <c r="J22" s="10" t="n">
        <v>0.6518</v>
      </c>
      <c r="K22" s="9" t="s">
        <v>2537</v>
      </c>
      <c r="L22" s="9" t="s">
        <v>2535</v>
      </c>
      <c r="N22" s="10" t="n">
        <v>0.4</v>
      </c>
      <c r="O22" s="19"/>
      <c r="P22" s="0" t="str">
        <f aca="false">IF(O22="","",IF(O22&gt;G22,"OVER",IF(O22&lt;G22,"UNDER","PUSH")))</f>
        <v/>
      </c>
      <c r="Q22" s="0" t="n">
        <v>26.14</v>
      </c>
      <c r="R22" s="10" t="n">
        <v>0.3482</v>
      </c>
      <c r="S22" s="0" t="n">
        <v>1</v>
      </c>
      <c r="T22" s="0" t="n">
        <v>26.23</v>
      </c>
      <c r="U22" s="0" t="n">
        <v>26.23</v>
      </c>
    </row>
    <row r="23" customFormat="false" ht="15" hidden="false" customHeight="false" outlineLevel="0" collapsed="false">
      <c r="A23" s="0" t="s">
        <v>1305</v>
      </c>
      <c r="B23" s="0" t="s">
        <v>1303</v>
      </c>
      <c r="C23" s="0" t="s">
        <v>775</v>
      </c>
      <c r="D23" s="0" t="s">
        <v>850</v>
      </c>
      <c r="E23" s="0" t="s">
        <v>919</v>
      </c>
      <c r="F23" s="0" t="s">
        <v>893</v>
      </c>
      <c r="G23" s="0" t="n">
        <v>15</v>
      </c>
      <c r="H23" s="0" t="n">
        <v>16.67</v>
      </c>
      <c r="I23" s="10" t="n">
        <v>0.6038</v>
      </c>
      <c r="J23" s="10" t="n">
        <v>0.313</v>
      </c>
      <c r="K23" s="9" t="s">
        <v>2537</v>
      </c>
      <c r="L23" s="9" t="s">
        <v>2535</v>
      </c>
      <c r="N23" s="10" t="n">
        <v>0.6</v>
      </c>
      <c r="O23" s="19"/>
      <c r="P23" s="0" t="str">
        <f aca="false">IF(O23="","",IF(O23&gt;G23,"OVER",IF(O23&lt;G23,"UNDER","PUSH")))</f>
        <v/>
      </c>
      <c r="Q23" s="0" t="n">
        <v>16.67</v>
      </c>
      <c r="R23" s="10" t="n">
        <v>0.6038</v>
      </c>
      <c r="S23" s="0" t="n">
        <v>1</v>
      </c>
      <c r="T23" s="0" t="n">
        <v>15.59</v>
      </c>
      <c r="U23" s="0" t="n">
        <v>15.59</v>
      </c>
    </row>
    <row r="24" customFormat="false" ht="15" hidden="false" customHeight="false" outlineLevel="0" collapsed="false">
      <c r="A24" s="0" t="s">
        <v>1305</v>
      </c>
      <c r="B24" s="0" t="s">
        <v>1303</v>
      </c>
      <c r="C24" s="0" t="s">
        <v>775</v>
      </c>
      <c r="D24" s="0" t="s">
        <v>850</v>
      </c>
      <c r="E24" s="0" t="s">
        <v>919</v>
      </c>
      <c r="F24" s="0" t="s">
        <v>888</v>
      </c>
      <c r="G24" s="0" t="n">
        <v>31.5</v>
      </c>
      <c r="H24" s="0" t="n">
        <v>34.5</v>
      </c>
      <c r="I24" s="10" t="n">
        <v>0.667</v>
      </c>
      <c r="J24" s="10" t="n">
        <v>0.333</v>
      </c>
      <c r="K24" s="9" t="s">
        <v>2537</v>
      </c>
      <c r="L24" s="9" t="s">
        <v>2535</v>
      </c>
      <c r="N24" s="10" t="n">
        <v>0.5</v>
      </c>
      <c r="O24" s="19"/>
      <c r="P24" s="0" t="str">
        <f aca="false">IF(O24="","",IF(O24&gt;G24,"OVER",IF(O24&lt;G24,"UNDER","PUSH")))</f>
        <v/>
      </c>
      <c r="Q24" s="0" t="n">
        <v>34.5</v>
      </c>
      <c r="R24" s="10" t="n">
        <v>0.667</v>
      </c>
      <c r="S24" s="0" t="n">
        <v>1</v>
      </c>
      <c r="T24" s="0" t="n">
        <v>33.11</v>
      </c>
      <c r="U24" s="0" t="n">
        <v>33.11</v>
      </c>
    </row>
    <row r="25" customFormat="false" ht="15" hidden="false" customHeight="false" outlineLevel="0" collapsed="false">
      <c r="A25" s="0" t="s">
        <v>1305</v>
      </c>
      <c r="B25" s="0" t="s">
        <v>1303</v>
      </c>
      <c r="C25" s="0" t="s">
        <v>775</v>
      </c>
      <c r="D25" s="0" t="s">
        <v>850</v>
      </c>
      <c r="E25" s="0" t="s">
        <v>922</v>
      </c>
      <c r="F25" s="0" t="s">
        <v>893</v>
      </c>
      <c r="G25" s="0" t="n">
        <v>19.5</v>
      </c>
      <c r="H25" s="0" t="n">
        <v>18.96</v>
      </c>
      <c r="I25" s="10" t="n">
        <v>0.4556</v>
      </c>
      <c r="J25" s="10" t="n">
        <v>0.5444</v>
      </c>
      <c r="K25" s="9" t="s">
        <v>2537</v>
      </c>
      <c r="L25" s="9" t="s">
        <v>2535</v>
      </c>
      <c r="N25" s="10" t="n">
        <v>0.6</v>
      </c>
      <c r="O25" s="19"/>
      <c r="P25" s="0" t="str">
        <f aca="false">IF(O25="","",IF(O25&gt;G25,"OVER",IF(O25&lt;G25,"UNDER","PUSH")))</f>
        <v/>
      </c>
      <c r="Q25" s="0" t="n">
        <v>18.96</v>
      </c>
      <c r="R25" s="10" t="n">
        <v>0.4556</v>
      </c>
      <c r="S25" s="0" t="n">
        <v>1</v>
      </c>
      <c r="T25" s="0" t="n">
        <v>20.4</v>
      </c>
      <c r="U25" s="0" t="n">
        <v>20.4</v>
      </c>
    </row>
    <row r="26" customFormat="false" ht="15" hidden="false" customHeight="false" outlineLevel="0" collapsed="false">
      <c r="A26" s="0" t="s">
        <v>1305</v>
      </c>
      <c r="B26" s="0" t="s">
        <v>1303</v>
      </c>
      <c r="C26" s="0" t="s">
        <v>775</v>
      </c>
      <c r="D26" s="0" t="s">
        <v>850</v>
      </c>
      <c r="E26" s="0" t="s">
        <v>922</v>
      </c>
      <c r="F26" s="0" t="s">
        <v>888</v>
      </c>
      <c r="G26" s="0" t="n">
        <v>32.5</v>
      </c>
      <c r="H26" s="0" t="n">
        <v>33.58</v>
      </c>
      <c r="I26" s="10" t="n">
        <v>0.5627</v>
      </c>
      <c r="J26" s="10" t="n">
        <v>0.4373</v>
      </c>
      <c r="K26" s="9" t="s">
        <v>2537</v>
      </c>
      <c r="L26" s="9" t="s">
        <v>2535</v>
      </c>
      <c r="N26" s="10" t="n">
        <v>0.7</v>
      </c>
      <c r="O26" s="19"/>
      <c r="P26" s="0" t="str">
        <f aca="false">IF(O26="","",IF(O26&gt;G26,"OVER",IF(O26&lt;G26,"UNDER","PUSH")))</f>
        <v/>
      </c>
      <c r="Q26" s="0" t="n">
        <v>33.58</v>
      </c>
      <c r="R26" s="10" t="n">
        <v>0.5627</v>
      </c>
      <c r="S26" s="0" t="n">
        <v>1</v>
      </c>
      <c r="T26" s="0" t="n">
        <v>34.4</v>
      </c>
      <c r="U26" s="0" t="n">
        <v>34.4</v>
      </c>
    </row>
    <row r="27" customFormat="false" ht="15" hidden="false" customHeight="false" outlineLevel="0" collapsed="false">
      <c r="A27" s="0" t="s">
        <v>1305</v>
      </c>
      <c r="B27" s="0" t="s">
        <v>1303</v>
      </c>
      <c r="C27" s="0" t="s">
        <v>775</v>
      </c>
      <c r="D27" s="0" t="s">
        <v>850</v>
      </c>
      <c r="E27" s="0" t="s">
        <v>924</v>
      </c>
      <c r="F27" s="0" t="s">
        <v>893</v>
      </c>
      <c r="G27" s="0" t="n">
        <v>9.5</v>
      </c>
      <c r="H27" s="0" t="n">
        <v>8.85</v>
      </c>
      <c r="I27" s="10" t="n">
        <v>0.418</v>
      </c>
      <c r="J27" s="10" t="n">
        <v>0.582</v>
      </c>
      <c r="K27" s="9" t="s">
        <v>2537</v>
      </c>
      <c r="L27" s="9" t="s">
        <v>2535</v>
      </c>
      <c r="N27" s="10" t="n">
        <v>0.2</v>
      </c>
      <c r="O27" s="19"/>
      <c r="P27" s="0" t="str">
        <f aca="false">IF(O27="","",IF(O27&gt;G27,"OVER",IF(O27&lt;G27,"UNDER","PUSH")))</f>
        <v/>
      </c>
      <c r="Q27" s="0" t="n">
        <v>8.85</v>
      </c>
      <c r="R27" s="10" t="n">
        <v>0.418</v>
      </c>
      <c r="S27" s="0" t="n">
        <v>1</v>
      </c>
      <c r="T27" s="0" t="n">
        <v>8.83</v>
      </c>
      <c r="U27" s="0" t="n">
        <v>8.83</v>
      </c>
    </row>
    <row r="28" customFormat="false" ht="15" hidden="false" customHeight="false" outlineLevel="0" collapsed="false">
      <c r="A28" s="0" t="s">
        <v>1305</v>
      </c>
      <c r="B28" s="0" t="s">
        <v>1303</v>
      </c>
      <c r="C28" s="0" t="s">
        <v>775</v>
      </c>
      <c r="D28" s="0" t="s">
        <v>850</v>
      </c>
      <c r="E28" s="0" t="s">
        <v>924</v>
      </c>
      <c r="F28" s="0" t="s">
        <v>888</v>
      </c>
      <c r="G28" s="0" t="n">
        <v>30.5</v>
      </c>
      <c r="H28" s="0" t="n">
        <v>28.92</v>
      </c>
      <c r="I28" s="10" t="n">
        <v>0.4018</v>
      </c>
      <c r="J28" s="10" t="n">
        <v>0.5982</v>
      </c>
      <c r="K28" s="9" t="s">
        <v>2537</v>
      </c>
      <c r="L28" s="9" t="s">
        <v>2535</v>
      </c>
      <c r="N28" s="10" t="n">
        <v>0.5</v>
      </c>
      <c r="O28" s="19"/>
      <c r="P28" s="0" t="str">
        <f aca="false">IF(O28="","",IF(O28&gt;G28,"OVER",IF(O28&lt;G28,"UNDER","PUSH")))</f>
        <v/>
      </c>
      <c r="Q28" s="0" t="n">
        <v>28.92</v>
      </c>
      <c r="R28" s="10" t="n">
        <v>0.4018</v>
      </c>
      <c r="S28" s="0" t="n">
        <v>1</v>
      </c>
      <c r="T28" s="0" t="n">
        <v>29.24</v>
      </c>
      <c r="U28" s="0" t="n">
        <v>29.24</v>
      </c>
    </row>
    <row r="29" customFormat="false" ht="15" hidden="false" customHeight="false" outlineLevel="0" collapsed="false">
      <c r="A29" s="0" t="s">
        <v>1305</v>
      </c>
      <c r="B29" s="0" t="s">
        <v>1303</v>
      </c>
      <c r="C29" s="0" t="s">
        <v>775</v>
      </c>
      <c r="D29" s="0" t="s">
        <v>850</v>
      </c>
      <c r="E29" s="0" t="s">
        <v>926</v>
      </c>
      <c r="F29" s="0" t="s">
        <v>893</v>
      </c>
      <c r="G29" s="0" t="n">
        <v>12.5</v>
      </c>
      <c r="H29" s="0" t="n">
        <v>12.93</v>
      </c>
      <c r="I29" s="10" t="n">
        <v>0.5434</v>
      </c>
      <c r="J29" s="10" t="n">
        <v>0.4566</v>
      </c>
      <c r="K29" s="9" t="s">
        <v>2537</v>
      </c>
      <c r="L29" s="9" t="s">
        <v>2535</v>
      </c>
      <c r="N29" s="10" t="n">
        <v>0.6</v>
      </c>
      <c r="O29" s="19"/>
      <c r="P29" s="0" t="str">
        <f aca="false">IF(O29="","",IF(O29&gt;G29,"OVER",IF(O29&lt;G29,"UNDER","PUSH")))</f>
        <v/>
      </c>
      <c r="Q29" s="0" t="n">
        <v>12.93</v>
      </c>
      <c r="R29" s="10" t="n">
        <v>0.5434</v>
      </c>
      <c r="S29" s="0" t="n">
        <v>1</v>
      </c>
      <c r="T29" s="0" t="n">
        <v>13.57</v>
      </c>
      <c r="U29" s="0" t="n">
        <v>13.57</v>
      </c>
    </row>
    <row r="30" customFormat="false" ht="15" hidden="false" customHeight="false" outlineLevel="0" collapsed="false">
      <c r="A30" s="0" t="s">
        <v>1305</v>
      </c>
      <c r="B30" s="0" t="s">
        <v>1303</v>
      </c>
      <c r="C30" s="0" t="s">
        <v>775</v>
      </c>
      <c r="D30" s="0" t="s">
        <v>850</v>
      </c>
      <c r="E30" s="0" t="s">
        <v>926</v>
      </c>
      <c r="F30" s="0" t="s">
        <v>888</v>
      </c>
      <c r="G30" s="0" t="n">
        <v>26.5</v>
      </c>
      <c r="H30" s="0" t="n">
        <v>26.59</v>
      </c>
      <c r="I30" s="10" t="n">
        <v>0.5056</v>
      </c>
      <c r="J30" s="10" t="n">
        <v>0.4944</v>
      </c>
      <c r="K30" s="9" t="s">
        <v>2537</v>
      </c>
      <c r="L30" s="9" t="s">
        <v>2535</v>
      </c>
      <c r="N30" s="10" t="n">
        <v>0.7</v>
      </c>
      <c r="O30" s="19"/>
      <c r="P30" s="0" t="str">
        <f aca="false">IF(O30="","",IF(O30&gt;G30,"OVER",IF(O30&lt;G30,"UNDER","PUSH")))</f>
        <v/>
      </c>
      <c r="Q30" s="0" t="n">
        <v>26.59</v>
      </c>
      <c r="R30" s="10" t="n">
        <v>0.5056</v>
      </c>
      <c r="S30" s="0" t="n">
        <v>1</v>
      </c>
      <c r="T30" s="0" t="n">
        <v>27.09</v>
      </c>
      <c r="U30" s="0" t="n">
        <v>27.09</v>
      </c>
    </row>
    <row r="31" customFormat="false" ht="15" hidden="false" customHeight="false" outlineLevel="0" collapsed="false">
      <c r="A31" s="0" t="s">
        <v>1305</v>
      </c>
      <c r="B31" s="0" t="s">
        <v>1303</v>
      </c>
      <c r="C31" s="0" t="s">
        <v>775</v>
      </c>
      <c r="D31" s="0" t="s">
        <v>792</v>
      </c>
      <c r="E31" s="0" t="s">
        <v>928</v>
      </c>
      <c r="F31" s="0" t="s">
        <v>893</v>
      </c>
      <c r="G31" s="0" t="n">
        <v>18</v>
      </c>
      <c r="H31" s="0" t="n">
        <v>15.22</v>
      </c>
      <c r="I31" s="10" t="n">
        <v>0.2248</v>
      </c>
      <c r="J31" s="10" t="n">
        <v>0.7003</v>
      </c>
      <c r="K31" s="9" t="s">
        <v>2538</v>
      </c>
      <c r="L31" s="9" t="s">
        <v>2535</v>
      </c>
      <c r="N31" s="10" t="n">
        <v>0.7</v>
      </c>
      <c r="O31" s="19"/>
      <c r="P31" s="0" t="str">
        <f aca="false">IF(O31="","",IF(O31&gt;G31,"OVER",IF(O31&lt;G31,"UNDER","PUSH")))</f>
        <v/>
      </c>
      <c r="Q31" s="0" t="n">
        <v>15.22</v>
      </c>
      <c r="R31" s="10" t="n">
        <v>0.2248</v>
      </c>
      <c r="S31" s="0" t="n">
        <v>1</v>
      </c>
      <c r="T31" s="0" t="n">
        <v>16.37</v>
      </c>
      <c r="U31" s="0" t="n">
        <v>16.37</v>
      </c>
    </row>
    <row r="32" customFormat="false" ht="15" hidden="false" customHeight="false" outlineLevel="0" collapsed="false">
      <c r="A32" s="0" t="s">
        <v>1305</v>
      </c>
      <c r="B32" s="0" t="s">
        <v>1303</v>
      </c>
      <c r="C32" s="0" t="s">
        <v>775</v>
      </c>
      <c r="D32" s="0" t="s">
        <v>792</v>
      </c>
      <c r="E32" s="0" t="s">
        <v>928</v>
      </c>
      <c r="F32" s="0" t="s">
        <v>888</v>
      </c>
      <c r="G32" s="0" t="n">
        <v>30.5</v>
      </c>
      <c r="H32" s="0" t="n">
        <v>26.09</v>
      </c>
      <c r="I32" s="10" t="n">
        <v>0.2329</v>
      </c>
      <c r="J32" s="10" t="n">
        <v>0.7671</v>
      </c>
      <c r="K32" s="9" t="s">
        <v>2538</v>
      </c>
      <c r="L32" s="9" t="s">
        <v>2535</v>
      </c>
      <c r="N32" s="10" t="n">
        <v>0.7</v>
      </c>
      <c r="O32" s="19"/>
      <c r="P32" s="0" t="str">
        <f aca="false">IF(O32="","",IF(O32&gt;G32,"OVER",IF(O32&lt;G32,"UNDER","PUSH")))</f>
        <v/>
      </c>
      <c r="Q32" s="0" t="n">
        <v>26.09</v>
      </c>
      <c r="R32" s="10" t="n">
        <v>0.2329</v>
      </c>
      <c r="S32" s="0" t="n">
        <v>1</v>
      </c>
      <c r="T32" s="0" t="n">
        <v>27.52</v>
      </c>
      <c r="U32" s="0" t="n">
        <v>27.52</v>
      </c>
    </row>
    <row r="33" customFormat="false" ht="15" hidden="false" customHeight="false" outlineLevel="0" collapsed="false">
      <c r="A33" s="0" t="s">
        <v>1305</v>
      </c>
      <c r="B33" s="0" t="s">
        <v>1303</v>
      </c>
      <c r="C33" s="0" t="s">
        <v>775</v>
      </c>
      <c r="D33" s="0" t="s">
        <v>792</v>
      </c>
      <c r="E33" s="0" t="s">
        <v>930</v>
      </c>
      <c r="F33" s="0" t="s">
        <v>893</v>
      </c>
      <c r="G33" s="0" t="n">
        <v>9.5</v>
      </c>
      <c r="H33" s="0" t="n">
        <v>11.58</v>
      </c>
      <c r="I33" s="10" t="n">
        <v>0.7162</v>
      </c>
      <c r="J33" s="10" t="n">
        <v>0.2838</v>
      </c>
      <c r="K33" s="9" t="s">
        <v>2538</v>
      </c>
      <c r="L33" s="9" t="s">
        <v>2535</v>
      </c>
      <c r="N33" s="10" t="n">
        <v>0.9</v>
      </c>
      <c r="O33" s="19"/>
      <c r="P33" s="0" t="str">
        <f aca="false">IF(O33="","",IF(O33&gt;G33,"OVER",IF(O33&lt;G33,"UNDER","PUSH")))</f>
        <v/>
      </c>
      <c r="Q33" s="0" t="n">
        <v>11.58</v>
      </c>
      <c r="R33" s="10" t="n">
        <v>0.7162</v>
      </c>
      <c r="S33" s="0" t="n">
        <v>1</v>
      </c>
      <c r="T33" s="0" t="n">
        <v>11.67</v>
      </c>
      <c r="U33" s="0" t="n">
        <v>11.67</v>
      </c>
    </row>
    <row r="34" customFormat="false" ht="15" hidden="false" customHeight="false" outlineLevel="0" collapsed="false">
      <c r="A34" s="0" t="s">
        <v>1305</v>
      </c>
      <c r="B34" s="0" t="s">
        <v>1303</v>
      </c>
      <c r="C34" s="0" t="s">
        <v>775</v>
      </c>
      <c r="D34" s="0" t="s">
        <v>792</v>
      </c>
      <c r="E34" s="0" t="s">
        <v>930</v>
      </c>
      <c r="F34" s="0" t="s">
        <v>888</v>
      </c>
      <c r="G34" s="0" t="n">
        <v>32.5</v>
      </c>
      <c r="H34" s="0" t="n">
        <v>32.4</v>
      </c>
      <c r="I34" s="10" t="n">
        <v>0.4943</v>
      </c>
      <c r="J34" s="10" t="n">
        <v>0.5057</v>
      </c>
      <c r="K34" s="9" t="s">
        <v>2538</v>
      </c>
      <c r="L34" s="9" t="s">
        <v>2535</v>
      </c>
      <c r="N34" s="10" t="n">
        <v>0.6</v>
      </c>
      <c r="O34" s="19"/>
      <c r="P34" s="0" t="str">
        <f aca="false">IF(O34="","",IF(O34&gt;G34,"OVER",IF(O34&lt;G34,"UNDER","PUSH")))</f>
        <v/>
      </c>
      <c r="Q34" s="0" t="n">
        <v>32.4</v>
      </c>
      <c r="R34" s="10" t="n">
        <v>0.4943</v>
      </c>
      <c r="S34" s="0" t="n">
        <v>1</v>
      </c>
      <c r="T34" s="0" t="n">
        <v>33.54</v>
      </c>
      <c r="U34" s="0" t="n">
        <v>33.54</v>
      </c>
    </row>
    <row r="35" customFormat="false" ht="15" hidden="false" customHeight="false" outlineLevel="0" collapsed="false">
      <c r="A35" s="0" t="s">
        <v>1305</v>
      </c>
      <c r="B35" s="0" t="s">
        <v>1303</v>
      </c>
      <c r="C35" s="0" t="s">
        <v>775</v>
      </c>
      <c r="D35" s="0" t="s">
        <v>792</v>
      </c>
      <c r="E35" s="0" t="s">
        <v>932</v>
      </c>
      <c r="F35" s="0" t="s">
        <v>893</v>
      </c>
      <c r="G35" s="0" t="n">
        <v>19.5</v>
      </c>
      <c r="H35" s="0" t="n">
        <v>19.62</v>
      </c>
      <c r="I35" s="10" t="n">
        <v>0.5093</v>
      </c>
      <c r="J35" s="10" t="n">
        <v>0.4907</v>
      </c>
      <c r="K35" s="9" t="s">
        <v>2538</v>
      </c>
      <c r="L35" s="9" t="s">
        <v>2535</v>
      </c>
      <c r="N35" s="10" t="n">
        <v>0.8</v>
      </c>
      <c r="O35" s="19"/>
      <c r="P35" s="0" t="str">
        <f aca="false">IF(O35="","",IF(O35&gt;G35,"OVER",IF(O35&lt;G35,"UNDER","PUSH")))</f>
        <v/>
      </c>
      <c r="Q35" s="0" t="n">
        <v>19.62</v>
      </c>
      <c r="R35" s="10" t="n">
        <v>0.5093</v>
      </c>
      <c r="S35" s="0" t="n">
        <v>1</v>
      </c>
      <c r="T35" s="0" t="n">
        <v>20.05</v>
      </c>
      <c r="U35" s="0" t="n">
        <v>20.05</v>
      </c>
    </row>
    <row r="36" customFormat="false" ht="15" hidden="false" customHeight="false" outlineLevel="0" collapsed="false">
      <c r="A36" s="0" t="s">
        <v>1305</v>
      </c>
      <c r="B36" s="0" t="s">
        <v>1303</v>
      </c>
      <c r="C36" s="0" t="s">
        <v>775</v>
      </c>
      <c r="D36" s="0" t="s">
        <v>792</v>
      </c>
      <c r="E36" s="0" t="s">
        <v>932</v>
      </c>
      <c r="F36" s="0" t="s">
        <v>888</v>
      </c>
      <c r="G36" s="0" t="n">
        <v>30.5</v>
      </c>
      <c r="H36" s="0" t="n">
        <v>29.79</v>
      </c>
      <c r="I36" s="10" t="n">
        <v>0.4564</v>
      </c>
      <c r="J36" s="10" t="n">
        <v>0.5436</v>
      </c>
      <c r="K36" s="9" t="s">
        <v>2538</v>
      </c>
      <c r="L36" s="9" t="s">
        <v>2535</v>
      </c>
      <c r="N36" s="10" t="n">
        <v>0.7</v>
      </c>
      <c r="O36" s="19"/>
      <c r="P36" s="0" t="str">
        <f aca="false">IF(O36="","",IF(O36&gt;G36,"OVER",IF(O36&lt;G36,"UNDER","PUSH")))</f>
        <v/>
      </c>
      <c r="Q36" s="0" t="n">
        <v>29.79</v>
      </c>
      <c r="R36" s="10" t="n">
        <v>0.4564</v>
      </c>
      <c r="S36" s="0" t="n">
        <v>1</v>
      </c>
      <c r="T36" s="0" t="n">
        <v>30.1</v>
      </c>
      <c r="U36" s="0" t="n">
        <v>30.1</v>
      </c>
    </row>
    <row r="37" customFormat="false" ht="15" hidden="false" customHeight="false" outlineLevel="0" collapsed="false">
      <c r="A37" s="0" t="s">
        <v>1305</v>
      </c>
      <c r="B37" s="0" t="s">
        <v>1303</v>
      </c>
      <c r="C37" s="0" t="s">
        <v>775</v>
      </c>
      <c r="D37" s="0" t="s">
        <v>792</v>
      </c>
      <c r="E37" s="0" t="s">
        <v>934</v>
      </c>
      <c r="F37" s="0" t="s">
        <v>893</v>
      </c>
      <c r="G37" s="0" t="n">
        <v>14.5</v>
      </c>
      <c r="H37" s="0" t="n">
        <v>15.26</v>
      </c>
      <c r="I37" s="10" t="n">
        <v>0.5706</v>
      </c>
      <c r="J37" s="10" t="n">
        <v>0.4294</v>
      </c>
      <c r="K37" s="9" t="s">
        <v>2538</v>
      </c>
      <c r="L37" s="9" t="s">
        <v>2535</v>
      </c>
      <c r="N37" s="10" t="n">
        <v>0.8</v>
      </c>
      <c r="O37" s="19"/>
      <c r="P37" s="0" t="str">
        <f aca="false">IF(O37="","",IF(O37&gt;G37,"OVER",IF(O37&lt;G37,"UNDER","PUSH")))</f>
        <v/>
      </c>
      <c r="Q37" s="0" t="n">
        <v>15.26</v>
      </c>
      <c r="R37" s="10" t="n">
        <v>0.5706</v>
      </c>
      <c r="S37" s="0" t="n">
        <v>1</v>
      </c>
      <c r="T37" s="0" t="n">
        <v>14.19</v>
      </c>
      <c r="U37" s="0" t="n">
        <v>14.19</v>
      </c>
    </row>
    <row r="38" customFormat="false" ht="15" hidden="false" customHeight="false" outlineLevel="0" collapsed="false">
      <c r="A38" s="0" t="s">
        <v>1305</v>
      </c>
      <c r="B38" s="0" t="s">
        <v>1303</v>
      </c>
      <c r="C38" s="0" t="s">
        <v>775</v>
      </c>
      <c r="D38" s="0" t="s">
        <v>792</v>
      </c>
      <c r="E38" s="0" t="s">
        <v>934</v>
      </c>
      <c r="F38" s="0" t="s">
        <v>888</v>
      </c>
      <c r="G38" s="0" t="n">
        <v>28.5</v>
      </c>
      <c r="H38" s="0" t="n">
        <v>29.89</v>
      </c>
      <c r="I38" s="10" t="n">
        <v>0.5848</v>
      </c>
      <c r="J38" s="10" t="n">
        <v>0.4152</v>
      </c>
      <c r="K38" s="9" t="s">
        <v>2538</v>
      </c>
      <c r="L38" s="9" t="s">
        <v>2535</v>
      </c>
      <c r="N38" s="10" t="n">
        <v>0.7</v>
      </c>
      <c r="O38" s="19"/>
      <c r="P38" s="0" t="str">
        <f aca="false">IF(O38="","",IF(O38&gt;G38,"OVER",IF(O38&lt;G38,"UNDER","PUSH")))</f>
        <v/>
      </c>
      <c r="Q38" s="0" t="n">
        <v>29.89</v>
      </c>
      <c r="R38" s="10" t="n">
        <v>0.5848</v>
      </c>
      <c r="S38" s="0" t="n">
        <v>1</v>
      </c>
      <c r="T38" s="0" t="n">
        <v>28.38</v>
      </c>
      <c r="U38" s="0" t="n">
        <v>28.38</v>
      </c>
    </row>
    <row r="39" customFormat="false" ht="15" hidden="false" customHeight="false" outlineLevel="0" collapsed="false">
      <c r="A39" s="0" t="s">
        <v>1305</v>
      </c>
      <c r="B39" s="0" t="s">
        <v>1303</v>
      </c>
      <c r="C39" s="0" t="s">
        <v>775</v>
      </c>
      <c r="D39" s="0" t="s">
        <v>792</v>
      </c>
      <c r="E39" s="0" t="s">
        <v>936</v>
      </c>
      <c r="F39" s="0" t="s">
        <v>893</v>
      </c>
      <c r="G39" s="0" t="n">
        <v>12</v>
      </c>
      <c r="H39" s="0" t="n">
        <v>10.79</v>
      </c>
      <c r="I39" s="10" t="n">
        <v>0.3168</v>
      </c>
      <c r="J39" s="10" t="n">
        <v>0.5784</v>
      </c>
      <c r="K39" s="9" t="s">
        <v>2538</v>
      </c>
      <c r="L39" s="9" t="s">
        <v>2535</v>
      </c>
      <c r="N39" s="10" t="n">
        <v>0.8</v>
      </c>
      <c r="O39" s="19"/>
      <c r="P39" s="0" t="str">
        <f aca="false">IF(O39="","",IF(O39&gt;G39,"OVER",IF(O39&lt;G39,"UNDER","PUSH")))</f>
        <v/>
      </c>
      <c r="Q39" s="0" t="n">
        <v>10.79</v>
      </c>
      <c r="R39" s="10" t="n">
        <v>0.3168</v>
      </c>
      <c r="S39" s="0" t="n">
        <v>1</v>
      </c>
      <c r="T39" s="0" t="n">
        <v>11.67</v>
      </c>
      <c r="U39" s="0" t="n">
        <v>11.67</v>
      </c>
    </row>
    <row r="40" customFormat="false" ht="15" hidden="false" customHeight="false" outlineLevel="0" collapsed="false">
      <c r="A40" s="0" t="s">
        <v>1305</v>
      </c>
      <c r="B40" s="0" t="s">
        <v>1303</v>
      </c>
      <c r="C40" s="0" t="s">
        <v>775</v>
      </c>
      <c r="D40" s="0" t="s">
        <v>792</v>
      </c>
      <c r="E40" s="0" t="s">
        <v>936</v>
      </c>
      <c r="F40" s="0" t="s">
        <v>888</v>
      </c>
      <c r="G40" s="0" t="n">
        <v>24.5</v>
      </c>
      <c r="H40" s="0" t="n">
        <v>22.53</v>
      </c>
      <c r="I40" s="10" t="n">
        <v>0.3628</v>
      </c>
      <c r="J40" s="10" t="n">
        <v>0.6372</v>
      </c>
      <c r="K40" s="9" t="s">
        <v>2538</v>
      </c>
      <c r="L40" s="9" t="s">
        <v>2535</v>
      </c>
      <c r="N40" s="10" t="n">
        <v>0.5</v>
      </c>
      <c r="O40" s="19"/>
      <c r="P40" s="0" t="str">
        <f aca="false">IF(O40="","",IF(O40&gt;G40,"OVER",IF(O40&lt;G40,"UNDER","PUSH")))</f>
        <v/>
      </c>
      <c r="Q40" s="0" t="n">
        <v>22.53</v>
      </c>
      <c r="R40" s="10" t="n">
        <v>0.3628</v>
      </c>
      <c r="S40" s="0" t="n">
        <v>1</v>
      </c>
      <c r="T40" s="0" t="n">
        <v>22.36</v>
      </c>
      <c r="U40" s="0" t="n">
        <v>22.36</v>
      </c>
    </row>
    <row r="41" customFormat="false" ht="15" hidden="false" customHeight="false" outlineLevel="0" collapsed="false">
      <c r="A41" s="0" t="s">
        <v>1305</v>
      </c>
      <c r="B41" s="0" t="s">
        <v>1303</v>
      </c>
      <c r="C41" s="0" t="s">
        <v>775</v>
      </c>
      <c r="D41" s="0" t="s">
        <v>792</v>
      </c>
      <c r="E41" s="0" t="s">
        <v>938</v>
      </c>
      <c r="F41" s="0" t="s">
        <v>893</v>
      </c>
      <c r="G41" s="0" t="n">
        <v>18.5</v>
      </c>
      <c r="H41" s="0" t="n">
        <v>19.72</v>
      </c>
      <c r="I41" s="10" t="n">
        <v>0.5973</v>
      </c>
      <c r="J41" s="10" t="n">
        <v>0.4027</v>
      </c>
      <c r="K41" s="9" t="s">
        <v>2538</v>
      </c>
      <c r="L41" s="9" t="s">
        <v>2535</v>
      </c>
      <c r="N41" s="10" t="n">
        <v>0.6</v>
      </c>
      <c r="O41" s="19"/>
      <c r="P41" s="0" t="str">
        <f aca="false">IF(O41="","",IF(O41&gt;G41,"OVER",IF(O41&lt;G41,"UNDER","PUSH")))</f>
        <v/>
      </c>
      <c r="Q41" s="0" t="n">
        <v>19.72</v>
      </c>
      <c r="R41" s="10" t="n">
        <v>0.5973</v>
      </c>
      <c r="S41" s="0" t="n">
        <v>1</v>
      </c>
      <c r="T41" s="0" t="n">
        <v>19.54</v>
      </c>
      <c r="U41" s="0" t="n">
        <v>19.54</v>
      </c>
    </row>
    <row r="42" customFormat="false" ht="15" hidden="false" customHeight="false" outlineLevel="0" collapsed="false">
      <c r="A42" s="0" t="s">
        <v>1305</v>
      </c>
      <c r="B42" s="0" t="s">
        <v>1303</v>
      </c>
      <c r="C42" s="0" t="s">
        <v>775</v>
      </c>
      <c r="D42" s="0" t="s">
        <v>792</v>
      </c>
      <c r="E42" s="0" t="s">
        <v>938</v>
      </c>
      <c r="F42" s="0" t="s">
        <v>888</v>
      </c>
      <c r="G42" s="0" t="n">
        <v>29.5</v>
      </c>
      <c r="H42" s="0" t="n">
        <v>31.89</v>
      </c>
      <c r="I42" s="10" t="n">
        <v>0.6396</v>
      </c>
      <c r="J42" s="10" t="n">
        <v>0.3604</v>
      </c>
      <c r="K42" s="9" t="s">
        <v>2538</v>
      </c>
      <c r="L42" s="9" t="s">
        <v>2535</v>
      </c>
      <c r="N42" s="10" t="n">
        <v>0.6</v>
      </c>
      <c r="O42" s="19"/>
      <c r="P42" s="0" t="str">
        <f aca="false">IF(O42="","",IF(O42&gt;G42,"OVER",IF(O42&lt;G42,"UNDER","PUSH")))</f>
        <v/>
      </c>
      <c r="Q42" s="0" t="n">
        <v>31.89</v>
      </c>
      <c r="R42" s="10" t="n">
        <v>0.6396</v>
      </c>
      <c r="S42" s="0" t="n">
        <v>1</v>
      </c>
      <c r="T42" s="0" t="n">
        <v>30.96</v>
      </c>
      <c r="U42" s="0" t="n">
        <v>30.96</v>
      </c>
    </row>
    <row r="43" customFormat="false" ht="15" hidden="false" customHeight="false" outlineLevel="0" collapsed="false">
      <c r="A43" s="0" t="s">
        <v>1305</v>
      </c>
      <c r="B43" s="0" t="s">
        <v>1303</v>
      </c>
      <c r="C43" s="0" t="s">
        <v>775</v>
      </c>
      <c r="D43" s="0" t="s">
        <v>792</v>
      </c>
      <c r="E43" s="0" t="s">
        <v>941</v>
      </c>
      <c r="F43" s="0" t="s">
        <v>893</v>
      </c>
      <c r="G43" s="0" t="n">
        <v>15.5</v>
      </c>
      <c r="H43" s="0" t="n">
        <v>14.28</v>
      </c>
      <c r="I43" s="10" t="n">
        <v>0.3862</v>
      </c>
      <c r="J43" s="10" t="n">
        <v>0.6138</v>
      </c>
      <c r="K43" s="9" t="s">
        <v>2538</v>
      </c>
      <c r="L43" s="9" t="s">
        <v>2535</v>
      </c>
      <c r="N43" s="10" t="n">
        <v>0.4</v>
      </c>
      <c r="O43" s="19"/>
      <c r="P43" s="0" t="str">
        <f aca="false">IF(O43="","",IF(O43&gt;G43,"OVER",IF(O43&lt;G43,"UNDER","PUSH")))</f>
        <v/>
      </c>
      <c r="Q43" s="0" t="n">
        <v>14.28</v>
      </c>
      <c r="R43" s="10" t="n">
        <v>0.3862</v>
      </c>
      <c r="S43" s="0" t="n">
        <v>1</v>
      </c>
      <c r="T43" s="0" t="n">
        <v>14.71</v>
      </c>
      <c r="U43" s="0" t="n">
        <v>14.71</v>
      </c>
    </row>
    <row r="44" customFormat="false" ht="15" hidden="false" customHeight="false" outlineLevel="0" collapsed="false">
      <c r="A44" s="0" t="s">
        <v>1305</v>
      </c>
      <c r="B44" s="0" t="s">
        <v>1303</v>
      </c>
      <c r="C44" s="0" t="s">
        <v>775</v>
      </c>
      <c r="D44" s="0" t="s">
        <v>792</v>
      </c>
      <c r="E44" s="0" t="s">
        <v>941</v>
      </c>
      <c r="F44" s="0" t="s">
        <v>888</v>
      </c>
      <c r="G44" s="0" t="n">
        <v>27.5</v>
      </c>
      <c r="H44" s="0" t="n">
        <v>24.04</v>
      </c>
      <c r="I44" s="10" t="n">
        <v>0.2754</v>
      </c>
      <c r="J44" s="10" t="n">
        <v>0.7246</v>
      </c>
      <c r="K44" s="9" t="s">
        <v>2538</v>
      </c>
      <c r="L44" s="9" t="s">
        <v>2535</v>
      </c>
      <c r="N44" s="10" t="n">
        <v>0.4</v>
      </c>
      <c r="O44" s="19"/>
      <c r="P44" s="0" t="str">
        <f aca="false">IF(O44="","",IF(O44&gt;G44,"OVER",IF(O44&lt;G44,"UNDER","PUSH")))</f>
        <v/>
      </c>
      <c r="Q44" s="0" t="n">
        <v>24.04</v>
      </c>
      <c r="R44" s="10" t="n">
        <v>0.2754</v>
      </c>
      <c r="S44" s="0" t="n">
        <v>1</v>
      </c>
      <c r="T44" s="0" t="n">
        <v>25.8</v>
      </c>
      <c r="U44" s="0" t="n">
        <v>25.8</v>
      </c>
    </row>
    <row r="45" customFormat="false" ht="15" hidden="false" customHeight="false" outlineLevel="0" collapsed="false">
      <c r="A45" s="0" t="s">
        <v>1305</v>
      </c>
      <c r="B45" s="0" t="s">
        <v>1303</v>
      </c>
      <c r="C45" s="0" t="s">
        <v>775</v>
      </c>
      <c r="D45" s="0" t="s">
        <v>792</v>
      </c>
      <c r="E45" s="0" t="s">
        <v>943</v>
      </c>
      <c r="F45" s="0" t="s">
        <v>893</v>
      </c>
      <c r="G45" s="0" t="n">
        <v>16</v>
      </c>
      <c r="H45" s="0" t="n">
        <v>15.93</v>
      </c>
      <c r="I45" s="10" t="n">
        <v>0.4481</v>
      </c>
      <c r="J45" s="10" t="n">
        <v>0.4609</v>
      </c>
      <c r="K45" s="9" t="s">
        <v>2538</v>
      </c>
      <c r="L45" s="9" t="s">
        <v>2535</v>
      </c>
      <c r="N45" s="10" t="n">
        <v>0.7</v>
      </c>
      <c r="O45" s="19"/>
      <c r="P45" s="0" t="str">
        <f aca="false">IF(O45="","",IF(O45&gt;G45,"OVER",IF(O45&lt;G45,"UNDER","PUSH")))</f>
        <v/>
      </c>
      <c r="Q45" s="0" t="n">
        <v>15.93</v>
      </c>
      <c r="R45" s="10" t="n">
        <v>0.4481</v>
      </c>
      <c r="S45" s="0" t="n">
        <v>1</v>
      </c>
      <c r="T45" s="0" t="n">
        <v>16.29</v>
      </c>
      <c r="U45" s="0" t="n">
        <v>16.29</v>
      </c>
    </row>
    <row r="46" customFormat="false" ht="15" hidden="false" customHeight="false" outlineLevel="0" collapsed="false">
      <c r="A46" s="0" t="s">
        <v>1305</v>
      </c>
      <c r="B46" s="0" t="s">
        <v>1303</v>
      </c>
      <c r="C46" s="0" t="s">
        <v>775</v>
      </c>
      <c r="D46" s="0" t="s">
        <v>792</v>
      </c>
      <c r="E46" s="0" t="s">
        <v>943</v>
      </c>
      <c r="F46" s="0" t="s">
        <v>888</v>
      </c>
      <c r="G46" s="0" t="n">
        <v>32</v>
      </c>
      <c r="H46" s="0" t="n">
        <v>31.69</v>
      </c>
      <c r="I46" s="10" t="n">
        <v>0.4516</v>
      </c>
      <c r="J46" s="10" t="n">
        <v>0.4886</v>
      </c>
      <c r="K46" s="9" t="s">
        <v>2538</v>
      </c>
      <c r="L46" s="9" t="s">
        <v>2535</v>
      </c>
      <c r="N46" s="10" t="n">
        <v>0.5</v>
      </c>
      <c r="O46" s="19"/>
      <c r="P46" s="0" t="str">
        <f aca="false">IF(O46="","",IF(O46&gt;G46,"OVER",IF(O46&lt;G46,"UNDER","PUSH")))</f>
        <v/>
      </c>
      <c r="Q46" s="0" t="n">
        <v>31.69</v>
      </c>
      <c r="R46" s="10" t="n">
        <v>0.4516</v>
      </c>
      <c r="S46" s="0" t="n">
        <v>1</v>
      </c>
      <c r="T46" s="0" t="n">
        <v>32.25</v>
      </c>
      <c r="U46" s="0" t="n">
        <v>32.25</v>
      </c>
    </row>
    <row r="47" customFormat="false" ht="15" hidden="false" customHeight="false" outlineLevel="0" collapsed="false">
      <c r="A47" s="0" t="s">
        <v>1305</v>
      </c>
      <c r="B47" s="0" t="s">
        <v>1303</v>
      </c>
      <c r="C47" s="0" t="s">
        <v>775</v>
      </c>
      <c r="D47" s="0" t="s">
        <v>792</v>
      </c>
      <c r="E47" s="0" t="s">
        <v>945</v>
      </c>
      <c r="F47" s="0" t="s">
        <v>893</v>
      </c>
      <c r="G47" s="0" t="n">
        <v>20</v>
      </c>
      <c r="H47" s="0" t="n">
        <v>18.81</v>
      </c>
      <c r="I47" s="10" t="n">
        <v>0.3641</v>
      </c>
      <c r="J47" s="10" t="n">
        <v>0.5564</v>
      </c>
      <c r="K47" s="9" t="s">
        <v>2538</v>
      </c>
      <c r="L47" s="9" t="s">
        <v>2535</v>
      </c>
      <c r="N47" s="10" t="n">
        <v>0.4</v>
      </c>
      <c r="O47" s="19"/>
      <c r="P47" s="0" t="str">
        <f aca="false">IF(O47="","",IF(O47&gt;G47,"OVER",IF(O47&lt;G47,"UNDER","PUSH")))</f>
        <v/>
      </c>
      <c r="Q47" s="0" t="n">
        <v>18.81</v>
      </c>
      <c r="R47" s="10" t="n">
        <v>0.3641</v>
      </c>
      <c r="S47" s="0" t="n">
        <v>1</v>
      </c>
      <c r="T47" s="0" t="n">
        <v>20.03</v>
      </c>
      <c r="U47" s="0" t="n">
        <v>20.03</v>
      </c>
    </row>
    <row r="48" customFormat="false" ht="15" hidden="false" customHeight="false" outlineLevel="0" collapsed="false">
      <c r="A48" s="0" t="s">
        <v>1305</v>
      </c>
      <c r="B48" s="0" t="s">
        <v>1303</v>
      </c>
      <c r="C48" s="0" t="s">
        <v>775</v>
      </c>
      <c r="D48" s="0" t="s">
        <v>792</v>
      </c>
      <c r="E48" s="0" t="s">
        <v>945</v>
      </c>
      <c r="F48" s="0" t="s">
        <v>888</v>
      </c>
      <c r="G48" s="0" t="n">
        <v>31</v>
      </c>
      <c r="H48" s="0" t="n">
        <v>29.51</v>
      </c>
      <c r="I48" s="10" t="n">
        <v>0.3787</v>
      </c>
      <c r="J48" s="10" t="n">
        <v>0.561</v>
      </c>
      <c r="K48" s="9" t="s">
        <v>2538</v>
      </c>
      <c r="L48" s="9" t="s">
        <v>2535</v>
      </c>
      <c r="N48" s="10" t="n">
        <v>0.5</v>
      </c>
      <c r="O48" s="19"/>
      <c r="P48" s="0" t="str">
        <f aca="false">IF(O48="","",IF(O48&gt;G48,"OVER",IF(O48&lt;G48,"UNDER","PUSH")))</f>
        <v/>
      </c>
      <c r="Q48" s="0" t="n">
        <v>29.51</v>
      </c>
      <c r="R48" s="10" t="n">
        <v>0.3787</v>
      </c>
      <c r="S48" s="0" t="n">
        <v>1</v>
      </c>
      <c r="T48" s="0" t="n">
        <v>30.53</v>
      </c>
      <c r="U48" s="0" t="n">
        <v>30.53</v>
      </c>
    </row>
    <row r="49" customFormat="false" ht="15" hidden="false" customHeight="false" outlineLevel="0" collapsed="false">
      <c r="A49" s="0" t="s">
        <v>1305</v>
      </c>
      <c r="B49" s="0" t="s">
        <v>1303</v>
      </c>
      <c r="C49" s="0" t="s">
        <v>775</v>
      </c>
      <c r="D49" s="0" t="s">
        <v>792</v>
      </c>
      <c r="E49" s="0" t="s">
        <v>947</v>
      </c>
      <c r="F49" s="0" t="s">
        <v>893</v>
      </c>
      <c r="G49" s="0" t="n">
        <v>11.5</v>
      </c>
      <c r="H49" s="0" t="n">
        <v>12.23</v>
      </c>
      <c r="I49" s="10" t="n">
        <v>0.5766</v>
      </c>
      <c r="J49" s="10" t="n">
        <v>0.4234</v>
      </c>
      <c r="K49" s="9" t="s">
        <v>2538</v>
      </c>
      <c r="L49" s="9" t="s">
        <v>2535</v>
      </c>
      <c r="N49" s="10" t="n">
        <v>0.6</v>
      </c>
      <c r="O49" s="19"/>
      <c r="P49" s="0" t="str">
        <f aca="false">IF(O49="","",IF(O49&gt;G49,"OVER",IF(O49&lt;G49,"UNDER","PUSH")))</f>
        <v/>
      </c>
      <c r="Q49" s="0" t="n">
        <v>12.23</v>
      </c>
      <c r="R49" s="10" t="n">
        <v>0.5766</v>
      </c>
      <c r="S49" s="0" t="n">
        <v>1</v>
      </c>
      <c r="T49" s="0" t="n">
        <v>11.62</v>
      </c>
      <c r="U49" s="0" t="n">
        <v>11.62</v>
      </c>
    </row>
    <row r="50" customFormat="false" ht="15" hidden="false" customHeight="false" outlineLevel="0" collapsed="false">
      <c r="A50" s="0" t="s">
        <v>1305</v>
      </c>
      <c r="B50" s="0" t="s">
        <v>1303</v>
      </c>
      <c r="C50" s="0" t="s">
        <v>775</v>
      </c>
      <c r="D50" s="0" t="s">
        <v>792</v>
      </c>
      <c r="E50" s="0" t="s">
        <v>947</v>
      </c>
      <c r="F50" s="0" t="s">
        <v>888</v>
      </c>
      <c r="G50" s="0" t="n">
        <v>31.5</v>
      </c>
      <c r="H50" s="0" t="n">
        <v>30.1</v>
      </c>
      <c r="I50" s="10" t="n">
        <v>0.4146</v>
      </c>
      <c r="J50" s="10" t="n">
        <v>0.5854</v>
      </c>
      <c r="K50" s="9" t="s">
        <v>2538</v>
      </c>
      <c r="L50" s="9" t="s">
        <v>2535</v>
      </c>
      <c r="N50" s="10" t="n">
        <v>0.5</v>
      </c>
      <c r="O50" s="19"/>
      <c r="P50" s="0" t="str">
        <f aca="false">IF(O50="","",IF(O50&gt;G50,"OVER",IF(O50&lt;G50,"UNDER","PUSH")))</f>
        <v/>
      </c>
      <c r="Q50" s="0" t="n">
        <v>30.1</v>
      </c>
      <c r="R50" s="10" t="n">
        <v>0.4146</v>
      </c>
      <c r="S50" s="0" t="n">
        <v>1</v>
      </c>
      <c r="T50" s="0" t="n">
        <v>30.1</v>
      </c>
      <c r="U50" s="0" t="n">
        <v>30.1</v>
      </c>
    </row>
    <row r="51" customFormat="false" ht="15" hidden="false" customHeight="false" outlineLevel="0" collapsed="false">
      <c r="A51" s="0" t="s">
        <v>1305</v>
      </c>
      <c r="B51" s="0" t="s">
        <v>1303</v>
      </c>
      <c r="C51" s="0" t="s">
        <v>775</v>
      </c>
      <c r="D51" s="0" t="s">
        <v>800</v>
      </c>
      <c r="E51" s="0" t="s">
        <v>949</v>
      </c>
      <c r="F51" s="0" t="s">
        <v>893</v>
      </c>
      <c r="G51" s="0" t="n">
        <v>17.5</v>
      </c>
      <c r="H51" s="0" t="n">
        <v>17.12</v>
      </c>
      <c r="I51" s="10" t="n">
        <v>0.4664</v>
      </c>
      <c r="J51" s="10" t="n">
        <v>0.5336</v>
      </c>
      <c r="K51" s="9" t="s">
        <v>2539</v>
      </c>
      <c r="L51" s="9" t="s">
        <v>2540</v>
      </c>
      <c r="N51" s="10" t="n">
        <v>0.5</v>
      </c>
      <c r="O51" s="19"/>
      <c r="P51" s="0" t="str">
        <f aca="false">IF(O51="","",IF(O51&gt;G51,"OVER",IF(O51&lt;G51,"UNDER","PUSH")))</f>
        <v/>
      </c>
      <c r="Q51" s="0" t="n">
        <v>16.87</v>
      </c>
      <c r="R51" s="10" t="n">
        <v>0.4444</v>
      </c>
      <c r="S51" s="0" t="n">
        <v>0.9854</v>
      </c>
      <c r="T51" s="0" t="n">
        <v>16.93</v>
      </c>
      <c r="U51" s="0" t="n">
        <v>16.7</v>
      </c>
    </row>
    <row r="52" customFormat="false" ht="15" hidden="false" customHeight="false" outlineLevel="0" collapsed="false">
      <c r="A52" s="0" t="s">
        <v>1305</v>
      </c>
      <c r="B52" s="0" t="s">
        <v>1303</v>
      </c>
      <c r="C52" s="0" t="s">
        <v>775</v>
      </c>
      <c r="D52" s="0" t="s">
        <v>800</v>
      </c>
      <c r="E52" s="0" t="s">
        <v>949</v>
      </c>
      <c r="F52" s="0" t="s">
        <v>888</v>
      </c>
      <c r="G52" s="0" t="n">
        <v>32.5</v>
      </c>
      <c r="H52" s="0" t="n">
        <v>30.99</v>
      </c>
      <c r="I52" s="10" t="n">
        <v>0.4092</v>
      </c>
      <c r="J52" s="10" t="n">
        <v>0.5908</v>
      </c>
      <c r="K52" s="9" t="s">
        <v>2539</v>
      </c>
      <c r="L52" s="9" t="s">
        <v>2540</v>
      </c>
      <c r="M52" s="0" t="n">
        <v>32.33</v>
      </c>
      <c r="N52" s="10" t="n">
        <v>0.5</v>
      </c>
      <c r="O52" s="19"/>
      <c r="P52" s="0" t="str">
        <f aca="false">IF(O52="","",IF(O52&gt;G52,"OVER",IF(O52&lt;G52,"UNDER","PUSH")))</f>
        <v/>
      </c>
      <c r="Q52" s="0" t="n">
        <v>30.58</v>
      </c>
      <c r="R52" s="10" t="n">
        <v>0.3843</v>
      </c>
      <c r="S52" s="0" t="n">
        <v>0.9867</v>
      </c>
      <c r="T52" s="0" t="n">
        <v>31.7</v>
      </c>
      <c r="U52" s="0" t="n">
        <v>31.27</v>
      </c>
    </row>
    <row r="53" customFormat="false" ht="15" hidden="false" customHeight="false" outlineLevel="0" collapsed="false">
      <c r="A53" s="0" t="s">
        <v>1305</v>
      </c>
      <c r="B53" s="0" t="s">
        <v>1303</v>
      </c>
      <c r="C53" s="0" t="s">
        <v>775</v>
      </c>
      <c r="D53" s="0" t="s">
        <v>800</v>
      </c>
      <c r="E53" s="0" t="s">
        <v>952</v>
      </c>
      <c r="F53" s="0" t="s">
        <v>893</v>
      </c>
      <c r="G53" s="0" t="n">
        <v>14.5</v>
      </c>
      <c r="H53" s="0" t="n">
        <v>13.38</v>
      </c>
      <c r="I53" s="10" t="n">
        <v>0.3903</v>
      </c>
      <c r="J53" s="10" t="n">
        <v>0.6097</v>
      </c>
      <c r="K53" s="9" t="s">
        <v>2539</v>
      </c>
      <c r="L53" s="9" t="s">
        <v>2540</v>
      </c>
      <c r="N53" s="10" t="n">
        <v>0.4</v>
      </c>
      <c r="O53" s="19"/>
      <c r="P53" s="0" t="str">
        <f aca="false">IF(O53="","",IF(O53&gt;G53,"OVER",IF(O53&lt;G53,"UNDER","PUSH")))</f>
        <v/>
      </c>
      <c r="Q53" s="0" t="n">
        <v>13.21</v>
      </c>
      <c r="R53" s="10" t="n">
        <v>0.3735</v>
      </c>
      <c r="S53" s="0" t="n">
        <v>0.9874</v>
      </c>
      <c r="T53" s="0" t="n">
        <v>13.97</v>
      </c>
      <c r="U53" s="0" t="n">
        <v>13.78</v>
      </c>
    </row>
    <row r="54" customFormat="false" ht="15" hidden="false" customHeight="false" outlineLevel="0" collapsed="false">
      <c r="A54" s="0" t="s">
        <v>1305</v>
      </c>
      <c r="B54" s="0" t="s">
        <v>1303</v>
      </c>
      <c r="C54" s="0" t="s">
        <v>775</v>
      </c>
      <c r="D54" s="0" t="s">
        <v>800</v>
      </c>
      <c r="E54" s="0" t="s">
        <v>952</v>
      </c>
      <c r="F54" s="0" t="s">
        <v>888</v>
      </c>
      <c r="G54" s="0" t="n">
        <v>26.5</v>
      </c>
      <c r="H54" s="0" t="n">
        <v>25.68</v>
      </c>
      <c r="I54" s="10" t="n">
        <v>0.4457</v>
      </c>
      <c r="J54" s="10" t="n">
        <v>0.5543</v>
      </c>
      <c r="K54" s="9" t="s">
        <v>2539</v>
      </c>
      <c r="L54" s="9" t="s">
        <v>2540</v>
      </c>
      <c r="M54" s="0" t="n">
        <v>26.82</v>
      </c>
      <c r="N54" s="10" t="n">
        <v>0.7</v>
      </c>
      <c r="O54" s="19"/>
      <c r="P54" s="0" t="str">
        <f aca="false">IF(O54="","",IF(O54&gt;G54,"OVER",IF(O54&lt;G54,"UNDER","PUSH")))</f>
        <v/>
      </c>
      <c r="Q54" s="0" t="n">
        <v>25.34</v>
      </c>
      <c r="R54" s="10" t="n">
        <v>0.4228</v>
      </c>
      <c r="S54" s="0" t="n">
        <v>0.9867</v>
      </c>
      <c r="T54" s="0" t="n">
        <v>26.2</v>
      </c>
      <c r="U54" s="0" t="n">
        <v>25.85</v>
      </c>
    </row>
    <row r="55" customFormat="false" ht="15" hidden="false" customHeight="false" outlineLevel="0" collapsed="false">
      <c r="A55" s="0" t="s">
        <v>1305</v>
      </c>
      <c r="B55" s="0" t="s">
        <v>1303</v>
      </c>
      <c r="C55" s="0" t="s">
        <v>775</v>
      </c>
      <c r="D55" s="0" t="s">
        <v>800</v>
      </c>
      <c r="E55" s="0" t="s">
        <v>954</v>
      </c>
      <c r="F55" s="0" t="s">
        <v>893</v>
      </c>
      <c r="G55" s="0" t="n">
        <v>14.5</v>
      </c>
      <c r="H55" s="0" t="n">
        <v>15.85</v>
      </c>
      <c r="I55" s="10" t="n">
        <v>0.6206</v>
      </c>
      <c r="J55" s="10" t="n">
        <v>0.3794</v>
      </c>
      <c r="K55" s="9" t="s">
        <v>2539</v>
      </c>
      <c r="L55" s="9" t="s">
        <v>2540</v>
      </c>
      <c r="N55" s="10" t="n">
        <v>0.3</v>
      </c>
      <c r="O55" s="19"/>
      <c r="P55" s="0" t="str">
        <f aca="false">IF(O55="","",IF(O55&gt;G55,"OVER",IF(O55&lt;G55,"UNDER","PUSH")))</f>
        <v/>
      </c>
      <c r="Q55" s="0" t="n">
        <v>15.66</v>
      </c>
      <c r="R55" s="10" t="n">
        <v>0.6049</v>
      </c>
      <c r="S55" s="0" t="n">
        <v>0.9882</v>
      </c>
      <c r="T55" s="0" t="n">
        <v>14.55</v>
      </c>
      <c r="U55" s="0" t="n">
        <v>14.36</v>
      </c>
    </row>
    <row r="56" customFormat="false" ht="15" hidden="false" customHeight="false" outlineLevel="0" collapsed="false">
      <c r="A56" s="0" t="s">
        <v>1305</v>
      </c>
      <c r="B56" s="0" t="s">
        <v>1303</v>
      </c>
      <c r="C56" s="0" t="s">
        <v>775</v>
      </c>
      <c r="D56" s="0" t="s">
        <v>800</v>
      </c>
      <c r="E56" s="0" t="s">
        <v>954</v>
      </c>
      <c r="F56" s="0" t="s">
        <v>888</v>
      </c>
      <c r="G56" s="0" t="n">
        <v>28.5</v>
      </c>
      <c r="H56" s="0" t="n">
        <v>29.99</v>
      </c>
      <c r="I56" s="10" t="n">
        <v>0.5909</v>
      </c>
      <c r="J56" s="10" t="n">
        <v>0.4091</v>
      </c>
      <c r="K56" s="9" t="s">
        <v>2539</v>
      </c>
      <c r="L56" s="9" t="s">
        <v>2540</v>
      </c>
      <c r="M56" s="0" t="n">
        <v>28.52</v>
      </c>
      <c r="N56" s="10" t="n">
        <v>0.4</v>
      </c>
      <c r="O56" s="19"/>
      <c r="P56" s="0" t="str">
        <f aca="false">IF(O56="","",IF(O56&gt;G56,"OVER",IF(O56&lt;G56,"UNDER","PUSH")))</f>
        <v/>
      </c>
      <c r="Q56" s="0" t="n">
        <v>29.63</v>
      </c>
      <c r="R56" s="10" t="n">
        <v>0.5694</v>
      </c>
      <c r="S56" s="0" t="n">
        <v>0.9879</v>
      </c>
      <c r="T56" s="0" t="n">
        <v>29.58</v>
      </c>
      <c r="U56" s="0" t="n">
        <v>29.19</v>
      </c>
    </row>
    <row r="57" customFormat="false" ht="15" hidden="false" customHeight="false" outlineLevel="0" collapsed="false">
      <c r="A57" s="0" t="s">
        <v>1305</v>
      </c>
      <c r="B57" s="0" t="s">
        <v>1303</v>
      </c>
      <c r="C57" s="0" t="s">
        <v>775</v>
      </c>
      <c r="D57" s="0" t="s">
        <v>800</v>
      </c>
      <c r="E57" s="0" t="s">
        <v>956</v>
      </c>
      <c r="F57" s="0" t="s">
        <v>893</v>
      </c>
      <c r="G57" s="0" t="n">
        <v>10.5</v>
      </c>
      <c r="H57" s="0" t="n">
        <v>10.21</v>
      </c>
      <c r="I57" s="10" t="n">
        <v>0.4668</v>
      </c>
      <c r="J57" s="10" t="n">
        <v>0.5332</v>
      </c>
      <c r="K57" s="9" t="s">
        <v>2539</v>
      </c>
      <c r="L57" s="9" t="s">
        <v>2540</v>
      </c>
      <c r="N57" s="10" t="n">
        <v>0.4</v>
      </c>
      <c r="O57" s="19"/>
      <c r="P57" s="0" t="str">
        <f aca="false">IF(O57="","",IF(O57&gt;G57,"OVER",IF(O57&lt;G57,"UNDER","PUSH")))</f>
        <v/>
      </c>
      <c r="Q57" s="0" t="n">
        <v>10.07</v>
      </c>
      <c r="R57" s="10" t="n">
        <v>0.45</v>
      </c>
      <c r="S57" s="0" t="n">
        <v>0.986</v>
      </c>
      <c r="T57" s="0" t="n">
        <v>10.09</v>
      </c>
      <c r="U57" s="0" t="n">
        <v>9.96</v>
      </c>
    </row>
    <row r="58" customFormat="false" ht="15" hidden="false" customHeight="false" outlineLevel="0" collapsed="false">
      <c r="A58" s="0" t="s">
        <v>1305</v>
      </c>
      <c r="B58" s="0" t="s">
        <v>1303</v>
      </c>
      <c r="C58" s="0" t="s">
        <v>775</v>
      </c>
      <c r="D58" s="0" t="s">
        <v>800</v>
      </c>
      <c r="E58" s="0" t="s">
        <v>956</v>
      </c>
      <c r="F58" s="0" t="s">
        <v>888</v>
      </c>
      <c r="G58" s="0" t="n">
        <v>26.5</v>
      </c>
      <c r="H58" s="0" t="n">
        <v>25.81</v>
      </c>
      <c r="I58" s="10" t="n">
        <v>0.4544</v>
      </c>
      <c r="J58" s="10" t="n">
        <v>0.5456</v>
      </c>
      <c r="K58" s="9" t="s">
        <v>2539</v>
      </c>
      <c r="L58" s="9" t="s">
        <v>2540</v>
      </c>
      <c r="M58" s="0" t="n">
        <v>26.41</v>
      </c>
      <c r="N58" s="10" t="n">
        <v>0.5</v>
      </c>
      <c r="O58" s="19"/>
      <c r="P58" s="0" t="str">
        <f aca="false">IF(O58="","",IF(O58&gt;G58,"OVER",IF(O58&lt;G58,"UNDER","PUSH")))</f>
        <v/>
      </c>
      <c r="Q58" s="0" t="n">
        <v>25.47</v>
      </c>
      <c r="R58" s="10" t="n">
        <v>0.4315</v>
      </c>
      <c r="S58" s="0" t="n">
        <v>0.9868</v>
      </c>
      <c r="T58" s="0" t="n">
        <v>26.62</v>
      </c>
      <c r="U58" s="0" t="n">
        <v>26.27</v>
      </c>
    </row>
    <row r="59" customFormat="false" ht="15" hidden="false" customHeight="false" outlineLevel="0" collapsed="false">
      <c r="A59" s="0" t="s">
        <v>1305</v>
      </c>
      <c r="B59" s="0" t="s">
        <v>1303</v>
      </c>
      <c r="C59" s="0" t="s">
        <v>775</v>
      </c>
      <c r="D59" s="0" t="s">
        <v>800</v>
      </c>
      <c r="E59" s="0" t="s">
        <v>958</v>
      </c>
      <c r="F59" s="0" t="s">
        <v>893</v>
      </c>
      <c r="G59" s="0" t="n">
        <v>14.5</v>
      </c>
      <c r="H59" s="0" t="n">
        <v>13.75</v>
      </c>
      <c r="I59" s="10" t="n">
        <v>0.4272</v>
      </c>
      <c r="J59" s="10" t="n">
        <v>0.5728</v>
      </c>
      <c r="K59" s="9" t="s">
        <v>2539</v>
      </c>
      <c r="L59" s="9" t="s">
        <v>2540</v>
      </c>
      <c r="N59" s="10" t="n">
        <v>0.4</v>
      </c>
      <c r="O59" s="19"/>
      <c r="P59" s="0" t="str">
        <f aca="false">IF(O59="","",IF(O59&gt;G59,"OVER",IF(O59&lt;G59,"UNDER","PUSH")))</f>
        <v/>
      </c>
      <c r="Q59" s="0" t="n">
        <v>13.4</v>
      </c>
      <c r="R59" s="10" t="n">
        <v>0.3927</v>
      </c>
      <c r="S59" s="0" t="n">
        <v>0.9747</v>
      </c>
      <c r="T59" s="0" t="n">
        <v>13.28</v>
      </c>
      <c r="U59" s="0" t="n">
        <v>12.94</v>
      </c>
    </row>
    <row r="60" customFormat="false" ht="15" hidden="false" customHeight="false" outlineLevel="0" collapsed="false">
      <c r="A60" s="0" t="s">
        <v>1305</v>
      </c>
      <c r="B60" s="0" t="s">
        <v>1303</v>
      </c>
      <c r="C60" s="0" t="s">
        <v>775</v>
      </c>
      <c r="D60" s="0" t="s">
        <v>800</v>
      </c>
      <c r="E60" s="0" t="s">
        <v>958</v>
      </c>
      <c r="F60" s="0" t="s">
        <v>888</v>
      </c>
      <c r="G60" s="0" t="n">
        <v>26.5</v>
      </c>
      <c r="H60" s="0" t="n">
        <v>25.99</v>
      </c>
      <c r="I60" s="10" t="n">
        <v>0.4663</v>
      </c>
      <c r="J60" s="10" t="n">
        <v>0.5337</v>
      </c>
      <c r="K60" s="9" t="s">
        <v>2539</v>
      </c>
      <c r="L60" s="9" t="s">
        <v>2540</v>
      </c>
      <c r="M60" s="0" t="n">
        <v>28.8</v>
      </c>
      <c r="N60" s="10" t="n">
        <v>0.5</v>
      </c>
      <c r="O60" s="19"/>
      <c r="P60" s="0" t="str">
        <f aca="false">IF(O60="","",IF(O60&gt;G60,"OVER",IF(O60&lt;G60,"UNDER","PUSH")))</f>
        <v/>
      </c>
      <c r="Q60" s="0" t="n">
        <v>25.34</v>
      </c>
      <c r="R60" s="10" t="n">
        <v>0.4228</v>
      </c>
      <c r="S60" s="0" t="n">
        <v>0.975</v>
      </c>
      <c r="T60" s="0" t="n">
        <v>26.2</v>
      </c>
      <c r="U60" s="0" t="n">
        <v>25.52</v>
      </c>
    </row>
    <row r="61" customFormat="false" ht="15" hidden="false" customHeight="false" outlineLevel="0" collapsed="false">
      <c r="A61" s="0" t="s">
        <v>1305</v>
      </c>
      <c r="B61" s="0" t="s">
        <v>1303</v>
      </c>
      <c r="C61" s="0" t="s">
        <v>775</v>
      </c>
      <c r="D61" s="0" t="s">
        <v>800</v>
      </c>
      <c r="E61" s="0" t="s">
        <v>960</v>
      </c>
      <c r="F61" s="0" t="s">
        <v>893</v>
      </c>
      <c r="G61" s="0" t="n">
        <v>14.5</v>
      </c>
      <c r="H61" s="0" t="n">
        <v>14.78</v>
      </c>
      <c r="I61" s="10" t="n">
        <v>0.5263</v>
      </c>
      <c r="J61" s="10" t="n">
        <v>0.4737</v>
      </c>
      <c r="K61" s="9" t="s">
        <v>2539</v>
      </c>
      <c r="L61" s="9" t="s">
        <v>2540</v>
      </c>
      <c r="N61" s="10" t="n">
        <v>0.6</v>
      </c>
      <c r="O61" s="19"/>
      <c r="P61" s="0" t="str">
        <f aca="false">IF(O61="","",IF(O61&gt;G61,"OVER",IF(O61&lt;G61,"UNDER","PUSH")))</f>
        <v/>
      </c>
      <c r="Q61" s="0" t="n">
        <v>14.4</v>
      </c>
      <c r="R61" s="10" t="n">
        <v>0.4901</v>
      </c>
      <c r="S61" s="0" t="n">
        <v>0.9739</v>
      </c>
      <c r="T61" s="0" t="n">
        <v>14.59</v>
      </c>
      <c r="U61" s="0" t="n">
        <v>14.22</v>
      </c>
    </row>
    <row r="62" customFormat="false" ht="15" hidden="false" customHeight="false" outlineLevel="0" collapsed="false">
      <c r="A62" s="0" t="s">
        <v>1305</v>
      </c>
      <c r="B62" s="0" t="s">
        <v>1303</v>
      </c>
      <c r="C62" s="0" t="s">
        <v>775</v>
      </c>
      <c r="D62" s="0" t="s">
        <v>800</v>
      </c>
      <c r="E62" s="0" t="s">
        <v>960</v>
      </c>
      <c r="F62" s="0" t="s">
        <v>888</v>
      </c>
      <c r="G62" s="0" t="n">
        <v>27.5</v>
      </c>
      <c r="H62" s="0" t="n">
        <v>25.62</v>
      </c>
      <c r="I62" s="10" t="n">
        <v>0.3771</v>
      </c>
      <c r="J62" s="10" t="n">
        <v>0.6229</v>
      </c>
      <c r="K62" s="9" t="s">
        <v>2539</v>
      </c>
      <c r="L62" s="9" t="s">
        <v>2540</v>
      </c>
      <c r="M62" s="0" t="n">
        <v>25.58</v>
      </c>
      <c r="N62" s="10" t="n">
        <v>0.5</v>
      </c>
      <c r="O62" s="19"/>
      <c r="P62" s="0" t="str">
        <f aca="false">IF(O62="","",IF(O62&gt;G62,"OVER",IF(O62&lt;G62,"UNDER","PUSH")))</f>
        <v/>
      </c>
      <c r="Q62" s="0" t="n">
        <v>24.98</v>
      </c>
      <c r="R62" s="10" t="n">
        <v>0.335</v>
      </c>
      <c r="S62" s="0" t="n">
        <v>0.9749</v>
      </c>
      <c r="T62" s="0" t="n">
        <v>26.2</v>
      </c>
      <c r="U62" s="0" t="n">
        <v>25.52</v>
      </c>
    </row>
    <row r="63" customFormat="false" ht="15" hidden="false" customHeight="false" outlineLevel="0" collapsed="false">
      <c r="A63" s="0" t="s">
        <v>1305</v>
      </c>
      <c r="B63" s="0" t="s">
        <v>1303</v>
      </c>
      <c r="C63" s="0" t="s">
        <v>775</v>
      </c>
      <c r="D63" s="0" t="s">
        <v>800</v>
      </c>
      <c r="E63" s="0" t="s">
        <v>962</v>
      </c>
      <c r="F63" s="0" t="s">
        <v>893</v>
      </c>
      <c r="G63" s="0" t="n">
        <v>19.5</v>
      </c>
      <c r="H63" s="0" t="n">
        <v>19.42</v>
      </c>
      <c r="I63" s="10" t="n">
        <v>0.4933</v>
      </c>
      <c r="J63" s="10" t="n">
        <v>0.5067</v>
      </c>
      <c r="K63" s="9" t="s">
        <v>2539</v>
      </c>
      <c r="L63" s="9" t="s">
        <v>2540</v>
      </c>
      <c r="N63" s="10" t="n">
        <v>0.6</v>
      </c>
      <c r="O63" s="19"/>
      <c r="P63" s="0" t="str">
        <f aca="false">IF(O63="","",IF(O63&gt;G63,"OVER",IF(O63&lt;G63,"UNDER","PUSH")))</f>
        <v/>
      </c>
      <c r="Q63" s="0" t="n">
        <v>18.91</v>
      </c>
      <c r="R63" s="10" t="n">
        <v>0.4521</v>
      </c>
      <c r="S63" s="0" t="n">
        <v>0.9738</v>
      </c>
      <c r="T63" s="0" t="n">
        <v>20.4</v>
      </c>
      <c r="U63" s="0" t="n">
        <v>19.87</v>
      </c>
    </row>
    <row r="64" customFormat="false" ht="15" hidden="false" customHeight="false" outlineLevel="0" collapsed="false">
      <c r="A64" s="0" t="s">
        <v>1305</v>
      </c>
      <c r="B64" s="0" t="s">
        <v>1303</v>
      </c>
      <c r="C64" s="0" t="s">
        <v>775</v>
      </c>
      <c r="D64" s="0" t="s">
        <v>800</v>
      </c>
      <c r="E64" s="0" t="s">
        <v>962</v>
      </c>
      <c r="F64" s="0" t="s">
        <v>888</v>
      </c>
      <c r="G64" s="0" t="n">
        <v>29.5</v>
      </c>
      <c r="H64" s="0" t="n">
        <v>27.01</v>
      </c>
      <c r="I64" s="10" t="n">
        <v>0.3427</v>
      </c>
      <c r="J64" s="10" t="n">
        <v>0.6573</v>
      </c>
      <c r="K64" s="9" t="s">
        <v>2539</v>
      </c>
      <c r="L64" s="9" t="s">
        <v>2540</v>
      </c>
      <c r="M64" s="0" t="n">
        <v>26.4</v>
      </c>
      <c r="N64" s="10" t="n">
        <v>0.3</v>
      </c>
      <c r="O64" s="19"/>
      <c r="P64" s="0" t="str">
        <f aca="false">IF(O64="","",IF(O64&gt;G64,"OVER",IF(O64&lt;G64,"UNDER","PUSH")))</f>
        <v/>
      </c>
      <c r="Q64" s="0" t="n">
        <v>26.3</v>
      </c>
      <c r="R64" s="10" t="n">
        <v>0.2987</v>
      </c>
      <c r="S64" s="0" t="n">
        <v>0.9736</v>
      </c>
      <c r="T64" s="0" t="n">
        <v>28.74</v>
      </c>
      <c r="U64" s="0" t="n">
        <v>27.99</v>
      </c>
    </row>
    <row r="65" customFormat="false" ht="15" hidden="false" customHeight="false" outlineLevel="0" collapsed="false">
      <c r="A65" s="0" t="s">
        <v>1305</v>
      </c>
      <c r="B65" s="0" t="s">
        <v>1303</v>
      </c>
      <c r="C65" s="0" t="s">
        <v>775</v>
      </c>
      <c r="D65" s="0" t="s">
        <v>800</v>
      </c>
      <c r="E65" s="0" t="s">
        <v>964</v>
      </c>
      <c r="F65" s="0" t="s">
        <v>893</v>
      </c>
      <c r="G65" s="0" t="n">
        <v>13</v>
      </c>
      <c r="H65" s="0" t="n">
        <v>13.51</v>
      </c>
      <c r="I65" s="10" t="n">
        <v>0.5009</v>
      </c>
      <c r="J65" s="10" t="n">
        <v>0.3995</v>
      </c>
      <c r="K65" s="9" t="s">
        <v>2539</v>
      </c>
      <c r="L65" s="9" t="s">
        <v>2540</v>
      </c>
      <c r="N65" s="10" t="n">
        <v>0.5</v>
      </c>
      <c r="O65" s="19"/>
      <c r="P65" s="0" t="str">
        <f aca="false">IF(O65="","",IF(O65&gt;G65,"OVER",IF(O65&lt;G65,"UNDER","PUSH")))</f>
        <v/>
      </c>
      <c r="Q65" s="0" t="n">
        <v>13.2</v>
      </c>
      <c r="R65" s="10" t="n">
        <v>0.4697</v>
      </c>
      <c r="S65" s="0" t="n">
        <v>0.9773</v>
      </c>
      <c r="T65" s="0" t="n">
        <v>13.33</v>
      </c>
      <c r="U65" s="0" t="n">
        <v>12.98</v>
      </c>
    </row>
    <row r="66" customFormat="false" ht="15" hidden="false" customHeight="false" outlineLevel="0" collapsed="false">
      <c r="A66" s="0" t="s">
        <v>1305</v>
      </c>
      <c r="B66" s="0" t="s">
        <v>1303</v>
      </c>
      <c r="C66" s="0" t="s">
        <v>775</v>
      </c>
      <c r="D66" s="0" t="s">
        <v>800</v>
      </c>
      <c r="E66" s="0" t="s">
        <v>964</v>
      </c>
      <c r="F66" s="0" t="s">
        <v>888</v>
      </c>
      <c r="G66" s="0" t="n">
        <v>32.5</v>
      </c>
      <c r="H66" s="0" t="n">
        <v>33.38</v>
      </c>
      <c r="I66" s="10" t="n">
        <v>0.5515</v>
      </c>
      <c r="J66" s="10" t="n">
        <v>0.4485</v>
      </c>
      <c r="K66" s="9" t="s">
        <v>2539</v>
      </c>
      <c r="L66" s="9" t="s">
        <v>2540</v>
      </c>
      <c r="M66" s="0" t="n">
        <v>31.22</v>
      </c>
      <c r="N66" s="10" t="n">
        <v>0.4</v>
      </c>
      <c r="O66" s="19"/>
      <c r="P66" s="0" t="str">
        <f aca="false">IF(O66="","",IF(O66&gt;G66,"OVER",IF(O66&lt;G66,"UNDER","PUSH")))</f>
        <v/>
      </c>
      <c r="Q66" s="0" t="n">
        <v>32.54</v>
      </c>
      <c r="R66" s="10" t="n">
        <v>0.5026</v>
      </c>
      <c r="S66" s="0" t="n">
        <v>0.9748</v>
      </c>
      <c r="T66" s="0" t="n">
        <v>32.12</v>
      </c>
      <c r="U66" s="0" t="n">
        <v>31.28</v>
      </c>
    </row>
    <row r="67" customFormat="false" ht="15" hidden="false" customHeight="false" outlineLevel="0" collapsed="false">
      <c r="A67" s="0" t="s">
        <v>1305</v>
      </c>
      <c r="B67" s="0" t="s">
        <v>1303</v>
      </c>
      <c r="C67" s="0" t="s">
        <v>775</v>
      </c>
      <c r="D67" s="0" t="s">
        <v>800</v>
      </c>
      <c r="E67" s="0" t="s">
        <v>966</v>
      </c>
      <c r="F67" s="0" t="s">
        <v>893</v>
      </c>
      <c r="G67" s="0" t="n">
        <v>18.5</v>
      </c>
      <c r="H67" s="0" t="n">
        <v>20.66</v>
      </c>
      <c r="I67" s="10" t="n">
        <v>0.6646</v>
      </c>
      <c r="J67" s="10" t="n">
        <v>0.3354</v>
      </c>
      <c r="K67" s="9" t="s">
        <v>2539</v>
      </c>
      <c r="L67" s="9" t="s">
        <v>2540</v>
      </c>
      <c r="N67" s="10" t="n">
        <v>0.4</v>
      </c>
      <c r="O67" s="19"/>
      <c r="P67" s="0" t="str">
        <f aca="false">IF(O67="","",IF(O67&gt;G67,"OVER",IF(O67&lt;G67,"UNDER","PUSH")))</f>
        <v/>
      </c>
      <c r="Q67" s="0" t="n">
        <v>20.11</v>
      </c>
      <c r="R67" s="10" t="n">
        <v>0.6257</v>
      </c>
      <c r="S67" s="0" t="n">
        <v>0.9733</v>
      </c>
      <c r="T67" s="0" t="n">
        <v>18.76</v>
      </c>
      <c r="U67" s="0" t="n">
        <v>18.28</v>
      </c>
    </row>
    <row r="68" customFormat="false" ht="15" hidden="false" customHeight="false" outlineLevel="0" collapsed="false">
      <c r="A68" s="0" t="s">
        <v>1305</v>
      </c>
      <c r="B68" s="0" t="s">
        <v>1303</v>
      </c>
      <c r="C68" s="0" t="s">
        <v>775</v>
      </c>
      <c r="D68" s="0" t="s">
        <v>800</v>
      </c>
      <c r="E68" s="0" t="s">
        <v>966</v>
      </c>
      <c r="F68" s="0" t="s">
        <v>888</v>
      </c>
      <c r="G68" s="0" t="n">
        <v>31.5</v>
      </c>
      <c r="H68" s="0" t="n">
        <v>32.77</v>
      </c>
      <c r="I68" s="10" t="n">
        <v>0.5745</v>
      </c>
      <c r="J68" s="10" t="n">
        <v>0.4255</v>
      </c>
      <c r="K68" s="9" t="s">
        <v>2539</v>
      </c>
      <c r="L68" s="9" t="s">
        <v>2540</v>
      </c>
      <c r="M68" s="0" t="n">
        <v>31.62</v>
      </c>
      <c r="N68" s="10" t="n">
        <v>0.6</v>
      </c>
      <c r="O68" s="19"/>
      <c r="P68" s="0" t="str">
        <f aca="false">IF(O68="","",IF(O68&gt;G68,"OVER",IF(O68&lt;G68,"UNDER","PUSH")))</f>
        <v/>
      </c>
      <c r="Q68" s="0" t="n">
        <v>31.88</v>
      </c>
      <c r="R68" s="10" t="n">
        <v>0.5225</v>
      </c>
      <c r="S68" s="0" t="n">
        <v>0.9727</v>
      </c>
      <c r="T68" s="0" t="n">
        <v>31.27</v>
      </c>
      <c r="U68" s="0" t="n">
        <v>30.46</v>
      </c>
    </row>
    <row r="69" customFormat="false" ht="15" hidden="false" customHeight="false" outlineLevel="0" collapsed="false">
      <c r="A69" s="0" t="s">
        <v>1305</v>
      </c>
      <c r="B69" s="0" t="s">
        <v>1303</v>
      </c>
      <c r="C69" s="0" t="s">
        <v>775</v>
      </c>
      <c r="D69" s="0" t="s">
        <v>843</v>
      </c>
      <c r="E69" s="0" t="s">
        <v>968</v>
      </c>
      <c r="F69" s="0" t="s">
        <v>893</v>
      </c>
      <c r="G69" s="0" t="n">
        <v>15.5</v>
      </c>
      <c r="H69" s="0" t="n">
        <v>17.08</v>
      </c>
      <c r="I69" s="10" t="n">
        <v>0.6354</v>
      </c>
      <c r="J69" s="10" t="n">
        <v>0.3646</v>
      </c>
      <c r="K69" s="9" t="s">
        <v>2536</v>
      </c>
      <c r="L69" s="9" t="s">
        <v>2535</v>
      </c>
      <c r="N69" s="10" t="n">
        <v>0.6</v>
      </c>
      <c r="O69" s="19"/>
      <c r="P69" s="0" t="str">
        <f aca="false">IF(O69="","",IF(O69&gt;G69,"OVER",IF(O69&lt;G69,"UNDER","PUSH")))</f>
        <v/>
      </c>
      <c r="Q69" s="0" t="n">
        <v>16.76</v>
      </c>
      <c r="R69" s="10" t="n">
        <v>0.6097</v>
      </c>
      <c r="S69" s="0" t="n">
        <v>0.9813</v>
      </c>
      <c r="T69" s="0" t="n">
        <v>15.42</v>
      </c>
      <c r="U69" s="0" t="n">
        <v>15.08</v>
      </c>
    </row>
    <row r="70" customFormat="false" ht="15" hidden="false" customHeight="false" outlineLevel="0" collapsed="false">
      <c r="A70" s="0" t="s">
        <v>1305</v>
      </c>
      <c r="B70" s="0" t="s">
        <v>1303</v>
      </c>
      <c r="C70" s="0" t="s">
        <v>775</v>
      </c>
      <c r="D70" s="0" t="s">
        <v>843</v>
      </c>
      <c r="E70" s="0" t="s">
        <v>968</v>
      </c>
      <c r="F70" s="0" t="s">
        <v>888</v>
      </c>
      <c r="G70" s="0" t="n">
        <v>32.5</v>
      </c>
      <c r="H70" s="0" t="n">
        <v>31.89</v>
      </c>
      <c r="I70" s="10" t="n">
        <v>0.4637</v>
      </c>
      <c r="J70" s="10" t="n">
        <v>0.5363</v>
      </c>
      <c r="K70" s="9" t="s">
        <v>2536</v>
      </c>
      <c r="L70" s="9" t="s">
        <v>2535</v>
      </c>
      <c r="N70" s="10" t="n">
        <v>0.7</v>
      </c>
      <c r="O70" s="19"/>
      <c r="P70" s="0" t="str">
        <f aca="false">IF(O70="","",IF(O70&gt;G70,"OVER",IF(O70&lt;G70,"UNDER","PUSH")))</f>
        <v/>
      </c>
      <c r="Q70" s="0" t="n">
        <v>31.24</v>
      </c>
      <c r="R70" s="10" t="n">
        <v>0.4246</v>
      </c>
      <c r="S70" s="0" t="n">
        <v>0.9797</v>
      </c>
      <c r="T70" s="0" t="n">
        <v>32.25</v>
      </c>
      <c r="U70" s="0" t="n">
        <v>31.55</v>
      </c>
    </row>
    <row r="71" customFormat="false" ht="15" hidden="false" customHeight="false" outlineLevel="0" collapsed="false">
      <c r="A71" s="0" t="s">
        <v>1305</v>
      </c>
      <c r="B71" s="0" t="s">
        <v>1303</v>
      </c>
      <c r="C71" s="0" t="s">
        <v>775</v>
      </c>
      <c r="D71" s="0" t="s">
        <v>843</v>
      </c>
      <c r="E71" s="0" t="s">
        <v>970</v>
      </c>
      <c r="F71" s="0" t="s">
        <v>893</v>
      </c>
      <c r="G71" s="0" t="n">
        <v>15.5</v>
      </c>
      <c r="H71" s="0" t="n">
        <v>16.18</v>
      </c>
      <c r="I71" s="10" t="n">
        <v>0.5601</v>
      </c>
      <c r="J71" s="10" t="n">
        <v>0.4399</v>
      </c>
      <c r="K71" s="9" t="s">
        <v>2536</v>
      </c>
      <c r="L71" s="9" t="s">
        <v>2535</v>
      </c>
      <c r="N71" s="10" t="n">
        <v>0.7</v>
      </c>
      <c r="O71" s="19"/>
      <c r="P71" s="0" t="str">
        <f aca="false">IF(O71="","",IF(O71&gt;G71,"OVER",IF(O71&lt;G71,"UNDER","PUSH")))</f>
        <v/>
      </c>
      <c r="Q71" s="0" t="n">
        <v>15.81</v>
      </c>
      <c r="R71" s="10" t="n">
        <v>0.5283</v>
      </c>
      <c r="S71" s="0" t="n">
        <v>0.9776</v>
      </c>
      <c r="T71" s="0" t="n">
        <v>16.71</v>
      </c>
      <c r="U71" s="0" t="n">
        <v>16.35</v>
      </c>
    </row>
    <row r="72" customFormat="false" ht="15" hidden="false" customHeight="false" outlineLevel="0" collapsed="false">
      <c r="A72" s="0" t="s">
        <v>1305</v>
      </c>
      <c r="B72" s="0" t="s">
        <v>1303</v>
      </c>
      <c r="C72" s="0" t="s">
        <v>775</v>
      </c>
      <c r="D72" s="0" t="s">
        <v>843</v>
      </c>
      <c r="E72" s="0" t="s">
        <v>970</v>
      </c>
      <c r="F72" s="0" t="s">
        <v>888</v>
      </c>
      <c r="G72" s="0" t="n">
        <v>27.5</v>
      </c>
      <c r="H72" s="0" t="n">
        <v>27.39</v>
      </c>
      <c r="I72" s="10" t="n">
        <v>0.4932</v>
      </c>
      <c r="J72" s="10" t="n">
        <v>0.5068</v>
      </c>
      <c r="K72" s="9" t="s">
        <v>2536</v>
      </c>
      <c r="L72" s="9" t="s">
        <v>2535</v>
      </c>
      <c r="N72" s="10" t="n">
        <v>0.6</v>
      </c>
      <c r="O72" s="19"/>
      <c r="P72" s="0" t="str">
        <f aca="false">IF(O72="","",IF(O72&gt;G72,"OVER",IF(O72&lt;G72,"UNDER","PUSH")))</f>
        <v/>
      </c>
      <c r="Q72" s="0" t="n">
        <v>26.77</v>
      </c>
      <c r="R72" s="10" t="n">
        <v>0.4526</v>
      </c>
      <c r="S72" s="0" t="n">
        <v>0.9773</v>
      </c>
      <c r="T72" s="0" t="n">
        <v>27.09</v>
      </c>
      <c r="U72" s="0" t="n">
        <v>26.5</v>
      </c>
    </row>
    <row r="73" customFormat="false" ht="15" hidden="false" customHeight="false" outlineLevel="0" collapsed="false">
      <c r="A73" s="0" t="s">
        <v>1305</v>
      </c>
      <c r="B73" s="0" t="s">
        <v>1303</v>
      </c>
      <c r="C73" s="0" t="s">
        <v>775</v>
      </c>
      <c r="D73" s="0" t="s">
        <v>843</v>
      </c>
      <c r="E73" s="0" t="s">
        <v>973</v>
      </c>
      <c r="F73" s="0" t="s">
        <v>888</v>
      </c>
      <c r="G73" s="0" t="n">
        <v>30.5</v>
      </c>
      <c r="H73" s="0" t="n">
        <v>32.01</v>
      </c>
      <c r="I73" s="10" t="n">
        <v>0.5891</v>
      </c>
      <c r="J73" s="10" t="n">
        <v>0.4109</v>
      </c>
      <c r="K73" s="9" t="s">
        <v>2536</v>
      </c>
      <c r="L73" s="9" t="s">
        <v>2535</v>
      </c>
      <c r="N73" s="10" t="n">
        <v>0.4</v>
      </c>
      <c r="O73" s="19"/>
      <c r="P73" s="0" t="str">
        <f aca="false">IF(O73="","",IF(O73&gt;G73,"OVER",IF(O73&lt;G73,"UNDER","PUSH")))</f>
        <v/>
      </c>
      <c r="Q73" s="0" t="n">
        <v>31.37</v>
      </c>
      <c r="R73" s="10" t="n">
        <v>0.5524</v>
      </c>
      <c r="S73" s="0" t="n">
        <v>0.9802</v>
      </c>
      <c r="T73" s="0" t="n">
        <v>30.53</v>
      </c>
      <c r="U73" s="0" t="n">
        <v>29.87</v>
      </c>
    </row>
    <row r="74" customFormat="false" ht="15" hidden="false" customHeight="false" outlineLevel="0" collapsed="false">
      <c r="A74" s="0" t="s">
        <v>1305</v>
      </c>
      <c r="B74" s="0" t="s">
        <v>1303</v>
      </c>
      <c r="C74" s="0" t="s">
        <v>775</v>
      </c>
      <c r="D74" s="0" t="s">
        <v>843</v>
      </c>
      <c r="E74" s="0" t="s">
        <v>975</v>
      </c>
      <c r="F74" s="0" t="s">
        <v>893</v>
      </c>
      <c r="G74" s="0" t="n">
        <v>15.5</v>
      </c>
      <c r="H74" s="0" t="n">
        <v>15.23</v>
      </c>
      <c r="I74" s="10" t="n">
        <v>0.4748</v>
      </c>
      <c r="J74" s="10" t="n">
        <v>0.5252</v>
      </c>
      <c r="K74" s="9" t="s">
        <v>2536</v>
      </c>
      <c r="L74" s="9" t="s">
        <v>2535</v>
      </c>
      <c r="N74" s="10" t="n">
        <v>0.5</v>
      </c>
      <c r="O74" s="19"/>
      <c r="P74" s="0" t="str">
        <f aca="false">IF(O74="","",IF(O74&gt;G74,"OVER",IF(O74&lt;G74,"UNDER","PUSH")))</f>
        <v/>
      </c>
      <c r="Q74" s="0" t="n">
        <v>14.89</v>
      </c>
      <c r="R74" s="10" t="n">
        <v>0.4429</v>
      </c>
      <c r="S74" s="0" t="n">
        <v>0.9776</v>
      </c>
      <c r="T74" s="0" t="n">
        <v>15.22</v>
      </c>
      <c r="U74" s="0" t="n">
        <v>14.89</v>
      </c>
    </row>
    <row r="75" customFormat="false" ht="15" hidden="false" customHeight="false" outlineLevel="0" collapsed="false">
      <c r="A75" s="0" t="s">
        <v>1305</v>
      </c>
      <c r="B75" s="0" t="s">
        <v>1303</v>
      </c>
      <c r="C75" s="0" t="s">
        <v>775</v>
      </c>
      <c r="D75" s="0" t="s">
        <v>843</v>
      </c>
      <c r="E75" s="0" t="s">
        <v>975</v>
      </c>
      <c r="F75" s="0" t="s">
        <v>888</v>
      </c>
      <c r="G75" s="0" t="n">
        <v>28.5</v>
      </c>
      <c r="H75" s="0" t="n">
        <v>26.53</v>
      </c>
      <c r="I75" s="10" t="n">
        <v>0.373</v>
      </c>
      <c r="J75" s="10" t="n">
        <v>0.627</v>
      </c>
      <c r="K75" s="9" t="s">
        <v>2536</v>
      </c>
      <c r="L75" s="9" t="s">
        <v>2535</v>
      </c>
      <c r="N75" s="10" t="n">
        <v>0.4</v>
      </c>
      <c r="O75" s="19"/>
      <c r="P75" s="0" t="str">
        <f aca="false">IF(O75="","",IF(O75&gt;G75,"OVER",IF(O75&lt;G75,"UNDER","PUSH")))</f>
        <v/>
      </c>
      <c r="Q75" s="0" t="n">
        <v>25.93</v>
      </c>
      <c r="R75" s="10" t="n">
        <v>0.335</v>
      </c>
      <c r="S75" s="0" t="n">
        <v>0.9776</v>
      </c>
      <c r="T75" s="0" t="n">
        <v>27.09</v>
      </c>
      <c r="U75" s="0" t="n">
        <v>26.5</v>
      </c>
    </row>
    <row r="76" customFormat="false" ht="15" hidden="false" customHeight="false" outlineLevel="0" collapsed="false">
      <c r="A76" s="0" t="s">
        <v>1305</v>
      </c>
      <c r="B76" s="0" t="s">
        <v>1303</v>
      </c>
      <c r="C76" s="0" t="s">
        <v>775</v>
      </c>
      <c r="D76" s="0" t="s">
        <v>843</v>
      </c>
      <c r="E76" s="0" t="s">
        <v>977</v>
      </c>
      <c r="F76" s="0" t="s">
        <v>893</v>
      </c>
      <c r="G76" s="0" t="n">
        <v>11.5</v>
      </c>
      <c r="H76" s="0" t="n">
        <v>11.03</v>
      </c>
      <c r="I76" s="10" t="n">
        <v>0.4468</v>
      </c>
      <c r="J76" s="10" t="n">
        <v>0.5532</v>
      </c>
      <c r="K76" s="9" t="s">
        <v>2536</v>
      </c>
      <c r="L76" s="9" t="s">
        <v>2535</v>
      </c>
      <c r="N76" s="10" t="n">
        <v>0.5</v>
      </c>
      <c r="O76" s="19"/>
      <c r="P76" s="0" t="str">
        <f aca="false">IF(O76="","",IF(O76&gt;G76,"OVER",IF(O76&lt;G76,"UNDER","PUSH")))</f>
        <v/>
      </c>
      <c r="Q76" s="0" t="n">
        <v>11.1</v>
      </c>
      <c r="R76" s="10" t="n">
        <v>0.4552</v>
      </c>
      <c r="S76" s="0" t="n">
        <v>1.0066</v>
      </c>
      <c r="T76" s="0" t="n">
        <v>11.69</v>
      </c>
      <c r="U76" s="0" t="n">
        <v>11.8</v>
      </c>
    </row>
    <row r="77" customFormat="false" ht="15" hidden="false" customHeight="false" outlineLevel="0" collapsed="false">
      <c r="A77" s="0" t="s">
        <v>1305</v>
      </c>
      <c r="B77" s="0" t="s">
        <v>1303</v>
      </c>
      <c r="C77" s="0" t="s">
        <v>775</v>
      </c>
      <c r="D77" s="0" t="s">
        <v>843</v>
      </c>
      <c r="E77" s="0" t="s">
        <v>977</v>
      </c>
      <c r="F77" s="0" t="s">
        <v>888</v>
      </c>
      <c r="G77" s="0" t="n">
        <v>32.5</v>
      </c>
      <c r="H77" s="0" t="n">
        <v>33.72</v>
      </c>
      <c r="I77" s="10" t="n">
        <v>0.5703</v>
      </c>
      <c r="J77" s="10" t="n">
        <v>0.4297</v>
      </c>
      <c r="K77" s="9" t="s">
        <v>2536</v>
      </c>
      <c r="L77" s="9" t="s">
        <v>2535</v>
      </c>
      <c r="N77" s="10" t="n">
        <v>0.7</v>
      </c>
      <c r="O77" s="19"/>
      <c r="P77" s="0" t="str">
        <f aca="false">IF(O77="","",IF(O77&gt;G77,"OVER",IF(O77&lt;G77,"UNDER","PUSH")))</f>
        <v/>
      </c>
      <c r="Q77" s="0" t="n">
        <v>34.04</v>
      </c>
      <c r="R77" s="10" t="n">
        <v>0.588</v>
      </c>
      <c r="S77" s="0" t="n">
        <v>1.0094</v>
      </c>
      <c r="T77" s="0" t="n">
        <v>33.11</v>
      </c>
      <c r="U77" s="0" t="n">
        <v>33.43</v>
      </c>
    </row>
    <row r="78" customFormat="false" ht="15" hidden="false" customHeight="false" outlineLevel="0" collapsed="false">
      <c r="A78" s="0" t="s">
        <v>1305</v>
      </c>
      <c r="B78" s="0" t="s">
        <v>1303</v>
      </c>
      <c r="C78" s="0" t="s">
        <v>775</v>
      </c>
      <c r="D78" s="0" t="s">
        <v>843</v>
      </c>
      <c r="E78" s="0" t="s">
        <v>979</v>
      </c>
      <c r="F78" s="0" t="s">
        <v>893</v>
      </c>
      <c r="G78" s="0" t="n">
        <v>13.5</v>
      </c>
      <c r="H78" s="0" t="n">
        <v>13.87</v>
      </c>
      <c r="I78" s="10" t="n">
        <v>0.5363</v>
      </c>
      <c r="J78" s="10" t="n">
        <v>0.4637</v>
      </c>
      <c r="K78" s="9" t="s">
        <v>2536</v>
      </c>
      <c r="L78" s="9" t="s">
        <v>2535</v>
      </c>
      <c r="N78" s="10" t="n">
        <v>0.5</v>
      </c>
      <c r="O78" s="19"/>
      <c r="P78" s="0" t="str">
        <f aca="false">IF(O78="","",IF(O78&gt;G78,"OVER",IF(O78&lt;G78,"UNDER","PUSH")))</f>
        <v/>
      </c>
      <c r="Q78" s="0" t="n">
        <v>13.98</v>
      </c>
      <c r="R78" s="10" t="n">
        <v>0.5472</v>
      </c>
      <c r="S78" s="0" t="n">
        <v>1.0082</v>
      </c>
      <c r="T78" s="0" t="n">
        <v>14.59</v>
      </c>
      <c r="U78" s="0" t="n">
        <v>14.73</v>
      </c>
    </row>
    <row r="79" customFormat="false" ht="15" hidden="false" customHeight="false" outlineLevel="0" collapsed="false">
      <c r="A79" s="0" t="s">
        <v>1305</v>
      </c>
      <c r="B79" s="0" t="s">
        <v>1303</v>
      </c>
      <c r="C79" s="0" t="s">
        <v>775</v>
      </c>
      <c r="D79" s="0" t="s">
        <v>843</v>
      </c>
      <c r="E79" s="0" t="s">
        <v>979</v>
      </c>
      <c r="F79" s="0" t="s">
        <v>888</v>
      </c>
      <c r="G79" s="0" t="n">
        <v>28.5</v>
      </c>
      <c r="H79" s="0" t="n">
        <v>28.69</v>
      </c>
      <c r="I79" s="10" t="n">
        <v>0.5118</v>
      </c>
      <c r="J79" s="10" t="n">
        <v>0.4882</v>
      </c>
      <c r="K79" s="9" t="s">
        <v>2536</v>
      </c>
      <c r="L79" s="9" t="s">
        <v>2535</v>
      </c>
      <c r="N79" s="10" t="n">
        <v>0.5</v>
      </c>
      <c r="O79" s="19"/>
      <c r="P79" s="0" t="str">
        <f aca="false">IF(O79="","",IF(O79&gt;G79,"OVER",IF(O79&lt;G79,"UNDER","PUSH")))</f>
        <v/>
      </c>
      <c r="Q79" s="0" t="n">
        <v>28.95</v>
      </c>
      <c r="R79" s="10" t="n">
        <v>0.5282</v>
      </c>
      <c r="S79" s="0" t="n">
        <v>1.0092</v>
      </c>
      <c r="T79" s="0" t="n">
        <v>29.24</v>
      </c>
      <c r="U79" s="0" t="n">
        <v>29.52</v>
      </c>
    </row>
    <row r="80" customFormat="false" ht="15" hidden="false" customHeight="false" outlineLevel="0" collapsed="false">
      <c r="A80" s="0" t="s">
        <v>1305</v>
      </c>
      <c r="B80" s="0" t="s">
        <v>1303</v>
      </c>
      <c r="C80" s="0" t="s">
        <v>775</v>
      </c>
      <c r="D80" s="0" t="s">
        <v>843</v>
      </c>
      <c r="E80" s="0" t="s">
        <v>981</v>
      </c>
      <c r="F80" s="0" t="s">
        <v>893</v>
      </c>
      <c r="G80" s="0" t="n">
        <v>17.5</v>
      </c>
      <c r="H80" s="0" t="n">
        <v>16.81</v>
      </c>
      <c r="I80" s="10" t="n">
        <v>0.4397</v>
      </c>
      <c r="J80" s="10" t="n">
        <v>0.5603</v>
      </c>
      <c r="K80" s="9" t="s">
        <v>2536</v>
      </c>
      <c r="L80" s="9" t="s">
        <v>2535</v>
      </c>
      <c r="N80" s="10" t="n">
        <v>0.6</v>
      </c>
      <c r="O80" s="19"/>
      <c r="P80" s="0" t="str">
        <f aca="false">IF(O80="","",IF(O80&gt;G80,"OVER",IF(O80&lt;G80,"UNDER","PUSH")))</f>
        <v/>
      </c>
      <c r="Q80" s="0" t="n">
        <v>16.97</v>
      </c>
      <c r="R80" s="10" t="n">
        <v>0.4541</v>
      </c>
      <c r="S80" s="0" t="n">
        <v>1.0097</v>
      </c>
      <c r="T80" s="0" t="n">
        <v>17.24</v>
      </c>
      <c r="U80" s="0" t="n">
        <v>17.41</v>
      </c>
    </row>
    <row r="81" customFormat="false" ht="15" hidden="false" customHeight="false" outlineLevel="0" collapsed="false">
      <c r="A81" s="0" t="s">
        <v>1305</v>
      </c>
      <c r="B81" s="0" t="s">
        <v>1303</v>
      </c>
      <c r="C81" s="0" t="s">
        <v>775</v>
      </c>
      <c r="D81" s="0" t="s">
        <v>843</v>
      </c>
      <c r="E81" s="0" t="s">
        <v>981</v>
      </c>
      <c r="F81" s="0" t="s">
        <v>888</v>
      </c>
      <c r="G81" s="0" t="n">
        <v>30.5</v>
      </c>
      <c r="H81" s="0" t="n">
        <v>30.12</v>
      </c>
      <c r="I81" s="10" t="n">
        <v>0.4765</v>
      </c>
      <c r="J81" s="10" t="n">
        <v>0.5235</v>
      </c>
      <c r="K81" s="9" t="s">
        <v>2536</v>
      </c>
      <c r="L81" s="9" t="s">
        <v>2535</v>
      </c>
      <c r="N81" s="10" t="n">
        <v>0.6</v>
      </c>
      <c r="O81" s="19"/>
      <c r="P81" s="0" t="str">
        <f aca="false">IF(O81="","",IF(O81&gt;G81,"OVER",IF(O81&lt;G81,"UNDER","PUSH")))</f>
        <v/>
      </c>
      <c r="Q81" s="0" t="n">
        <v>30.43</v>
      </c>
      <c r="R81" s="10" t="n">
        <v>0.4959</v>
      </c>
      <c r="S81" s="0" t="n">
        <v>1.0105</v>
      </c>
      <c r="T81" s="0" t="n">
        <v>29.67</v>
      </c>
      <c r="U81" s="0" t="n">
        <v>29.96</v>
      </c>
    </row>
    <row r="82" customFormat="false" ht="15" hidden="false" customHeight="false" outlineLevel="0" collapsed="false">
      <c r="A82" s="0" t="s">
        <v>1305</v>
      </c>
      <c r="B82" s="0" t="s">
        <v>1303</v>
      </c>
      <c r="C82" s="0" t="s">
        <v>775</v>
      </c>
      <c r="D82" s="0" t="s">
        <v>843</v>
      </c>
      <c r="E82" s="0" t="s">
        <v>983</v>
      </c>
      <c r="F82" s="0" t="s">
        <v>893</v>
      </c>
      <c r="G82" s="0" t="n">
        <v>15.5</v>
      </c>
      <c r="H82" s="0" t="n">
        <v>17.24</v>
      </c>
      <c r="I82" s="10" t="n">
        <v>0.6465</v>
      </c>
      <c r="J82" s="10" t="n">
        <v>0.3535</v>
      </c>
      <c r="K82" s="9" t="s">
        <v>2536</v>
      </c>
      <c r="L82" s="9" t="s">
        <v>2535</v>
      </c>
      <c r="N82" s="10" t="n">
        <v>0.6</v>
      </c>
      <c r="O82" s="19"/>
      <c r="P82" s="0" t="str">
        <f aca="false">IF(O82="","",IF(O82&gt;G82,"OVER",IF(O82&lt;G82,"UNDER","PUSH")))</f>
        <v/>
      </c>
      <c r="Q82" s="0" t="n">
        <v>17.36</v>
      </c>
      <c r="R82" s="10" t="n">
        <v>0.6558</v>
      </c>
      <c r="S82" s="0" t="n">
        <v>1.0072</v>
      </c>
      <c r="T82" s="0" t="n">
        <v>16.69</v>
      </c>
      <c r="U82" s="0" t="n">
        <v>16.85</v>
      </c>
    </row>
    <row r="83" customFormat="false" ht="15" hidden="false" customHeight="false" outlineLevel="0" collapsed="false">
      <c r="A83" s="0" t="s">
        <v>1305</v>
      </c>
      <c r="B83" s="0" t="s">
        <v>1303</v>
      </c>
      <c r="C83" s="0" t="s">
        <v>775</v>
      </c>
      <c r="D83" s="0" t="s">
        <v>843</v>
      </c>
      <c r="E83" s="0" t="s">
        <v>983</v>
      </c>
      <c r="F83" s="0" t="s">
        <v>888</v>
      </c>
      <c r="G83" s="0" t="n">
        <v>28.5</v>
      </c>
      <c r="H83" s="0" t="n">
        <v>28.42</v>
      </c>
      <c r="I83" s="10" t="n">
        <v>0.495</v>
      </c>
      <c r="J83" s="10" t="n">
        <v>0.505</v>
      </c>
      <c r="K83" s="9" t="s">
        <v>2536</v>
      </c>
      <c r="L83" s="9" t="s">
        <v>2535</v>
      </c>
      <c r="N83" s="10" t="n">
        <v>0.6</v>
      </c>
      <c r="O83" s="19"/>
      <c r="P83" s="0" t="str">
        <f aca="false">IF(O83="","",IF(O83&gt;G83,"OVER",IF(O83&lt;G83,"UNDER","PUSH")))</f>
        <v/>
      </c>
      <c r="Q83" s="0" t="n">
        <v>28.63</v>
      </c>
      <c r="R83" s="10" t="n">
        <v>0.5084</v>
      </c>
      <c r="S83" s="0" t="n">
        <v>1.0075</v>
      </c>
      <c r="T83" s="0" t="n">
        <v>28.38</v>
      </c>
      <c r="U83" s="0" t="n">
        <v>28.66</v>
      </c>
    </row>
    <row r="84" customFormat="false" ht="15" hidden="false" customHeight="false" outlineLevel="0" collapsed="false">
      <c r="A84" s="0" t="s">
        <v>1305</v>
      </c>
      <c r="B84" s="0" t="s">
        <v>1303</v>
      </c>
      <c r="C84" s="0" t="s">
        <v>775</v>
      </c>
      <c r="D84" s="0" t="s">
        <v>843</v>
      </c>
      <c r="E84" s="0" t="s">
        <v>985</v>
      </c>
      <c r="F84" s="0" t="s">
        <v>893</v>
      </c>
      <c r="G84" s="0" t="n">
        <v>15.5</v>
      </c>
      <c r="H84" s="0" t="n">
        <v>14.63</v>
      </c>
      <c r="I84" s="10" t="n">
        <v>0.4189</v>
      </c>
      <c r="J84" s="10" t="n">
        <v>0.5811</v>
      </c>
      <c r="K84" s="9" t="s">
        <v>2536</v>
      </c>
      <c r="L84" s="9" t="s">
        <v>2535</v>
      </c>
      <c r="N84" s="10" t="n">
        <v>0.3</v>
      </c>
      <c r="O84" s="19"/>
      <c r="P84" s="0" t="str">
        <f aca="false">IF(O84="","",IF(O84&gt;G84,"OVER",IF(O84&lt;G84,"UNDER","PUSH")))</f>
        <v/>
      </c>
      <c r="Q84" s="0" t="n">
        <v>14.75</v>
      </c>
      <c r="R84" s="10" t="n">
        <v>0.4309</v>
      </c>
      <c r="S84" s="0" t="n">
        <v>1.0087</v>
      </c>
      <c r="T84" s="0" t="n">
        <v>13.95</v>
      </c>
      <c r="U84" s="0" t="n">
        <v>14.09</v>
      </c>
    </row>
    <row r="85" customFormat="false" ht="15" hidden="false" customHeight="false" outlineLevel="0" collapsed="false">
      <c r="A85" s="0" t="s">
        <v>1305</v>
      </c>
      <c r="B85" s="0" t="s">
        <v>1303</v>
      </c>
      <c r="C85" s="0" t="s">
        <v>775</v>
      </c>
      <c r="D85" s="0" t="s">
        <v>843</v>
      </c>
      <c r="E85" s="0" t="s">
        <v>985</v>
      </c>
      <c r="F85" s="0" t="s">
        <v>888</v>
      </c>
      <c r="G85" s="0" t="n">
        <v>25.5</v>
      </c>
      <c r="H85" s="0" t="n">
        <v>24.01</v>
      </c>
      <c r="I85" s="10" t="n">
        <v>0.3988</v>
      </c>
      <c r="J85" s="10" t="n">
        <v>0.6012</v>
      </c>
      <c r="K85" s="9" t="s">
        <v>2536</v>
      </c>
      <c r="L85" s="9" t="s">
        <v>2535</v>
      </c>
      <c r="N85" s="10" t="n">
        <v>0.3</v>
      </c>
      <c r="O85" s="19"/>
      <c r="P85" s="0" t="str">
        <f aca="false">IF(O85="","",IF(O85&gt;G85,"OVER",IF(O85&lt;G85,"UNDER","PUSH")))</f>
        <v/>
      </c>
      <c r="Q85" s="0" t="n">
        <v>24.22</v>
      </c>
      <c r="R85" s="10" t="n">
        <v>0.413</v>
      </c>
      <c r="S85" s="0" t="n">
        <v>1.0086</v>
      </c>
      <c r="T85" s="0" t="n">
        <v>23.65</v>
      </c>
      <c r="U85" s="0" t="n">
        <v>23.88</v>
      </c>
    </row>
    <row r="86" customFormat="false" ht="15" hidden="false" customHeight="false" outlineLevel="0" collapsed="false">
      <c r="A86" s="0" t="s">
        <v>1305</v>
      </c>
      <c r="B86" s="0" t="s">
        <v>1303</v>
      </c>
      <c r="C86" s="0" t="s">
        <v>775</v>
      </c>
      <c r="D86" s="0" t="s">
        <v>857</v>
      </c>
      <c r="E86" s="0" t="s">
        <v>987</v>
      </c>
      <c r="F86" s="0" t="s">
        <v>888</v>
      </c>
      <c r="G86" s="0" t="n">
        <v>29.5</v>
      </c>
      <c r="H86" s="0" t="n">
        <v>33.14</v>
      </c>
      <c r="I86" s="10" t="n">
        <v>0.7037</v>
      </c>
      <c r="J86" s="10" t="n">
        <v>0.2963</v>
      </c>
      <c r="K86" s="9" t="s">
        <v>2541</v>
      </c>
      <c r="L86" s="9" t="s">
        <v>2542</v>
      </c>
      <c r="N86" s="10" t="n">
        <v>0.5</v>
      </c>
      <c r="O86" s="19"/>
      <c r="P86" s="0" t="str">
        <f aca="false">IF(O86="","",IF(O86&gt;G86,"OVER",IF(O86&lt;G86,"UNDER","PUSH")))</f>
        <v/>
      </c>
      <c r="Q86" s="0" t="n">
        <v>31.16</v>
      </c>
      <c r="R86" s="10" t="n">
        <v>0.5991</v>
      </c>
      <c r="S86" s="0" t="n">
        <v>0.9401</v>
      </c>
      <c r="T86" s="0" t="n">
        <v>31.25</v>
      </c>
      <c r="U86" s="0" t="n">
        <v>29.37</v>
      </c>
    </row>
    <row r="87" customFormat="false" ht="15" hidden="false" customHeight="false" outlineLevel="0" collapsed="false">
      <c r="A87" s="0" t="s">
        <v>1305</v>
      </c>
      <c r="B87" s="0" t="s">
        <v>1303</v>
      </c>
      <c r="C87" s="0" t="s">
        <v>775</v>
      </c>
      <c r="D87" s="0" t="s">
        <v>857</v>
      </c>
      <c r="E87" s="0" t="s">
        <v>990</v>
      </c>
      <c r="F87" s="0" t="s">
        <v>888</v>
      </c>
      <c r="G87" s="0" t="n">
        <v>24.5</v>
      </c>
      <c r="H87" s="0" t="n">
        <v>22.72</v>
      </c>
      <c r="I87" s="10" t="n">
        <v>0.376</v>
      </c>
      <c r="J87" s="10" t="n">
        <v>0.624</v>
      </c>
      <c r="K87" s="9" t="s">
        <v>2541</v>
      </c>
      <c r="L87" s="9" t="s">
        <v>2542</v>
      </c>
      <c r="N87" s="10" t="n">
        <v>0.6</v>
      </c>
      <c r="O87" s="19"/>
      <c r="P87" s="0" t="str">
        <f aca="false">IF(O87="","",IF(O87&gt;G87,"OVER",IF(O87&lt;G87,"UNDER","PUSH")))</f>
        <v/>
      </c>
      <c r="Q87" s="0" t="n">
        <v>21.36</v>
      </c>
      <c r="R87" s="10" t="n">
        <v>0.2827</v>
      </c>
      <c r="S87" s="0" t="n">
        <v>0.94</v>
      </c>
      <c r="T87" s="0" t="n">
        <v>23.12</v>
      </c>
      <c r="U87" s="0" t="n">
        <v>21.73</v>
      </c>
    </row>
    <row r="88" customFormat="false" ht="15" hidden="false" customHeight="false" outlineLevel="0" collapsed="false">
      <c r="A88" s="0" t="s">
        <v>1305</v>
      </c>
      <c r="B88" s="0" t="s">
        <v>1303</v>
      </c>
      <c r="C88" s="0" t="s">
        <v>775</v>
      </c>
      <c r="D88" s="0" t="s">
        <v>857</v>
      </c>
      <c r="E88" s="0" t="s">
        <v>992</v>
      </c>
      <c r="F88" s="0" t="s">
        <v>888</v>
      </c>
      <c r="G88" s="0" t="n">
        <v>29.5</v>
      </c>
      <c r="H88" s="0" t="n">
        <v>29.79</v>
      </c>
      <c r="I88" s="10" t="n">
        <v>0.5179</v>
      </c>
      <c r="J88" s="10" t="n">
        <v>0.4821</v>
      </c>
      <c r="K88" s="9" t="s">
        <v>2541</v>
      </c>
      <c r="L88" s="9" t="s">
        <v>2542</v>
      </c>
      <c r="N88" s="10" t="n">
        <v>0.5</v>
      </c>
      <c r="O88" s="19"/>
      <c r="P88" s="0" t="str">
        <f aca="false">IF(O88="","",IF(O88&gt;G88,"OVER",IF(O88&lt;G88,"UNDER","PUSH")))</f>
        <v/>
      </c>
      <c r="Q88" s="0" t="n">
        <v>28</v>
      </c>
      <c r="R88" s="10" t="n">
        <v>0.4054</v>
      </c>
      <c r="S88" s="0" t="n">
        <v>0.9399</v>
      </c>
      <c r="T88" s="0" t="n">
        <v>29.54</v>
      </c>
      <c r="U88" s="0" t="n">
        <v>27.76</v>
      </c>
    </row>
    <row r="89" customFormat="false" ht="15" hidden="false" customHeight="false" outlineLevel="0" collapsed="false">
      <c r="A89" s="0" t="s">
        <v>1305</v>
      </c>
      <c r="B89" s="0" t="s">
        <v>1303</v>
      </c>
      <c r="C89" s="0" t="s">
        <v>775</v>
      </c>
      <c r="D89" s="0" t="s">
        <v>857</v>
      </c>
      <c r="E89" s="0" t="s">
        <v>994</v>
      </c>
      <c r="F89" s="0" t="s">
        <v>888</v>
      </c>
      <c r="G89" s="0" t="n">
        <v>30.5</v>
      </c>
      <c r="H89" s="0" t="n">
        <v>32.34</v>
      </c>
      <c r="I89" s="10" t="n">
        <v>0.6075</v>
      </c>
      <c r="J89" s="10" t="n">
        <v>0.3925</v>
      </c>
      <c r="K89" s="9" t="s">
        <v>2541</v>
      </c>
      <c r="L89" s="9" t="s">
        <v>2542</v>
      </c>
      <c r="N89" s="10" t="n">
        <v>0.6</v>
      </c>
      <c r="O89" s="19"/>
      <c r="P89" s="0" t="str">
        <f aca="false">IF(O89="","",IF(O89&gt;G89,"OVER",IF(O89&lt;G89,"UNDER","PUSH")))</f>
        <v/>
      </c>
      <c r="Q89" s="0" t="n">
        <v>30.39</v>
      </c>
      <c r="R89" s="10" t="n">
        <v>0.4932</v>
      </c>
      <c r="S89" s="0" t="n">
        <v>0.9398</v>
      </c>
      <c r="T89" s="0" t="n">
        <v>31.68</v>
      </c>
      <c r="U89" s="0" t="n">
        <v>29.78</v>
      </c>
    </row>
    <row r="90" customFormat="false" ht="15" hidden="false" customHeight="false" outlineLevel="0" collapsed="false">
      <c r="A90" s="0" t="s">
        <v>1305</v>
      </c>
      <c r="B90" s="0" t="s">
        <v>1303</v>
      </c>
      <c r="C90" s="0" t="s">
        <v>775</v>
      </c>
      <c r="D90" s="0" t="s">
        <v>857</v>
      </c>
      <c r="E90" s="0" t="s">
        <v>996</v>
      </c>
      <c r="F90" s="0" t="s">
        <v>888</v>
      </c>
      <c r="G90" s="0" t="n">
        <v>28.5</v>
      </c>
      <c r="H90" s="0" t="n">
        <v>27.02</v>
      </c>
      <c r="I90" s="10" t="n">
        <v>0.4052</v>
      </c>
      <c r="J90" s="10" t="n">
        <v>0.5948</v>
      </c>
      <c r="K90" s="9" t="s">
        <v>2541</v>
      </c>
      <c r="L90" s="9" t="s">
        <v>2542</v>
      </c>
      <c r="N90" s="10" t="n">
        <v>0.4</v>
      </c>
      <c r="O90" s="19"/>
      <c r="P90" s="0" t="str">
        <f aca="false">IF(O90="","",IF(O90&gt;G90,"OVER",IF(O90&lt;G90,"UNDER","PUSH")))</f>
        <v/>
      </c>
      <c r="Q90" s="0" t="n">
        <v>25.4</v>
      </c>
      <c r="R90" s="10" t="n">
        <v>0.3015</v>
      </c>
      <c r="S90" s="0" t="n">
        <v>0.9399</v>
      </c>
      <c r="T90" s="0" t="n">
        <v>28.68</v>
      </c>
      <c r="U90" s="0" t="n">
        <v>26.96</v>
      </c>
    </row>
    <row r="91" customFormat="false" ht="15" hidden="false" customHeight="false" outlineLevel="0" collapsed="false">
      <c r="A91" s="0" t="s">
        <v>1305</v>
      </c>
      <c r="B91" s="0" t="s">
        <v>1303</v>
      </c>
      <c r="C91" s="0" t="s">
        <v>775</v>
      </c>
      <c r="D91" s="0" t="s">
        <v>857</v>
      </c>
      <c r="E91" s="0" t="s">
        <v>998</v>
      </c>
      <c r="F91" s="0" t="s">
        <v>888</v>
      </c>
      <c r="G91" s="0" t="n">
        <v>29.5</v>
      </c>
      <c r="H91" s="0" t="n">
        <v>27.24</v>
      </c>
      <c r="I91" s="10" t="n">
        <v>0.357</v>
      </c>
      <c r="J91" s="10" t="n">
        <v>0.643</v>
      </c>
      <c r="K91" s="9" t="s">
        <v>2541</v>
      </c>
      <c r="L91" s="9" t="s">
        <v>2542</v>
      </c>
      <c r="N91" s="10" t="n">
        <v>0.3</v>
      </c>
      <c r="O91" s="19"/>
      <c r="P91" s="0" t="str">
        <f aca="false">IF(O91="","",IF(O91&gt;G91,"OVER",IF(O91&lt;G91,"UNDER","PUSH")))</f>
        <v/>
      </c>
      <c r="Q91" s="0" t="n">
        <v>28.05</v>
      </c>
      <c r="R91" s="10" t="n">
        <v>0.4085</v>
      </c>
      <c r="S91" s="0" t="n">
        <v>1.0298</v>
      </c>
      <c r="T91" s="0" t="n">
        <v>26.54</v>
      </c>
      <c r="U91" s="0" t="n">
        <v>27.34</v>
      </c>
    </row>
    <row r="92" customFormat="false" ht="15" hidden="false" customHeight="false" outlineLevel="0" collapsed="false">
      <c r="A92" s="0" t="s">
        <v>1305</v>
      </c>
      <c r="B92" s="0" t="s">
        <v>1303</v>
      </c>
      <c r="C92" s="0" t="s">
        <v>775</v>
      </c>
      <c r="D92" s="0" t="s">
        <v>857</v>
      </c>
      <c r="E92" s="0" t="s">
        <v>1001</v>
      </c>
      <c r="F92" s="0" t="s">
        <v>888</v>
      </c>
      <c r="G92" s="0" t="n">
        <v>27.5</v>
      </c>
      <c r="H92" s="0" t="n">
        <v>26.15</v>
      </c>
      <c r="I92" s="10" t="n">
        <v>0.412</v>
      </c>
      <c r="J92" s="10" t="n">
        <v>0.588</v>
      </c>
      <c r="K92" s="9" t="s">
        <v>2541</v>
      </c>
      <c r="L92" s="9" t="s">
        <v>2542</v>
      </c>
      <c r="N92" s="10" t="n">
        <v>0.1</v>
      </c>
      <c r="O92" s="19"/>
      <c r="P92" s="0" t="str">
        <f aca="false">IF(O92="","",IF(O92&gt;G92,"OVER",IF(O92&lt;G92,"UNDER","PUSH")))</f>
        <v/>
      </c>
      <c r="Q92" s="0" t="n">
        <v>26.94</v>
      </c>
      <c r="R92" s="10" t="n">
        <v>0.4634</v>
      </c>
      <c r="S92" s="0" t="n">
        <v>1.0299</v>
      </c>
      <c r="T92" s="0" t="n">
        <v>24.4</v>
      </c>
      <c r="U92" s="0" t="n">
        <v>25.14</v>
      </c>
    </row>
    <row r="93" customFormat="false" ht="15" hidden="false" customHeight="false" outlineLevel="0" collapsed="false">
      <c r="A93" s="0" t="s">
        <v>1305</v>
      </c>
      <c r="B93" s="0" t="s">
        <v>1303</v>
      </c>
      <c r="C93" s="0" t="s">
        <v>775</v>
      </c>
      <c r="D93" s="0" t="s">
        <v>857</v>
      </c>
      <c r="E93" s="0" t="s">
        <v>1003</v>
      </c>
      <c r="F93" s="0" t="s">
        <v>888</v>
      </c>
      <c r="G93" s="0" t="n">
        <v>29.5</v>
      </c>
      <c r="H93" s="0" t="n">
        <v>27.52</v>
      </c>
      <c r="I93" s="10" t="n">
        <v>0.3748</v>
      </c>
      <c r="J93" s="10" t="n">
        <v>0.6252</v>
      </c>
      <c r="K93" s="9" t="s">
        <v>2541</v>
      </c>
      <c r="L93" s="9" t="s">
        <v>2542</v>
      </c>
      <c r="N93" s="10" t="n">
        <v>0.2</v>
      </c>
      <c r="O93" s="19"/>
      <c r="P93" s="0" t="str">
        <f aca="false">IF(O93="","",IF(O93&gt;G93,"OVER",IF(O93&lt;G93,"UNDER","PUSH")))</f>
        <v/>
      </c>
      <c r="Q93" s="0" t="n">
        <v>28.35</v>
      </c>
      <c r="R93" s="10" t="n">
        <v>0.4275</v>
      </c>
      <c r="S93" s="0" t="n">
        <v>1.0302</v>
      </c>
      <c r="T93" s="0" t="n">
        <v>26.97</v>
      </c>
      <c r="U93" s="0" t="n">
        <v>27.78</v>
      </c>
    </row>
    <row r="94" customFormat="false" ht="15" hidden="false" customHeight="false" outlineLevel="0" collapsed="false">
      <c r="A94" s="0" t="s">
        <v>1305</v>
      </c>
      <c r="B94" s="0" t="s">
        <v>1303</v>
      </c>
      <c r="C94" s="0" t="s">
        <v>775</v>
      </c>
      <c r="D94" s="0" t="s">
        <v>857</v>
      </c>
      <c r="E94" s="0" t="s">
        <v>1006</v>
      </c>
      <c r="F94" s="0" t="s">
        <v>888</v>
      </c>
      <c r="G94" s="0" t="n">
        <v>30.5</v>
      </c>
      <c r="H94" s="0" t="n">
        <v>30.1</v>
      </c>
      <c r="I94" s="10" t="n">
        <v>0.4754</v>
      </c>
      <c r="J94" s="10" t="n">
        <v>0.5246</v>
      </c>
      <c r="K94" s="9" t="s">
        <v>2541</v>
      </c>
      <c r="L94" s="9" t="s">
        <v>2542</v>
      </c>
      <c r="N94" s="10" t="n">
        <v>0.6</v>
      </c>
      <c r="O94" s="19"/>
      <c r="P94" s="0" t="str">
        <f aca="false">IF(O94="","",IF(O94&gt;G94,"OVER",IF(O94&lt;G94,"UNDER","PUSH")))</f>
        <v/>
      </c>
      <c r="Q94" s="0" t="n">
        <v>30.99</v>
      </c>
      <c r="R94" s="10" t="n">
        <v>0.5299</v>
      </c>
      <c r="S94" s="0" t="n">
        <v>1.0297</v>
      </c>
      <c r="T94" s="0" t="n">
        <v>29.54</v>
      </c>
      <c r="U94" s="0" t="n">
        <v>30.43</v>
      </c>
    </row>
    <row r="95" customFormat="false" ht="15" hidden="false" customHeight="false" outlineLevel="0" collapsed="false">
      <c r="A95" s="0" t="s">
        <v>1305</v>
      </c>
      <c r="B95" s="0" t="s">
        <v>1303</v>
      </c>
      <c r="C95" s="0" t="s">
        <v>775</v>
      </c>
      <c r="D95" s="0" t="s">
        <v>857</v>
      </c>
      <c r="E95" s="0" t="s">
        <v>1009</v>
      </c>
      <c r="F95" s="0" t="s">
        <v>888</v>
      </c>
      <c r="G95" s="0" t="n">
        <v>27.5</v>
      </c>
      <c r="H95" s="0" t="n">
        <v>25.54</v>
      </c>
      <c r="I95" s="10" t="n">
        <v>0.3712</v>
      </c>
      <c r="J95" s="10" t="n">
        <v>0.6288</v>
      </c>
      <c r="K95" s="9" t="s">
        <v>2541</v>
      </c>
      <c r="L95" s="9" t="s">
        <v>2542</v>
      </c>
      <c r="N95" s="10" t="n">
        <v>0.3</v>
      </c>
      <c r="O95" s="19"/>
      <c r="P95" s="0" t="str">
        <f aca="false">IF(O95="","",IF(O95&gt;G95,"OVER",IF(O95&lt;G95,"UNDER","PUSH")))</f>
        <v/>
      </c>
      <c r="Q95" s="0" t="n">
        <v>26.3</v>
      </c>
      <c r="R95" s="10" t="n">
        <v>0.4217</v>
      </c>
      <c r="S95" s="0" t="n">
        <v>1.03</v>
      </c>
      <c r="T95" s="0" t="n">
        <v>25.26</v>
      </c>
      <c r="U95" s="0" t="n">
        <v>26.02</v>
      </c>
    </row>
    <row r="96" customFormat="false" ht="15" hidden="false" customHeight="false" outlineLevel="0" collapsed="false">
      <c r="A96" s="0" t="s">
        <v>1305</v>
      </c>
      <c r="B96" s="0" t="s">
        <v>1303</v>
      </c>
      <c r="C96" s="0" t="s">
        <v>775</v>
      </c>
      <c r="D96" s="0" t="s">
        <v>819</v>
      </c>
      <c r="E96" s="0" t="s">
        <v>1011</v>
      </c>
      <c r="F96" s="0" t="s">
        <v>893</v>
      </c>
      <c r="G96" s="0" t="n">
        <v>17</v>
      </c>
      <c r="H96" s="0" t="n">
        <v>17.56</v>
      </c>
      <c r="I96" s="10" t="n">
        <v>0.5049</v>
      </c>
      <c r="J96" s="10" t="n">
        <v>0.4096</v>
      </c>
      <c r="K96" s="9" t="s">
        <v>2543</v>
      </c>
      <c r="L96" s="9" t="s">
        <v>2544</v>
      </c>
      <c r="N96" s="10" t="n">
        <v>0.5</v>
      </c>
      <c r="O96" s="19"/>
      <c r="P96" s="0" t="str">
        <f aca="false">IF(O96="","",IF(O96&gt;G96,"OVER",IF(O96&lt;G96,"UNDER","PUSH")))</f>
        <v/>
      </c>
      <c r="Q96" s="0" t="n">
        <v>17.97</v>
      </c>
      <c r="R96" s="10" t="n">
        <v>0.5397</v>
      </c>
      <c r="S96" s="0" t="n">
        <v>1.0233</v>
      </c>
      <c r="T96" s="0" t="n">
        <v>15.95</v>
      </c>
      <c r="U96" s="0" t="n">
        <v>16.32</v>
      </c>
    </row>
    <row r="97" customFormat="false" ht="15" hidden="false" customHeight="false" outlineLevel="0" collapsed="false">
      <c r="A97" s="0" t="s">
        <v>1305</v>
      </c>
      <c r="B97" s="0" t="s">
        <v>1303</v>
      </c>
      <c r="C97" s="0" t="s">
        <v>775</v>
      </c>
      <c r="D97" s="0" t="s">
        <v>819</v>
      </c>
      <c r="E97" s="0" t="s">
        <v>1011</v>
      </c>
      <c r="F97" s="0" t="s">
        <v>888</v>
      </c>
      <c r="G97" s="0" t="n">
        <v>30.5</v>
      </c>
      <c r="H97" s="0" t="n">
        <v>32.18</v>
      </c>
      <c r="I97" s="10" t="n">
        <v>0.5986</v>
      </c>
      <c r="J97" s="10" t="n">
        <v>0.4014</v>
      </c>
      <c r="K97" s="9" t="s">
        <v>2543</v>
      </c>
      <c r="L97" s="9" t="s">
        <v>2544</v>
      </c>
      <c r="M97" s="0" t="n">
        <v>29.23</v>
      </c>
      <c r="N97" s="10" t="n">
        <v>0.6</v>
      </c>
      <c r="O97" s="19"/>
      <c r="P97" s="0" t="str">
        <f aca="false">IF(O97="","",IF(O97&gt;G97,"OVER",IF(O97&lt;G97,"UNDER","PUSH")))</f>
        <v/>
      </c>
      <c r="Q97" s="0" t="n">
        <v>32.94</v>
      </c>
      <c r="R97" s="10" t="n">
        <v>0.6401</v>
      </c>
      <c r="S97" s="0" t="n">
        <v>1.0236</v>
      </c>
      <c r="T97" s="0" t="n">
        <v>29.48</v>
      </c>
      <c r="U97" s="0" t="n">
        <v>30.17</v>
      </c>
    </row>
    <row r="98" customFormat="false" ht="15" hidden="false" customHeight="false" outlineLevel="0" collapsed="false">
      <c r="A98" s="0" t="s">
        <v>1305</v>
      </c>
      <c r="B98" s="0" t="s">
        <v>1303</v>
      </c>
      <c r="C98" s="0" t="s">
        <v>775</v>
      </c>
      <c r="D98" s="0" t="s">
        <v>819</v>
      </c>
      <c r="E98" s="0" t="s">
        <v>1013</v>
      </c>
      <c r="F98" s="0" t="s">
        <v>893</v>
      </c>
      <c r="G98" s="0" t="n">
        <v>15.5</v>
      </c>
      <c r="H98" s="0" t="n">
        <v>14.86</v>
      </c>
      <c r="I98" s="10" t="n">
        <v>0.44</v>
      </c>
      <c r="J98" s="10" t="n">
        <v>0.56</v>
      </c>
      <c r="K98" s="9" t="s">
        <v>2543</v>
      </c>
      <c r="L98" s="9" t="s">
        <v>2544</v>
      </c>
      <c r="N98" s="10" t="n">
        <v>0.5</v>
      </c>
      <c r="O98" s="19"/>
      <c r="P98" s="0" t="str">
        <f aca="false">IF(O98="","",IF(O98&gt;G98,"OVER",IF(O98&lt;G98,"UNDER","PUSH")))</f>
        <v/>
      </c>
      <c r="Q98" s="0" t="n">
        <v>15.2</v>
      </c>
      <c r="R98" s="10" t="n">
        <v>0.4719</v>
      </c>
      <c r="S98" s="0" t="n">
        <v>1.0228</v>
      </c>
      <c r="T98" s="0" t="n">
        <v>14.85</v>
      </c>
      <c r="U98" s="0" t="n">
        <v>15.2</v>
      </c>
    </row>
    <row r="99" customFormat="false" ht="15" hidden="false" customHeight="false" outlineLevel="0" collapsed="false">
      <c r="A99" s="0" t="s">
        <v>1305</v>
      </c>
      <c r="B99" s="0" t="s">
        <v>1303</v>
      </c>
      <c r="C99" s="0" t="s">
        <v>775</v>
      </c>
      <c r="D99" s="0" t="s">
        <v>819</v>
      </c>
      <c r="E99" s="0" t="s">
        <v>1013</v>
      </c>
      <c r="F99" s="0" t="s">
        <v>888</v>
      </c>
      <c r="G99" s="0" t="n">
        <v>28.5</v>
      </c>
      <c r="H99" s="0" t="n">
        <v>27.1</v>
      </c>
      <c r="I99" s="10" t="n">
        <v>0.4103</v>
      </c>
      <c r="J99" s="10" t="n">
        <v>0.5897</v>
      </c>
      <c r="K99" s="9" t="s">
        <v>2543</v>
      </c>
      <c r="L99" s="9" t="s">
        <v>2544</v>
      </c>
      <c r="M99" s="0" t="n">
        <v>27.19</v>
      </c>
      <c r="N99" s="10" t="n">
        <v>0.3</v>
      </c>
      <c r="O99" s="19"/>
      <c r="P99" s="0" t="str">
        <f aca="false">IF(O99="","",IF(O99&gt;G99,"OVER",IF(O99&lt;G99,"UNDER","PUSH")))</f>
        <v/>
      </c>
      <c r="Q99" s="0" t="n">
        <v>27.72</v>
      </c>
      <c r="R99" s="10" t="n">
        <v>0.4503</v>
      </c>
      <c r="S99" s="0" t="n">
        <v>1.0228</v>
      </c>
      <c r="T99" s="0" t="n">
        <v>27.05</v>
      </c>
      <c r="U99" s="0" t="n">
        <v>27.69</v>
      </c>
    </row>
    <row r="100" customFormat="false" ht="15" hidden="false" customHeight="false" outlineLevel="0" collapsed="false">
      <c r="A100" s="0" t="s">
        <v>1305</v>
      </c>
      <c r="B100" s="0" t="s">
        <v>1303</v>
      </c>
      <c r="C100" s="0" t="s">
        <v>775</v>
      </c>
      <c r="D100" s="0" t="s">
        <v>819</v>
      </c>
      <c r="E100" s="0" t="s">
        <v>1015</v>
      </c>
      <c r="F100" s="0" t="s">
        <v>893</v>
      </c>
      <c r="G100" s="0" t="n">
        <v>11.5</v>
      </c>
      <c r="H100" s="0" t="n">
        <v>10.36</v>
      </c>
      <c r="I100" s="10" t="n">
        <v>0.3709</v>
      </c>
      <c r="J100" s="10" t="n">
        <v>0.6291</v>
      </c>
      <c r="K100" s="9" t="s">
        <v>2543</v>
      </c>
      <c r="L100" s="9" t="s">
        <v>2544</v>
      </c>
      <c r="N100" s="10" t="n">
        <v>0.4</v>
      </c>
      <c r="O100" s="19"/>
      <c r="P100" s="0" t="str">
        <f aca="false">IF(O100="","",IF(O100&gt;G100,"OVER",IF(O100&lt;G100,"UNDER","PUSH")))</f>
        <v/>
      </c>
      <c r="Q100" s="0" t="n">
        <v>10.61</v>
      </c>
      <c r="R100" s="10" t="n">
        <v>0.4002</v>
      </c>
      <c r="S100" s="0" t="n">
        <v>1.0247</v>
      </c>
      <c r="T100" s="0" t="n">
        <v>10.08</v>
      </c>
      <c r="U100" s="0" t="n">
        <v>10.31</v>
      </c>
    </row>
    <row r="101" customFormat="false" ht="15" hidden="false" customHeight="false" outlineLevel="0" collapsed="false">
      <c r="A101" s="0" t="s">
        <v>1305</v>
      </c>
      <c r="B101" s="0" t="s">
        <v>1303</v>
      </c>
      <c r="C101" s="0" t="s">
        <v>775</v>
      </c>
      <c r="D101" s="0" t="s">
        <v>819</v>
      </c>
      <c r="E101" s="0" t="s">
        <v>1015</v>
      </c>
      <c r="F101" s="0" t="s">
        <v>888</v>
      </c>
      <c r="G101" s="0" t="n">
        <v>30.5</v>
      </c>
      <c r="H101" s="0" t="n">
        <v>25.13</v>
      </c>
      <c r="I101" s="10" t="n">
        <v>0.1825</v>
      </c>
      <c r="J101" s="10" t="n">
        <v>0.8175</v>
      </c>
      <c r="K101" s="9" t="s">
        <v>2543</v>
      </c>
      <c r="L101" s="9" t="s">
        <v>2544</v>
      </c>
      <c r="N101" s="10" t="n">
        <v>0.3</v>
      </c>
      <c r="O101" s="19"/>
      <c r="P101" s="0" t="str">
        <f aca="false">IF(O101="","",IF(O101&gt;G101,"OVER",IF(O101&lt;G101,"UNDER","PUSH")))</f>
        <v/>
      </c>
      <c r="Q101" s="0" t="n">
        <v>25.72</v>
      </c>
      <c r="R101" s="10" t="n">
        <v>0.2127</v>
      </c>
      <c r="S101" s="0" t="n">
        <v>1.0235</v>
      </c>
      <c r="T101" s="0" t="n">
        <v>26.25</v>
      </c>
      <c r="U101" s="0" t="n">
        <v>26.86</v>
      </c>
    </row>
    <row r="102" customFormat="false" ht="15" hidden="false" customHeight="false" outlineLevel="0" collapsed="false">
      <c r="A102" s="0" t="s">
        <v>1305</v>
      </c>
      <c r="B102" s="0" t="s">
        <v>1303</v>
      </c>
      <c r="C102" s="0" t="s">
        <v>775</v>
      </c>
      <c r="D102" s="0" t="s">
        <v>819</v>
      </c>
      <c r="E102" s="0" t="s">
        <v>1017</v>
      </c>
      <c r="F102" s="0" t="s">
        <v>893</v>
      </c>
      <c r="G102" s="0" t="n">
        <v>19.5</v>
      </c>
      <c r="H102" s="0" t="n">
        <v>19.22</v>
      </c>
      <c r="I102" s="10" t="n">
        <v>0.4775</v>
      </c>
      <c r="J102" s="10" t="n">
        <v>0.5225</v>
      </c>
      <c r="K102" s="9" t="s">
        <v>2543</v>
      </c>
      <c r="L102" s="9" t="s">
        <v>2544</v>
      </c>
      <c r="N102" s="10" t="n">
        <v>0.5</v>
      </c>
      <c r="O102" s="19"/>
      <c r="P102" s="0" t="str">
        <f aca="false">IF(O102="","",IF(O102&gt;G102,"OVER",IF(O102&lt;G102,"UNDER","PUSH")))</f>
        <v/>
      </c>
      <c r="Q102" s="0" t="n">
        <v>19.64</v>
      </c>
      <c r="R102" s="10" t="n">
        <v>0.5112</v>
      </c>
      <c r="S102" s="0" t="n">
        <v>1.0215</v>
      </c>
      <c r="T102" s="0" t="n">
        <v>18.99</v>
      </c>
      <c r="U102" s="0" t="n">
        <v>19.44</v>
      </c>
    </row>
    <row r="103" customFormat="false" ht="15" hidden="false" customHeight="false" outlineLevel="0" collapsed="false">
      <c r="A103" s="0" t="s">
        <v>1305</v>
      </c>
      <c r="B103" s="0" t="s">
        <v>1303</v>
      </c>
      <c r="C103" s="0" t="s">
        <v>775</v>
      </c>
      <c r="D103" s="0" t="s">
        <v>819</v>
      </c>
      <c r="E103" s="0" t="s">
        <v>1017</v>
      </c>
      <c r="F103" s="0" t="s">
        <v>888</v>
      </c>
      <c r="G103" s="0" t="n">
        <v>32.5</v>
      </c>
      <c r="H103" s="0" t="n">
        <v>31.88</v>
      </c>
      <c r="I103" s="10" t="n">
        <v>0.4628</v>
      </c>
      <c r="J103" s="10" t="n">
        <v>0.5372</v>
      </c>
      <c r="K103" s="9" t="s">
        <v>2543</v>
      </c>
      <c r="L103" s="9" t="s">
        <v>2544</v>
      </c>
      <c r="M103" s="0" t="n">
        <v>30.87</v>
      </c>
      <c r="N103" s="10" t="n">
        <v>0.6</v>
      </c>
      <c r="O103" s="19"/>
      <c r="P103" s="0" t="str">
        <f aca="false">IF(O103="","",IF(O103&gt;G103,"OVER",IF(O103&lt;G103,"UNDER","PUSH")))</f>
        <v/>
      </c>
      <c r="Q103" s="0" t="n">
        <v>32.58</v>
      </c>
      <c r="R103" s="10" t="n">
        <v>0.5047</v>
      </c>
      <c r="S103" s="0" t="n">
        <v>1.022</v>
      </c>
      <c r="T103" s="0" t="n">
        <v>31.5</v>
      </c>
      <c r="U103" s="0" t="n">
        <v>32.23</v>
      </c>
    </row>
    <row r="104" customFormat="false" ht="15" hidden="false" customHeight="false" outlineLevel="0" collapsed="false">
      <c r="A104" s="0" t="s">
        <v>1305</v>
      </c>
      <c r="B104" s="0" t="s">
        <v>1303</v>
      </c>
      <c r="C104" s="0" t="s">
        <v>775</v>
      </c>
      <c r="D104" s="0" t="s">
        <v>819</v>
      </c>
      <c r="E104" s="0" t="s">
        <v>1019</v>
      </c>
      <c r="F104" s="0" t="s">
        <v>893</v>
      </c>
      <c r="G104" s="0" t="n">
        <v>15.5</v>
      </c>
      <c r="H104" s="0" t="n">
        <v>15.84</v>
      </c>
      <c r="I104" s="10" t="n">
        <v>0.531</v>
      </c>
      <c r="J104" s="10" t="n">
        <v>0.469</v>
      </c>
      <c r="K104" s="9" t="s">
        <v>2543</v>
      </c>
      <c r="L104" s="9" t="s">
        <v>2544</v>
      </c>
      <c r="N104" s="10" t="n">
        <v>0.4</v>
      </c>
      <c r="O104" s="19"/>
      <c r="P104" s="0" t="str">
        <f aca="false">IF(O104="","",IF(O104&gt;G104,"OVER",IF(O104&lt;G104,"UNDER","PUSH")))</f>
        <v/>
      </c>
      <c r="Q104" s="0" t="n">
        <v>16.22</v>
      </c>
      <c r="R104" s="10" t="n">
        <v>0.5643</v>
      </c>
      <c r="S104" s="0" t="n">
        <v>1.024</v>
      </c>
      <c r="T104" s="0" t="n">
        <v>15.49</v>
      </c>
      <c r="U104" s="0" t="n">
        <v>15.85</v>
      </c>
    </row>
    <row r="105" customFormat="false" ht="15" hidden="false" customHeight="false" outlineLevel="0" collapsed="false">
      <c r="A105" s="0" t="s">
        <v>1305</v>
      </c>
      <c r="B105" s="0" t="s">
        <v>1303</v>
      </c>
      <c r="C105" s="0" t="s">
        <v>775</v>
      </c>
      <c r="D105" s="0" t="s">
        <v>819</v>
      </c>
      <c r="E105" s="0" t="s">
        <v>1019</v>
      </c>
      <c r="F105" s="0" t="s">
        <v>888</v>
      </c>
      <c r="G105" s="0" t="n">
        <v>27.5</v>
      </c>
      <c r="H105" s="0" t="n">
        <v>27.58</v>
      </c>
      <c r="I105" s="10" t="n">
        <v>0.505</v>
      </c>
      <c r="J105" s="10" t="n">
        <v>0.495</v>
      </c>
      <c r="K105" s="9" t="s">
        <v>2543</v>
      </c>
      <c r="L105" s="9" t="s">
        <v>2544</v>
      </c>
      <c r="M105" s="0" t="n">
        <v>26.38</v>
      </c>
      <c r="N105" s="10" t="n">
        <v>0.5</v>
      </c>
      <c r="O105" s="19"/>
      <c r="P105" s="0" t="str">
        <f aca="false">IF(O105="","",IF(O105&gt;G105,"OVER",IF(O105&lt;G105,"UNDER","PUSH")))</f>
        <v/>
      </c>
      <c r="Q105" s="0" t="n">
        <v>28.23</v>
      </c>
      <c r="R105" s="10" t="n">
        <v>0.5464</v>
      </c>
      <c r="S105" s="0" t="n">
        <v>1.0237</v>
      </c>
      <c r="T105" s="0" t="n">
        <v>26.25</v>
      </c>
      <c r="U105" s="0" t="n">
        <v>26.86</v>
      </c>
    </row>
    <row r="106" customFormat="false" ht="15" hidden="false" customHeight="false" outlineLevel="0" collapsed="false">
      <c r="A106" s="0" t="s">
        <v>1305</v>
      </c>
      <c r="B106" s="0" t="s">
        <v>1303</v>
      </c>
      <c r="C106" s="0" t="s">
        <v>775</v>
      </c>
      <c r="D106" s="0" t="s">
        <v>807</v>
      </c>
      <c r="E106" s="0" t="s">
        <v>1021</v>
      </c>
      <c r="F106" s="0" t="s">
        <v>893</v>
      </c>
      <c r="G106" s="0" t="n">
        <v>19.5</v>
      </c>
      <c r="H106" s="0" t="n">
        <v>21.02</v>
      </c>
      <c r="I106" s="10" t="n">
        <v>0.6167</v>
      </c>
      <c r="J106" s="10" t="n">
        <v>0.3833</v>
      </c>
      <c r="K106" s="9" t="s">
        <v>2545</v>
      </c>
      <c r="L106" s="9" t="s">
        <v>2546</v>
      </c>
      <c r="N106" s="10" t="n">
        <v>0.6</v>
      </c>
      <c r="O106" s="19"/>
      <c r="P106" s="0" t="str">
        <f aca="false">IF(O106="","",IF(O106&gt;G106,"OVER",IF(O106&lt;G106,"UNDER","PUSH")))</f>
        <v/>
      </c>
      <c r="Q106" s="0" t="n">
        <v>21.35</v>
      </c>
      <c r="R106" s="10" t="n">
        <v>0.64</v>
      </c>
      <c r="S106" s="0" t="n">
        <v>1.0157</v>
      </c>
      <c r="T106" s="0" t="n">
        <v>20.9</v>
      </c>
      <c r="U106" s="0" t="n">
        <v>21.23</v>
      </c>
    </row>
    <row r="107" customFormat="false" ht="15" hidden="false" customHeight="false" outlineLevel="0" collapsed="false">
      <c r="A107" s="0" t="s">
        <v>1305</v>
      </c>
      <c r="B107" s="0" t="s">
        <v>1303</v>
      </c>
      <c r="C107" s="0" t="s">
        <v>775</v>
      </c>
      <c r="D107" s="0" t="s">
        <v>807</v>
      </c>
      <c r="E107" s="0" t="s">
        <v>1021</v>
      </c>
      <c r="F107" s="0" t="s">
        <v>888</v>
      </c>
      <c r="G107" s="0" t="n">
        <v>33.5</v>
      </c>
      <c r="H107" s="0" t="n">
        <v>34.46</v>
      </c>
      <c r="I107" s="10" t="n">
        <v>0.5552</v>
      </c>
      <c r="J107" s="10" t="n">
        <v>0.4448</v>
      </c>
      <c r="K107" s="9" t="s">
        <v>2545</v>
      </c>
      <c r="L107" s="9" t="s">
        <v>2546</v>
      </c>
      <c r="M107" s="0" t="n">
        <v>32.07</v>
      </c>
      <c r="N107" s="10" t="n">
        <v>0.5</v>
      </c>
      <c r="O107" s="19"/>
      <c r="P107" s="0" t="str">
        <f aca="false">IF(O107="","",IF(O107&gt;G107,"OVER",IF(O107&lt;G107,"UNDER","PUSH")))</f>
        <v/>
      </c>
      <c r="Q107" s="0" t="n">
        <v>34.99</v>
      </c>
      <c r="R107" s="10" t="n">
        <v>0.5843</v>
      </c>
      <c r="S107" s="0" t="n">
        <v>1.0153</v>
      </c>
      <c r="T107" s="0" t="n">
        <v>34.04</v>
      </c>
      <c r="U107" s="0" t="n">
        <v>34.57</v>
      </c>
    </row>
    <row r="108" customFormat="false" ht="15" hidden="false" customHeight="false" outlineLevel="0" collapsed="false">
      <c r="A108" s="0" t="s">
        <v>1305</v>
      </c>
      <c r="B108" s="0" t="s">
        <v>1303</v>
      </c>
      <c r="C108" s="0" t="s">
        <v>775</v>
      </c>
      <c r="D108" s="0" t="s">
        <v>807</v>
      </c>
      <c r="E108" s="0" t="s">
        <v>1023</v>
      </c>
      <c r="F108" s="0" t="s">
        <v>893</v>
      </c>
      <c r="G108" s="0" t="n">
        <v>18.5</v>
      </c>
      <c r="H108" s="0" t="n">
        <v>17.61</v>
      </c>
      <c r="I108" s="10" t="n">
        <v>0.4238</v>
      </c>
      <c r="J108" s="10" t="n">
        <v>0.5762</v>
      </c>
      <c r="K108" s="9" t="s">
        <v>2545</v>
      </c>
      <c r="L108" s="9" t="s">
        <v>2546</v>
      </c>
      <c r="N108" s="10" t="n">
        <v>0.5</v>
      </c>
      <c r="O108" s="19"/>
      <c r="P108" s="0" t="str">
        <f aca="false">IF(O108="","",IF(O108&gt;G108,"OVER",IF(O108&lt;G108,"UNDER","PUSH")))</f>
        <v/>
      </c>
      <c r="Q108" s="0" t="n">
        <v>17.87</v>
      </c>
      <c r="R108" s="10" t="n">
        <v>0.4465</v>
      </c>
      <c r="S108" s="0" t="n">
        <v>1.015</v>
      </c>
      <c r="T108" s="0" t="n">
        <v>16.94</v>
      </c>
      <c r="U108" s="0" t="n">
        <v>17.2</v>
      </c>
    </row>
    <row r="109" customFormat="false" ht="15" hidden="false" customHeight="false" outlineLevel="0" collapsed="false">
      <c r="A109" s="0" t="s">
        <v>1305</v>
      </c>
      <c r="B109" s="0" t="s">
        <v>1303</v>
      </c>
      <c r="C109" s="0" t="s">
        <v>775</v>
      </c>
      <c r="D109" s="0" t="s">
        <v>807</v>
      </c>
      <c r="E109" s="0" t="s">
        <v>1023</v>
      </c>
      <c r="F109" s="0" t="s">
        <v>888</v>
      </c>
      <c r="G109" s="0" t="n">
        <v>30.5</v>
      </c>
      <c r="H109" s="0" t="n">
        <v>30.55</v>
      </c>
      <c r="I109" s="10" t="n">
        <v>0.5032</v>
      </c>
      <c r="J109" s="10" t="n">
        <v>0.4968</v>
      </c>
      <c r="K109" s="9" t="s">
        <v>2545</v>
      </c>
      <c r="L109" s="9" t="s">
        <v>2546</v>
      </c>
      <c r="M109" s="0" t="n">
        <v>30.41</v>
      </c>
      <c r="N109" s="10" t="n">
        <v>0.6</v>
      </c>
      <c r="O109" s="19"/>
      <c r="P109" s="0" t="str">
        <f aca="false">IF(O109="","",IF(O109&gt;G109,"OVER",IF(O109&lt;G109,"UNDER","PUSH")))</f>
        <v/>
      </c>
      <c r="Q109" s="0" t="n">
        <v>31</v>
      </c>
      <c r="R109" s="10" t="n">
        <v>0.5305</v>
      </c>
      <c r="S109" s="0" t="n">
        <v>1.0148</v>
      </c>
      <c r="T109" s="0" t="n">
        <v>29</v>
      </c>
      <c r="U109" s="0" t="n">
        <v>29.45</v>
      </c>
    </row>
    <row r="110" customFormat="false" ht="15" hidden="false" customHeight="false" outlineLevel="0" collapsed="false">
      <c r="A110" s="0" t="s">
        <v>1305</v>
      </c>
      <c r="B110" s="0" t="s">
        <v>1303</v>
      </c>
      <c r="C110" s="0" t="s">
        <v>775</v>
      </c>
      <c r="D110" s="0" t="s">
        <v>807</v>
      </c>
      <c r="E110" s="0" t="s">
        <v>1025</v>
      </c>
      <c r="F110" s="0" t="s">
        <v>893</v>
      </c>
      <c r="G110" s="0" t="n">
        <v>13.5</v>
      </c>
      <c r="H110" s="0" t="n">
        <v>13.59</v>
      </c>
      <c r="I110" s="10" t="n">
        <v>0.5091</v>
      </c>
      <c r="J110" s="10" t="n">
        <v>0.4909</v>
      </c>
      <c r="K110" s="9" t="s">
        <v>2545</v>
      </c>
      <c r="L110" s="9" t="s">
        <v>2546</v>
      </c>
      <c r="N110" s="10" t="n">
        <v>0.5</v>
      </c>
      <c r="O110" s="19"/>
      <c r="P110" s="0" t="str">
        <f aca="false">IF(O110="","",IF(O110&gt;G110,"OVER",IF(O110&lt;G110,"UNDER","PUSH")))</f>
        <v/>
      </c>
      <c r="Q110" s="0" t="n">
        <v>13.8</v>
      </c>
      <c r="R110" s="10" t="n">
        <v>0.5295</v>
      </c>
      <c r="S110" s="0" t="n">
        <v>1.0155</v>
      </c>
      <c r="T110" s="0" t="n">
        <v>13.27</v>
      </c>
      <c r="U110" s="0" t="n">
        <v>13.48</v>
      </c>
    </row>
    <row r="111" customFormat="false" ht="15" hidden="false" customHeight="false" outlineLevel="0" collapsed="false">
      <c r="A111" s="0" t="s">
        <v>1305</v>
      </c>
      <c r="B111" s="0" t="s">
        <v>1303</v>
      </c>
      <c r="C111" s="0" t="s">
        <v>775</v>
      </c>
      <c r="D111" s="0" t="s">
        <v>807</v>
      </c>
      <c r="E111" s="0" t="s">
        <v>1025</v>
      </c>
      <c r="F111" s="0" t="s">
        <v>888</v>
      </c>
      <c r="G111" s="0" t="n">
        <v>24.5</v>
      </c>
      <c r="H111" s="0" t="n">
        <v>24.58</v>
      </c>
      <c r="I111" s="10" t="n">
        <v>0.5054</v>
      </c>
      <c r="J111" s="10" t="n">
        <v>0.4946</v>
      </c>
      <c r="K111" s="9" t="s">
        <v>2545</v>
      </c>
      <c r="L111" s="9" t="s">
        <v>2546</v>
      </c>
      <c r="M111" s="0" t="n">
        <v>24.61</v>
      </c>
      <c r="N111" s="10" t="n">
        <v>0.6</v>
      </c>
      <c r="O111" s="19"/>
      <c r="P111" s="0" t="str">
        <f aca="false">IF(O111="","",IF(O111&gt;G111,"OVER",IF(O111&lt;G111,"UNDER","PUSH")))</f>
        <v/>
      </c>
      <c r="Q111" s="0" t="n">
        <v>24.96</v>
      </c>
      <c r="R111" s="10" t="n">
        <v>0.5311</v>
      </c>
      <c r="S111" s="0" t="n">
        <v>1.0156</v>
      </c>
      <c r="T111" s="0" t="n">
        <v>23.96</v>
      </c>
      <c r="U111" s="0" t="n">
        <v>24.33</v>
      </c>
    </row>
    <row r="112" customFormat="false" ht="15" hidden="false" customHeight="false" outlineLevel="0" collapsed="false">
      <c r="A112" s="0" t="s">
        <v>1305</v>
      </c>
      <c r="B112" s="0" t="s">
        <v>1303</v>
      </c>
      <c r="C112" s="0" t="s">
        <v>775</v>
      </c>
      <c r="D112" s="0" t="s">
        <v>807</v>
      </c>
      <c r="E112" s="0" t="s">
        <v>1027</v>
      </c>
      <c r="F112" s="0" t="s">
        <v>893</v>
      </c>
      <c r="G112" s="0" t="n">
        <v>11.5</v>
      </c>
      <c r="H112" s="0" t="n">
        <v>9.94</v>
      </c>
      <c r="I112" s="10" t="n">
        <v>0.3229</v>
      </c>
      <c r="J112" s="10" t="n">
        <v>0.6771</v>
      </c>
      <c r="K112" s="9" t="s">
        <v>2545</v>
      </c>
      <c r="L112" s="9" t="s">
        <v>2546</v>
      </c>
      <c r="N112" s="10" t="n">
        <v>0.6</v>
      </c>
      <c r="O112" s="19"/>
      <c r="P112" s="0" t="str">
        <f aca="false">IF(O112="","",IF(O112&gt;G112,"OVER",IF(O112&lt;G112,"UNDER","PUSH")))</f>
        <v/>
      </c>
      <c r="Q112" s="0" t="n">
        <v>10.1</v>
      </c>
      <c r="R112" s="10" t="n">
        <v>0.3407</v>
      </c>
      <c r="S112" s="0" t="n">
        <v>1.0156</v>
      </c>
      <c r="T112" s="0" t="n">
        <v>10.69</v>
      </c>
      <c r="U112" s="0" t="n">
        <v>10.86</v>
      </c>
    </row>
    <row r="113" customFormat="false" ht="15" hidden="false" customHeight="false" outlineLevel="0" collapsed="false">
      <c r="A113" s="0" t="s">
        <v>1305</v>
      </c>
      <c r="B113" s="0" t="s">
        <v>1303</v>
      </c>
      <c r="C113" s="0" t="s">
        <v>775</v>
      </c>
      <c r="D113" s="0" t="s">
        <v>807</v>
      </c>
      <c r="E113" s="0" t="s">
        <v>1027</v>
      </c>
      <c r="F113" s="0" t="s">
        <v>888</v>
      </c>
      <c r="G113" s="0" t="n">
        <v>28.5</v>
      </c>
      <c r="H113" s="0" t="n">
        <v>25.18</v>
      </c>
      <c r="I113" s="10" t="n">
        <v>0.2879</v>
      </c>
      <c r="J113" s="10" t="n">
        <v>0.7121</v>
      </c>
      <c r="K113" s="9" t="s">
        <v>2545</v>
      </c>
      <c r="L113" s="9" t="s">
        <v>2546</v>
      </c>
      <c r="M113" s="0" t="n">
        <v>27.1</v>
      </c>
      <c r="N113" s="10" t="n">
        <v>0.6</v>
      </c>
      <c r="O113" s="19"/>
      <c r="P113" s="0" t="str">
        <f aca="false">IF(O113="","",IF(O113&gt;G113,"OVER",IF(O113&lt;G113,"UNDER","PUSH")))</f>
        <v/>
      </c>
      <c r="Q113" s="0" t="n">
        <v>25.55</v>
      </c>
      <c r="R113" s="10" t="n">
        <v>0.3112</v>
      </c>
      <c r="S113" s="0" t="n">
        <v>1.015</v>
      </c>
      <c r="T113" s="0" t="n">
        <v>25.64</v>
      </c>
      <c r="U113" s="0" t="n">
        <v>26.03</v>
      </c>
    </row>
    <row r="114" customFormat="false" ht="15" hidden="false" customHeight="false" outlineLevel="0" collapsed="false">
      <c r="A114" s="0" t="s">
        <v>1305</v>
      </c>
      <c r="B114" s="0" t="s">
        <v>1303</v>
      </c>
      <c r="C114" s="0" t="s">
        <v>775</v>
      </c>
      <c r="D114" s="0" t="s">
        <v>807</v>
      </c>
      <c r="E114" s="0" t="s">
        <v>1029</v>
      </c>
      <c r="F114" s="0" t="s">
        <v>893</v>
      </c>
      <c r="G114" s="0" t="n">
        <v>16.5</v>
      </c>
      <c r="H114" s="0" t="n">
        <v>17.4</v>
      </c>
      <c r="I114" s="10" t="n">
        <v>0.5777</v>
      </c>
      <c r="J114" s="10" t="n">
        <v>0.4223</v>
      </c>
      <c r="K114" s="9" t="s">
        <v>2545</v>
      </c>
      <c r="L114" s="9" t="s">
        <v>2546</v>
      </c>
      <c r="N114" s="10" t="n">
        <v>0.4</v>
      </c>
      <c r="O114" s="19"/>
      <c r="P114" s="0" t="str">
        <f aca="false">IF(O114="","",IF(O114&gt;G114,"OVER",IF(O114&lt;G114,"UNDER","PUSH")))</f>
        <v/>
      </c>
      <c r="Q114" s="0" t="n">
        <v>17.66</v>
      </c>
      <c r="R114" s="10" t="n">
        <v>0.5985</v>
      </c>
      <c r="S114" s="0" t="n">
        <v>1.0147</v>
      </c>
      <c r="T114" s="0" t="n">
        <v>16.55</v>
      </c>
      <c r="U114" s="0" t="n">
        <v>16.81</v>
      </c>
    </row>
    <row r="115" customFormat="false" ht="15" hidden="false" customHeight="false" outlineLevel="0" collapsed="false">
      <c r="A115" s="0" t="s">
        <v>1305</v>
      </c>
      <c r="B115" s="0" t="s">
        <v>1303</v>
      </c>
      <c r="C115" s="0" t="s">
        <v>775</v>
      </c>
      <c r="D115" s="0" t="s">
        <v>807</v>
      </c>
      <c r="E115" s="0" t="s">
        <v>1029</v>
      </c>
      <c r="F115" s="0" t="s">
        <v>888</v>
      </c>
      <c r="G115" s="0" t="n">
        <v>31.5</v>
      </c>
      <c r="H115" s="0" t="n">
        <v>31.05</v>
      </c>
      <c r="I115" s="10" t="n">
        <v>0.473</v>
      </c>
      <c r="J115" s="10" t="n">
        <v>0.527</v>
      </c>
      <c r="K115" s="9" t="s">
        <v>2545</v>
      </c>
      <c r="L115" s="9" t="s">
        <v>2546</v>
      </c>
      <c r="M115" s="0" t="n">
        <v>30</v>
      </c>
      <c r="N115" s="10" t="n">
        <v>0.4</v>
      </c>
      <c r="O115" s="19"/>
      <c r="P115" s="0" t="str">
        <f aca="false">IF(O115="","",IF(O115&gt;G115,"OVER",IF(O115&lt;G115,"UNDER","PUSH")))</f>
        <v/>
      </c>
      <c r="Q115" s="0" t="n">
        <v>31.52</v>
      </c>
      <c r="R115" s="10" t="n">
        <v>0.5011</v>
      </c>
      <c r="S115" s="0" t="n">
        <v>1.015</v>
      </c>
      <c r="T115" s="0" t="n">
        <v>30.26</v>
      </c>
      <c r="U115" s="0" t="n">
        <v>30.73</v>
      </c>
    </row>
    <row r="116" customFormat="false" ht="15" hidden="false" customHeight="false" outlineLevel="0" collapsed="false">
      <c r="A116" s="0" t="s">
        <v>1305</v>
      </c>
      <c r="B116" s="0" t="s">
        <v>1303</v>
      </c>
      <c r="C116" s="0" t="s">
        <v>775</v>
      </c>
      <c r="D116" s="0" t="s">
        <v>807</v>
      </c>
      <c r="E116" s="0" t="s">
        <v>1031</v>
      </c>
      <c r="F116" s="0" t="s">
        <v>893</v>
      </c>
      <c r="G116" s="0" t="n">
        <v>16</v>
      </c>
      <c r="H116" s="0" t="n">
        <v>16.22</v>
      </c>
      <c r="I116" s="10" t="n">
        <v>0.4752</v>
      </c>
      <c r="J116" s="10" t="n">
        <v>0.436</v>
      </c>
      <c r="K116" s="9" t="s">
        <v>2545</v>
      </c>
      <c r="L116" s="9" t="s">
        <v>2546</v>
      </c>
      <c r="N116" s="10" t="n">
        <v>0.8</v>
      </c>
      <c r="O116" s="19"/>
      <c r="P116" s="0" t="str">
        <f aca="false">IF(O116="","",IF(O116&gt;G116,"OVER",IF(O116&lt;G116,"UNDER","PUSH")))</f>
        <v/>
      </c>
      <c r="Q116" s="0" t="n">
        <v>15.8</v>
      </c>
      <c r="R116" s="10" t="n">
        <v>0.4371</v>
      </c>
      <c r="S116" s="0" t="n">
        <v>0.974</v>
      </c>
      <c r="T116" s="0" t="n">
        <v>16.23</v>
      </c>
      <c r="U116" s="0" t="n">
        <v>15.8</v>
      </c>
    </row>
    <row r="117" customFormat="false" ht="15" hidden="false" customHeight="false" outlineLevel="0" collapsed="false">
      <c r="A117" s="0" t="s">
        <v>1305</v>
      </c>
      <c r="B117" s="0" t="s">
        <v>1303</v>
      </c>
      <c r="C117" s="0" t="s">
        <v>775</v>
      </c>
      <c r="D117" s="0" t="s">
        <v>807</v>
      </c>
      <c r="E117" s="0" t="s">
        <v>1031</v>
      </c>
      <c r="F117" s="0" t="s">
        <v>888</v>
      </c>
      <c r="G117" s="0" t="n">
        <v>27.5</v>
      </c>
      <c r="H117" s="0" t="n">
        <v>27.47</v>
      </c>
      <c r="I117" s="10" t="n">
        <v>0.498</v>
      </c>
      <c r="J117" s="10" t="n">
        <v>0.502</v>
      </c>
      <c r="K117" s="9" t="s">
        <v>2545</v>
      </c>
      <c r="L117" s="9" t="s">
        <v>2546</v>
      </c>
      <c r="M117" s="0" t="n">
        <v>26.15</v>
      </c>
      <c r="N117" s="10" t="n">
        <v>0.7</v>
      </c>
      <c r="O117" s="19"/>
      <c r="P117" s="0" t="str">
        <f aca="false">IF(O117="","",IF(O117&gt;G117,"OVER",IF(O117&lt;G117,"UNDER","PUSH")))</f>
        <v/>
      </c>
      <c r="Q117" s="0" t="n">
        <v>26.73</v>
      </c>
      <c r="R117" s="10" t="n">
        <v>0.4502</v>
      </c>
      <c r="S117" s="0" t="n">
        <v>0.9733</v>
      </c>
      <c r="T117" s="0" t="n">
        <v>27.74</v>
      </c>
      <c r="U117" s="0" t="n">
        <v>27</v>
      </c>
    </row>
    <row r="118" customFormat="false" ht="15" hidden="false" customHeight="false" outlineLevel="0" collapsed="false">
      <c r="A118" s="0" t="s">
        <v>1305</v>
      </c>
      <c r="B118" s="0" t="s">
        <v>1303</v>
      </c>
      <c r="C118" s="0" t="s">
        <v>775</v>
      </c>
      <c r="D118" s="0" t="s">
        <v>807</v>
      </c>
      <c r="E118" s="0" t="s">
        <v>1033</v>
      </c>
      <c r="F118" s="0" t="s">
        <v>893</v>
      </c>
      <c r="G118" s="0" t="n">
        <v>10.5</v>
      </c>
      <c r="H118" s="0" t="n">
        <v>10.9</v>
      </c>
      <c r="I118" s="10" t="n">
        <v>0.5453</v>
      </c>
      <c r="J118" s="10" t="n">
        <v>0.4547</v>
      </c>
      <c r="K118" s="9" t="s">
        <v>2545</v>
      </c>
      <c r="L118" s="9" t="s">
        <v>2546</v>
      </c>
      <c r="N118" s="10" t="n">
        <v>0.4</v>
      </c>
      <c r="O118" s="19"/>
      <c r="P118" s="0" t="str">
        <f aca="false">IF(O118="","",IF(O118&gt;G118,"OVER",IF(O118&lt;G118,"UNDER","PUSH")))</f>
        <v/>
      </c>
      <c r="Q118" s="0" t="n">
        <v>10.61</v>
      </c>
      <c r="R118" s="10" t="n">
        <v>0.5127</v>
      </c>
      <c r="S118" s="0" t="n">
        <v>0.9735</v>
      </c>
      <c r="T118" s="0" t="n">
        <v>10.93</v>
      </c>
      <c r="U118" s="0" t="n">
        <v>10.64</v>
      </c>
    </row>
    <row r="119" customFormat="false" ht="15" hidden="false" customHeight="false" outlineLevel="0" collapsed="false">
      <c r="A119" s="0" t="s">
        <v>1305</v>
      </c>
      <c r="B119" s="0" t="s">
        <v>1303</v>
      </c>
      <c r="C119" s="0" t="s">
        <v>775</v>
      </c>
      <c r="D119" s="0" t="s">
        <v>807</v>
      </c>
      <c r="E119" s="0" t="s">
        <v>1033</v>
      </c>
      <c r="F119" s="0" t="s">
        <v>888</v>
      </c>
      <c r="G119" s="0" t="n">
        <v>32.5</v>
      </c>
      <c r="H119" s="0" t="n">
        <v>33.96</v>
      </c>
      <c r="I119" s="10" t="n">
        <v>0.5838</v>
      </c>
      <c r="J119" s="10" t="n">
        <v>0.4162</v>
      </c>
      <c r="K119" s="9" t="s">
        <v>2545</v>
      </c>
      <c r="L119" s="9" t="s">
        <v>2546</v>
      </c>
      <c r="M119" s="0" t="n">
        <v>32.35</v>
      </c>
      <c r="N119" s="10" t="n">
        <v>0.9</v>
      </c>
      <c r="O119" s="19"/>
      <c r="P119" s="0" t="str">
        <f aca="false">IF(O119="","",IF(O119&gt;G119,"OVER",IF(O119&lt;G119,"UNDER","PUSH")))</f>
        <v/>
      </c>
      <c r="Q119" s="0" t="n">
        <v>33.08</v>
      </c>
      <c r="R119" s="10" t="n">
        <v>0.5337</v>
      </c>
      <c r="S119" s="0" t="n">
        <v>0.974</v>
      </c>
      <c r="T119" s="0" t="n">
        <v>34.04</v>
      </c>
      <c r="U119" s="0" t="n">
        <v>33.14</v>
      </c>
    </row>
    <row r="120" customFormat="false" ht="15" hidden="false" customHeight="false" outlineLevel="0" collapsed="false">
      <c r="A120" s="0" t="s">
        <v>1305</v>
      </c>
      <c r="B120" s="0" t="s">
        <v>1303</v>
      </c>
      <c r="C120" s="0" t="s">
        <v>775</v>
      </c>
      <c r="D120" s="0" t="s">
        <v>807</v>
      </c>
      <c r="E120" s="0" t="s">
        <v>1035</v>
      </c>
      <c r="F120" s="0" t="s">
        <v>893</v>
      </c>
      <c r="G120" s="0" t="n">
        <v>13</v>
      </c>
      <c r="H120" s="0" t="n">
        <v>15.03</v>
      </c>
      <c r="I120" s="10" t="n">
        <v>0.6389</v>
      </c>
      <c r="J120" s="10" t="n">
        <v>0.2784</v>
      </c>
      <c r="K120" s="9" t="s">
        <v>2545</v>
      </c>
      <c r="L120" s="9" t="s">
        <v>2546</v>
      </c>
      <c r="N120" s="10" t="n">
        <v>0.8</v>
      </c>
      <c r="O120" s="19"/>
      <c r="P120" s="0" t="str">
        <f aca="false">IF(O120="","",IF(O120&gt;G120,"OVER",IF(O120&lt;G120,"UNDER","PUSH")))</f>
        <v/>
      </c>
      <c r="Q120" s="0" t="n">
        <v>14.63</v>
      </c>
      <c r="R120" s="10" t="n">
        <v>0.6052</v>
      </c>
      <c r="S120" s="0" t="n">
        <v>0.9735</v>
      </c>
      <c r="T120" s="0" t="n">
        <v>13.81</v>
      </c>
      <c r="U120" s="0" t="n">
        <v>13.44</v>
      </c>
    </row>
    <row r="121" customFormat="false" ht="15" hidden="false" customHeight="false" outlineLevel="0" collapsed="false">
      <c r="A121" s="0" t="s">
        <v>1305</v>
      </c>
      <c r="B121" s="0" t="s">
        <v>1303</v>
      </c>
      <c r="C121" s="0" t="s">
        <v>775</v>
      </c>
      <c r="D121" s="0" t="s">
        <v>807</v>
      </c>
      <c r="E121" s="0" t="s">
        <v>1035</v>
      </c>
      <c r="F121" s="0" t="s">
        <v>888</v>
      </c>
      <c r="G121" s="0" t="n">
        <v>24.5</v>
      </c>
      <c r="H121" s="0" t="n">
        <v>25.49</v>
      </c>
      <c r="I121" s="10" t="n">
        <v>0.5661</v>
      </c>
      <c r="J121" s="10" t="n">
        <v>0.4339</v>
      </c>
      <c r="K121" s="9" t="s">
        <v>2545</v>
      </c>
      <c r="L121" s="9" t="s">
        <v>2546</v>
      </c>
      <c r="M121" s="0" t="n">
        <v>22.84</v>
      </c>
      <c r="N121" s="10" t="n">
        <v>0.8</v>
      </c>
      <c r="O121" s="19"/>
      <c r="P121" s="0" t="str">
        <f aca="false">IF(O121="","",IF(O121&gt;G121,"OVER",IF(O121&lt;G121,"UNDER","PUSH")))</f>
        <v/>
      </c>
      <c r="Q121" s="0" t="n">
        <v>24.82</v>
      </c>
      <c r="R121" s="10" t="n">
        <v>0.5219</v>
      </c>
      <c r="S121" s="0" t="n">
        <v>0.9737</v>
      </c>
      <c r="T121" s="0" t="n">
        <v>24.8</v>
      </c>
      <c r="U121" s="0" t="n">
        <v>24.14</v>
      </c>
    </row>
    <row r="122" customFormat="false" ht="15" hidden="false" customHeight="false" outlineLevel="0" collapsed="false">
      <c r="A122" s="0" t="s">
        <v>1305</v>
      </c>
      <c r="B122" s="0" t="s">
        <v>1303</v>
      </c>
      <c r="C122" s="0" t="s">
        <v>775</v>
      </c>
      <c r="D122" s="0" t="s">
        <v>826</v>
      </c>
      <c r="E122" s="0" t="s">
        <v>1037</v>
      </c>
      <c r="F122" s="0" t="s">
        <v>893</v>
      </c>
      <c r="G122" s="0" t="n">
        <v>15</v>
      </c>
      <c r="H122" s="0" t="n">
        <v>15.2</v>
      </c>
      <c r="I122" s="10" t="n">
        <v>0.4726</v>
      </c>
      <c r="J122" s="10" t="n">
        <v>0.4356</v>
      </c>
      <c r="K122" s="9" t="s">
        <v>2547</v>
      </c>
      <c r="L122" s="9" t="s">
        <v>2548</v>
      </c>
      <c r="N122" s="10" t="n">
        <v>0.6</v>
      </c>
      <c r="O122" s="19"/>
      <c r="P122" s="0" t="str">
        <f aca="false">IF(O122="","",IF(O122&gt;G122,"OVER",IF(O122&lt;G122,"UNDER","PUSH")))</f>
        <v/>
      </c>
      <c r="Q122" s="0" t="n">
        <v>14.82</v>
      </c>
      <c r="R122" s="10" t="n">
        <v>0.437</v>
      </c>
      <c r="S122" s="0" t="n">
        <v>0.975</v>
      </c>
      <c r="T122" s="0" t="n">
        <v>14.97</v>
      </c>
      <c r="U122" s="0" t="n">
        <v>14.58</v>
      </c>
    </row>
    <row r="123" customFormat="false" ht="15" hidden="false" customHeight="false" outlineLevel="0" collapsed="false">
      <c r="A123" s="0" t="s">
        <v>1305</v>
      </c>
      <c r="B123" s="0" t="s">
        <v>1303</v>
      </c>
      <c r="C123" s="0" t="s">
        <v>775</v>
      </c>
      <c r="D123" s="0" t="s">
        <v>826</v>
      </c>
      <c r="E123" s="0" t="s">
        <v>1037</v>
      </c>
      <c r="F123" s="0" t="s">
        <v>888</v>
      </c>
      <c r="G123" s="0" t="n">
        <v>27.5</v>
      </c>
      <c r="H123" s="0" t="n">
        <v>26.07</v>
      </c>
      <c r="I123" s="10" t="n">
        <v>0.4067</v>
      </c>
      <c r="J123" s="10" t="n">
        <v>0.5933</v>
      </c>
      <c r="K123" s="9" t="s">
        <v>2547</v>
      </c>
      <c r="L123" s="9" t="s">
        <v>2548</v>
      </c>
      <c r="M123" s="0" t="n">
        <v>26.71</v>
      </c>
      <c r="N123" s="10" t="n">
        <v>0.4</v>
      </c>
      <c r="O123" s="19"/>
      <c r="P123" s="0" t="str">
        <f aca="false">IF(O123="","",IF(O123&gt;G123,"OVER",IF(O123&lt;G123,"UNDER","PUSH")))</f>
        <v/>
      </c>
      <c r="Q123" s="0" t="n">
        <v>25.42</v>
      </c>
      <c r="R123" s="10" t="n">
        <v>0.3636</v>
      </c>
      <c r="S123" s="0" t="n">
        <v>0.9749</v>
      </c>
      <c r="T123" s="0" t="n">
        <v>26.69</v>
      </c>
      <c r="U123" s="0" t="n">
        <v>25.99</v>
      </c>
    </row>
    <row r="124" customFormat="false" ht="15" hidden="false" customHeight="false" outlineLevel="0" collapsed="false">
      <c r="A124" s="0" t="s">
        <v>1305</v>
      </c>
      <c r="B124" s="0" t="s">
        <v>1303</v>
      </c>
      <c r="C124" s="0" t="s">
        <v>775</v>
      </c>
      <c r="D124" s="0" t="s">
        <v>826</v>
      </c>
      <c r="E124" s="0" t="s">
        <v>1039</v>
      </c>
      <c r="F124" s="0" t="s">
        <v>893</v>
      </c>
      <c r="G124" s="0" t="n">
        <v>14.5</v>
      </c>
      <c r="H124" s="0" t="n">
        <v>15.54</v>
      </c>
      <c r="I124" s="10" t="n">
        <v>0.5949</v>
      </c>
      <c r="J124" s="10" t="n">
        <v>0.4051</v>
      </c>
      <c r="K124" s="9" t="s">
        <v>2547</v>
      </c>
      <c r="L124" s="9" t="s">
        <v>2548</v>
      </c>
      <c r="N124" s="10" t="n">
        <v>0.5</v>
      </c>
      <c r="O124" s="19"/>
      <c r="P124" s="0" t="str">
        <f aca="false">IF(O124="","",IF(O124&gt;G124,"OVER",IF(O124&lt;G124,"UNDER","PUSH")))</f>
        <v/>
      </c>
      <c r="Q124" s="0" t="n">
        <v>15.15</v>
      </c>
      <c r="R124" s="10" t="n">
        <v>0.5603</v>
      </c>
      <c r="S124" s="0" t="n">
        <v>0.9747</v>
      </c>
      <c r="T124" s="0" t="n">
        <v>15.38</v>
      </c>
      <c r="U124" s="0" t="n">
        <v>14.98</v>
      </c>
    </row>
    <row r="125" customFormat="false" ht="15" hidden="false" customHeight="false" outlineLevel="0" collapsed="false">
      <c r="A125" s="0" t="s">
        <v>1305</v>
      </c>
      <c r="B125" s="0" t="s">
        <v>1303</v>
      </c>
      <c r="C125" s="0" t="s">
        <v>775</v>
      </c>
      <c r="D125" s="0" t="s">
        <v>826</v>
      </c>
      <c r="E125" s="0" t="s">
        <v>1039</v>
      </c>
      <c r="F125" s="0" t="s">
        <v>888</v>
      </c>
      <c r="G125" s="0" t="n">
        <v>29.5</v>
      </c>
      <c r="H125" s="0" t="n">
        <v>29.48</v>
      </c>
      <c r="I125" s="10" t="n">
        <v>0.4989</v>
      </c>
      <c r="J125" s="10" t="n">
        <v>0.5011</v>
      </c>
      <c r="K125" s="9" t="s">
        <v>2547</v>
      </c>
      <c r="L125" s="9" t="s">
        <v>2548</v>
      </c>
      <c r="M125" s="0" t="n">
        <v>27.56</v>
      </c>
      <c r="N125" s="10" t="n">
        <v>0.5</v>
      </c>
      <c r="O125" s="19"/>
      <c r="P125" s="0" t="str">
        <f aca="false">IF(O125="","",IF(O125&gt;G125,"OVER",IF(O125&lt;G125,"UNDER","PUSH")))</f>
        <v/>
      </c>
      <c r="Q125" s="0" t="n">
        <v>28.7</v>
      </c>
      <c r="R125" s="10" t="n">
        <v>0.4498</v>
      </c>
      <c r="S125" s="0" t="n">
        <v>0.9735</v>
      </c>
      <c r="T125" s="0" t="n">
        <v>29.24</v>
      </c>
      <c r="U125" s="0" t="n">
        <v>28.47</v>
      </c>
    </row>
    <row r="126" customFormat="false" ht="15" hidden="false" customHeight="false" outlineLevel="0" collapsed="false">
      <c r="A126" s="0" t="s">
        <v>1305</v>
      </c>
      <c r="B126" s="0" t="s">
        <v>1303</v>
      </c>
      <c r="C126" s="0" t="s">
        <v>775</v>
      </c>
      <c r="D126" s="0" t="s">
        <v>826</v>
      </c>
      <c r="E126" s="0" t="s">
        <v>1041</v>
      </c>
      <c r="F126" s="0" t="s">
        <v>893</v>
      </c>
      <c r="G126" s="0" t="n">
        <v>12.5</v>
      </c>
      <c r="H126" s="0" t="n">
        <v>11.12</v>
      </c>
      <c r="I126" s="10" t="n">
        <v>0.3491</v>
      </c>
      <c r="J126" s="10" t="n">
        <v>0.6509</v>
      </c>
      <c r="K126" s="9" t="s">
        <v>2547</v>
      </c>
      <c r="L126" s="9" t="s">
        <v>2548</v>
      </c>
      <c r="N126" s="10" t="n">
        <v>0.4</v>
      </c>
      <c r="O126" s="19"/>
      <c r="P126" s="0" t="str">
        <f aca="false">IF(O126="","",IF(O126&gt;G126,"OVER",IF(O126&lt;G126,"UNDER","PUSH")))</f>
        <v/>
      </c>
      <c r="Q126" s="0" t="n">
        <v>10.81</v>
      </c>
      <c r="R126" s="10" t="n">
        <v>0.3152</v>
      </c>
      <c r="S126" s="0" t="n">
        <v>0.9723</v>
      </c>
      <c r="T126" s="0" t="n">
        <v>11.07</v>
      </c>
      <c r="U126" s="0" t="n">
        <v>10.78</v>
      </c>
    </row>
    <row r="127" customFormat="false" ht="15" hidden="false" customHeight="false" outlineLevel="0" collapsed="false">
      <c r="A127" s="0" t="s">
        <v>1305</v>
      </c>
      <c r="B127" s="0" t="s">
        <v>1303</v>
      </c>
      <c r="C127" s="0" t="s">
        <v>775</v>
      </c>
      <c r="D127" s="0" t="s">
        <v>826</v>
      </c>
      <c r="E127" s="0" t="s">
        <v>1041</v>
      </c>
      <c r="F127" s="0" t="s">
        <v>888</v>
      </c>
      <c r="G127" s="0" t="n">
        <v>30.5</v>
      </c>
      <c r="H127" s="0" t="n">
        <v>31.5</v>
      </c>
      <c r="I127" s="10" t="n">
        <v>0.5596</v>
      </c>
      <c r="J127" s="10" t="n">
        <v>0.4404</v>
      </c>
      <c r="K127" s="9" t="s">
        <v>2547</v>
      </c>
      <c r="L127" s="9" t="s">
        <v>2548</v>
      </c>
      <c r="M127" s="0" t="n">
        <v>27.98</v>
      </c>
      <c r="N127" s="10" t="n">
        <v>0.5</v>
      </c>
      <c r="O127" s="19"/>
      <c r="P127" s="0" t="str">
        <f aca="false">IF(O127="","",IF(O127&gt;G127,"OVER",IF(O127&lt;G127,"UNDER","PUSH")))</f>
        <v/>
      </c>
      <c r="Q127" s="0" t="n">
        <v>30.65</v>
      </c>
      <c r="R127" s="10" t="n">
        <v>0.5092</v>
      </c>
      <c r="S127" s="0" t="n">
        <v>0.9732</v>
      </c>
      <c r="T127" s="0" t="n">
        <v>30.51</v>
      </c>
      <c r="U127" s="0" t="n">
        <v>29.71</v>
      </c>
    </row>
    <row r="128" customFormat="false" ht="15" hidden="false" customHeight="false" outlineLevel="0" collapsed="false">
      <c r="A128" s="0" t="s">
        <v>1305</v>
      </c>
      <c r="B128" s="0" t="s">
        <v>1303</v>
      </c>
      <c r="C128" s="0" t="s">
        <v>775</v>
      </c>
      <c r="D128" s="0" t="s">
        <v>826</v>
      </c>
      <c r="E128" s="0" t="s">
        <v>1043</v>
      </c>
      <c r="F128" s="0" t="s">
        <v>893</v>
      </c>
      <c r="G128" s="0" t="n">
        <v>17.5</v>
      </c>
      <c r="H128" s="0" t="n">
        <v>15.48</v>
      </c>
      <c r="I128" s="10" t="n">
        <v>0.3215</v>
      </c>
      <c r="J128" s="10" t="n">
        <v>0.6785</v>
      </c>
      <c r="K128" s="9" t="s">
        <v>2547</v>
      </c>
      <c r="L128" s="9" t="s">
        <v>2548</v>
      </c>
      <c r="N128" s="10" t="n">
        <v>0.4</v>
      </c>
      <c r="O128" s="19"/>
      <c r="P128" s="0" t="str">
        <f aca="false">IF(O128="","",IF(O128&gt;G128,"OVER",IF(O128&lt;G128,"UNDER","PUSH")))</f>
        <v/>
      </c>
      <c r="Q128" s="0" t="n">
        <v>15.07</v>
      </c>
      <c r="R128" s="10" t="n">
        <v>0.2866</v>
      </c>
      <c r="S128" s="0" t="n">
        <v>0.9739</v>
      </c>
      <c r="T128" s="0" t="n">
        <v>17.44</v>
      </c>
      <c r="U128" s="0" t="n">
        <v>16.98</v>
      </c>
    </row>
    <row r="129" customFormat="false" ht="15" hidden="false" customHeight="false" outlineLevel="0" collapsed="false">
      <c r="A129" s="0" t="s">
        <v>1305</v>
      </c>
      <c r="B129" s="0" t="s">
        <v>1303</v>
      </c>
      <c r="C129" s="0" t="s">
        <v>775</v>
      </c>
      <c r="D129" s="0" t="s">
        <v>826</v>
      </c>
      <c r="E129" s="0" t="s">
        <v>1043</v>
      </c>
      <c r="F129" s="0" t="s">
        <v>888</v>
      </c>
      <c r="G129" s="0" t="n">
        <v>30.5</v>
      </c>
      <c r="H129" s="0" t="n">
        <v>27.06</v>
      </c>
      <c r="I129" s="10" t="n">
        <v>0.2883</v>
      </c>
      <c r="J129" s="10" t="n">
        <v>0.7117</v>
      </c>
      <c r="K129" s="9" t="s">
        <v>2547</v>
      </c>
      <c r="L129" s="9" t="s">
        <v>2548</v>
      </c>
      <c r="M129" s="0" t="n">
        <v>29.24</v>
      </c>
      <c r="N129" s="10" t="n">
        <v>0.6</v>
      </c>
      <c r="O129" s="19"/>
      <c r="P129" s="0" t="str">
        <f aca="false">IF(O129="","",IF(O129&gt;G129,"OVER",IF(O129&lt;G129,"UNDER","PUSH")))</f>
        <v/>
      </c>
      <c r="Q129" s="0" t="n">
        <v>26.35</v>
      </c>
      <c r="R129" s="10" t="n">
        <v>0.2474</v>
      </c>
      <c r="S129" s="0" t="n">
        <v>0.9737</v>
      </c>
      <c r="T129" s="0" t="n">
        <v>29.66</v>
      </c>
      <c r="U129" s="0" t="n">
        <v>28.88</v>
      </c>
    </row>
    <row r="130" customFormat="false" ht="15" hidden="false" customHeight="false" outlineLevel="0" collapsed="false">
      <c r="A130" s="0" t="s">
        <v>1305</v>
      </c>
      <c r="B130" s="0" t="s">
        <v>1303</v>
      </c>
      <c r="C130" s="0" t="s">
        <v>775</v>
      </c>
      <c r="D130" s="0" t="s">
        <v>826</v>
      </c>
      <c r="E130" s="0" t="s">
        <v>1045</v>
      </c>
      <c r="F130" s="0" t="s">
        <v>893</v>
      </c>
      <c r="G130" s="0" t="n">
        <v>17.5</v>
      </c>
      <c r="H130" s="0" t="n">
        <v>16.22</v>
      </c>
      <c r="I130" s="10" t="n">
        <v>0.387</v>
      </c>
      <c r="J130" s="10" t="n">
        <v>0.613</v>
      </c>
      <c r="K130" s="9" t="s">
        <v>2547</v>
      </c>
      <c r="L130" s="9" t="s">
        <v>2548</v>
      </c>
      <c r="N130" s="10" t="n">
        <v>0.3</v>
      </c>
      <c r="O130" s="19"/>
      <c r="P130" s="0" t="str">
        <f aca="false">IF(O130="","",IF(O130&gt;G130,"OVER",IF(O130&lt;G130,"UNDER","PUSH")))</f>
        <v/>
      </c>
      <c r="Q130" s="0" t="n">
        <v>15.8</v>
      </c>
      <c r="R130" s="10" t="n">
        <v>0.3491</v>
      </c>
      <c r="S130" s="0" t="n">
        <v>0.9738</v>
      </c>
      <c r="T130" s="0" t="n">
        <v>15.56</v>
      </c>
      <c r="U130" s="0" t="n">
        <v>15.15</v>
      </c>
    </row>
    <row r="131" customFormat="false" ht="15" hidden="false" customHeight="false" outlineLevel="0" collapsed="false">
      <c r="A131" s="0" t="s">
        <v>1305</v>
      </c>
      <c r="B131" s="0" t="s">
        <v>1303</v>
      </c>
      <c r="C131" s="0" t="s">
        <v>775</v>
      </c>
      <c r="D131" s="0" t="s">
        <v>826</v>
      </c>
      <c r="E131" s="0" t="s">
        <v>1045</v>
      </c>
      <c r="F131" s="0" t="s">
        <v>888</v>
      </c>
      <c r="G131" s="0" t="n">
        <v>31</v>
      </c>
      <c r="H131" s="0" t="n">
        <v>29.55</v>
      </c>
      <c r="I131" s="10" t="n">
        <v>0.3811</v>
      </c>
      <c r="J131" s="10" t="n">
        <v>0.5584</v>
      </c>
      <c r="K131" s="9" t="s">
        <v>2547</v>
      </c>
      <c r="L131" s="9" t="s">
        <v>2548</v>
      </c>
      <c r="M131" s="0" t="n">
        <v>28.82</v>
      </c>
      <c r="N131" s="10" t="n">
        <v>0.4</v>
      </c>
      <c r="O131" s="19"/>
      <c r="P131" s="0" t="str">
        <f aca="false">IF(O131="","",IF(O131&gt;G131,"OVER",IF(O131&lt;G131,"UNDER","PUSH")))</f>
        <v/>
      </c>
      <c r="Q131" s="0" t="n">
        <v>28.75</v>
      </c>
      <c r="R131" s="10" t="n">
        <v>0.3321</v>
      </c>
      <c r="S131" s="0" t="n">
        <v>0.9726</v>
      </c>
      <c r="T131" s="0" t="n">
        <v>28.81</v>
      </c>
      <c r="U131" s="0" t="n">
        <v>28.06</v>
      </c>
    </row>
    <row r="132" customFormat="false" ht="15" hidden="false" customHeight="false" outlineLevel="0" collapsed="false">
      <c r="A132" s="0" t="s">
        <v>1305</v>
      </c>
      <c r="B132" s="0" t="s">
        <v>1303</v>
      </c>
      <c r="C132" s="0" t="s">
        <v>775</v>
      </c>
      <c r="D132" s="0" t="s">
        <v>826</v>
      </c>
      <c r="E132" s="0" t="s">
        <v>1047</v>
      </c>
      <c r="F132" s="0" t="s">
        <v>893</v>
      </c>
      <c r="G132" s="0" t="n">
        <v>15.5</v>
      </c>
      <c r="H132" s="0" t="n">
        <v>17.84</v>
      </c>
      <c r="I132" s="10" t="n">
        <v>0.6912</v>
      </c>
      <c r="J132" s="10" t="n">
        <v>0.3088</v>
      </c>
      <c r="K132" s="9" t="s">
        <v>2547</v>
      </c>
      <c r="L132" s="9" t="s">
        <v>2548</v>
      </c>
      <c r="N132" s="10" t="n">
        <v>0.5</v>
      </c>
      <c r="O132" s="19"/>
      <c r="P132" s="0" t="str">
        <f aca="false">IF(O132="","",IF(O132&gt;G132,"OVER",IF(O132&lt;G132,"UNDER","PUSH")))</f>
        <v/>
      </c>
      <c r="Q132" s="0" t="n">
        <v>18.18</v>
      </c>
      <c r="R132" s="10" t="n">
        <v>0.7145</v>
      </c>
      <c r="S132" s="0" t="n">
        <v>1.0191</v>
      </c>
      <c r="T132" s="0" t="n">
        <v>16.67</v>
      </c>
      <c r="U132" s="0" t="n">
        <v>16.99</v>
      </c>
    </row>
    <row r="133" customFormat="false" ht="15" hidden="false" customHeight="false" outlineLevel="0" collapsed="false">
      <c r="A133" s="0" t="s">
        <v>1305</v>
      </c>
      <c r="B133" s="0" t="s">
        <v>1303</v>
      </c>
      <c r="C133" s="0" t="s">
        <v>775</v>
      </c>
      <c r="D133" s="0" t="s">
        <v>826</v>
      </c>
      <c r="E133" s="0" t="s">
        <v>1047</v>
      </c>
      <c r="F133" s="0" t="s">
        <v>888</v>
      </c>
      <c r="G133" s="0" t="n">
        <v>27.5</v>
      </c>
      <c r="H133" s="0" t="n">
        <v>30.87</v>
      </c>
      <c r="I133" s="10" t="n">
        <v>0.6958</v>
      </c>
      <c r="J133" s="10" t="n">
        <v>0.3042</v>
      </c>
      <c r="K133" s="9" t="s">
        <v>2547</v>
      </c>
      <c r="L133" s="9" t="s">
        <v>2548</v>
      </c>
      <c r="M133" s="0" t="n">
        <v>27.17</v>
      </c>
      <c r="N133" s="10" t="n">
        <v>0.4</v>
      </c>
      <c r="O133" s="19"/>
      <c r="P133" s="0" t="str">
        <f aca="false">IF(O133="","",IF(O133&gt;G133,"OVER",IF(O133&lt;G133,"UNDER","PUSH")))</f>
        <v/>
      </c>
      <c r="Q133" s="0" t="n">
        <v>31.46</v>
      </c>
      <c r="R133" s="10" t="n">
        <v>0.7244</v>
      </c>
      <c r="S133" s="0" t="n">
        <v>1.019</v>
      </c>
      <c r="T133" s="0" t="n">
        <v>30.08</v>
      </c>
      <c r="U133" s="0" t="n">
        <v>30.67</v>
      </c>
    </row>
    <row r="134" customFormat="false" ht="15" hidden="false" customHeight="false" outlineLevel="0" collapsed="false">
      <c r="A134" s="0" t="s">
        <v>1305</v>
      </c>
      <c r="B134" s="0" t="s">
        <v>1303</v>
      </c>
      <c r="C134" s="0" t="s">
        <v>775</v>
      </c>
      <c r="D134" s="0" t="s">
        <v>826</v>
      </c>
      <c r="E134" s="0" t="s">
        <v>1049</v>
      </c>
      <c r="F134" s="0" t="s">
        <v>893</v>
      </c>
      <c r="G134" s="0" t="n">
        <v>16.5</v>
      </c>
      <c r="H134" s="0" t="n">
        <v>16.52</v>
      </c>
      <c r="I134" s="10" t="n">
        <v>0.502</v>
      </c>
      <c r="J134" s="10" t="n">
        <v>0.498</v>
      </c>
      <c r="K134" s="9" t="s">
        <v>2547</v>
      </c>
      <c r="L134" s="9" t="s">
        <v>2548</v>
      </c>
      <c r="N134" s="10" t="n">
        <v>0.4</v>
      </c>
      <c r="O134" s="19"/>
      <c r="P134" s="0" t="str">
        <f aca="false">IF(O134="","",IF(O134&gt;G134,"OVER",IF(O134&lt;G134,"UNDER","PUSH")))</f>
        <v/>
      </c>
      <c r="Q134" s="0" t="n">
        <v>16.84</v>
      </c>
      <c r="R134" s="10" t="n">
        <v>0.53</v>
      </c>
      <c r="S134" s="0" t="n">
        <v>1.0191</v>
      </c>
      <c r="T134" s="0" t="n">
        <v>16.29</v>
      </c>
      <c r="U134" s="0" t="n">
        <v>16.61</v>
      </c>
    </row>
    <row r="135" customFormat="false" ht="15" hidden="false" customHeight="false" outlineLevel="0" collapsed="false">
      <c r="A135" s="0" t="s">
        <v>1305</v>
      </c>
      <c r="B135" s="0" t="s">
        <v>1303</v>
      </c>
      <c r="C135" s="0" t="s">
        <v>775</v>
      </c>
      <c r="D135" s="0" t="s">
        <v>826</v>
      </c>
      <c r="E135" s="0" t="s">
        <v>1049</v>
      </c>
      <c r="F135" s="0" t="s">
        <v>888</v>
      </c>
      <c r="G135" s="0" t="n">
        <v>31</v>
      </c>
      <c r="H135" s="0" t="n">
        <v>32.28</v>
      </c>
      <c r="I135" s="10" t="n">
        <v>0.546</v>
      </c>
      <c r="J135" s="10" t="n">
        <v>0.3958</v>
      </c>
      <c r="K135" s="9" t="s">
        <v>2547</v>
      </c>
      <c r="L135" s="9" t="s">
        <v>2548</v>
      </c>
      <c r="M135" s="0" t="n">
        <v>30.96</v>
      </c>
      <c r="N135" s="10" t="n">
        <v>0.6</v>
      </c>
      <c r="O135" s="19"/>
      <c r="P135" s="0" t="str">
        <f aca="false">IF(O135="","",IF(O135&gt;G135,"OVER",IF(O135&lt;G135,"UNDER","PUSH")))</f>
        <v/>
      </c>
      <c r="Q135" s="0" t="n">
        <v>32.9</v>
      </c>
      <c r="R135" s="10" t="n">
        <v>0.5818</v>
      </c>
      <c r="S135" s="0" t="n">
        <v>1.0193</v>
      </c>
      <c r="T135" s="0" t="n">
        <v>30.51</v>
      </c>
      <c r="U135" s="0" t="n">
        <v>31.1</v>
      </c>
    </row>
    <row r="136" customFormat="false" ht="15" hidden="false" customHeight="false" outlineLevel="0" collapsed="false">
      <c r="A136" s="0" t="s">
        <v>1305</v>
      </c>
      <c r="B136" s="0" t="s">
        <v>1303</v>
      </c>
      <c r="C136" s="0" t="s">
        <v>775</v>
      </c>
      <c r="D136" s="0" t="s">
        <v>826</v>
      </c>
      <c r="E136" s="0" t="s">
        <v>1051</v>
      </c>
      <c r="F136" s="0" t="s">
        <v>893</v>
      </c>
      <c r="G136" s="0" t="n">
        <v>10.5</v>
      </c>
      <c r="H136" s="0" t="n">
        <v>11.31</v>
      </c>
      <c r="I136" s="10" t="n">
        <v>0.59</v>
      </c>
      <c r="J136" s="10" t="n">
        <v>0.41</v>
      </c>
      <c r="K136" s="9" t="s">
        <v>2547</v>
      </c>
      <c r="L136" s="9" t="s">
        <v>2548</v>
      </c>
      <c r="N136" s="10" t="n">
        <v>0.2</v>
      </c>
      <c r="O136" s="19"/>
      <c r="P136" s="0" t="str">
        <f aca="false">IF(O136="","",IF(O136&gt;G136,"OVER",IF(O136&lt;G136,"UNDER","PUSH")))</f>
        <v/>
      </c>
      <c r="Q136" s="0" t="n">
        <v>11.54</v>
      </c>
      <c r="R136" s="10" t="n">
        <v>0.6134</v>
      </c>
      <c r="S136" s="0" t="n">
        <v>1.02</v>
      </c>
      <c r="T136" s="0" t="n">
        <v>10.94</v>
      </c>
      <c r="U136" s="0" t="n">
        <v>11.15</v>
      </c>
    </row>
    <row r="137" customFormat="false" ht="15" hidden="false" customHeight="false" outlineLevel="0" collapsed="false">
      <c r="A137" s="0" t="s">
        <v>1305</v>
      </c>
      <c r="B137" s="0" t="s">
        <v>1303</v>
      </c>
      <c r="C137" s="0" t="s">
        <v>775</v>
      </c>
      <c r="D137" s="0" t="s">
        <v>826</v>
      </c>
      <c r="E137" s="0" t="s">
        <v>1051</v>
      </c>
      <c r="F137" s="0" t="s">
        <v>888</v>
      </c>
      <c r="G137" s="0" t="n">
        <v>31.5</v>
      </c>
      <c r="H137" s="0" t="n">
        <v>34.4</v>
      </c>
      <c r="I137" s="10" t="n">
        <v>0.662</v>
      </c>
      <c r="J137" s="10" t="n">
        <v>0.338</v>
      </c>
      <c r="K137" s="9" t="s">
        <v>2547</v>
      </c>
      <c r="L137" s="9" t="s">
        <v>2548</v>
      </c>
      <c r="M137" s="0" t="n">
        <v>31.41</v>
      </c>
      <c r="N137" s="10" t="n">
        <v>0.6</v>
      </c>
      <c r="O137" s="19"/>
      <c r="P137" s="0" t="str">
        <f aca="false">IF(O137="","",IF(O137&gt;G137,"OVER",IF(O137&lt;G137,"UNDER","PUSH")))</f>
        <v/>
      </c>
      <c r="Q137" s="0" t="n">
        <v>35.09</v>
      </c>
      <c r="R137" s="10" t="n">
        <v>0.6955</v>
      </c>
      <c r="S137" s="0" t="n">
        <v>1.0199</v>
      </c>
      <c r="T137" s="0" t="n">
        <v>33.05</v>
      </c>
      <c r="U137" s="0" t="n">
        <v>33.69</v>
      </c>
    </row>
    <row r="138" customFormat="false" ht="15" hidden="false" customHeight="false" outlineLevel="0" collapsed="false">
      <c r="A138" s="0" t="s">
        <v>1305</v>
      </c>
      <c r="B138" s="0" t="s">
        <v>1303</v>
      </c>
      <c r="C138" s="0" t="s">
        <v>775</v>
      </c>
      <c r="D138" s="0" t="s">
        <v>826</v>
      </c>
      <c r="E138" s="0" t="s">
        <v>1053</v>
      </c>
      <c r="F138" s="0" t="s">
        <v>893</v>
      </c>
      <c r="G138" s="0" t="n">
        <v>15</v>
      </c>
      <c r="H138" s="0" t="n">
        <v>14.27</v>
      </c>
      <c r="I138" s="10" t="n">
        <v>0.3842</v>
      </c>
      <c r="J138" s="10" t="n">
        <v>0.5222</v>
      </c>
      <c r="K138" s="9" t="s">
        <v>2547</v>
      </c>
      <c r="L138" s="9" t="s">
        <v>2548</v>
      </c>
      <c r="N138" s="10" t="n">
        <v>0.4</v>
      </c>
      <c r="O138" s="19"/>
      <c r="P138" s="0" t="str">
        <f aca="false">IF(O138="","",IF(O138&gt;G138,"OVER",IF(O138&lt;G138,"UNDER","PUSH")))</f>
        <v/>
      </c>
      <c r="Q138" s="0" t="n">
        <v>14.55</v>
      </c>
      <c r="R138" s="10" t="n">
        <v>0.4115</v>
      </c>
      <c r="S138" s="0" t="n">
        <v>1.0201</v>
      </c>
      <c r="T138" s="0" t="n">
        <v>13.28</v>
      </c>
      <c r="U138" s="0" t="n">
        <v>13.54</v>
      </c>
    </row>
    <row r="139" customFormat="false" ht="15" hidden="false" customHeight="false" outlineLevel="0" collapsed="false">
      <c r="A139" s="0" t="s">
        <v>1305</v>
      </c>
      <c r="B139" s="0" t="s">
        <v>1303</v>
      </c>
      <c r="C139" s="0" t="s">
        <v>775</v>
      </c>
      <c r="D139" s="0" t="s">
        <v>826</v>
      </c>
      <c r="E139" s="0" t="s">
        <v>1053</v>
      </c>
      <c r="F139" s="0" t="s">
        <v>888</v>
      </c>
      <c r="G139" s="0" t="n">
        <v>27.5</v>
      </c>
      <c r="H139" s="0" t="n">
        <v>25.02</v>
      </c>
      <c r="I139" s="10" t="n">
        <v>0.3379</v>
      </c>
      <c r="J139" s="10" t="n">
        <v>0.6621</v>
      </c>
      <c r="K139" s="9" t="s">
        <v>2547</v>
      </c>
      <c r="L139" s="9" t="s">
        <v>2548</v>
      </c>
      <c r="M139" s="0" t="n">
        <v>26.34</v>
      </c>
      <c r="N139" s="10" t="n">
        <v>0.2</v>
      </c>
      <c r="O139" s="19"/>
      <c r="P139" s="0" t="str">
        <f aca="false">IF(O139="","",IF(O139&gt;G139,"OVER",IF(O139&lt;G139,"UNDER","PUSH")))</f>
        <v/>
      </c>
      <c r="Q139" s="0" t="n">
        <v>25.55</v>
      </c>
      <c r="R139" s="10" t="n">
        <v>0.3719</v>
      </c>
      <c r="S139" s="0" t="n">
        <v>1.0208</v>
      </c>
      <c r="T139" s="0" t="n">
        <v>24.15</v>
      </c>
      <c r="U139" s="0" t="n">
        <v>24.62</v>
      </c>
    </row>
    <row r="140" customFormat="false" ht="15" hidden="false" customHeight="false" outlineLevel="0" collapsed="false">
      <c r="A140" s="0" t="s">
        <v>1305</v>
      </c>
      <c r="B140" s="0" t="s">
        <v>1303</v>
      </c>
      <c r="C140" s="0" t="s">
        <v>775</v>
      </c>
      <c r="D140" s="0" t="s">
        <v>785</v>
      </c>
      <c r="E140" s="0" t="s">
        <v>1055</v>
      </c>
      <c r="F140" s="0" t="s">
        <v>893</v>
      </c>
      <c r="G140" s="0" t="n">
        <v>16</v>
      </c>
      <c r="H140" s="0" t="n">
        <v>15.54</v>
      </c>
      <c r="I140" s="10" t="n">
        <v>0.4136</v>
      </c>
      <c r="J140" s="10" t="n">
        <v>0.4961</v>
      </c>
      <c r="K140" s="9" t="s">
        <v>2545</v>
      </c>
      <c r="L140" s="9" t="s">
        <v>2549</v>
      </c>
      <c r="N140" s="10" t="n">
        <v>0.4</v>
      </c>
      <c r="O140" s="19"/>
      <c r="P140" s="0" t="str">
        <f aca="false">IF(O140="","",IF(O140&gt;G140,"OVER",IF(O140&lt;G140,"UNDER","PUSH")))</f>
        <v/>
      </c>
      <c r="Q140" s="0" t="n">
        <v>16.56</v>
      </c>
      <c r="R140" s="10" t="n">
        <v>0.5055</v>
      </c>
      <c r="S140" s="0" t="n">
        <v>1.0656</v>
      </c>
      <c r="T140" s="0" t="n">
        <v>14.32</v>
      </c>
      <c r="U140" s="0" t="n">
        <v>15.26</v>
      </c>
    </row>
    <row r="141" customFormat="false" ht="15" hidden="false" customHeight="false" outlineLevel="0" collapsed="false">
      <c r="A141" s="0" t="s">
        <v>1305</v>
      </c>
      <c r="B141" s="0" t="s">
        <v>1303</v>
      </c>
      <c r="C141" s="0" t="s">
        <v>775</v>
      </c>
      <c r="D141" s="0" t="s">
        <v>785</v>
      </c>
      <c r="E141" s="0" t="s">
        <v>1055</v>
      </c>
      <c r="F141" s="0" t="s">
        <v>888</v>
      </c>
      <c r="G141" s="0" t="n">
        <v>28.5</v>
      </c>
      <c r="H141" s="0" t="n">
        <v>26.37</v>
      </c>
      <c r="I141" s="10" t="n">
        <v>0.3627</v>
      </c>
      <c r="J141" s="10" t="n">
        <v>0.6373</v>
      </c>
      <c r="K141" s="9" t="s">
        <v>2545</v>
      </c>
      <c r="L141" s="9" t="s">
        <v>2549</v>
      </c>
      <c r="N141" s="10" t="n">
        <v>0.2</v>
      </c>
      <c r="O141" s="19"/>
      <c r="P141" s="0" t="str">
        <f aca="false">IF(O141="","",IF(O141&gt;G141,"OVER",IF(O141&lt;G141,"UNDER","PUSH")))</f>
        <v/>
      </c>
      <c r="Q141" s="0" t="n">
        <v>28.1</v>
      </c>
      <c r="R141" s="10" t="n">
        <v>0.4746</v>
      </c>
      <c r="S141" s="0" t="n">
        <v>1.0658</v>
      </c>
      <c r="T141" s="0" t="n">
        <v>24.43</v>
      </c>
      <c r="U141" s="0" t="n">
        <v>26.04</v>
      </c>
    </row>
    <row r="142" customFormat="false" ht="15" hidden="false" customHeight="false" outlineLevel="0" collapsed="false">
      <c r="A142" s="0" t="s">
        <v>1305</v>
      </c>
      <c r="B142" s="0" t="s">
        <v>1303</v>
      </c>
      <c r="C142" s="0" t="s">
        <v>775</v>
      </c>
      <c r="D142" s="0" t="s">
        <v>785</v>
      </c>
      <c r="E142" s="0" t="s">
        <v>1057</v>
      </c>
      <c r="F142" s="0" t="s">
        <v>893</v>
      </c>
      <c r="G142" s="0" t="n">
        <v>17.5</v>
      </c>
      <c r="H142" s="0" t="n">
        <v>17.52</v>
      </c>
      <c r="I142" s="10" t="n">
        <v>0.5016</v>
      </c>
      <c r="J142" s="10" t="n">
        <v>0.4984</v>
      </c>
      <c r="K142" s="9" t="s">
        <v>2545</v>
      </c>
      <c r="L142" s="9" t="s">
        <v>2549</v>
      </c>
      <c r="N142" s="10" t="n">
        <v>0.5</v>
      </c>
      <c r="O142" s="19"/>
      <c r="P142" s="0" t="str">
        <f aca="false">IF(O142="","",IF(O142&gt;G142,"OVER",IF(O142&lt;G142,"UNDER","PUSH")))</f>
        <v/>
      </c>
      <c r="Q142" s="0" t="n">
        <v>18.68</v>
      </c>
      <c r="R142" s="10" t="n">
        <v>0.597</v>
      </c>
      <c r="S142" s="0" t="n">
        <v>1.0662</v>
      </c>
      <c r="T142" s="0" t="n">
        <v>17.82</v>
      </c>
      <c r="U142" s="0" t="n">
        <v>18.99</v>
      </c>
    </row>
    <row r="143" customFormat="false" ht="15" hidden="false" customHeight="false" outlineLevel="0" collapsed="false">
      <c r="A143" s="0" t="s">
        <v>1305</v>
      </c>
      <c r="B143" s="0" t="s">
        <v>1303</v>
      </c>
      <c r="C143" s="0" t="s">
        <v>775</v>
      </c>
      <c r="D143" s="0" t="s">
        <v>785</v>
      </c>
      <c r="E143" s="0" t="s">
        <v>1057</v>
      </c>
      <c r="F143" s="0" t="s">
        <v>888</v>
      </c>
      <c r="G143" s="0" t="n">
        <v>31.5</v>
      </c>
      <c r="H143" s="0" t="n">
        <v>30.01</v>
      </c>
      <c r="I143" s="10" t="n">
        <v>0.4091</v>
      </c>
      <c r="J143" s="10" t="n">
        <v>0.5909</v>
      </c>
      <c r="K143" s="9" t="s">
        <v>2545</v>
      </c>
      <c r="L143" s="9" t="s">
        <v>2549</v>
      </c>
      <c r="N143" s="10" t="n">
        <v>0.5</v>
      </c>
      <c r="O143" s="19"/>
      <c r="P143" s="0" t="str">
        <f aca="false">IF(O143="","",IF(O143&gt;G143,"OVER",IF(O143&lt;G143,"UNDER","PUSH")))</f>
        <v/>
      </c>
      <c r="Q143" s="0" t="n">
        <v>31.99</v>
      </c>
      <c r="R143" s="10" t="n">
        <v>0.529</v>
      </c>
      <c r="S143" s="0" t="n">
        <v>1.0659</v>
      </c>
      <c r="T143" s="0" t="n">
        <v>30</v>
      </c>
      <c r="U143" s="0" t="n">
        <v>31.98</v>
      </c>
    </row>
    <row r="144" customFormat="false" ht="15" hidden="false" customHeight="false" outlineLevel="0" collapsed="false">
      <c r="A144" s="0" t="s">
        <v>1305</v>
      </c>
      <c r="B144" s="0" t="s">
        <v>1303</v>
      </c>
      <c r="C144" s="0" t="s">
        <v>775</v>
      </c>
      <c r="D144" s="0" t="s">
        <v>785</v>
      </c>
      <c r="E144" s="0" t="s">
        <v>1059</v>
      </c>
      <c r="F144" s="0" t="s">
        <v>893</v>
      </c>
      <c r="G144" s="0" t="n">
        <v>11</v>
      </c>
      <c r="H144" s="0" t="n">
        <v>10.25</v>
      </c>
      <c r="I144" s="10" t="n">
        <v>0.3565</v>
      </c>
      <c r="J144" s="10" t="n">
        <v>0.5295</v>
      </c>
      <c r="K144" s="9" t="s">
        <v>2545</v>
      </c>
      <c r="L144" s="9" t="s">
        <v>2549</v>
      </c>
      <c r="N144" s="10" t="n">
        <v>0.4</v>
      </c>
      <c r="O144" s="19"/>
      <c r="P144" s="0" t="str">
        <f aca="false">IF(O144="","",IF(O144&gt;G144,"OVER",IF(O144&lt;G144,"UNDER","PUSH")))</f>
        <v/>
      </c>
      <c r="Q144" s="0" t="n">
        <v>10.92</v>
      </c>
      <c r="R144" s="10" t="n">
        <v>0.4348</v>
      </c>
      <c r="S144" s="0" t="n">
        <v>1.0659</v>
      </c>
      <c r="T144" s="0" t="n">
        <v>10.83</v>
      </c>
      <c r="U144" s="0" t="n">
        <v>11.54</v>
      </c>
    </row>
    <row r="145" customFormat="false" ht="15" hidden="false" customHeight="false" outlineLevel="0" collapsed="false">
      <c r="A145" s="0" t="s">
        <v>1305</v>
      </c>
      <c r="B145" s="0" t="s">
        <v>1303</v>
      </c>
      <c r="C145" s="0" t="s">
        <v>775</v>
      </c>
      <c r="D145" s="0" t="s">
        <v>785</v>
      </c>
      <c r="E145" s="0" t="s">
        <v>1059</v>
      </c>
      <c r="F145" s="0" t="s">
        <v>888</v>
      </c>
      <c r="G145" s="0" t="n">
        <v>32.5</v>
      </c>
      <c r="H145" s="0" t="n">
        <v>31.48</v>
      </c>
      <c r="I145" s="10" t="n">
        <v>0.439</v>
      </c>
      <c r="J145" s="10" t="n">
        <v>0.561</v>
      </c>
      <c r="K145" s="9" t="s">
        <v>2545</v>
      </c>
      <c r="L145" s="9" t="s">
        <v>2549</v>
      </c>
      <c r="N145" s="10" t="n">
        <v>0.5</v>
      </c>
      <c r="O145" s="19"/>
      <c r="P145" s="0" t="str">
        <f aca="false">IF(O145="","",IF(O145&gt;G145,"OVER",IF(O145&lt;G145,"UNDER","PUSH")))</f>
        <v/>
      </c>
      <c r="Q145" s="0" t="n">
        <v>33.55</v>
      </c>
      <c r="R145" s="10" t="n">
        <v>0.5608</v>
      </c>
      <c r="S145" s="0" t="n">
        <v>1.0656</v>
      </c>
      <c r="T145" s="0" t="n">
        <v>33.43</v>
      </c>
      <c r="U145" s="0" t="n">
        <v>35.63</v>
      </c>
    </row>
    <row r="146" customFormat="false" ht="15" hidden="false" customHeight="false" outlineLevel="0" collapsed="false">
      <c r="A146" s="0" t="s">
        <v>1305</v>
      </c>
      <c r="B146" s="0" t="s">
        <v>1303</v>
      </c>
      <c r="C146" s="0" t="s">
        <v>775</v>
      </c>
      <c r="D146" s="0" t="s">
        <v>785</v>
      </c>
      <c r="E146" s="0" t="s">
        <v>1061</v>
      </c>
      <c r="F146" s="0" t="s">
        <v>893</v>
      </c>
      <c r="G146" s="0" t="n">
        <v>13.5</v>
      </c>
      <c r="H146" s="0" t="n">
        <v>12.65</v>
      </c>
      <c r="I146" s="10" t="n">
        <v>0.4141</v>
      </c>
      <c r="J146" s="10" t="n">
        <v>0.5859</v>
      </c>
      <c r="K146" s="9" t="s">
        <v>2545</v>
      </c>
      <c r="L146" s="9" t="s">
        <v>2549</v>
      </c>
      <c r="N146" s="10" t="n">
        <v>0.2</v>
      </c>
      <c r="O146" s="19"/>
      <c r="P146" s="0" t="str">
        <f aca="false">IF(O146="","",IF(O146&gt;G146,"OVER",IF(O146&lt;G146,"UNDER","PUSH")))</f>
        <v/>
      </c>
      <c r="Q146" s="0" t="n">
        <v>13.49</v>
      </c>
      <c r="R146" s="10" t="n">
        <v>0.4989</v>
      </c>
      <c r="S146" s="0" t="n">
        <v>1.0661</v>
      </c>
      <c r="T146" s="0" t="n">
        <v>12.24</v>
      </c>
      <c r="U146" s="0" t="n">
        <v>13.04</v>
      </c>
    </row>
    <row r="147" customFormat="false" ht="15" hidden="false" customHeight="false" outlineLevel="0" collapsed="false">
      <c r="A147" s="0" t="s">
        <v>1305</v>
      </c>
      <c r="B147" s="0" t="s">
        <v>1303</v>
      </c>
      <c r="C147" s="0" t="s">
        <v>775</v>
      </c>
      <c r="D147" s="0" t="s">
        <v>785</v>
      </c>
      <c r="E147" s="0" t="s">
        <v>1061</v>
      </c>
      <c r="F147" s="0" t="s">
        <v>888</v>
      </c>
      <c r="G147" s="0" t="n">
        <v>27.5</v>
      </c>
      <c r="H147" s="0" t="n">
        <v>24.73</v>
      </c>
      <c r="I147" s="10" t="n">
        <v>0.3186</v>
      </c>
      <c r="J147" s="10" t="n">
        <v>0.6814</v>
      </c>
      <c r="K147" s="9" t="s">
        <v>2545</v>
      </c>
      <c r="L147" s="9" t="s">
        <v>2549</v>
      </c>
      <c r="N147" s="10" t="n">
        <v>0.3</v>
      </c>
      <c r="O147" s="19"/>
      <c r="P147" s="0" t="str">
        <f aca="false">IF(O147="","",IF(O147&gt;G147,"OVER",IF(O147&lt;G147,"UNDER","PUSH")))</f>
        <v/>
      </c>
      <c r="Q147" s="0" t="n">
        <v>26.34</v>
      </c>
      <c r="R147" s="10" t="n">
        <v>0.4242</v>
      </c>
      <c r="S147" s="0" t="n">
        <v>1.0653</v>
      </c>
      <c r="T147" s="0" t="n">
        <v>24.43</v>
      </c>
      <c r="U147" s="0" t="n">
        <v>26.04</v>
      </c>
    </row>
    <row r="148" customFormat="false" ht="15" hidden="false" customHeight="false" outlineLevel="0" collapsed="false">
      <c r="A148" s="0" t="s">
        <v>1305</v>
      </c>
      <c r="B148" s="0" t="s">
        <v>1303</v>
      </c>
      <c r="C148" s="0" t="s">
        <v>775</v>
      </c>
      <c r="D148" s="0" t="s">
        <v>785</v>
      </c>
      <c r="E148" s="0" t="s">
        <v>1063</v>
      </c>
      <c r="F148" s="0" t="s">
        <v>893</v>
      </c>
      <c r="G148" s="0" t="n">
        <v>15.5</v>
      </c>
      <c r="H148" s="0" t="n">
        <v>14.32</v>
      </c>
      <c r="I148" s="10" t="n">
        <v>0.3903</v>
      </c>
      <c r="J148" s="10" t="n">
        <v>0.6097</v>
      </c>
      <c r="K148" s="9" t="s">
        <v>2545</v>
      </c>
      <c r="L148" s="9" t="s">
        <v>2549</v>
      </c>
      <c r="N148" s="10" t="n">
        <v>0.4</v>
      </c>
      <c r="O148" s="19"/>
      <c r="P148" s="0" t="str">
        <f aca="false">IF(O148="","",IF(O148&gt;G148,"OVER",IF(O148&lt;G148,"UNDER","PUSH")))</f>
        <v/>
      </c>
      <c r="Q148" s="0" t="n">
        <v>15.26</v>
      </c>
      <c r="R148" s="10" t="n">
        <v>0.4776</v>
      </c>
      <c r="S148" s="0" t="n">
        <v>1.0651</v>
      </c>
      <c r="T148" s="0" t="n">
        <v>14.47</v>
      </c>
      <c r="U148" s="0" t="n">
        <v>15.43</v>
      </c>
    </row>
    <row r="149" customFormat="false" ht="15" hidden="false" customHeight="false" outlineLevel="0" collapsed="false">
      <c r="A149" s="0" t="s">
        <v>1305</v>
      </c>
      <c r="B149" s="0" t="s">
        <v>1303</v>
      </c>
      <c r="C149" s="0" t="s">
        <v>775</v>
      </c>
      <c r="D149" s="0" t="s">
        <v>785</v>
      </c>
      <c r="E149" s="0" t="s">
        <v>1063</v>
      </c>
      <c r="F149" s="0" t="s">
        <v>888</v>
      </c>
      <c r="G149" s="0" t="n">
        <v>25.5</v>
      </c>
      <c r="H149" s="0" t="n">
        <v>23.12</v>
      </c>
      <c r="I149" s="10" t="n">
        <v>0.3382</v>
      </c>
      <c r="J149" s="10" t="n">
        <v>0.6618</v>
      </c>
      <c r="K149" s="9" t="s">
        <v>2545</v>
      </c>
      <c r="L149" s="9" t="s">
        <v>2549</v>
      </c>
      <c r="N149" s="10" t="n">
        <v>0.4</v>
      </c>
      <c r="O149" s="19"/>
      <c r="P149" s="0" t="str">
        <f aca="false">IF(O149="","",IF(O149&gt;G149,"OVER",IF(O149&lt;G149,"UNDER","PUSH")))</f>
        <v/>
      </c>
      <c r="Q149" s="0" t="n">
        <v>24.64</v>
      </c>
      <c r="R149" s="10" t="n">
        <v>0.4416</v>
      </c>
      <c r="S149" s="0" t="n">
        <v>1.0654</v>
      </c>
      <c r="T149" s="0" t="n">
        <v>23.57</v>
      </c>
      <c r="U149" s="0" t="n">
        <v>25.12</v>
      </c>
    </row>
    <row r="150" customFormat="false" ht="15" hidden="false" customHeight="false" outlineLevel="0" collapsed="false">
      <c r="A150" s="0" t="s">
        <v>1305</v>
      </c>
      <c r="B150" s="0" t="s">
        <v>1303</v>
      </c>
      <c r="C150" s="0" t="s">
        <v>775</v>
      </c>
      <c r="D150" s="0" t="s">
        <v>785</v>
      </c>
      <c r="E150" s="0" t="s">
        <v>1065</v>
      </c>
      <c r="F150" s="0" t="s">
        <v>888</v>
      </c>
      <c r="G150" s="0" t="n">
        <v>25.5</v>
      </c>
      <c r="H150" s="0" t="n">
        <v>29.49</v>
      </c>
      <c r="I150" s="10" t="n">
        <v>0.7325</v>
      </c>
      <c r="J150" s="10" t="n">
        <v>0.2675</v>
      </c>
      <c r="K150" s="9" t="s">
        <v>2545</v>
      </c>
      <c r="L150" s="9" t="s">
        <v>2549</v>
      </c>
      <c r="N150" s="10" t="n">
        <v>0.9</v>
      </c>
      <c r="O150" s="19"/>
      <c r="P150" s="0" t="str">
        <f aca="false">IF(O150="","",IF(O150&gt;G150,"OVER",IF(O150&lt;G150,"UNDER","PUSH")))</f>
        <v/>
      </c>
      <c r="Q150" s="0" t="n">
        <v>29.12</v>
      </c>
      <c r="R150" s="10" t="n">
        <v>0.7148</v>
      </c>
      <c r="S150" s="0" t="n">
        <v>0.9877</v>
      </c>
      <c r="T150" s="0" t="n">
        <v>28.72</v>
      </c>
      <c r="U150" s="0" t="n">
        <v>28.38</v>
      </c>
    </row>
    <row r="151" customFormat="false" ht="15" hidden="false" customHeight="false" outlineLevel="0" collapsed="false">
      <c r="A151" s="0" t="s">
        <v>1305</v>
      </c>
      <c r="B151" s="0" t="s">
        <v>1303</v>
      </c>
      <c r="C151" s="0" t="s">
        <v>775</v>
      </c>
      <c r="D151" s="0" t="s">
        <v>785</v>
      </c>
      <c r="E151" s="0" t="s">
        <v>1067</v>
      </c>
      <c r="F151" s="0" t="s">
        <v>893</v>
      </c>
      <c r="G151" s="0" t="n">
        <v>15.5</v>
      </c>
      <c r="H151" s="0" t="n">
        <v>17.12</v>
      </c>
      <c r="I151" s="10" t="n">
        <v>0.6392</v>
      </c>
      <c r="J151" s="10" t="n">
        <v>0.3608</v>
      </c>
      <c r="K151" s="9" t="s">
        <v>2545</v>
      </c>
      <c r="L151" s="9" t="s">
        <v>2549</v>
      </c>
      <c r="N151" s="10" t="n">
        <v>0.4</v>
      </c>
      <c r="O151" s="19"/>
      <c r="P151" s="0" t="str">
        <f aca="false">IF(O151="","",IF(O151&gt;G151,"OVER",IF(O151&lt;G151,"UNDER","PUSH")))</f>
        <v/>
      </c>
      <c r="Q151" s="0" t="n">
        <v>16.91</v>
      </c>
      <c r="R151" s="10" t="n">
        <v>0.6224</v>
      </c>
      <c r="S151" s="0" t="n">
        <v>0.9876</v>
      </c>
      <c r="T151" s="0" t="n">
        <v>16.29</v>
      </c>
      <c r="U151" s="0" t="n">
        <v>16.09</v>
      </c>
    </row>
    <row r="152" customFormat="false" ht="15" hidden="false" customHeight="false" outlineLevel="0" collapsed="false">
      <c r="A152" s="0" t="s">
        <v>1305</v>
      </c>
      <c r="B152" s="0" t="s">
        <v>1303</v>
      </c>
      <c r="C152" s="0" t="s">
        <v>775</v>
      </c>
      <c r="D152" s="0" t="s">
        <v>785</v>
      </c>
      <c r="E152" s="0" t="s">
        <v>1067</v>
      </c>
      <c r="F152" s="0" t="s">
        <v>888</v>
      </c>
      <c r="G152" s="0" t="n">
        <v>30.5</v>
      </c>
      <c r="H152" s="0" t="n">
        <v>33.62</v>
      </c>
      <c r="I152" s="10" t="n">
        <v>0.6754</v>
      </c>
      <c r="J152" s="10" t="n">
        <v>0.3246</v>
      </c>
      <c r="K152" s="9" t="s">
        <v>2545</v>
      </c>
      <c r="L152" s="9" t="s">
        <v>2549</v>
      </c>
      <c r="N152" s="10" t="n">
        <v>0.5</v>
      </c>
      <c r="O152" s="19"/>
      <c r="P152" s="0" t="str">
        <f aca="false">IF(O152="","",IF(O152&gt;G152,"OVER",IF(O152&lt;G152,"UNDER","PUSH")))</f>
        <v/>
      </c>
      <c r="Q152" s="0" t="n">
        <v>33.21</v>
      </c>
      <c r="R152" s="10" t="n">
        <v>0.6546</v>
      </c>
      <c r="S152" s="0" t="n">
        <v>0.9878</v>
      </c>
      <c r="T152" s="0" t="n">
        <v>32.57</v>
      </c>
      <c r="U152" s="0" t="n">
        <v>32.19</v>
      </c>
    </row>
    <row r="153" customFormat="false" ht="15" hidden="false" customHeight="false" outlineLevel="0" collapsed="false">
      <c r="A153" s="0" t="s">
        <v>1305</v>
      </c>
      <c r="B153" s="0" t="s">
        <v>1303</v>
      </c>
      <c r="C153" s="0" t="s">
        <v>775</v>
      </c>
      <c r="D153" s="0" t="s">
        <v>785</v>
      </c>
      <c r="E153" s="0" t="s">
        <v>1071</v>
      </c>
      <c r="F153" s="0" t="s">
        <v>893</v>
      </c>
      <c r="G153" s="0" t="n">
        <v>16.5</v>
      </c>
      <c r="H153" s="0" t="n">
        <v>16.54</v>
      </c>
      <c r="I153" s="10" t="n">
        <v>0.5039</v>
      </c>
      <c r="J153" s="10" t="n">
        <v>0.4961</v>
      </c>
      <c r="K153" s="9" t="s">
        <v>2545</v>
      </c>
      <c r="L153" s="9" t="s">
        <v>2549</v>
      </c>
      <c r="N153" s="10" t="n">
        <v>0.7</v>
      </c>
      <c r="O153" s="19"/>
      <c r="P153" s="0" t="str">
        <f aca="false">IF(O153="","",IF(O153&gt;G153,"OVER",IF(O153&lt;G153,"UNDER","PUSH")))</f>
        <v/>
      </c>
      <c r="Q153" s="0" t="n">
        <v>16.35</v>
      </c>
      <c r="R153" s="10" t="n">
        <v>0.4865</v>
      </c>
      <c r="S153" s="0" t="n">
        <v>0.9881</v>
      </c>
      <c r="T153" s="0" t="n">
        <v>16.51</v>
      </c>
      <c r="U153" s="0" t="n">
        <v>16.32</v>
      </c>
    </row>
    <row r="154" customFormat="false" ht="15" hidden="false" customHeight="false" outlineLevel="0" collapsed="false">
      <c r="A154" s="0" t="s">
        <v>1305</v>
      </c>
      <c r="B154" s="0" t="s">
        <v>1303</v>
      </c>
      <c r="C154" s="0" t="s">
        <v>775</v>
      </c>
      <c r="D154" s="0" t="s">
        <v>785</v>
      </c>
      <c r="E154" s="0" t="s">
        <v>1071</v>
      </c>
      <c r="F154" s="0" t="s">
        <v>888</v>
      </c>
      <c r="G154" s="0" t="n">
        <v>26.5</v>
      </c>
      <c r="H154" s="0" t="n">
        <v>27.42</v>
      </c>
      <c r="I154" s="10" t="n">
        <v>0.5592</v>
      </c>
      <c r="J154" s="10" t="n">
        <v>0.4408</v>
      </c>
      <c r="K154" s="9" t="s">
        <v>2545</v>
      </c>
      <c r="L154" s="9" t="s">
        <v>2549</v>
      </c>
      <c r="N154" s="10" t="n">
        <v>0.5</v>
      </c>
      <c r="O154" s="19"/>
      <c r="P154" s="0" t="str">
        <f aca="false">IF(O154="","",IF(O154&gt;G154,"OVER",IF(O154&lt;G154,"UNDER","PUSH")))</f>
        <v/>
      </c>
      <c r="Q154" s="0" t="n">
        <v>27.1</v>
      </c>
      <c r="R154" s="10" t="n">
        <v>0.5388</v>
      </c>
      <c r="S154" s="0" t="n">
        <v>0.9882</v>
      </c>
      <c r="T154" s="0" t="n">
        <v>27.43</v>
      </c>
      <c r="U154" s="0" t="n">
        <v>27.11</v>
      </c>
    </row>
    <row r="155" customFormat="false" ht="15" hidden="false" customHeight="false" outlineLevel="0" collapsed="false">
      <c r="A155" s="0" t="s">
        <v>1305</v>
      </c>
      <c r="B155" s="0" t="s">
        <v>1303</v>
      </c>
      <c r="C155" s="0" t="s">
        <v>775</v>
      </c>
      <c r="D155" s="0" t="s">
        <v>785</v>
      </c>
      <c r="E155" s="0" t="s">
        <v>1073</v>
      </c>
      <c r="F155" s="0" t="s">
        <v>893</v>
      </c>
      <c r="G155" s="0" t="n">
        <v>16.5</v>
      </c>
      <c r="H155" s="0" t="n">
        <v>17.39</v>
      </c>
      <c r="I155" s="10" t="n">
        <v>0.576</v>
      </c>
      <c r="J155" s="10" t="n">
        <v>0.424</v>
      </c>
      <c r="K155" s="9" t="s">
        <v>2545</v>
      </c>
      <c r="L155" s="9" t="s">
        <v>2549</v>
      </c>
      <c r="N155" s="10" t="n">
        <v>0.6</v>
      </c>
      <c r="O155" s="19"/>
      <c r="P155" s="0" t="str">
        <f aca="false">IF(O155="","",IF(O155&gt;G155,"OVER",IF(O155&lt;G155,"UNDER","PUSH")))</f>
        <v/>
      </c>
      <c r="Q155" s="0" t="n">
        <v>17.2</v>
      </c>
      <c r="R155" s="10" t="n">
        <v>0.5601</v>
      </c>
      <c r="S155" s="0" t="n">
        <v>0.989</v>
      </c>
      <c r="T155" s="0" t="n">
        <v>18.15</v>
      </c>
      <c r="U155" s="0" t="n">
        <v>17.93</v>
      </c>
    </row>
    <row r="156" customFormat="false" ht="15" hidden="false" customHeight="false" outlineLevel="0" collapsed="false">
      <c r="A156" s="0" t="s">
        <v>1305</v>
      </c>
      <c r="B156" s="0" t="s">
        <v>1303</v>
      </c>
      <c r="C156" s="0" t="s">
        <v>775</v>
      </c>
      <c r="D156" s="0" t="s">
        <v>785</v>
      </c>
      <c r="E156" s="0" t="s">
        <v>1073</v>
      </c>
      <c r="F156" s="0" t="s">
        <v>888</v>
      </c>
      <c r="G156" s="0" t="n">
        <v>28.5</v>
      </c>
      <c r="H156" s="0" t="n">
        <v>29.91</v>
      </c>
      <c r="I156" s="10" t="n">
        <v>0.5865</v>
      </c>
      <c r="J156" s="10" t="n">
        <v>0.4135</v>
      </c>
      <c r="K156" s="9" t="s">
        <v>2545</v>
      </c>
      <c r="L156" s="9" t="s">
        <v>2549</v>
      </c>
      <c r="N156" s="10" t="n">
        <v>0.5</v>
      </c>
      <c r="O156" s="19"/>
      <c r="P156" s="0" t="str">
        <f aca="false">IF(O156="","",IF(O156&gt;G156,"OVER",IF(O156&lt;G156,"UNDER","PUSH")))</f>
        <v/>
      </c>
      <c r="Q156" s="0" t="n">
        <v>29.59</v>
      </c>
      <c r="R156" s="10" t="n">
        <v>0.5671</v>
      </c>
      <c r="S156" s="0" t="n">
        <v>0.9891</v>
      </c>
      <c r="T156" s="0" t="n">
        <v>30.86</v>
      </c>
      <c r="U156" s="0" t="n">
        <v>30.49</v>
      </c>
    </row>
    <row r="157" customFormat="false" ht="15" hidden="false" customHeight="false" outlineLevel="0" collapsed="false">
      <c r="A157" s="0" t="s">
        <v>1305</v>
      </c>
      <c r="B157" s="0" t="s">
        <v>1303</v>
      </c>
      <c r="C157" s="0" t="s">
        <v>775</v>
      </c>
      <c r="D157" s="0" t="s">
        <v>785</v>
      </c>
      <c r="E157" s="0" t="s">
        <v>1075</v>
      </c>
      <c r="F157" s="0" t="s">
        <v>888</v>
      </c>
      <c r="G157" s="0" t="n">
        <v>30.5</v>
      </c>
      <c r="H157" s="0" t="n">
        <v>33.48</v>
      </c>
      <c r="I157" s="10" t="n">
        <v>0.6683</v>
      </c>
      <c r="J157" s="10" t="n">
        <v>0.3317</v>
      </c>
      <c r="K157" s="9" t="s">
        <v>2545</v>
      </c>
      <c r="L157" s="9" t="s">
        <v>2549</v>
      </c>
      <c r="N157" s="10" t="n">
        <v>0.6</v>
      </c>
      <c r="O157" s="19"/>
      <c r="P157" s="0" t="str">
        <f aca="false">IF(O157="","",IF(O157&gt;G157,"OVER",IF(O157&lt;G157,"UNDER","PUSH")))</f>
        <v/>
      </c>
      <c r="Q157" s="0" t="n">
        <v>33.08</v>
      </c>
      <c r="R157" s="10" t="n">
        <v>0.6478</v>
      </c>
      <c r="S157" s="0" t="n">
        <v>0.9881</v>
      </c>
      <c r="T157" s="0" t="n">
        <v>32.14</v>
      </c>
      <c r="U157" s="0" t="n">
        <v>31.76</v>
      </c>
    </row>
    <row r="158" customFormat="false" ht="15" hidden="false" customHeight="false" outlineLevel="0" collapsed="false">
      <c r="A158" s="0" t="s">
        <v>1305</v>
      </c>
      <c r="B158" s="0" t="s">
        <v>1303</v>
      </c>
      <c r="C158" s="0" t="s">
        <v>775</v>
      </c>
      <c r="D158" s="0" t="s">
        <v>830</v>
      </c>
      <c r="E158" s="0" t="s">
        <v>1077</v>
      </c>
      <c r="F158" s="0" t="s">
        <v>893</v>
      </c>
      <c r="G158" s="0" t="n">
        <v>16</v>
      </c>
      <c r="H158" s="0" t="n">
        <v>16.13</v>
      </c>
      <c r="I158" s="10" t="n">
        <v>0.4665</v>
      </c>
      <c r="J158" s="10" t="n">
        <v>0.443</v>
      </c>
      <c r="K158" s="9" t="s">
        <v>2539</v>
      </c>
      <c r="L158" s="9" t="s">
        <v>2550</v>
      </c>
      <c r="N158" s="10" t="n">
        <v>0.7</v>
      </c>
      <c r="O158" s="19"/>
      <c r="P158" s="0" t="str">
        <f aca="false">IF(O158="","",IF(O158&gt;G158,"OVER",IF(O158&lt;G158,"UNDER","PUSH")))</f>
        <v/>
      </c>
      <c r="Q158" s="0" t="n">
        <v>15.33</v>
      </c>
      <c r="R158" s="10" t="n">
        <v>0.392</v>
      </c>
      <c r="S158" s="0" t="n">
        <v>0.9501</v>
      </c>
      <c r="T158" s="0" t="n">
        <v>15.03</v>
      </c>
      <c r="U158" s="0" t="n">
        <v>14.3</v>
      </c>
    </row>
    <row r="159" customFormat="false" ht="15" hidden="false" customHeight="false" outlineLevel="0" collapsed="false">
      <c r="A159" s="0" t="s">
        <v>1305</v>
      </c>
      <c r="B159" s="0" t="s">
        <v>1303</v>
      </c>
      <c r="C159" s="0" t="s">
        <v>775</v>
      </c>
      <c r="D159" s="0" t="s">
        <v>830</v>
      </c>
      <c r="E159" s="0" t="s">
        <v>1077</v>
      </c>
      <c r="F159" s="0" t="s">
        <v>888</v>
      </c>
      <c r="G159" s="0" t="n">
        <v>29.5</v>
      </c>
      <c r="H159" s="0" t="n">
        <v>32.31</v>
      </c>
      <c r="I159" s="10" t="n">
        <v>0.6621</v>
      </c>
      <c r="J159" s="10" t="n">
        <v>0.3379</v>
      </c>
      <c r="K159" s="9" t="s">
        <v>2539</v>
      </c>
      <c r="L159" s="9" t="s">
        <v>2550</v>
      </c>
      <c r="M159" s="0" t="n">
        <v>28.5</v>
      </c>
      <c r="N159" s="10" t="n">
        <v>0.7</v>
      </c>
      <c r="O159" s="19"/>
      <c r="P159" s="0" t="str">
        <f aca="false">IF(O159="","",IF(O159&gt;G159,"OVER",IF(O159&lt;G159,"UNDER","PUSH")))</f>
        <v/>
      </c>
      <c r="Q159" s="0" t="n">
        <v>30.74</v>
      </c>
      <c r="R159" s="10" t="n">
        <v>0.5748</v>
      </c>
      <c r="S159" s="0" t="n">
        <v>0.9513</v>
      </c>
      <c r="T159" s="0" t="n">
        <v>30.43</v>
      </c>
      <c r="U159" s="0" t="n">
        <v>28.95</v>
      </c>
    </row>
    <row r="160" customFormat="false" ht="15" hidden="false" customHeight="false" outlineLevel="0" collapsed="false">
      <c r="A160" s="0" t="s">
        <v>1305</v>
      </c>
      <c r="B160" s="0" t="s">
        <v>1303</v>
      </c>
      <c r="C160" s="0" t="s">
        <v>775</v>
      </c>
      <c r="D160" s="0" t="s">
        <v>830</v>
      </c>
      <c r="E160" s="0" t="s">
        <v>1079</v>
      </c>
      <c r="F160" s="0" t="s">
        <v>893</v>
      </c>
      <c r="G160" s="0" t="n">
        <v>15</v>
      </c>
      <c r="H160" s="0" t="n">
        <v>15.36</v>
      </c>
      <c r="I160" s="10" t="n">
        <v>0.4872</v>
      </c>
      <c r="J160" s="10" t="n">
        <v>0.4205</v>
      </c>
      <c r="K160" s="9" t="s">
        <v>2539</v>
      </c>
      <c r="L160" s="9" t="s">
        <v>2550</v>
      </c>
      <c r="N160" s="10" t="n">
        <v>0.7</v>
      </c>
      <c r="O160" s="19"/>
      <c r="P160" s="0" t="str">
        <f aca="false">IF(O160="","",IF(O160&gt;G160,"OVER",IF(O160&lt;G160,"UNDER","PUSH")))</f>
        <v/>
      </c>
      <c r="Q160" s="0" t="n">
        <v>14.64</v>
      </c>
      <c r="R160" s="10" t="n">
        <v>0.4185</v>
      </c>
      <c r="S160" s="0" t="n">
        <v>0.9527</v>
      </c>
      <c r="T160" s="0" t="n">
        <v>14.92</v>
      </c>
      <c r="U160" s="0" t="n">
        <v>14.19</v>
      </c>
    </row>
    <row r="161" customFormat="false" ht="15" hidden="false" customHeight="false" outlineLevel="0" collapsed="false">
      <c r="A161" s="0" t="s">
        <v>1305</v>
      </c>
      <c r="B161" s="0" t="s">
        <v>1303</v>
      </c>
      <c r="C161" s="0" t="s">
        <v>775</v>
      </c>
      <c r="D161" s="0" t="s">
        <v>830</v>
      </c>
      <c r="E161" s="0" t="s">
        <v>1079</v>
      </c>
      <c r="F161" s="0" t="s">
        <v>888</v>
      </c>
      <c r="G161" s="0" t="n">
        <v>29.5</v>
      </c>
      <c r="H161" s="0" t="n">
        <v>30.07</v>
      </c>
      <c r="I161" s="10" t="n">
        <v>0.535</v>
      </c>
      <c r="J161" s="10" t="n">
        <v>0.465</v>
      </c>
      <c r="K161" s="9" t="s">
        <v>2539</v>
      </c>
      <c r="L161" s="9" t="s">
        <v>2550</v>
      </c>
      <c r="M161" s="0" t="n">
        <v>28.92</v>
      </c>
      <c r="N161" s="10" t="n">
        <v>0.4</v>
      </c>
      <c r="O161" s="19"/>
      <c r="P161" s="0" t="str">
        <f aca="false">IF(O161="","",IF(O161&gt;G161,"OVER",IF(O161&lt;G161,"UNDER","PUSH")))</f>
        <v/>
      </c>
      <c r="Q161" s="0" t="n">
        <v>28.67</v>
      </c>
      <c r="R161" s="10" t="n">
        <v>0.4481</v>
      </c>
      <c r="S161" s="0" t="n">
        <v>0.9536</v>
      </c>
      <c r="T161" s="0" t="n">
        <v>31.28</v>
      </c>
      <c r="U161" s="0" t="n">
        <v>29.76</v>
      </c>
    </row>
    <row r="162" customFormat="false" ht="15" hidden="false" customHeight="false" outlineLevel="0" collapsed="false">
      <c r="A162" s="0" t="s">
        <v>1305</v>
      </c>
      <c r="B162" s="0" t="s">
        <v>1303</v>
      </c>
      <c r="C162" s="0" t="s">
        <v>775</v>
      </c>
      <c r="D162" s="0" t="s">
        <v>830</v>
      </c>
      <c r="E162" s="0" t="s">
        <v>1081</v>
      </c>
      <c r="F162" s="0" t="s">
        <v>893</v>
      </c>
      <c r="G162" s="0" t="n">
        <v>13.5</v>
      </c>
      <c r="H162" s="0" t="n">
        <v>13.14</v>
      </c>
      <c r="I162" s="10" t="n">
        <v>0.4641</v>
      </c>
      <c r="J162" s="10" t="n">
        <v>0.5359</v>
      </c>
      <c r="K162" s="9" t="s">
        <v>2539</v>
      </c>
      <c r="L162" s="9" t="s">
        <v>2550</v>
      </c>
      <c r="N162" s="10" t="n">
        <v>0.4</v>
      </c>
      <c r="O162" s="19"/>
      <c r="P162" s="0" t="str">
        <f aca="false">IF(O162="","",IF(O162&gt;G162,"OVER",IF(O162&lt;G162,"UNDER","PUSH")))</f>
        <v/>
      </c>
      <c r="Q162" s="0" t="n">
        <v>12.5</v>
      </c>
      <c r="R162" s="10" t="n">
        <v>0.3988</v>
      </c>
      <c r="S162" s="0" t="n">
        <v>0.9514</v>
      </c>
      <c r="T162" s="0" t="n">
        <v>12.55</v>
      </c>
      <c r="U162" s="0" t="n">
        <v>11.94</v>
      </c>
    </row>
    <row r="163" customFormat="false" ht="15" hidden="false" customHeight="false" outlineLevel="0" collapsed="false">
      <c r="A163" s="0" t="s">
        <v>1305</v>
      </c>
      <c r="B163" s="0" t="s">
        <v>1303</v>
      </c>
      <c r="C163" s="0" t="s">
        <v>775</v>
      </c>
      <c r="D163" s="0" t="s">
        <v>830</v>
      </c>
      <c r="E163" s="0" t="s">
        <v>1081</v>
      </c>
      <c r="F163" s="0" t="s">
        <v>888</v>
      </c>
      <c r="G163" s="0" t="n">
        <v>25</v>
      </c>
      <c r="H163" s="0" t="n">
        <v>24.9</v>
      </c>
      <c r="I163" s="10" t="n">
        <v>0.4592</v>
      </c>
      <c r="J163" s="10" t="n">
        <v>0.4733</v>
      </c>
      <c r="K163" s="9" t="s">
        <v>2539</v>
      </c>
      <c r="L163" s="9" t="s">
        <v>2550</v>
      </c>
      <c r="M163" s="0" t="n">
        <v>23.98</v>
      </c>
      <c r="N163" s="10" t="n">
        <v>0.5</v>
      </c>
      <c r="O163" s="19"/>
      <c r="P163" s="0" t="str">
        <f aca="false">IF(O163="","",IF(O163&gt;G163,"OVER",IF(O163&lt;G163,"UNDER","PUSH")))</f>
        <v/>
      </c>
      <c r="Q163" s="0" t="n">
        <v>23.71</v>
      </c>
      <c r="R163" s="10" t="n">
        <v>0.3777</v>
      </c>
      <c r="S163" s="0" t="n">
        <v>0.9522</v>
      </c>
      <c r="T163" s="0" t="n">
        <v>24.52</v>
      </c>
      <c r="U163" s="0" t="n">
        <v>23.32</v>
      </c>
    </row>
    <row r="164" customFormat="false" ht="15" hidden="false" customHeight="false" outlineLevel="0" collapsed="false">
      <c r="A164" s="0" t="s">
        <v>1305</v>
      </c>
      <c r="B164" s="0" t="s">
        <v>1303</v>
      </c>
      <c r="C164" s="0" t="s">
        <v>775</v>
      </c>
      <c r="D164" s="0" t="s">
        <v>830</v>
      </c>
      <c r="E164" s="0" t="s">
        <v>1083</v>
      </c>
      <c r="F164" s="0" t="s">
        <v>893</v>
      </c>
      <c r="G164" s="0" t="n">
        <v>16.5</v>
      </c>
      <c r="H164" s="0" t="n">
        <v>14.06</v>
      </c>
      <c r="I164" s="10" t="n">
        <v>0.2773</v>
      </c>
      <c r="J164" s="10" t="n">
        <v>0.7227</v>
      </c>
      <c r="K164" s="9" t="s">
        <v>2539</v>
      </c>
      <c r="L164" s="9" t="s">
        <v>2550</v>
      </c>
      <c r="N164" s="10" t="n">
        <v>0.5</v>
      </c>
      <c r="O164" s="19"/>
      <c r="P164" s="0" t="str">
        <f aca="false">IF(O164="","",IF(O164&gt;G164,"OVER",IF(O164&lt;G164,"UNDER","PUSH")))</f>
        <v/>
      </c>
      <c r="Q164" s="0" t="n">
        <v>13.36</v>
      </c>
      <c r="R164" s="10" t="n">
        <v>0.2182</v>
      </c>
      <c r="S164" s="0" t="n">
        <v>0.9506</v>
      </c>
      <c r="T164" s="0" t="n">
        <v>15.34</v>
      </c>
      <c r="U164" s="0" t="n">
        <v>14.6</v>
      </c>
    </row>
    <row r="165" customFormat="false" ht="15" hidden="false" customHeight="false" outlineLevel="0" collapsed="false">
      <c r="A165" s="0" t="s">
        <v>1305</v>
      </c>
      <c r="B165" s="0" t="s">
        <v>1303</v>
      </c>
      <c r="C165" s="0" t="s">
        <v>775</v>
      </c>
      <c r="D165" s="0" t="s">
        <v>830</v>
      </c>
      <c r="E165" s="0" t="s">
        <v>1083</v>
      </c>
      <c r="F165" s="0" t="s">
        <v>888</v>
      </c>
      <c r="G165" s="0" t="n">
        <v>27.5</v>
      </c>
      <c r="H165" s="0" t="n">
        <v>26.11</v>
      </c>
      <c r="I165" s="10" t="n">
        <v>0.4091</v>
      </c>
      <c r="J165" s="10" t="n">
        <v>0.5909</v>
      </c>
      <c r="K165" s="9" t="s">
        <v>2539</v>
      </c>
      <c r="L165" s="9" t="s">
        <v>2550</v>
      </c>
      <c r="M165" s="0" t="n">
        <v>26.45</v>
      </c>
      <c r="N165" s="10" t="n">
        <v>0.7</v>
      </c>
      <c r="O165" s="19"/>
      <c r="P165" s="0" t="str">
        <f aca="false">IF(O165="","",IF(O165&gt;G165,"OVER",IF(O165&lt;G165,"UNDER","PUSH")))</f>
        <v/>
      </c>
      <c r="Q165" s="0" t="n">
        <v>24.83</v>
      </c>
      <c r="R165" s="10" t="n">
        <v>0.325</v>
      </c>
      <c r="S165" s="0" t="n">
        <v>0.9508</v>
      </c>
      <c r="T165" s="0" t="n">
        <v>27.9</v>
      </c>
      <c r="U165" s="0" t="n">
        <v>26.54</v>
      </c>
    </row>
    <row r="166" customFormat="false" ht="15" hidden="false" customHeight="false" outlineLevel="0" collapsed="false">
      <c r="A166" s="0" t="s">
        <v>1305</v>
      </c>
      <c r="B166" s="0" t="s">
        <v>1303</v>
      </c>
      <c r="C166" s="0" t="s">
        <v>775</v>
      </c>
      <c r="D166" s="0" t="s">
        <v>830</v>
      </c>
      <c r="E166" s="0" t="s">
        <v>1085</v>
      </c>
      <c r="F166" s="0" t="s">
        <v>893</v>
      </c>
      <c r="G166" s="0" t="n">
        <v>11.5</v>
      </c>
      <c r="H166" s="0" t="n">
        <v>11.14</v>
      </c>
      <c r="I166" s="10" t="n">
        <v>0.4601</v>
      </c>
      <c r="J166" s="10" t="n">
        <v>0.5399</v>
      </c>
      <c r="K166" s="9" t="s">
        <v>2539</v>
      </c>
      <c r="L166" s="9" t="s">
        <v>2550</v>
      </c>
      <c r="N166" s="10" t="n">
        <v>0.6</v>
      </c>
      <c r="O166" s="19"/>
      <c r="P166" s="0" t="str">
        <f aca="false">IF(O166="","",IF(O166&gt;G166,"OVER",IF(O166&lt;G166,"UNDER","PUSH")))</f>
        <v/>
      </c>
      <c r="Q166" s="0" t="n">
        <v>10.61</v>
      </c>
      <c r="R166" s="10" t="n">
        <v>0.3984</v>
      </c>
      <c r="S166" s="0" t="n">
        <v>0.9517</v>
      </c>
      <c r="T166" s="0" t="n">
        <v>11.16</v>
      </c>
      <c r="U166" s="0" t="n">
        <v>10.62</v>
      </c>
    </row>
    <row r="167" customFormat="false" ht="15" hidden="false" customHeight="false" outlineLevel="0" collapsed="false">
      <c r="A167" s="0" t="s">
        <v>1305</v>
      </c>
      <c r="B167" s="0" t="s">
        <v>1303</v>
      </c>
      <c r="C167" s="0" t="s">
        <v>775</v>
      </c>
      <c r="D167" s="0" t="s">
        <v>830</v>
      </c>
      <c r="E167" s="0" t="s">
        <v>1085</v>
      </c>
      <c r="F167" s="0" t="s">
        <v>888</v>
      </c>
      <c r="G167" s="0" t="n">
        <v>31</v>
      </c>
      <c r="H167" s="0" t="n">
        <v>31.99</v>
      </c>
      <c r="I167" s="10" t="n">
        <v>0.5289</v>
      </c>
      <c r="J167" s="10" t="n">
        <v>0.4122</v>
      </c>
      <c r="K167" s="9" t="s">
        <v>2539</v>
      </c>
      <c r="L167" s="9" t="s">
        <v>2550</v>
      </c>
      <c r="M167" s="0" t="n">
        <v>29.72</v>
      </c>
      <c r="N167" s="10" t="n">
        <v>0.6</v>
      </c>
      <c r="O167" s="19"/>
      <c r="P167" s="0" t="str">
        <f aca="false">IF(O167="","",IF(O167&gt;G167,"OVER",IF(O167&lt;G167,"UNDER","PUSH")))</f>
        <v/>
      </c>
      <c r="Q167" s="0" t="n">
        <v>30.44</v>
      </c>
      <c r="R167" s="10" t="n">
        <v>0.4353</v>
      </c>
      <c r="S167" s="0" t="n">
        <v>0.9516</v>
      </c>
      <c r="T167" s="0" t="n">
        <v>32.55</v>
      </c>
      <c r="U167" s="0" t="n">
        <v>30.96</v>
      </c>
    </row>
    <row r="168" customFormat="false" ht="15" hidden="false" customHeight="false" outlineLevel="0" collapsed="false">
      <c r="A168" s="0" t="s">
        <v>1305</v>
      </c>
      <c r="B168" s="0" t="s">
        <v>1303</v>
      </c>
      <c r="C168" s="0" t="s">
        <v>775</v>
      </c>
      <c r="D168" s="0" t="s">
        <v>830</v>
      </c>
      <c r="E168" s="0" t="s">
        <v>1087</v>
      </c>
      <c r="F168" s="0" t="s">
        <v>893</v>
      </c>
      <c r="G168" s="0" t="n">
        <v>14.5</v>
      </c>
      <c r="H168" s="0" t="n">
        <v>18.23</v>
      </c>
      <c r="I168" s="10" t="n">
        <v>0.7822</v>
      </c>
      <c r="J168" s="10" t="n">
        <v>0.2178</v>
      </c>
      <c r="K168" s="9" t="s">
        <v>2539</v>
      </c>
      <c r="L168" s="9" t="s">
        <v>2550</v>
      </c>
      <c r="N168" s="10" t="n">
        <v>0.7</v>
      </c>
      <c r="O168" s="19"/>
      <c r="P168" s="0" t="str">
        <f aca="false">IF(O168="","",IF(O168&gt;G168,"OVER",IF(O168&lt;G168,"UNDER","PUSH")))</f>
        <v/>
      </c>
      <c r="Q168" s="0" t="n">
        <v>18.53</v>
      </c>
      <c r="R168" s="10" t="n">
        <v>0.7985</v>
      </c>
      <c r="S168" s="0" t="n">
        <v>1.0166</v>
      </c>
      <c r="T168" s="0" t="n">
        <v>17.19</v>
      </c>
      <c r="U168" s="0" t="n">
        <v>17.48</v>
      </c>
    </row>
    <row r="169" customFormat="false" ht="15" hidden="false" customHeight="false" outlineLevel="0" collapsed="false">
      <c r="A169" s="0" t="s">
        <v>1305</v>
      </c>
      <c r="B169" s="0" t="s">
        <v>1303</v>
      </c>
      <c r="C169" s="0" t="s">
        <v>775</v>
      </c>
      <c r="D169" s="0" t="s">
        <v>830</v>
      </c>
      <c r="E169" s="0" t="s">
        <v>1087</v>
      </c>
      <c r="F169" s="0" t="s">
        <v>888</v>
      </c>
      <c r="G169" s="0" t="n">
        <v>26.5</v>
      </c>
      <c r="H169" s="0" t="n">
        <v>28.81</v>
      </c>
      <c r="I169" s="10" t="n">
        <v>0.6422</v>
      </c>
      <c r="J169" s="10" t="n">
        <v>0.3578</v>
      </c>
      <c r="K169" s="9" t="s">
        <v>2539</v>
      </c>
      <c r="L169" s="9" t="s">
        <v>2550</v>
      </c>
      <c r="M169" s="0" t="n">
        <v>26.39</v>
      </c>
      <c r="N169" s="10" t="n">
        <v>0.7</v>
      </c>
      <c r="O169" s="19"/>
      <c r="P169" s="0" t="str">
        <f aca="false">IF(O169="","",IF(O169&gt;G169,"OVER",IF(O169&lt;G169,"UNDER","PUSH")))</f>
        <v/>
      </c>
      <c r="Q169" s="0" t="n">
        <v>29.28</v>
      </c>
      <c r="R169" s="10" t="n">
        <v>0.6678</v>
      </c>
      <c r="S169" s="0" t="n">
        <v>1.0161</v>
      </c>
      <c r="T169" s="0" t="n">
        <v>28.74</v>
      </c>
      <c r="U169" s="0" t="n">
        <v>29.22</v>
      </c>
    </row>
    <row r="170" customFormat="false" ht="15" hidden="false" customHeight="false" outlineLevel="0" collapsed="false">
      <c r="A170" s="0" t="s">
        <v>1305</v>
      </c>
      <c r="B170" s="0" t="s">
        <v>1303</v>
      </c>
      <c r="C170" s="0" t="s">
        <v>775</v>
      </c>
      <c r="D170" s="0" t="s">
        <v>830</v>
      </c>
      <c r="E170" s="0" t="s">
        <v>1089</v>
      </c>
      <c r="F170" s="0" t="s">
        <v>893</v>
      </c>
      <c r="G170" s="0" t="n">
        <v>15.5</v>
      </c>
      <c r="H170" s="0" t="n">
        <v>13.47</v>
      </c>
      <c r="I170" s="10" t="n">
        <v>0.3061</v>
      </c>
      <c r="J170" s="10" t="n">
        <v>0.6939</v>
      </c>
      <c r="K170" s="9" t="s">
        <v>2539</v>
      </c>
      <c r="L170" s="9" t="s">
        <v>2550</v>
      </c>
      <c r="N170" s="10" t="n">
        <v>0.3</v>
      </c>
      <c r="O170" s="19"/>
      <c r="P170" s="0" t="str">
        <f aca="false">IF(O170="","",IF(O170&gt;G170,"OVER",IF(O170&lt;G170,"UNDER","PUSH")))</f>
        <v/>
      </c>
      <c r="Q170" s="0" t="n">
        <v>13.7</v>
      </c>
      <c r="R170" s="10" t="n">
        <v>0.3286</v>
      </c>
      <c r="S170" s="0" t="n">
        <v>1.0177</v>
      </c>
      <c r="T170" s="0" t="n">
        <v>13.85</v>
      </c>
      <c r="U170" s="0" t="n">
        <v>14.08</v>
      </c>
    </row>
    <row r="171" customFormat="false" ht="15" hidden="false" customHeight="false" outlineLevel="0" collapsed="false">
      <c r="A171" s="0" t="s">
        <v>1305</v>
      </c>
      <c r="B171" s="0" t="s">
        <v>1303</v>
      </c>
      <c r="C171" s="0" t="s">
        <v>775</v>
      </c>
      <c r="D171" s="0" t="s">
        <v>830</v>
      </c>
      <c r="E171" s="0" t="s">
        <v>1089</v>
      </c>
      <c r="F171" s="0" t="s">
        <v>888</v>
      </c>
      <c r="G171" s="0" t="n">
        <v>28.5</v>
      </c>
      <c r="H171" s="0" t="n">
        <v>27.53</v>
      </c>
      <c r="I171" s="10" t="n">
        <v>0.4382</v>
      </c>
      <c r="J171" s="10" t="n">
        <v>0.5618</v>
      </c>
      <c r="K171" s="9" t="s">
        <v>2539</v>
      </c>
      <c r="L171" s="9" t="s">
        <v>2550</v>
      </c>
      <c r="M171" s="0" t="n">
        <v>28.97</v>
      </c>
      <c r="N171" s="10" t="n">
        <v>0.4</v>
      </c>
      <c r="O171" s="19"/>
      <c r="P171" s="0" t="str">
        <f aca="false">IF(O171="","",IF(O171&gt;G171,"OVER",IF(O171&lt;G171,"UNDER","PUSH")))</f>
        <v/>
      </c>
      <c r="Q171" s="0" t="n">
        <v>27.99</v>
      </c>
      <c r="R171" s="10" t="n">
        <v>0.4674</v>
      </c>
      <c r="S171" s="0" t="n">
        <v>1.0165</v>
      </c>
      <c r="T171" s="0" t="n">
        <v>28.32</v>
      </c>
      <c r="U171" s="0" t="n">
        <v>28.79</v>
      </c>
    </row>
    <row r="172" customFormat="false" ht="15" hidden="false" customHeight="false" outlineLevel="0" collapsed="false">
      <c r="A172" s="0" t="s">
        <v>1305</v>
      </c>
      <c r="B172" s="0" t="s">
        <v>1303</v>
      </c>
      <c r="C172" s="0" t="s">
        <v>775</v>
      </c>
      <c r="D172" s="0" t="s">
        <v>830</v>
      </c>
      <c r="E172" s="0" t="s">
        <v>1091</v>
      </c>
      <c r="F172" s="0" t="s">
        <v>893</v>
      </c>
      <c r="G172" s="0" t="n">
        <v>9.5</v>
      </c>
      <c r="H172" s="0" t="n">
        <v>7.2</v>
      </c>
      <c r="I172" s="10" t="n">
        <v>0.2085</v>
      </c>
      <c r="J172" s="10" t="n">
        <v>0.7915</v>
      </c>
      <c r="K172" s="9" t="s">
        <v>2539</v>
      </c>
      <c r="L172" s="9" t="s">
        <v>2550</v>
      </c>
      <c r="N172" s="10" t="n">
        <v>0.4</v>
      </c>
      <c r="O172" s="19"/>
      <c r="P172" s="0" t="str">
        <f aca="false">IF(O172="","",IF(O172&gt;G172,"OVER",IF(O172&lt;G172,"UNDER","PUSH")))</f>
        <v/>
      </c>
      <c r="Q172" s="0" t="n">
        <v>7.34</v>
      </c>
      <c r="R172" s="10" t="n">
        <v>0.2253</v>
      </c>
      <c r="S172" s="0" t="n">
        <v>1.0196</v>
      </c>
      <c r="T172" s="0" t="n">
        <v>8.9</v>
      </c>
      <c r="U172" s="0" t="n">
        <v>9.05</v>
      </c>
    </row>
    <row r="173" customFormat="false" ht="15" hidden="false" customHeight="false" outlineLevel="0" collapsed="false">
      <c r="A173" s="0" t="s">
        <v>1305</v>
      </c>
      <c r="B173" s="0" t="s">
        <v>1303</v>
      </c>
      <c r="C173" s="0" t="s">
        <v>775</v>
      </c>
      <c r="D173" s="0" t="s">
        <v>830</v>
      </c>
      <c r="E173" s="0" t="s">
        <v>1091</v>
      </c>
      <c r="F173" s="0" t="s">
        <v>888</v>
      </c>
      <c r="G173" s="0" t="n">
        <v>28.5</v>
      </c>
      <c r="H173" s="0" t="n">
        <v>24.83</v>
      </c>
      <c r="I173" s="10" t="n">
        <v>0.2669</v>
      </c>
      <c r="J173" s="10" t="n">
        <v>0.7331</v>
      </c>
      <c r="K173" s="9" t="s">
        <v>2539</v>
      </c>
      <c r="L173" s="9" t="s">
        <v>2550</v>
      </c>
      <c r="M173" s="0" t="n">
        <v>28.97</v>
      </c>
      <c r="N173" s="10" t="n">
        <v>0.3</v>
      </c>
      <c r="O173" s="19"/>
      <c r="P173" s="0" t="str">
        <f aca="false">IF(O173="","",IF(O173&gt;G173,"OVER",IF(O173&lt;G173,"UNDER","PUSH")))</f>
        <v/>
      </c>
      <c r="Q173" s="0" t="n">
        <v>25.26</v>
      </c>
      <c r="R173" s="10" t="n">
        <v>0.2928</v>
      </c>
      <c r="S173" s="0" t="n">
        <v>1.0171</v>
      </c>
      <c r="T173" s="0" t="n">
        <v>27.9</v>
      </c>
      <c r="U173" s="0" t="n">
        <v>28.37</v>
      </c>
    </row>
    <row r="174" customFormat="false" ht="15" hidden="false" customHeight="false" outlineLevel="0" collapsed="false">
      <c r="A174" s="0" t="s">
        <v>1305</v>
      </c>
      <c r="B174" s="0" t="s">
        <v>1303</v>
      </c>
      <c r="C174" s="0" t="s">
        <v>775</v>
      </c>
      <c r="D174" s="0" t="s">
        <v>830</v>
      </c>
      <c r="E174" s="0" t="s">
        <v>1093</v>
      </c>
      <c r="F174" s="0" t="s">
        <v>893</v>
      </c>
      <c r="G174" s="0" t="n">
        <v>15.5</v>
      </c>
      <c r="H174" s="0" t="n">
        <v>16.18</v>
      </c>
      <c r="I174" s="10" t="n">
        <v>0.5605</v>
      </c>
      <c r="J174" s="10" t="n">
        <v>0.4395</v>
      </c>
      <c r="K174" s="9" t="s">
        <v>2539</v>
      </c>
      <c r="L174" s="9" t="s">
        <v>2550</v>
      </c>
      <c r="N174" s="10" t="n">
        <v>0.4</v>
      </c>
      <c r="O174" s="19"/>
      <c r="P174" s="0" t="str">
        <f aca="false">IF(O174="","",IF(O174&gt;G174,"OVER",IF(O174&lt;G174,"UNDER","PUSH")))</f>
        <v/>
      </c>
      <c r="Q174" s="0" t="n">
        <v>16.45</v>
      </c>
      <c r="R174" s="10" t="n">
        <v>0.5838</v>
      </c>
      <c r="S174" s="0" t="n">
        <v>1.0168</v>
      </c>
      <c r="T174" s="0" t="n">
        <v>15.91</v>
      </c>
      <c r="U174" s="0" t="n">
        <v>16.17</v>
      </c>
    </row>
    <row r="175" customFormat="false" ht="15" hidden="false" customHeight="false" outlineLevel="0" collapsed="false">
      <c r="A175" s="0" t="s">
        <v>1305</v>
      </c>
      <c r="B175" s="0" t="s">
        <v>1303</v>
      </c>
      <c r="C175" s="0" t="s">
        <v>775</v>
      </c>
      <c r="D175" s="0" t="s">
        <v>830</v>
      </c>
      <c r="E175" s="0" t="s">
        <v>1093</v>
      </c>
      <c r="F175" s="0" t="s">
        <v>888</v>
      </c>
      <c r="G175" s="0" t="n">
        <v>27.5</v>
      </c>
      <c r="H175" s="0" t="n">
        <v>28.36</v>
      </c>
      <c r="I175" s="10" t="n">
        <v>0.5542</v>
      </c>
      <c r="J175" s="10" t="n">
        <v>0.4458</v>
      </c>
      <c r="K175" s="9" t="s">
        <v>2539</v>
      </c>
      <c r="L175" s="9" t="s">
        <v>2550</v>
      </c>
      <c r="M175" s="0" t="n">
        <v>27.23</v>
      </c>
      <c r="N175" s="10" t="n">
        <v>0.7</v>
      </c>
      <c r="O175" s="19"/>
      <c r="P175" s="0" t="str">
        <f aca="false">IF(O175="","",IF(O175&gt;G175,"OVER",IF(O175&lt;G175,"UNDER","PUSH")))</f>
        <v/>
      </c>
      <c r="Q175" s="0" t="n">
        <v>28.83</v>
      </c>
      <c r="R175" s="10" t="n">
        <v>0.5832</v>
      </c>
      <c r="S175" s="0" t="n">
        <v>1.0168</v>
      </c>
      <c r="T175" s="0" t="n">
        <v>27.48</v>
      </c>
      <c r="U175" s="0" t="n">
        <v>27.94</v>
      </c>
    </row>
    <row r="176" customFormat="false" ht="15" hidden="false" customHeight="false" outlineLevel="0" collapsed="false">
      <c r="A176" s="0" t="s">
        <v>1305</v>
      </c>
      <c r="B176" s="0" t="s">
        <v>1303</v>
      </c>
      <c r="C176" s="0" t="s">
        <v>775</v>
      </c>
      <c r="D176" s="0" t="s">
        <v>830</v>
      </c>
      <c r="E176" s="0" t="s">
        <v>1095</v>
      </c>
      <c r="F176" s="0" t="s">
        <v>893</v>
      </c>
      <c r="G176" s="0" t="n">
        <v>17.5</v>
      </c>
      <c r="H176" s="0" t="n">
        <v>16.1</v>
      </c>
      <c r="I176" s="10" t="n">
        <v>0.3757</v>
      </c>
      <c r="J176" s="10" t="n">
        <v>0.6243</v>
      </c>
      <c r="K176" s="9" t="s">
        <v>2539</v>
      </c>
      <c r="L176" s="9" t="s">
        <v>2550</v>
      </c>
      <c r="N176" s="10" t="n">
        <v>0.5</v>
      </c>
      <c r="O176" s="19"/>
      <c r="P176" s="0" t="str">
        <f aca="false">IF(O176="","",IF(O176&gt;G176,"OVER",IF(O176&lt;G176,"UNDER","PUSH")))</f>
        <v/>
      </c>
      <c r="Q176" s="0" t="n">
        <v>16.39</v>
      </c>
      <c r="R176" s="10" t="n">
        <v>0.4017</v>
      </c>
      <c r="S176" s="0" t="n">
        <v>1.018</v>
      </c>
      <c r="T176" s="0" t="n">
        <v>17.15</v>
      </c>
      <c r="U176" s="0" t="n">
        <v>17.44</v>
      </c>
    </row>
    <row r="177" customFormat="false" ht="15" hidden="false" customHeight="false" outlineLevel="0" collapsed="false">
      <c r="A177" s="0" t="s">
        <v>1305</v>
      </c>
      <c r="B177" s="0" t="s">
        <v>1303</v>
      </c>
      <c r="C177" s="0" t="s">
        <v>775</v>
      </c>
      <c r="D177" s="0" t="s">
        <v>830</v>
      </c>
      <c r="E177" s="0" t="s">
        <v>1095</v>
      </c>
      <c r="F177" s="0" t="s">
        <v>888</v>
      </c>
      <c r="G177" s="0" t="n">
        <v>31.5</v>
      </c>
      <c r="H177" s="0" t="n">
        <v>29.2</v>
      </c>
      <c r="I177" s="10" t="n">
        <v>0.3596</v>
      </c>
      <c r="J177" s="10" t="n">
        <v>0.6404</v>
      </c>
      <c r="K177" s="9" t="s">
        <v>2539</v>
      </c>
      <c r="L177" s="9" t="s">
        <v>2550</v>
      </c>
      <c r="M177" s="0" t="n">
        <v>31.97</v>
      </c>
      <c r="N177" s="10" t="n">
        <v>0.4</v>
      </c>
      <c r="O177" s="19"/>
      <c r="P177" s="0" t="str">
        <f aca="false">IF(O177="","",IF(O177&gt;G177,"OVER",IF(O177&lt;G177,"UNDER","PUSH")))</f>
        <v/>
      </c>
      <c r="Q177" s="0" t="n">
        <v>29.71</v>
      </c>
      <c r="R177" s="10" t="n">
        <v>0.3905</v>
      </c>
      <c r="S177" s="0" t="n">
        <v>1.0173</v>
      </c>
      <c r="T177" s="0" t="n">
        <v>31.7</v>
      </c>
      <c r="U177" s="0" t="n">
        <v>32.23</v>
      </c>
    </row>
    <row r="178" customFormat="false" ht="15" hidden="false" customHeight="false" outlineLevel="0" collapsed="false">
      <c r="A178" s="0" t="s">
        <v>1305</v>
      </c>
      <c r="B178" s="0" t="s">
        <v>1303</v>
      </c>
      <c r="C178" s="0" t="s">
        <v>775</v>
      </c>
      <c r="D178" s="0" t="s">
        <v>813</v>
      </c>
      <c r="E178" s="0" t="s">
        <v>1097</v>
      </c>
      <c r="F178" s="0" t="s">
        <v>893</v>
      </c>
      <c r="G178" s="0" t="n">
        <v>14.5</v>
      </c>
      <c r="H178" s="0" t="n">
        <v>13.54</v>
      </c>
      <c r="I178" s="10" t="n">
        <v>0.4073</v>
      </c>
      <c r="J178" s="10" t="n">
        <v>0.5927</v>
      </c>
      <c r="K178" s="9" t="s">
        <v>2551</v>
      </c>
      <c r="L178" s="9" t="s">
        <v>2549</v>
      </c>
      <c r="N178" s="10" t="n">
        <v>0.2</v>
      </c>
      <c r="O178" s="19"/>
      <c r="P178" s="0" t="str">
        <f aca="false">IF(O178="","",IF(O178&gt;G178,"OVER",IF(O178&lt;G178,"UNDER","PUSH")))</f>
        <v/>
      </c>
      <c r="Q178" s="0" t="n">
        <v>13.77</v>
      </c>
      <c r="R178" s="10" t="n">
        <v>0.4294</v>
      </c>
      <c r="S178" s="0" t="n">
        <v>1.0167</v>
      </c>
      <c r="T178" s="0" t="n">
        <v>15.16</v>
      </c>
      <c r="U178" s="0" t="n">
        <v>15.41</v>
      </c>
    </row>
    <row r="179" customFormat="false" ht="15" hidden="false" customHeight="false" outlineLevel="0" collapsed="false">
      <c r="A179" s="0" t="s">
        <v>1305</v>
      </c>
      <c r="B179" s="0" t="s">
        <v>1303</v>
      </c>
      <c r="C179" s="0" t="s">
        <v>775</v>
      </c>
      <c r="D179" s="0" t="s">
        <v>813</v>
      </c>
      <c r="E179" s="0" t="s">
        <v>1097</v>
      </c>
      <c r="F179" s="0" t="s">
        <v>888</v>
      </c>
      <c r="G179" s="0" t="n">
        <v>27.5</v>
      </c>
      <c r="H179" s="0" t="n">
        <v>23.13</v>
      </c>
      <c r="I179" s="10" t="n">
        <v>0.2215</v>
      </c>
      <c r="J179" s="10" t="n">
        <v>0.7785</v>
      </c>
      <c r="K179" s="9" t="s">
        <v>2551</v>
      </c>
      <c r="L179" s="9" t="s">
        <v>2549</v>
      </c>
      <c r="N179" s="10" t="n">
        <v>0.2</v>
      </c>
      <c r="O179" s="19"/>
      <c r="P179" s="0" t="str">
        <f aca="false">IF(O179="","",IF(O179&gt;G179,"OVER",IF(O179&lt;G179,"UNDER","PUSH")))</f>
        <v/>
      </c>
      <c r="Q179" s="0" t="n">
        <v>23.52</v>
      </c>
      <c r="R179" s="10" t="n">
        <v>0.2438</v>
      </c>
      <c r="S179" s="0" t="n">
        <v>1.0166</v>
      </c>
      <c r="T179" s="0" t="n">
        <v>26.18</v>
      </c>
      <c r="U179" s="0" t="n">
        <v>26.62</v>
      </c>
    </row>
    <row r="180" customFormat="false" ht="15" hidden="false" customHeight="false" outlineLevel="0" collapsed="false">
      <c r="A180" s="0" t="s">
        <v>1305</v>
      </c>
      <c r="B180" s="0" t="s">
        <v>1303</v>
      </c>
      <c r="C180" s="0" t="s">
        <v>775</v>
      </c>
      <c r="D180" s="0" t="s">
        <v>813</v>
      </c>
      <c r="E180" s="0" t="s">
        <v>1099</v>
      </c>
      <c r="F180" s="0" t="s">
        <v>893</v>
      </c>
      <c r="G180" s="0" t="n">
        <v>16.5</v>
      </c>
      <c r="H180" s="0" t="n">
        <v>17.7</v>
      </c>
      <c r="I180" s="10" t="n">
        <v>0.6007</v>
      </c>
      <c r="J180" s="10" t="n">
        <v>0.3993</v>
      </c>
      <c r="K180" s="9" t="s">
        <v>2551</v>
      </c>
      <c r="L180" s="9" t="s">
        <v>2549</v>
      </c>
      <c r="N180" s="10" t="n">
        <v>0.5</v>
      </c>
      <c r="O180" s="19"/>
      <c r="P180" s="0" t="str">
        <f aca="false">IF(O180="","",IF(O180&gt;G180,"OVER",IF(O180&lt;G180,"UNDER","PUSH")))</f>
        <v/>
      </c>
      <c r="Q180" s="0" t="n">
        <v>18</v>
      </c>
      <c r="R180" s="10" t="n">
        <v>0.6236</v>
      </c>
      <c r="S180" s="0" t="n">
        <v>1.0167</v>
      </c>
      <c r="T180" s="0" t="n">
        <v>16.05</v>
      </c>
      <c r="U180" s="0" t="n">
        <v>16.32</v>
      </c>
    </row>
    <row r="181" customFormat="false" ht="15" hidden="false" customHeight="false" outlineLevel="0" collapsed="false">
      <c r="A181" s="0" t="s">
        <v>1305</v>
      </c>
      <c r="B181" s="0" t="s">
        <v>1303</v>
      </c>
      <c r="C181" s="0" t="s">
        <v>775</v>
      </c>
      <c r="D181" s="0" t="s">
        <v>813</v>
      </c>
      <c r="E181" s="0" t="s">
        <v>1099</v>
      </c>
      <c r="F181" s="0" t="s">
        <v>888</v>
      </c>
      <c r="G181" s="0" t="n">
        <v>27.5</v>
      </c>
      <c r="H181" s="0" t="n">
        <v>27.35</v>
      </c>
      <c r="I181" s="10" t="n">
        <v>0.4903</v>
      </c>
      <c r="J181" s="10" t="n">
        <v>0.5097</v>
      </c>
      <c r="K181" s="9" t="s">
        <v>2551</v>
      </c>
      <c r="L181" s="9" t="s">
        <v>2549</v>
      </c>
      <c r="N181" s="10" t="n">
        <v>0.6</v>
      </c>
      <c r="O181" s="19"/>
      <c r="P181" s="0" t="str">
        <f aca="false">IF(O181="","",IF(O181&gt;G181,"OVER",IF(O181&lt;G181,"UNDER","PUSH")))</f>
        <v/>
      </c>
      <c r="Q181" s="0" t="n">
        <v>27.81</v>
      </c>
      <c r="R181" s="10" t="n">
        <v>0.5198</v>
      </c>
      <c r="S181" s="0" t="n">
        <v>1.0168</v>
      </c>
      <c r="T181" s="0" t="n">
        <v>26.18</v>
      </c>
      <c r="U181" s="0" t="n">
        <v>26.62</v>
      </c>
    </row>
    <row r="182" customFormat="false" ht="15" hidden="false" customHeight="false" outlineLevel="0" collapsed="false">
      <c r="A182" s="0" t="s">
        <v>1305</v>
      </c>
      <c r="B182" s="0" t="s">
        <v>1303</v>
      </c>
      <c r="C182" s="0" t="s">
        <v>775</v>
      </c>
      <c r="D182" s="0" t="s">
        <v>813</v>
      </c>
      <c r="E182" s="0" t="s">
        <v>1101</v>
      </c>
      <c r="F182" s="0" t="s">
        <v>893</v>
      </c>
      <c r="G182" s="0" t="n">
        <v>14.5</v>
      </c>
      <c r="H182" s="0" t="n">
        <v>15.1</v>
      </c>
      <c r="I182" s="10" t="n">
        <v>0.5551</v>
      </c>
      <c r="J182" s="10" t="n">
        <v>0.4449</v>
      </c>
      <c r="K182" s="9" t="s">
        <v>2551</v>
      </c>
      <c r="L182" s="9" t="s">
        <v>2549</v>
      </c>
      <c r="N182" s="10" t="n">
        <v>0.5</v>
      </c>
      <c r="O182" s="19"/>
      <c r="P182" s="0" t="str">
        <f aca="false">IF(O182="","",IF(O182&gt;G182,"OVER",IF(O182&lt;G182,"UNDER","PUSH")))</f>
        <v/>
      </c>
      <c r="Q182" s="0" t="n">
        <v>15.35</v>
      </c>
      <c r="R182" s="10" t="n">
        <v>0.5776</v>
      </c>
      <c r="S182" s="0" t="n">
        <v>1.0168</v>
      </c>
      <c r="T182" s="0" t="n">
        <v>14.57</v>
      </c>
      <c r="U182" s="0" t="n">
        <v>14.81</v>
      </c>
    </row>
    <row r="183" customFormat="false" ht="15" hidden="false" customHeight="false" outlineLevel="0" collapsed="false">
      <c r="A183" s="0" t="s">
        <v>1305</v>
      </c>
      <c r="B183" s="0" t="s">
        <v>1303</v>
      </c>
      <c r="C183" s="0" t="s">
        <v>775</v>
      </c>
      <c r="D183" s="0" t="s">
        <v>813</v>
      </c>
      <c r="E183" s="0" t="s">
        <v>1101</v>
      </c>
      <c r="F183" s="0" t="s">
        <v>888</v>
      </c>
      <c r="G183" s="0" t="n">
        <v>25.5</v>
      </c>
      <c r="H183" s="0" t="n">
        <v>25.3</v>
      </c>
      <c r="I183" s="10" t="n">
        <v>0.4867</v>
      </c>
      <c r="J183" s="10" t="n">
        <v>0.5133</v>
      </c>
      <c r="K183" s="9" t="s">
        <v>2551</v>
      </c>
      <c r="L183" s="9" t="s">
        <v>2549</v>
      </c>
      <c r="N183" s="10" t="n">
        <v>0.4</v>
      </c>
      <c r="O183" s="19"/>
      <c r="P183" s="0" t="str">
        <f aca="false">IF(O183="","",IF(O183&gt;G183,"OVER",IF(O183&lt;G183,"UNDER","PUSH")))</f>
        <v/>
      </c>
      <c r="Q183" s="0" t="n">
        <v>25.73</v>
      </c>
      <c r="R183" s="10" t="n">
        <v>0.515</v>
      </c>
      <c r="S183" s="0" t="n">
        <v>1.0168</v>
      </c>
      <c r="T183" s="0" t="n">
        <v>24.04</v>
      </c>
      <c r="U183" s="0" t="n">
        <v>24.43</v>
      </c>
    </row>
    <row r="184" customFormat="false" ht="15" hidden="false" customHeight="false" outlineLevel="0" collapsed="false">
      <c r="A184" s="0" t="s">
        <v>1305</v>
      </c>
      <c r="B184" s="0" t="s">
        <v>1303</v>
      </c>
      <c r="C184" s="0" t="s">
        <v>775</v>
      </c>
      <c r="D184" s="0" t="s">
        <v>813</v>
      </c>
      <c r="E184" s="0" t="s">
        <v>1103</v>
      </c>
      <c r="F184" s="0" t="s">
        <v>893</v>
      </c>
      <c r="G184" s="0" t="n">
        <v>18.5</v>
      </c>
      <c r="H184" s="0" t="n">
        <v>16.46</v>
      </c>
      <c r="I184" s="10" t="n">
        <v>0.3251</v>
      </c>
      <c r="J184" s="10" t="n">
        <v>0.6749</v>
      </c>
      <c r="K184" s="9" t="s">
        <v>2551</v>
      </c>
      <c r="L184" s="9" t="s">
        <v>2549</v>
      </c>
      <c r="N184" s="10" t="n">
        <v>0.4</v>
      </c>
      <c r="O184" s="19"/>
      <c r="P184" s="0" t="str">
        <f aca="false">IF(O184="","",IF(O184&gt;G184,"OVER",IF(O184&lt;G184,"UNDER","PUSH")))</f>
        <v/>
      </c>
      <c r="Q184" s="0" t="n">
        <v>16.74</v>
      </c>
      <c r="R184" s="10" t="n">
        <v>0.3489</v>
      </c>
      <c r="S184" s="0" t="n">
        <v>1.0169</v>
      </c>
      <c r="T184" s="0" t="n">
        <v>18.24</v>
      </c>
      <c r="U184" s="0" t="n">
        <v>18.54</v>
      </c>
    </row>
    <row r="185" customFormat="false" ht="15" hidden="false" customHeight="false" outlineLevel="0" collapsed="false">
      <c r="A185" s="0" t="s">
        <v>1305</v>
      </c>
      <c r="B185" s="0" t="s">
        <v>1303</v>
      </c>
      <c r="C185" s="0" t="s">
        <v>775</v>
      </c>
      <c r="D185" s="0" t="s">
        <v>813</v>
      </c>
      <c r="E185" s="0" t="s">
        <v>1103</v>
      </c>
      <c r="F185" s="0" t="s">
        <v>888</v>
      </c>
      <c r="G185" s="0" t="n">
        <v>30.5</v>
      </c>
      <c r="H185" s="0" t="n">
        <v>28.75</v>
      </c>
      <c r="I185" s="10" t="n">
        <v>0.3916</v>
      </c>
      <c r="J185" s="10" t="n">
        <v>0.6084</v>
      </c>
      <c r="K185" s="9" t="s">
        <v>2551</v>
      </c>
      <c r="L185" s="9" t="s">
        <v>2549</v>
      </c>
      <c r="N185" s="10" t="n">
        <v>0.3</v>
      </c>
      <c r="O185" s="19"/>
      <c r="P185" s="0" t="str">
        <f aca="false">IF(O185="","",IF(O185&gt;G185,"OVER",IF(O185&lt;G185,"UNDER","PUSH")))</f>
        <v/>
      </c>
      <c r="Q185" s="0" t="n">
        <v>29.24</v>
      </c>
      <c r="R185" s="10" t="n">
        <v>0.4218</v>
      </c>
      <c r="S185" s="0" t="n">
        <v>1.0168</v>
      </c>
      <c r="T185" s="0" t="n">
        <v>30.04</v>
      </c>
      <c r="U185" s="0" t="n">
        <v>30.54</v>
      </c>
    </row>
    <row r="186" customFormat="false" ht="15" hidden="false" customHeight="false" outlineLevel="0" collapsed="false">
      <c r="A186" s="0" t="s">
        <v>1305</v>
      </c>
      <c r="B186" s="0" t="s">
        <v>1303</v>
      </c>
      <c r="C186" s="0" t="s">
        <v>775</v>
      </c>
      <c r="D186" s="0" t="s">
        <v>813</v>
      </c>
      <c r="E186" s="0" t="s">
        <v>1105</v>
      </c>
      <c r="F186" s="0" t="s">
        <v>893</v>
      </c>
      <c r="G186" s="0" t="n">
        <v>18.5</v>
      </c>
      <c r="H186" s="0" t="n">
        <v>19.54</v>
      </c>
      <c r="I186" s="10" t="n">
        <v>0.5838</v>
      </c>
      <c r="J186" s="10" t="n">
        <v>0.4162</v>
      </c>
      <c r="K186" s="9" t="s">
        <v>2551</v>
      </c>
      <c r="L186" s="9" t="s">
        <v>2549</v>
      </c>
      <c r="N186" s="10" t="n">
        <v>0.3</v>
      </c>
      <c r="O186" s="19"/>
      <c r="P186" s="0" t="str">
        <f aca="false">IF(O186="","",IF(O186&gt;G186,"OVER",IF(O186&lt;G186,"UNDER","PUSH")))</f>
        <v/>
      </c>
      <c r="Q186" s="0" t="n">
        <v>18.77</v>
      </c>
      <c r="R186" s="10" t="n">
        <v>0.5223</v>
      </c>
      <c r="S186" s="0" t="n">
        <v>0.9606</v>
      </c>
      <c r="T186" s="0" t="n">
        <v>19.96</v>
      </c>
      <c r="U186" s="0" t="n">
        <v>19.16</v>
      </c>
    </row>
    <row r="187" customFormat="false" ht="15" hidden="false" customHeight="false" outlineLevel="0" collapsed="false">
      <c r="A187" s="0" t="s">
        <v>1305</v>
      </c>
      <c r="B187" s="0" t="s">
        <v>1303</v>
      </c>
      <c r="C187" s="0" t="s">
        <v>775</v>
      </c>
      <c r="D187" s="0" t="s">
        <v>813</v>
      </c>
      <c r="E187" s="0" t="s">
        <v>1105</v>
      </c>
      <c r="F187" s="0" t="s">
        <v>888</v>
      </c>
      <c r="G187" s="0" t="n">
        <v>32.5</v>
      </c>
      <c r="H187" s="0" t="n">
        <v>33.56</v>
      </c>
      <c r="I187" s="10" t="n">
        <v>0.5612</v>
      </c>
      <c r="J187" s="10" t="n">
        <v>0.4388</v>
      </c>
      <c r="K187" s="9" t="s">
        <v>2551</v>
      </c>
      <c r="L187" s="9" t="s">
        <v>2549</v>
      </c>
      <c r="N187" s="10" t="n">
        <v>0.3</v>
      </c>
      <c r="O187" s="19"/>
      <c r="P187" s="0" t="str">
        <f aca="false">IF(O187="","",IF(O187&gt;G187,"OVER",IF(O187&lt;G187,"UNDER","PUSH")))</f>
        <v/>
      </c>
      <c r="Q187" s="0" t="n">
        <v>32.23</v>
      </c>
      <c r="R187" s="10" t="n">
        <v>0.4839</v>
      </c>
      <c r="S187" s="0" t="n">
        <v>0.9605</v>
      </c>
      <c r="T187" s="0" t="n">
        <v>34.77</v>
      </c>
      <c r="U187" s="0" t="n">
        <v>33.38</v>
      </c>
    </row>
    <row r="188" customFormat="false" ht="15" hidden="false" customHeight="false" outlineLevel="0" collapsed="false">
      <c r="A188" s="0" t="s">
        <v>1305</v>
      </c>
      <c r="B188" s="0" t="s">
        <v>1303</v>
      </c>
      <c r="C188" s="0" t="s">
        <v>775</v>
      </c>
      <c r="D188" s="0" t="s">
        <v>813</v>
      </c>
      <c r="E188" s="0" t="s">
        <v>1107</v>
      </c>
      <c r="F188" s="0" t="s">
        <v>893</v>
      </c>
      <c r="G188" s="0" t="n">
        <v>9.5</v>
      </c>
      <c r="H188" s="0" t="n">
        <v>9</v>
      </c>
      <c r="I188" s="10" t="n">
        <v>0.438</v>
      </c>
      <c r="J188" s="10" t="n">
        <v>0.562</v>
      </c>
      <c r="K188" s="9" t="s">
        <v>2551</v>
      </c>
      <c r="L188" s="9" t="s">
        <v>2549</v>
      </c>
      <c r="N188" s="10" t="n">
        <v>0.7</v>
      </c>
      <c r="O188" s="19"/>
      <c r="P188" s="0" t="str">
        <f aca="false">IF(O188="","",IF(O188&gt;G188,"OVER",IF(O188&lt;G188,"UNDER","PUSH")))</f>
        <v/>
      </c>
      <c r="Q188" s="0" t="n">
        <v>8.65</v>
      </c>
      <c r="R188" s="10" t="n">
        <v>0.3922</v>
      </c>
      <c r="S188" s="0" t="n">
        <v>0.9603</v>
      </c>
      <c r="T188" s="0" t="n">
        <v>9.46</v>
      </c>
      <c r="U188" s="0" t="n">
        <v>9.08</v>
      </c>
    </row>
    <row r="189" customFormat="false" ht="15" hidden="false" customHeight="false" outlineLevel="0" collapsed="false">
      <c r="A189" s="0" t="s">
        <v>1305</v>
      </c>
      <c r="B189" s="0" t="s">
        <v>1303</v>
      </c>
      <c r="C189" s="0" t="s">
        <v>775</v>
      </c>
      <c r="D189" s="0" t="s">
        <v>813</v>
      </c>
      <c r="E189" s="0" t="s">
        <v>1107</v>
      </c>
      <c r="F189" s="0" t="s">
        <v>888</v>
      </c>
      <c r="G189" s="0" t="n">
        <v>29.5</v>
      </c>
      <c r="H189" s="0" t="n">
        <v>28.65</v>
      </c>
      <c r="I189" s="10" t="n">
        <v>0.4467</v>
      </c>
      <c r="J189" s="10" t="n">
        <v>0.5533</v>
      </c>
      <c r="K189" s="9" t="s">
        <v>2551</v>
      </c>
      <c r="L189" s="9" t="s">
        <v>2549</v>
      </c>
      <c r="N189" s="10" t="n">
        <v>0.5</v>
      </c>
      <c r="O189" s="19"/>
      <c r="P189" s="0" t="str">
        <f aca="false">IF(O189="","",IF(O189&gt;G189,"OVER",IF(O189&lt;G189,"UNDER","PUSH")))</f>
        <v/>
      </c>
      <c r="Q189" s="0" t="n">
        <v>27.51</v>
      </c>
      <c r="R189" s="10" t="n">
        <v>0.3744</v>
      </c>
      <c r="S189" s="0" t="n">
        <v>0.9602</v>
      </c>
      <c r="T189" s="0" t="n">
        <v>29.19</v>
      </c>
      <c r="U189" s="0" t="n">
        <v>28.02</v>
      </c>
    </row>
    <row r="190" customFormat="false" ht="15" hidden="false" customHeight="false" outlineLevel="0" collapsed="false">
      <c r="A190" s="0" t="s">
        <v>1305</v>
      </c>
      <c r="B190" s="0" t="s">
        <v>1303</v>
      </c>
      <c r="C190" s="0" t="s">
        <v>775</v>
      </c>
      <c r="D190" s="0" t="s">
        <v>813</v>
      </c>
      <c r="E190" s="0" t="s">
        <v>1109</v>
      </c>
      <c r="F190" s="0" t="s">
        <v>893</v>
      </c>
      <c r="G190" s="0" t="n">
        <v>13.5</v>
      </c>
      <c r="H190" s="0" t="n">
        <v>12.74</v>
      </c>
      <c r="I190" s="10" t="n">
        <v>0.4242</v>
      </c>
      <c r="J190" s="10" t="n">
        <v>0.5758</v>
      </c>
      <c r="K190" s="9" t="s">
        <v>2551</v>
      </c>
      <c r="L190" s="9" t="s">
        <v>2549</v>
      </c>
      <c r="N190" s="10" t="n">
        <v>0.2</v>
      </c>
      <c r="O190" s="19"/>
      <c r="P190" s="0" t="str">
        <f aca="false">IF(O190="","",IF(O190&gt;G190,"OVER",IF(O190&lt;G190,"UNDER","PUSH")))</f>
        <v/>
      </c>
      <c r="Q190" s="0" t="n">
        <v>12.23</v>
      </c>
      <c r="R190" s="10" t="n">
        <v>0.3713</v>
      </c>
      <c r="S190" s="0" t="n">
        <v>0.9596</v>
      </c>
      <c r="T190" s="0" t="n">
        <v>12.35</v>
      </c>
      <c r="U190" s="0" t="n">
        <v>11.86</v>
      </c>
    </row>
    <row r="191" customFormat="false" ht="15" hidden="false" customHeight="false" outlineLevel="0" collapsed="false">
      <c r="A191" s="0" t="s">
        <v>1305</v>
      </c>
      <c r="B191" s="0" t="s">
        <v>1303</v>
      </c>
      <c r="C191" s="0" t="s">
        <v>775</v>
      </c>
      <c r="D191" s="0" t="s">
        <v>813</v>
      </c>
      <c r="E191" s="0" t="s">
        <v>1109</v>
      </c>
      <c r="F191" s="0" t="s">
        <v>888</v>
      </c>
      <c r="G191" s="0" t="n">
        <v>25.5</v>
      </c>
      <c r="H191" s="0" t="n">
        <v>22.91</v>
      </c>
      <c r="I191" s="10" t="n">
        <v>0.3239</v>
      </c>
      <c r="J191" s="10" t="n">
        <v>0.6761</v>
      </c>
      <c r="K191" s="9" t="s">
        <v>2551</v>
      </c>
      <c r="L191" s="9" t="s">
        <v>2549</v>
      </c>
      <c r="N191" s="10" t="n">
        <v>0.3</v>
      </c>
      <c r="O191" s="19"/>
      <c r="P191" s="0" t="str">
        <f aca="false">IF(O191="","",IF(O191&gt;G191,"OVER",IF(O191&lt;G191,"UNDER","PUSH")))</f>
        <v/>
      </c>
      <c r="Q191" s="0" t="n">
        <v>22</v>
      </c>
      <c r="R191" s="10" t="n">
        <v>0.2639</v>
      </c>
      <c r="S191" s="0" t="n">
        <v>0.96</v>
      </c>
      <c r="T191" s="0" t="n">
        <v>22.75</v>
      </c>
      <c r="U191" s="0" t="n">
        <v>21.84</v>
      </c>
    </row>
    <row r="192" customFormat="false" ht="15" hidden="false" customHeight="false" outlineLevel="0" collapsed="false">
      <c r="A192" s="0" t="s">
        <v>1305</v>
      </c>
      <c r="B192" s="0" t="s">
        <v>1303</v>
      </c>
      <c r="C192" s="0" t="s">
        <v>775</v>
      </c>
      <c r="D192" s="0" t="s">
        <v>813</v>
      </c>
      <c r="E192" s="0" t="s">
        <v>1111</v>
      </c>
      <c r="F192" s="0" t="s">
        <v>893</v>
      </c>
      <c r="G192" s="0" t="n">
        <v>19.5</v>
      </c>
      <c r="H192" s="0" t="n">
        <v>20.72</v>
      </c>
      <c r="I192" s="10" t="n">
        <v>0.5932</v>
      </c>
      <c r="J192" s="10" t="n">
        <v>0.4068</v>
      </c>
      <c r="K192" s="9" t="s">
        <v>2551</v>
      </c>
      <c r="L192" s="9" t="s">
        <v>2549</v>
      </c>
      <c r="N192" s="10" t="n">
        <v>0.4</v>
      </c>
      <c r="O192" s="19"/>
      <c r="P192" s="0" t="str">
        <f aca="false">IF(O192="","",IF(O192&gt;G192,"OVER",IF(O192&lt;G192,"UNDER","PUSH")))</f>
        <v/>
      </c>
      <c r="Q192" s="0" t="n">
        <v>19.9</v>
      </c>
      <c r="R192" s="10" t="n">
        <v>0.5317</v>
      </c>
      <c r="S192" s="0" t="n">
        <v>0.9607</v>
      </c>
      <c r="T192" s="0" t="n">
        <v>20.23</v>
      </c>
      <c r="U192" s="0" t="n">
        <v>19.43</v>
      </c>
    </row>
    <row r="193" customFormat="false" ht="15" hidden="false" customHeight="false" outlineLevel="0" collapsed="false">
      <c r="A193" s="0" t="s">
        <v>1305</v>
      </c>
      <c r="B193" s="0" t="s">
        <v>1303</v>
      </c>
      <c r="C193" s="0" t="s">
        <v>775</v>
      </c>
      <c r="D193" s="0" t="s">
        <v>813</v>
      </c>
      <c r="E193" s="0" t="s">
        <v>1111</v>
      </c>
      <c r="F193" s="0" t="s">
        <v>888</v>
      </c>
      <c r="G193" s="0" t="n">
        <v>29.5</v>
      </c>
      <c r="H193" s="0" t="n">
        <v>29.43</v>
      </c>
      <c r="I193" s="10" t="n">
        <v>0.4954</v>
      </c>
      <c r="J193" s="10" t="n">
        <v>0.5046</v>
      </c>
      <c r="K193" s="9" t="s">
        <v>2551</v>
      </c>
      <c r="L193" s="9" t="s">
        <v>2549</v>
      </c>
      <c r="N193" s="10" t="n">
        <v>0.6</v>
      </c>
      <c r="O193" s="19"/>
      <c r="P193" s="0" t="str">
        <f aca="false">IF(O193="","",IF(O193&gt;G193,"OVER",IF(O193&lt;G193,"UNDER","PUSH")))</f>
        <v/>
      </c>
      <c r="Q193" s="0" t="n">
        <v>28.28</v>
      </c>
      <c r="R193" s="10" t="n">
        <v>0.4229</v>
      </c>
      <c r="S193" s="0" t="n">
        <v>0.9609</v>
      </c>
      <c r="T193" s="0" t="n">
        <v>30.47</v>
      </c>
      <c r="U193" s="0" t="n">
        <v>29.26</v>
      </c>
    </row>
    <row r="194" customFormat="false" ht="15" hidden="false" customHeight="false" outlineLevel="0" collapsed="false">
      <c r="A194" s="0" t="s">
        <v>1305</v>
      </c>
      <c r="B194" s="0" t="s">
        <v>1303</v>
      </c>
      <c r="C194" s="0" t="s">
        <v>775</v>
      </c>
      <c r="D194" s="0" t="s">
        <v>813</v>
      </c>
      <c r="E194" s="0" t="s">
        <v>1113</v>
      </c>
      <c r="F194" s="0" t="s">
        <v>893</v>
      </c>
      <c r="G194" s="0" t="n">
        <v>14.5</v>
      </c>
      <c r="H194" s="0" t="n">
        <v>15.68</v>
      </c>
      <c r="I194" s="10" t="n">
        <v>0.607</v>
      </c>
      <c r="J194" s="10" t="n">
        <v>0.393</v>
      </c>
      <c r="K194" s="9" t="s">
        <v>2551</v>
      </c>
      <c r="L194" s="9" t="s">
        <v>2549</v>
      </c>
      <c r="N194" s="10" t="n">
        <v>0.6</v>
      </c>
      <c r="O194" s="19"/>
      <c r="P194" s="0" t="str">
        <f aca="false">IF(O194="","",IF(O194&gt;G194,"OVER",IF(O194&lt;G194,"UNDER","PUSH")))</f>
        <v/>
      </c>
      <c r="Q194" s="0" t="n">
        <v>15.07</v>
      </c>
      <c r="R194" s="10" t="n">
        <v>0.5527</v>
      </c>
      <c r="S194" s="0" t="n">
        <v>0.9606</v>
      </c>
      <c r="T194" s="0" t="n">
        <v>15.96</v>
      </c>
      <c r="U194" s="0" t="n">
        <v>15.33</v>
      </c>
    </row>
    <row r="195" customFormat="false" ht="15" hidden="false" customHeight="false" outlineLevel="0" collapsed="false">
      <c r="A195" s="0" t="s">
        <v>1305</v>
      </c>
      <c r="B195" s="0" t="s">
        <v>1303</v>
      </c>
      <c r="C195" s="0" t="s">
        <v>775</v>
      </c>
      <c r="D195" s="0" t="s">
        <v>813</v>
      </c>
      <c r="E195" s="0" t="s">
        <v>1113</v>
      </c>
      <c r="F195" s="0" t="s">
        <v>888</v>
      </c>
      <c r="G195" s="0" t="n">
        <v>28.5</v>
      </c>
      <c r="H195" s="0" t="n">
        <v>29.42</v>
      </c>
      <c r="I195" s="10" t="n">
        <v>0.5568</v>
      </c>
      <c r="J195" s="10" t="n">
        <v>0.4432</v>
      </c>
      <c r="K195" s="9" t="s">
        <v>2551</v>
      </c>
      <c r="L195" s="9" t="s">
        <v>2549</v>
      </c>
      <c r="N195" s="10" t="n">
        <v>0.6</v>
      </c>
      <c r="O195" s="19"/>
      <c r="P195" s="0" t="str">
        <f aca="false">IF(O195="","",IF(O195&gt;G195,"OVER",IF(O195&lt;G195,"UNDER","PUSH")))</f>
        <v/>
      </c>
      <c r="Q195" s="0" t="n">
        <v>28.25</v>
      </c>
      <c r="R195" s="10" t="n">
        <v>0.4843</v>
      </c>
      <c r="S195" s="0" t="n">
        <v>0.9604</v>
      </c>
      <c r="T195" s="0" t="n">
        <v>29.19</v>
      </c>
      <c r="U195" s="0" t="n">
        <v>28.02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2" t="s">
        <v>2552</v>
      </c>
      <c r="B1" s="12" t="s">
        <v>2531</v>
      </c>
    </row>
    <row r="2" customFormat="false" ht="15" hidden="false" customHeight="false" outlineLevel="0" collapsed="false">
      <c r="A2" s="0" t="s">
        <v>2553</v>
      </c>
      <c r="B2" s="0" t="n">
        <v>194</v>
      </c>
    </row>
    <row r="3" customFormat="false" ht="15" hidden="false" customHeight="false" outlineLevel="0" collapsed="false">
      <c r="A3" s="0" t="s">
        <v>2554</v>
      </c>
      <c r="B3" s="0" t="n">
        <v>104</v>
      </c>
    </row>
    <row r="4" customFormat="false" ht="15" hidden="false" customHeight="false" outlineLevel="0" collapsed="false">
      <c r="A4" s="0" t="s">
        <v>2555</v>
      </c>
      <c r="B4" s="0" t="s">
        <v>2556</v>
      </c>
    </row>
    <row r="5" customFormat="false" ht="15" hidden="false" customHeight="false" outlineLevel="0" collapsed="false">
      <c r="A5" s="0" t="s">
        <v>2557</v>
      </c>
      <c r="B5" s="0" t="n">
        <v>0</v>
      </c>
    </row>
    <row r="6" customFormat="false" ht="15" hidden="false" customHeight="false" outlineLevel="0" collapsed="false">
      <c r="A6" s="0" t="s">
        <v>2558</v>
      </c>
      <c r="B6" s="0" t="s">
        <v>2559</v>
      </c>
    </row>
    <row r="7" customFormat="false" ht="15" hidden="false" customHeight="false" outlineLevel="0" collapsed="false">
      <c r="A7" s="0" t="s">
        <v>2560</v>
      </c>
      <c r="B7" s="0" t="n">
        <v>4</v>
      </c>
    </row>
    <row r="8" customFormat="false" ht="15" hidden="false" customHeight="false" outlineLevel="0" collapsed="false">
      <c r="A8" s="0" t="s">
        <v>2561</v>
      </c>
      <c r="B8" s="0" t="n">
        <v>9</v>
      </c>
    </row>
    <row r="9" customFormat="false" ht="15" hidden="false" customHeight="false" outlineLevel="0" collapsed="false">
      <c r="A9" s="0" t="s">
        <v>2562</v>
      </c>
      <c r="B9" s="0" t="n">
        <v>9</v>
      </c>
    </row>
    <row r="10" customFormat="false" ht="15" hidden="false" customHeight="false" outlineLevel="0" collapsed="false">
      <c r="A10" s="0" t="s">
        <v>2563</v>
      </c>
      <c r="B10" s="0" t="n">
        <v>13</v>
      </c>
    </row>
    <row r="11" customFormat="false" ht="15" hidden="false" customHeight="false" outlineLevel="0" collapsed="false">
      <c r="A11" s="0" t="s">
        <v>2564</v>
      </c>
      <c r="B11" s="0" t="n">
        <v>40</v>
      </c>
    </row>
    <row r="12" customFormat="false" ht="15" hidden="false" customHeight="false" outlineLevel="0" collapsed="false">
      <c r="A12" s="0" t="s">
        <v>2565</v>
      </c>
      <c r="B12" s="0" t="n">
        <f aca="false">SUMPRODUCT(--ISERROR(Projections!G2:L195))</f>
        <v>0</v>
      </c>
    </row>
    <row r="13" customFormat="false" ht="15" hidden="false" customHeight="false" outlineLevel="0" collapsed="false">
      <c r="A13" s="0" t="s">
        <v>2566</v>
      </c>
      <c r="B13" s="0" t="n">
        <f aca="false">COUNTBLANK(Projections!G2:G195)</f>
        <v>0</v>
      </c>
    </row>
    <row r="14" customFormat="false" ht="15" hidden="false" customHeight="false" outlineLevel="0" collapsed="false">
      <c r="A14" s="0" t="s">
        <v>2567</v>
      </c>
      <c r="B14" s="0" t="n">
        <f aca="false">SUMPRODUCT(--ISERROR(Calc!A2:BK105))</f>
        <v>0</v>
      </c>
    </row>
    <row r="15" customFormat="false" ht="15" hidden="false" customHeight="false" outlineLevel="0" collapsed="false">
      <c r="A15" s="0" t="s">
        <v>2568</v>
      </c>
      <c r="B15" s="0" t="n">
        <f aca="false">SUMPRODUCT(MAX(ABS(N(+Projections!G2:G195)-N(+Log!H2:H195))))</f>
        <v>0.00499999999999545</v>
      </c>
    </row>
    <row r="16" customFormat="false" ht="15" hidden="false" customHeight="false" outlineLevel="0" collapsed="false">
      <c r="A16" s="0" t="s">
        <v>2569</v>
      </c>
      <c r="B16" s="0" t="n">
        <f aca="false">SUMPRODUCT(MAX(ABS(N(+Projections!Z2:Z195)-N(+Log!Q2:Q195))))</f>
        <v>0.00499999999999545</v>
      </c>
    </row>
    <row r="17" customFormat="false" ht="15" hidden="false" customHeight="false" outlineLevel="0" collapsed="false">
      <c r="A17" s="0" t="s">
        <v>2570</v>
      </c>
      <c r="B17" s="0" t="n">
        <f aca="false">SUMPRODUCT(--ISERROR(Matches!A5:BB17))</f>
        <v>0</v>
      </c>
    </row>
    <row r="18" customFormat="false" ht="15" hidden="false" customHeight="false" outlineLevel="0" collapsed="false">
      <c r="A18" s="0" t="s">
        <v>2571</v>
      </c>
      <c r="B18" s="0" t="n">
        <v>12</v>
      </c>
    </row>
    <row r="19" customFormat="false" ht="15" hidden="false" customHeight="false" outlineLevel="0" collapsed="false">
      <c r="A19" s="0" t="s">
        <v>2572</v>
      </c>
      <c r="B19" s="0" t="s">
        <v>2573</v>
      </c>
    </row>
    <row r="20" customFormat="false" ht="15" hidden="false" customHeight="false" outlineLevel="0" collapsed="false">
      <c r="A20" s="0" t="s">
        <v>2572</v>
      </c>
      <c r="B20" s="0" t="s">
        <v>2574</v>
      </c>
    </row>
    <row r="21" customFormat="false" ht="15" hidden="false" customHeight="false" outlineLevel="0" collapsed="false">
      <c r="A21" s="0" t="s">
        <v>2572</v>
      </c>
      <c r="B21" s="0" t="s">
        <v>2575</v>
      </c>
    </row>
    <row r="22" customFormat="false" ht="15" hidden="false" customHeight="false" outlineLevel="0" collapsed="false">
      <c r="A22" s="0" t="s">
        <v>2572</v>
      </c>
      <c r="B22" s="0" t="s">
        <v>2576</v>
      </c>
    </row>
    <row r="23" customFormat="false" ht="15" hidden="false" customHeight="false" outlineLevel="0" collapsed="false">
      <c r="A23" s="0" t="s">
        <v>2572</v>
      </c>
      <c r="B23" s="0" t="s">
        <v>2577</v>
      </c>
    </row>
    <row r="24" customFormat="false" ht="15" hidden="false" customHeight="false" outlineLevel="0" collapsed="false">
      <c r="A24" s="0" t="s">
        <v>2572</v>
      </c>
      <c r="B24" s="0" t="s">
        <v>2578</v>
      </c>
    </row>
    <row r="25" customFormat="false" ht="15" hidden="false" customHeight="false" outlineLevel="0" collapsed="false">
      <c r="A25" s="0" t="s">
        <v>2572</v>
      </c>
      <c r="B25" s="0" t="s">
        <v>2579</v>
      </c>
    </row>
    <row r="26" customFormat="false" ht="15" hidden="false" customHeight="false" outlineLevel="0" collapsed="false">
      <c r="A26" s="0" t="s">
        <v>2572</v>
      </c>
      <c r="B26" s="0" t="s">
        <v>2580</v>
      </c>
    </row>
    <row r="27" customFormat="false" ht="15" hidden="false" customHeight="false" outlineLevel="0" collapsed="false">
      <c r="A27" s="0" t="s">
        <v>2572</v>
      </c>
      <c r="B27" s="0" t="s">
        <v>2581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2026-10-20T03:18:23Z</dcterms:created>
  <dc:creator>openpyxl</dc:creator>
  <dc:description/>
  <dc:language>en-US</dc:language>
  <cp:lastModifiedBy/>
  <dcterms:modified xsi:type="dcterms:W3CDTF">2026-10-20T03:18:23Z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