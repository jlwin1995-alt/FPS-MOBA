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ard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Players" sheetId="7" state="visible" r:id="rId7"/>
    <sheet xmlns:r="http://schemas.openxmlformats.org/officeDocument/2006/relationships" name="Gamelog" sheetId="8" state="visible" r:id="rId8"/>
    <sheet xmlns:r="http://schemas.openxmlformats.org/officeDocument/2006/relationships" name="Book_Props" sheetId="9" state="visible" r:id="rId9"/>
    <sheet xmlns:r="http://schemas.openxmlformats.org/officeDocument/2006/relationships" name="Log" sheetId="10" state="visible" r:id="rId10"/>
    <sheet xmlns:r="http://schemas.openxmlformats.org/officeDocument/2006/relationships" name="Data_Checks" sheetId="11" state="visible" r:id="rId11"/>
  </sheets>
  <definedNames>
    <definedName name="_xlnm._FilterDatabase" localSheetId="3" hidden="1">'Projections'!$A$1:$AA$11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MOBA Player Model — LoL + Dota 2</t>
        </is>
      </c>
    </row>
    <row r="2">
      <c r="A2" s="2" t="inlineStr">
        <is>
          <t>Kills projections built on the one effect the record measured cleanly in LoL: players score about twice as many kills in map wins as in losses (25 of 25 players, median 2.2×).</t>
        </is>
      </c>
    </row>
    <row r="3">
      <c r="A3" s="3" t="inlineStr">
        <is>
          <t>Slate 2026-10-18 · 10 board legs · 1 matches</t>
        </is>
      </c>
    </row>
    <row r="4">
      <c r="A4" t="inlineStr"/>
    </row>
    <row r="5">
      <c r="A5" s="4" t="inlineStr">
        <is>
          <t>HOW TO USE</t>
        </is>
      </c>
    </row>
    <row r="6">
      <c r="A6" s="2" t="inlineStr">
        <is>
          <t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      </is>
      </c>
    </row>
    <row r="7">
      <c r="A7" s="2" t="inlineStr">
        <is>
          <t>2. Board tab: pick a match in B2. Both rosters, ranked by projected Map 1 kills, with the PrizePicks line, P(over), Thunderpick's own kill-line median and PickFinder's L10.</t>
        </is>
      </c>
    </row>
    <row r="8">
      <c r="A8" s="2" t="inlineStr">
        <is>
          <t>3. Projections: every leg. Naive proj = his plain average per map, for comparison. Exact-line landings counts how often his last 15 series finished exactly on a whole-number line — the push check.</t>
        </is>
      </c>
    </row>
    <row r="9">
      <c r="A9" s="2" t="inlineStr">
        <is>
          <t>4. Log: the projections frozen as values when the sheet was built. Type Actual after settlement.</t>
        </is>
      </c>
    </row>
    <row r="10">
      <c r="A10" t="inlineStr"/>
    </row>
    <row r="11">
      <c r="A11" s="4" t="inlineStr">
        <is>
          <t>THE MODEL</t>
        </is>
      </c>
    </row>
    <row r="12">
      <c r="A12" s="2" t="inlineStr">
        <is>
          <t>K̄ = his kills per map, q = his map win rate (both from PickFinder Player Stats, same sample). r = WL_RATIO.</t>
        </is>
      </c>
    </row>
    <row r="13">
      <c r="A13" s="2" t="inlineStr">
        <is>
          <t>k_win = K̄·r ÷ (q·r + 1 − q),  k_loss = K̄ ÷ (q·r + 1 − q).  These reproduce K̄ exactly at his own win rate.</t>
        </is>
      </c>
    </row>
    <row r="14">
      <c r="A14" s="2" t="inlineStr">
        <is>
          <t>Map kills = Kills env × (P(win)·k_win + (1 − P(win))·k_loss). Maps 1-3 = sum over maps × P(map played).</t>
        </is>
      </c>
    </row>
    <row r="15">
      <c r="A15" s="2" t="inlineStr">
        <is>
          <t>Spread: within-result variance KILLS_DISPERSION × mean, PLUS the win/loss mixture P(1−P)(k_win − k_loss)². That second term is why a LoL leg is wider than its average suggests: one coin flip on the map result moves him between two very different kill counts.</t>
        </is>
      </c>
    </row>
    <row r="16">
      <c r="A16" t="inlineStr"/>
    </row>
    <row r="17">
      <c r="A17" s="4" t="inlineStr">
        <is>
          <t>WHERE EACH NUMBER COMES FROM</t>
        </is>
      </c>
    </row>
    <row r="18">
      <c r="A18" s="2" t="inlineStr">
        <is>
          <t>PickFinder: /props board (lines, L5/L10/L15/H2H/streak) and each player page — Player Stats (Win Rate, Maps, K/D/A) and the 15-series gamelog (per-map kills).</t>
        </is>
      </c>
    </row>
    <row r="19">
      <c r="A19" s="2" t="inlineStr">
        <is>
          <t>Thunderpick /api/markets: Match Winner, Map k Winner, Total Kills - Map k, each team's Total Kills, Map Kills Handicap, Map Duration, and each player's Total Kills ladder. Devigged; ladders read at the 50% crossing.</t>
        </is>
      </c>
    </row>
    <row r="20">
      <c r="A20" s="2" t="inlineStr">
        <is>
          <t>Dota: same model, its own ratio (1.77) and dispersion (1.84), both measured on OpenDota before the sheet was extended — see Config. Dota's win/loss gap is smaller than LoL's; its kill counts scatter more.</t>
        </is>
      </c>
    </row>
    <row r="21">
      <c r="A21" s="2" t="inlineStr">
        <is>
          <t>Players flagged "new roster" played most of their recent games with other teammates (OpenDota co-occurrence). Their K̄ and q were earned on another team — the level/role-change check, not something the model can fix.</t>
        </is>
      </c>
    </row>
    <row r="22">
      <c r="A22" t="inlineStr"/>
    </row>
    <row r="23">
      <c r="A23" s="4" t="inlineStr">
        <is>
          <t>READ THIS BEFORE TRUSTING A NUMBER</t>
        </is>
      </c>
    </row>
    <row r="24">
      <c r="A24" s="2" t="inlineStr">
        <is>
          <t>PAPER. The q-adjustment has been logged for retrodiction since 08-19 and never scored forward. This sheet's Log is the forward record.</t>
        </is>
      </c>
    </row>
    <row r="25">
      <c r="A25" s="2" t="inlineStr">
        <is>
          <t>The record's caveat stands: price alone predicted almost nothing (dog 43.1% over, fav 53.7%). If the adjustment carries information, it is through the interaction with each player's own q — which is exactly what Naive vs Proj isolates.</t>
        </is>
      </c>
    </row>
    <row r="26">
      <c r="A26" s="2" t="inlineStr">
        <is>
          <t>A likely sweep does NOT suppress LoL kills (6.60 vs 6.64, p = 0.69). Do not cut a leg on sweep risk.</t>
        </is>
      </c>
    </row>
    <row r="27">
      <c r="A27" s="2" t="inlineStr">
        <is>
          <t>Demacia Cup Bo1s: teams from different leagues. A player's K̄ and q were earned in his own league's kill environment — that is what Kills env × is for, and it ships at 1.</t>
        </is>
      </c>
    </row>
    <row r="28">
      <c r="A28" t="inlineStr"/>
    </row>
    <row r="29">
      <c r="A29" s="4" t="inlineStr">
        <is>
          <t>REFRESHING</t>
        </is>
      </c>
    </row>
    <row r="30">
      <c r="A30" s="2" t="inlineStr">
        <is>
          <t>Rebuilt per slate from fresh captures and imported over this file (File → Import → Replace spreadsheet); the link stays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  <col width="7" customWidth="1" min="17" max="17"/>
    <col width="30" customWidth="1" min="18" max="18"/>
    <col width="2" customWidth="1" min="19" max="19"/>
    <col hidden="1" width="5" customWidth="1" min="20" max="20"/>
  </cols>
  <sheetData>
    <row r="1">
      <c r="A1" s="1" t="inlineStr">
        <is>
          <t>Board</t>
        </is>
      </c>
    </row>
    <row r="2">
      <c r="A2" s="4" t="inlineStr">
        <is>
          <t>Match:</t>
        </is>
      </c>
      <c r="B2" s="5" t="inlineStr">
        <is>
          <t>LOL · KC vs MVK</t>
        </is>
      </c>
    </row>
    <row r="4">
      <c r="A4" s="4" t="inlineStr">
        <is>
          <t>Teams</t>
        </is>
      </c>
      <c r="B4">
        <f>IFERROR(IF(INDEX(Matches!$E$5:$E$5,MATCH($B$2,Matches!$A$5:$A$5,0))="","",INDEX(Matches!$E$5:$E$5,MATCH($B$2,Matches!$A$5:$A$5,0))),"")&amp;"  vs  "&amp;IFERROR(IF(INDEX(Matches!$F$5:$F$5,MATCH($B$2,Matches!$A$5:$A$5,0))="","",INDEX(Matches!$F$5:$F$5,MATCH($B$2,Matches!$A$5:$A$5,0))),"")</f>
        <v/>
      </c>
      <c r="D4" s="4" t="inlineStr">
        <is>
          <t>Start (CT)</t>
        </is>
      </c>
      <c r="E4">
        <f>IFERROR(IF(INDEX(Matches!$C$5:$C$5,MATCH($B$2,Matches!$A$5:$A$5,0))="","",INDEX(Matches!$C$5:$C$5,MATCH($B$2,Matches!$A$5:$A$5,0))),"")</f>
        <v/>
      </c>
      <c r="G4" s="4" t="inlineStr">
        <is>
          <t>Bo</t>
        </is>
      </c>
      <c r="H4">
        <f>IFERROR(IF(INDEX(Matches!$D$5:$D$5,MATCH($B$2,Matches!$A$5:$A$5,0))="","",INDEX(Matches!$D$5:$D$5,MATCH($B$2,Matches!$A$5:$A$5,0))),"")</f>
        <v/>
      </c>
    </row>
    <row r="5">
      <c r="A5" s="4" t="inlineStr">
        <is>
          <t>Event</t>
        </is>
      </c>
      <c r="B5">
        <f>IFERROR(IF(INDEX(Matches!$B$5:$B$5,MATCH($B$2,Matches!$A$5:$A$5,0))="","",INDEX(Matches!$B$5:$B$5,MATCH($B$2,Matches!$A$5:$A$5,0))),"")</f>
        <v/>
      </c>
      <c r="D5" s="4" t="inlineStr">
        <is>
          <t>P(A wins)</t>
        </is>
      </c>
      <c r="E5" s="6">
        <f>IFERROR(IF(INDEX(Matches!$G$5:$G$5,MATCH($B$2,Matches!$A$5:$A$5,0))="","",INDEX(Matches!$G$5:$G$5,MATCH($B$2,Matches!$A$5:$A$5,0))),"")</f>
        <v/>
      </c>
      <c r="G5" s="4" t="inlineStr">
        <is>
          <t>P(A wins M1)</t>
        </is>
      </c>
      <c r="H5" s="6">
        <f>IFERROR(IF(INDEX(Matches!$M$5:$M$5,MATCH($B$2,Matches!$A$5:$A$5,0))="","",INDEX(Matches!$M$5:$M$5,MATCH($B$2,Matches!$A$5:$A$5,0))),"")</f>
        <v/>
      </c>
    </row>
    <row r="6">
      <c r="A6" s="4" t="inlineStr">
        <is>
          <t>TP total kills M1</t>
        </is>
      </c>
      <c r="B6" s="7">
        <f>IFERROR(IF(INDEX(Matches!$H$5:$H$5,MATCH($B$2,Matches!$A$5:$A$5,0))="","",INDEX(Matches!$H$5:$H$5,MATCH($B$2,Matches!$A$5:$A$5,0))),"")</f>
        <v/>
      </c>
      <c r="D6" s="4" t="inlineStr">
        <is>
          <t>TP A / B kills M1</t>
        </is>
      </c>
      <c r="E6">
        <f>IF(IFERROR(IF(INDEX(Matches!$I$5:$I$5,MATCH($B$2,Matches!$A$5:$A$5,0))="","",INDEX(Matches!$I$5:$I$5,MATCH($B$2,Matches!$A$5:$A$5,0))),"")="","",TEXT(IFERROR(IF(INDEX(Matches!$I$5:$I$5,MATCH($B$2,Matches!$A$5:$A$5,0))="","",INDEX(Matches!$I$5:$I$5,MATCH($B$2,Matches!$A$5:$A$5,0))),""),"0.0")&amp;" / "&amp;TEXT(IFERROR(IF(INDEX(Matches!$J$5:$J$5,MATCH($B$2,Matches!$A$5:$A$5,0))="","",INDEX(Matches!$J$5:$J$5,MATCH($B$2,Matches!$A$5:$A$5,0))),""),"0.0"))</f>
        <v/>
      </c>
      <c r="G6" s="4" t="inlineStr">
        <is>
          <t>TP duration M1</t>
        </is>
      </c>
      <c r="H6" s="7">
        <f>IFERROR(IF(INDEX(Matches!$K$5:$K$5,MATCH($B$2,Matches!$A$5:$A$5,0))="","",INDEX(Matches!$K$5:$K$5,MATCH($B$2,Matches!$A$5:$A$5,0))),"")</f>
        <v/>
      </c>
    </row>
    <row r="7">
      <c r="A7" s="4" t="inlineStr">
        <is>
          <t>Kills env ×</t>
        </is>
      </c>
      <c r="B7">
        <f>IFERROR(IF(INDEX(Matches!$R$5:$R$5,MATCH($B$2,Matches!$A$5:$A$5,0))="","",INDEX(Matches!$R$5:$R$5,MATCH($B$2,Matches!$A$5:$A$5,0))),"")</f>
        <v/>
      </c>
      <c r="D7" s="4" t="inlineStr">
        <is>
          <t>P(M2 / M3 played)</t>
        </is>
      </c>
      <c r="E7">
        <f>TEXT(IFERROR(IF(INDEX(Matches!$P$5:$P$5,MATCH($B$2,Matches!$A$5:$A$5,0))="","",INDEX(Matches!$P$5:$P$5,MATCH($B$2,Matches!$A$5:$A$5,0))),""),"0%")&amp;" / "&amp;TEXT(IFERROR(IF(INDEX(Matches!$Q$5:$Q$5,MATCH($B$2,Matches!$A$5:$A$5,0))="","",INDEX(Matches!$Q$5:$Q$5,MATCH($B$2,Matches!$A$5:$A$5,0))),""),"0%")</f>
        <v/>
      </c>
      <c r="G7" s="4" t="inlineStr">
        <is>
          <t>TP A − B kills M1</t>
        </is>
      </c>
      <c r="H7" s="7">
        <f>IF(IFERROR(IF(INDEX(Matches!$I$5:$I$5,MATCH($B$2,Matches!$A$5:$A$5,0))="","",INDEX(Matches!$I$5:$I$5,MATCH($B$2,Matches!$A$5:$A$5,0))),"")="","",IFERROR(IF(INDEX(Matches!$I$5:$I$5,MATCH($B$2,Matches!$A$5:$A$5,0))="","",INDEX(Matches!$I$5:$I$5,MATCH($B$2,Matches!$A$5:$A$5,0))),"")-IFERROR(IF(INDEX(Matches!$J$5:$J$5,MATCH($B$2,Matches!$A$5:$A$5,0))="","",INDEX(Matches!$J$5:$J$5,MATCH($B$2,Matches!$A$5:$A$5,0))),""))</f>
        <v/>
      </c>
    </row>
    <row r="9">
      <c r="B9" s="3">
        <f>"Change P(win), maps played or kill environment on the Matches tab, row "&amp;(MATCH($B$2,Matches!$A$5:$A$5,0)+4)&amp;"."</f>
        <v/>
      </c>
    </row>
    <row r="11">
      <c r="A11" s="8" t="inlineStr">
        <is>
          <t>Team</t>
        </is>
      </c>
      <c r="B11" s="8" t="inlineStr">
        <is>
          <t>Player</t>
        </is>
      </c>
      <c r="C11" s="8" t="inlineStr">
        <is>
          <t>Map win q</t>
        </is>
      </c>
      <c r="D11" s="8" t="inlineStr">
        <is>
          <t>K avg</t>
        </is>
      </c>
      <c r="E11" s="8" t="inlineStr">
        <is>
          <t>k win</t>
        </is>
      </c>
      <c r="F11" s="8" t="inlineStr">
        <is>
          <t>k loss</t>
        </is>
      </c>
      <c r="G11" s="8" t="inlineStr">
        <is>
          <t>P(win M1)</t>
        </is>
      </c>
      <c r="H11" s="8" t="inlineStr">
        <is>
          <t>Proj M1</t>
        </is>
      </c>
      <c r="I11" s="8" t="inlineStr">
        <is>
          <t>Naive M1</t>
        </is>
      </c>
      <c r="J11" s="8" t="inlineStr">
        <is>
          <t>Line M1</t>
        </is>
      </c>
      <c r="K11" s="8" t="inlineStr">
        <is>
          <t>P(over) M1</t>
        </is>
      </c>
      <c r="L11" s="8" t="inlineStr">
        <is>
          <t>Proj series</t>
        </is>
      </c>
      <c r="M11" s="8" t="inlineStr">
        <is>
          <t>Line series</t>
        </is>
      </c>
      <c r="N11" s="8" t="inlineStr">
        <is>
          <t>P(over) series</t>
        </is>
      </c>
      <c r="O11" s="8" t="inlineStr">
        <is>
          <t>TP book</t>
        </is>
      </c>
      <c r="P11" s="8" t="inlineStr">
        <is>
          <t>PF L10</t>
        </is>
      </c>
      <c r="Q11" s="8" t="inlineStr">
        <is>
          <t>Sample</t>
        </is>
      </c>
      <c r="R11" s="8" t="inlineStr">
        <is>
          <t>Flags</t>
        </is>
      </c>
      <c r="S11" s="8" t="inlineStr"/>
      <c r="T11" s="8" t="inlineStr">
        <is>
          <t>row</t>
        </is>
      </c>
    </row>
    <row r="12">
      <c r="A12">
        <f>IF($T12="","",INDEX(Calc!$C$2:$C$11,$T12))</f>
        <v/>
      </c>
      <c r="B12">
        <f>IF($T12="","",INDEX(Calc!$D$2:$D$11,$T12))</f>
        <v/>
      </c>
      <c r="C12" s="6">
        <f>IF($T12="","",INDEX(Calc!$H$2:$H$11,$T12))</f>
        <v/>
      </c>
      <c r="D12" s="7">
        <f>IF($T12="","",INDEX(Calc!$I$2:$I$11,$T12))</f>
        <v/>
      </c>
      <c r="E12" s="7">
        <f>IF($T12="","",INDEX(Calc!$J$2:$J$11,$T12))</f>
        <v/>
      </c>
      <c r="F12" s="7">
        <f>IF($T12="","",INDEX(Calc!$K$2:$K$11,$T12))</f>
        <v/>
      </c>
      <c r="G12" s="6">
        <f>IF($T12="","",INDEX(Calc!$M$2:$M$11,$T12))</f>
        <v/>
      </c>
      <c r="H12" s="7">
        <f>IF($T12="","",INDEX(Calc!$Y$2:$Y$11,$T12))</f>
        <v/>
      </c>
      <c r="I12" s="7">
        <f>IF($T12="","",INDEX(Calc!$AE$2:$AE$11,$T12))</f>
        <v/>
      </c>
      <c r="J12">
        <f>IF($T12="","",IFERROR(INDEX(Projections!$E$2:$E$11,MATCH(INDEX(Calc!$A$2:$A$11,$T12)&amp;"|K1",Projections!$AA$2:$AA$11,0)),""))</f>
        <v/>
      </c>
      <c r="K12" s="6">
        <f>IF($T12="","",IFERROR(INDEX(Projections!$H$2:$H$11,MATCH(INDEX(Calc!$A$2:$A$11,$T12)&amp;"|K1",Projections!$AA$2:$AA$11,0)),""))</f>
        <v/>
      </c>
      <c r="L12" s="7">
        <f>IF($T12="","",INDEX(Calc!$AK$2:$AK$11,$T12))</f>
        <v/>
      </c>
      <c r="M12">
        <f>IF($T12="","",IFERROR(INDEX(Projections!$E$2:$E$11,MATCH(INDEX(Calc!$A$2:$A$11,$T12)&amp;"|"&amp;INDEX(Calc!$AJ$2:$AJ$11,$T12),Projections!$AA$2:$AA$11,0)),""))</f>
        <v/>
      </c>
      <c r="N12" s="6">
        <f>IF($T12="","",IFERROR(INDEX(Projections!$H$2:$H$11,MATCH(INDEX(Calc!$A$2:$A$11,$T12)&amp;"|"&amp;INDEX(Calc!$AJ$2:$AJ$11,$T12),Projections!$AA$2:$AA$11,0)),""))</f>
        <v/>
      </c>
      <c r="O12">
        <f>IF($T12="","",IFERROR(INDEX(Projections!$N$2:$N$11,MATCH(INDEX(Calc!$A$2:$A$11,$T12)&amp;"|K1",Projections!$AA$2:$AA$11,0)),IFERROR(INDEX(Projections!$N$2:$N$11,MATCH(INDEX(Calc!$A$2:$A$11,$T12)&amp;"|"&amp;INDEX(Calc!$AJ$2:$AJ$11,$T12),Projections!$AA$2:$AA$11,0)),"")))</f>
        <v/>
      </c>
      <c r="P12" s="6">
        <f>IF($T12="","",IFERROR(INDEX(Projections!$S$2:$S$11,MATCH(INDEX(Calc!$A$2:$A$11,$T12)&amp;"|K1",Projections!$AA$2:$AA$11,0)),IFERROR(INDEX(Projections!$S$2:$S$11,MATCH(INDEX(Calc!$A$2:$A$11,$T12)&amp;"|"&amp;INDEX(Calc!$AJ$2:$AJ$11,$T12),Projections!$AA$2:$AA$11,0)),"")))</f>
        <v/>
      </c>
      <c r="Q12">
        <f>IF($T12="","",INDEX(Calc!$G$2:$G$11,$T12))</f>
        <v/>
      </c>
      <c r="R12">
        <f>IF($T12="","",INDEX(Calc!$AH$2:$AH$11,$T12))</f>
        <v/>
      </c>
      <c r="T12">
        <f>IFERROR(MATCH(1,Calc!$AI$2:$AI$11,0),"")</f>
        <v/>
      </c>
    </row>
    <row r="13">
      <c r="A13">
        <f>IF($T13="","",INDEX(Calc!$C$2:$C$11,$T13))</f>
        <v/>
      </c>
      <c r="B13">
        <f>IF($T13="","",INDEX(Calc!$D$2:$D$11,$T13))</f>
        <v/>
      </c>
      <c r="C13" s="6">
        <f>IF($T13="","",INDEX(Calc!$H$2:$H$11,$T13))</f>
        <v/>
      </c>
      <c r="D13" s="7">
        <f>IF($T13="","",INDEX(Calc!$I$2:$I$11,$T13))</f>
        <v/>
      </c>
      <c r="E13" s="7">
        <f>IF($T13="","",INDEX(Calc!$J$2:$J$11,$T13))</f>
        <v/>
      </c>
      <c r="F13" s="7">
        <f>IF($T13="","",INDEX(Calc!$K$2:$K$11,$T13))</f>
        <v/>
      </c>
      <c r="G13" s="6">
        <f>IF($T13="","",INDEX(Calc!$M$2:$M$11,$T13))</f>
        <v/>
      </c>
      <c r="H13" s="7">
        <f>IF($T13="","",INDEX(Calc!$Y$2:$Y$11,$T13))</f>
        <v/>
      </c>
      <c r="I13" s="7">
        <f>IF($T13="","",INDEX(Calc!$AE$2:$AE$11,$T13))</f>
        <v/>
      </c>
      <c r="J13">
        <f>IF($T13="","",IFERROR(INDEX(Projections!$E$2:$E$11,MATCH(INDEX(Calc!$A$2:$A$11,$T13)&amp;"|K1",Projections!$AA$2:$AA$11,0)),""))</f>
        <v/>
      </c>
      <c r="K13" s="6">
        <f>IF($T13="","",IFERROR(INDEX(Projections!$H$2:$H$11,MATCH(INDEX(Calc!$A$2:$A$11,$T13)&amp;"|K1",Projections!$AA$2:$AA$11,0)),""))</f>
        <v/>
      </c>
      <c r="L13" s="7">
        <f>IF($T13="","",INDEX(Calc!$AK$2:$AK$11,$T13))</f>
        <v/>
      </c>
      <c r="M13">
        <f>IF($T13="","",IFERROR(INDEX(Projections!$E$2:$E$11,MATCH(INDEX(Calc!$A$2:$A$11,$T13)&amp;"|"&amp;INDEX(Calc!$AJ$2:$AJ$11,$T13),Projections!$AA$2:$AA$11,0)),""))</f>
        <v/>
      </c>
      <c r="N13" s="6">
        <f>IF($T13="","",IFERROR(INDEX(Projections!$H$2:$H$11,MATCH(INDEX(Calc!$A$2:$A$11,$T13)&amp;"|"&amp;INDEX(Calc!$AJ$2:$AJ$11,$T13),Projections!$AA$2:$AA$11,0)),""))</f>
        <v/>
      </c>
      <c r="O13">
        <f>IF($T13="","",IFERROR(INDEX(Projections!$N$2:$N$11,MATCH(INDEX(Calc!$A$2:$A$11,$T13)&amp;"|K1",Projections!$AA$2:$AA$11,0)),IFERROR(INDEX(Projections!$N$2:$N$11,MATCH(INDEX(Calc!$A$2:$A$11,$T13)&amp;"|"&amp;INDEX(Calc!$AJ$2:$AJ$11,$T13),Projections!$AA$2:$AA$11,0)),"")))</f>
        <v/>
      </c>
      <c r="P13" s="6">
        <f>IF($T13="","",IFERROR(INDEX(Projections!$S$2:$S$11,MATCH(INDEX(Calc!$A$2:$A$11,$T13)&amp;"|K1",Projections!$AA$2:$AA$11,0)),IFERROR(INDEX(Projections!$S$2:$S$11,MATCH(INDEX(Calc!$A$2:$A$11,$T13)&amp;"|"&amp;INDEX(Calc!$AJ$2:$AJ$11,$T13),Projections!$AA$2:$AA$11,0)),"")))</f>
        <v/>
      </c>
      <c r="Q13">
        <f>IF($T13="","",INDEX(Calc!$G$2:$G$11,$T13))</f>
        <v/>
      </c>
      <c r="R13">
        <f>IF($T13="","",INDEX(Calc!$AH$2:$AH$11,$T13))</f>
        <v/>
      </c>
      <c r="T13">
        <f>IFERROR(MATCH(2,Calc!$AI$2:$AI$11,0),"")</f>
        <v/>
      </c>
    </row>
    <row r="14">
      <c r="A14">
        <f>IF($T14="","",INDEX(Calc!$C$2:$C$11,$T14))</f>
        <v/>
      </c>
      <c r="B14">
        <f>IF($T14="","",INDEX(Calc!$D$2:$D$11,$T14))</f>
        <v/>
      </c>
      <c r="C14" s="6">
        <f>IF($T14="","",INDEX(Calc!$H$2:$H$11,$T14))</f>
        <v/>
      </c>
      <c r="D14" s="7">
        <f>IF($T14="","",INDEX(Calc!$I$2:$I$11,$T14))</f>
        <v/>
      </c>
      <c r="E14" s="7">
        <f>IF($T14="","",INDEX(Calc!$J$2:$J$11,$T14))</f>
        <v/>
      </c>
      <c r="F14" s="7">
        <f>IF($T14="","",INDEX(Calc!$K$2:$K$11,$T14))</f>
        <v/>
      </c>
      <c r="G14" s="6">
        <f>IF($T14="","",INDEX(Calc!$M$2:$M$11,$T14))</f>
        <v/>
      </c>
      <c r="H14" s="7">
        <f>IF($T14="","",INDEX(Calc!$Y$2:$Y$11,$T14))</f>
        <v/>
      </c>
      <c r="I14" s="7">
        <f>IF($T14="","",INDEX(Calc!$AE$2:$AE$11,$T14))</f>
        <v/>
      </c>
      <c r="J14">
        <f>IF($T14="","",IFERROR(INDEX(Projections!$E$2:$E$11,MATCH(INDEX(Calc!$A$2:$A$11,$T14)&amp;"|K1",Projections!$AA$2:$AA$11,0)),""))</f>
        <v/>
      </c>
      <c r="K14" s="6">
        <f>IF($T14="","",IFERROR(INDEX(Projections!$H$2:$H$11,MATCH(INDEX(Calc!$A$2:$A$11,$T14)&amp;"|K1",Projections!$AA$2:$AA$11,0)),""))</f>
        <v/>
      </c>
      <c r="L14" s="7">
        <f>IF($T14="","",INDEX(Calc!$AK$2:$AK$11,$T14))</f>
        <v/>
      </c>
      <c r="M14">
        <f>IF($T14="","",IFERROR(INDEX(Projections!$E$2:$E$11,MATCH(INDEX(Calc!$A$2:$A$11,$T14)&amp;"|"&amp;INDEX(Calc!$AJ$2:$AJ$11,$T14),Projections!$AA$2:$AA$11,0)),""))</f>
        <v/>
      </c>
      <c r="N14" s="6">
        <f>IF($T14="","",IFERROR(INDEX(Projections!$H$2:$H$11,MATCH(INDEX(Calc!$A$2:$A$11,$T14)&amp;"|"&amp;INDEX(Calc!$AJ$2:$AJ$11,$T14),Projections!$AA$2:$AA$11,0)),""))</f>
        <v/>
      </c>
      <c r="O14">
        <f>IF($T14="","",IFERROR(INDEX(Projections!$N$2:$N$11,MATCH(INDEX(Calc!$A$2:$A$11,$T14)&amp;"|K1",Projections!$AA$2:$AA$11,0)),IFERROR(INDEX(Projections!$N$2:$N$11,MATCH(INDEX(Calc!$A$2:$A$11,$T14)&amp;"|"&amp;INDEX(Calc!$AJ$2:$AJ$11,$T14),Projections!$AA$2:$AA$11,0)),"")))</f>
        <v/>
      </c>
      <c r="P14" s="6">
        <f>IF($T14="","",IFERROR(INDEX(Projections!$S$2:$S$11,MATCH(INDEX(Calc!$A$2:$A$11,$T14)&amp;"|K1",Projections!$AA$2:$AA$11,0)),IFERROR(INDEX(Projections!$S$2:$S$11,MATCH(INDEX(Calc!$A$2:$A$11,$T14)&amp;"|"&amp;INDEX(Calc!$AJ$2:$AJ$11,$T14),Projections!$AA$2:$AA$11,0)),"")))</f>
        <v/>
      </c>
      <c r="Q14">
        <f>IF($T14="","",INDEX(Calc!$G$2:$G$11,$T14))</f>
        <v/>
      </c>
      <c r="R14">
        <f>IF($T14="","",INDEX(Calc!$AH$2:$AH$11,$T14))</f>
        <v/>
      </c>
      <c r="T14">
        <f>IFERROR(MATCH(3,Calc!$AI$2:$AI$11,0),"")</f>
        <v/>
      </c>
    </row>
    <row r="15">
      <c r="A15">
        <f>IF($T15="","",INDEX(Calc!$C$2:$C$11,$T15))</f>
        <v/>
      </c>
      <c r="B15">
        <f>IF($T15="","",INDEX(Calc!$D$2:$D$11,$T15))</f>
        <v/>
      </c>
      <c r="C15" s="6">
        <f>IF($T15="","",INDEX(Calc!$H$2:$H$11,$T15))</f>
        <v/>
      </c>
      <c r="D15" s="7">
        <f>IF($T15="","",INDEX(Calc!$I$2:$I$11,$T15))</f>
        <v/>
      </c>
      <c r="E15" s="7">
        <f>IF($T15="","",INDEX(Calc!$J$2:$J$11,$T15))</f>
        <v/>
      </c>
      <c r="F15" s="7">
        <f>IF($T15="","",INDEX(Calc!$K$2:$K$11,$T15))</f>
        <v/>
      </c>
      <c r="G15" s="6">
        <f>IF($T15="","",INDEX(Calc!$M$2:$M$11,$T15))</f>
        <v/>
      </c>
      <c r="H15" s="7">
        <f>IF($T15="","",INDEX(Calc!$Y$2:$Y$11,$T15))</f>
        <v/>
      </c>
      <c r="I15" s="7">
        <f>IF($T15="","",INDEX(Calc!$AE$2:$AE$11,$T15))</f>
        <v/>
      </c>
      <c r="J15">
        <f>IF($T15="","",IFERROR(INDEX(Projections!$E$2:$E$11,MATCH(INDEX(Calc!$A$2:$A$11,$T15)&amp;"|K1",Projections!$AA$2:$AA$11,0)),""))</f>
        <v/>
      </c>
      <c r="K15" s="6">
        <f>IF($T15="","",IFERROR(INDEX(Projections!$H$2:$H$11,MATCH(INDEX(Calc!$A$2:$A$11,$T15)&amp;"|K1",Projections!$AA$2:$AA$11,0)),""))</f>
        <v/>
      </c>
      <c r="L15" s="7">
        <f>IF($T15="","",INDEX(Calc!$AK$2:$AK$11,$T15))</f>
        <v/>
      </c>
      <c r="M15">
        <f>IF($T15="","",IFERROR(INDEX(Projections!$E$2:$E$11,MATCH(INDEX(Calc!$A$2:$A$11,$T15)&amp;"|"&amp;INDEX(Calc!$AJ$2:$AJ$11,$T15),Projections!$AA$2:$AA$11,0)),""))</f>
        <v/>
      </c>
      <c r="N15" s="6">
        <f>IF($T15="","",IFERROR(INDEX(Projections!$H$2:$H$11,MATCH(INDEX(Calc!$A$2:$A$11,$T15)&amp;"|"&amp;INDEX(Calc!$AJ$2:$AJ$11,$T15),Projections!$AA$2:$AA$11,0)),""))</f>
        <v/>
      </c>
      <c r="O15">
        <f>IF($T15="","",IFERROR(INDEX(Projections!$N$2:$N$11,MATCH(INDEX(Calc!$A$2:$A$11,$T15)&amp;"|K1",Projections!$AA$2:$AA$11,0)),IFERROR(INDEX(Projections!$N$2:$N$11,MATCH(INDEX(Calc!$A$2:$A$11,$T15)&amp;"|"&amp;INDEX(Calc!$AJ$2:$AJ$11,$T15),Projections!$AA$2:$AA$11,0)),"")))</f>
        <v/>
      </c>
      <c r="P15" s="6">
        <f>IF($T15="","",IFERROR(INDEX(Projections!$S$2:$S$11,MATCH(INDEX(Calc!$A$2:$A$11,$T15)&amp;"|K1",Projections!$AA$2:$AA$11,0)),IFERROR(INDEX(Projections!$S$2:$S$11,MATCH(INDEX(Calc!$A$2:$A$11,$T15)&amp;"|"&amp;INDEX(Calc!$AJ$2:$AJ$11,$T15),Projections!$AA$2:$AA$11,0)),"")))</f>
        <v/>
      </c>
      <c r="Q15">
        <f>IF($T15="","",INDEX(Calc!$G$2:$G$11,$T15))</f>
        <v/>
      </c>
      <c r="R15">
        <f>IF($T15="","",INDEX(Calc!$AH$2:$AH$11,$T15))</f>
        <v/>
      </c>
      <c r="T15">
        <f>IFERROR(MATCH(4,Calc!$AI$2:$AI$11,0),"")</f>
        <v/>
      </c>
    </row>
    <row r="16">
      <c r="A16">
        <f>IF($T16="","",INDEX(Calc!$C$2:$C$11,$T16))</f>
        <v/>
      </c>
      <c r="B16">
        <f>IF($T16="","",INDEX(Calc!$D$2:$D$11,$T16))</f>
        <v/>
      </c>
      <c r="C16" s="6">
        <f>IF($T16="","",INDEX(Calc!$H$2:$H$11,$T16))</f>
        <v/>
      </c>
      <c r="D16" s="7">
        <f>IF($T16="","",INDEX(Calc!$I$2:$I$11,$T16))</f>
        <v/>
      </c>
      <c r="E16" s="7">
        <f>IF($T16="","",INDEX(Calc!$J$2:$J$11,$T16))</f>
        <v/>
      </c>
      <c r="F16" s="7">
        <f>IF($T16="","",INDEX(Calc!$K$2:$K$11,$T16))</f>
        <v/>
      </c>
      <c r="G16" s="6">
        <f>IF($T16="","",INDEX(Calc!$M$2:$M$11,$T16))</f>
        <v/>
      </c>
      <c r="H16" s="7">
        <f>IF($T16="","",INDEX(Calc!$Y$2:$Y$11,$T16))</f>
        <v/>
      </c>
      <c r="I16" s="7">
        <f>IF($T16="","",INDEX(Calc!$AE$2:$AE$11,$T16))</f>
        <v/>
      </c>
      <c r="J16">
        <f>IF($T16="","",IFERROR(INDEX(Projections!$E$2:$E$11,MATCH(INDEX(Calc!$A$2:$A$11,$T16)&amp;"|K1",Projections!$AA$2:$AA$11,0)),""))</f>
        <v/>
      </c>
      <c r="K16" s="6">
        <f>IF($T16="","",IFERROR(INDEX(Projections!$H$2:$H$11,MATCH(INDEX(Calc!$A$2:$A$11,$T16)&amp;"|K1",Projections!$AA$2:$AA$11,0)),""))</f>
        <v/>
      </c>
      <c r="L16" s="7">
        <f>IF($T16="","",INDEX(Calc!$AK$2:$AK$11,$T16))</f>
        <v/>
      </c>
      <c r="M16">
        <f>IF($T16="","",IFERROR(INDEX(Projections!$E$2:$E$11,MATCH(INDEX(Calc!$A$2:$A$11,$T16)&amp;"|"&amp;INDEX(Calc!$AJ$2:$AJ$11,$T16),Projections!$AA$2:$AA$11,0)),""))</f>
        <v/>
      </c>
      <c r="N16" s="6">
        <f>IF($T16="","",IFERROR(INDEX(Projections!$H$2:$H$11,MATCH(INDEX(Calc!$A$2:$A$11,$T16)&amp;"|"&amp;INDEX(Calc!$AJ$2:$AJ$11,$T16),Projections!$AA$2:$AA$11,0)),""))</f>
        <v/>
      </c>
      <c r="O16">
        <f>IF($T16="","",IFERROR(INDEX(Projections!$N$2:$N$11,MATCH(INDEX(Calc!$A$2:$A$11,$T16)&amp;"|K1",Projections!$AA$2:$AA$11,0)),IFERROR(INDEX(Projections!$N$2:$N$11,MATCH(INDEX(Calc!$A$2:$A$11,$T16)&amp;"|"&amp;INDEX(Calc!$AJ$2:$AJ$11,$T16),Projections!$AA$2:$AA$11,0)),"")))</f>
        <v/>
      </c>
      <c r="P16" s="6">
        <f>IF($T16="","",IFERROR(INDEX(Projections!$S$2:$S$11,MATCH(INDEX(Calc!$A$2:$A$11,$T16)&amp;"|K1",Projections!$AA$2:$AA$11,0)),IFERROR(INDEX(Projections!$S$2:$S$11,MATCH(INDEX(Calc!$A$2:$A$11,$T16)&amp;"|"&amp;INDEX(Calc!$AJ$2:$AJ$11,$T16),Projections!$AA$2:$AA$11,0)),"")))</f>
        <v/>
      </c>
      <c r="Q16">
        <f>IF($T16="","",INDEX(Calc!$G$2:$G$11,$T16))</f>
        <v/>
      </c>
      <c r="R16">
        <f>IF($T16="","",INDEX(Calc!$AH$2:$AH$11,$T16))</f>
        <v/>
      </c>
      <c r="T16">
        <f>IFERROR(MATCH(5,Calc!$AI$2:$AI$11,0),"")</f>
        <v/>
      </c>
    </row>
    <row r="17">
      <c r="A17">
        <f>IF($T17="","",INDEX(Calc!$C$2:$C$11,$T17))</f>
        <v/>
      </c>
      <c r="B17">
        <f>IF($T17="","",INDEX(Calc!$D$2:$D$11,$T17))</f>
        <v/>
      </c>
      <c r="C17" s="6">
        <f>IF($T17="","",INDEX(Calc!$H$2:$H$11,$T17))</f>
        <v/>
      </c>
      <c r="D17" s="7">
        <f>IF($T17="","",INDEX(Calc!$I$2:$I$11,$T17))</f>
        <v/>
      </c>
      <c r="E17" s="7">
        <f>IF($T17="","",INDEX(Calc!$J$2:$J$11,$T17))</f>
        <v/>
      </c>
      <c r="F17" s="7">
        <f>IF($T17="","",INDEX(Calc!$K$2:$K$11,$T17))</f>
        <v/>
      </c>
      <c r="G17" s="6">
        <f>IF($T17="","",INDEX(Calc!$M$2:$M$11,$T17))</f>
        <v/>
      </c>
      <c r="H17" s="7">
        <f>IF($T17="","",INDEX(Calc!$Y$2:$Y$11,$T17))</f>
        <v/>
      </c>
      <c r="I17" s="7">
        <f>IF($T17="","",INDEX(Calc!$AE$2:$AE$11,$T17))</f>
        <v/>
      </c>
      <c r="J17">
        <f>IF($T17="","",IFERROR(INDEX(Projections!$E$2:$E$11,MATCH(INDEX(Calc!$A$2:$A$11,$T17)&amp;"|K1",Projections!$AA$2:$AA$11,0)),""))</f>
        <v/>
      </c>
      <c r="K17" s="6">
        <f>IF($T17="","",IFERROR(INDEX(Projections!$H$2:$H$11,MATCH(INDEX(Calc!$A$2:$A$11,$T17)&amp;"|K1",Projections!$AA$2:$AA$11,0)),""))</f>
        <v/>
      </c>
      <c r="L17" s="7">
        <f>IF($T17="","",INDEX(Calc!$AK$2:$AK$11,$T17))</f>
        <v/>
      </c>
      <c r="M17">
        <f>IF($T17="","",IFERROR(INDEX(Projections!$E$2:$E$11,MATCH(INDEX(Calc!$A$2:$A$11,$T17)&amp;"|"&amp;INDEX(Calc!$AJ$2:$AJ$11,$T17),Projections!$AA$2:$AA$11,0)),""))</f>
        <v/>
      </c>
      <c r="N17" s="6">
        <f>IF($T17="","",IFERROR(INDEX(Projections!$H$2:$H$11,MATCH(INDEX(Calc!$A$2:$A$11,$T17)&amp;"|"&amp;INDEX(Calc!$AJ$2:$AJ$11,$T17),Projections!$AA$2:$AA$11,0)),""))</f>
        <v/>
      </c>
      <c r="O17">
        <f>IF($T17="","",IFERROR(INDEX(Projections!$N$2:$N$11,MATCH(INDEX(Calc!$A$2:$A$11,$T17)&amp;"|K1",Projections!$AA$2:$AA$11,0)),IFERROR(INDEX(Projections!$N$2:$N$11,MATCH(INDEX(Calc!$A$2:$A$11,$T17)&amp;"|"&amp;INDEX(Calc!$AJ$2:$AJ$11,$T17),Projections!$AA$2:$AA$11,0)),"")))</f>
        <v/>
      </c>
      <c r="P17" s="6">
        <f>IF($T17="","",IFERROR(INDEX(Projections!$S$2:$S$11,MATCH(INDEX(Calc!$A$2:$A$11,$T17)&amp;"|K1",Projections!$AA$2:$AA$11,0)),IFERROR(INDEX(Projections!$S$2:$S$11,MATCH(INDEX(Calc!$A$2:$A$11,$T17)&amp;"|"&amp;INDEX(Calc!$AJ$2:$AJ$11,$T17),Projections!$AA$2:$AA$11,0)),"")))</f>
        <v/>
      </c>
      <c r="Q17">
        <f>IF($T17="","",INDEX(Calc!$G$2:$G$11,$T17))</f>
        <v/>
      </c>
      <c r="R17">
        <f>IF($T17="","",INDEX(Calc!$AH$2:$AH$11,$T17))</f>
        <v/>
      </c>
      <c r="T17">
        <f>IFERROR(MATCH(6,Calc!$AI$2:$AI$11,0),"")</f>
        <v/>
      </c>
    </row>
    <row r="18">
      <c r="A18">
        <f>IF($T18="","",INDEX(Calc!$C$2:$C$11,$T18))</f>
        <v/>
      </c>
      <c r="B18">
        <f>IF($T18="","",INDEX(Calc!$D$2:$D$11,$T18))</f>
        <v/>
      </c>
      <c r="C18" s="6">
        <f>IF($T18="","",INDEX(Calc!$H$2:$H$11,$T18))</f>
        <v/>
      </c>
      <c r="D18" s="7">
        <f>IF($T18="","",INDEX(Calc!$I$2:$I$11,$T18))</f>
        <v/>
      </c>
      <c r="E18" s="7">
        <f>IF($T18="","",INDEX(Calc!$J$2:$J$11,$T18))</f>
        <v/>
      </c>
      <c r="F18" s="7">
        <f>IF($T18="","",INDEX(Calc!$K$2:$K$11,$T18))</f>
        <v/>
      </c>
      <c r="G18" s="6">
        <f>IF($T18="","",INDEX(Calc!$M$2:$M$11,$T18))</f>
        <v/>
      </c>
      <c r="H18" s="7">
        <f>IF($T18="","",INDEX(Calc!$Y$2:$Y$11,$T18))</f>
        <v/>
      </c>
      <c r="I18" s="7">
        <f>IF($T18="","",INDEX(Calc!$AE$2:$AE$11,$T18))</f>
        <v/>
      </c>
      <c r="J18">
        <f>IF($T18="","",IFERROR(INDEX(Projections!$E$2:$E$11,MATCH(INDEX(Calc!$A$2:$A$11,$T18)&amp;"|K1",Projections!$AA$2:$AA$11,0)),""))</f>
        <v/>
      </c>
      <c r="K18" s="6">
        <f>IF($T18="","",IFERROR(INDEX(Projections!$H$2:$H$11,MATCH(INDEX(Calc!$A$2:$A$11,$T18)&amp;"|K1",Projections!$AA$2:$AA$11,0)),""))</f>
        <v/>
      </c>
      <c r="L18" s="7">
        <f>IF($T18="","",INDEX(Calc!$AK$2:$AK$11,$T18))</f>
        <v/>
      </c>
      <c r="M18">
        <f>IF($T18="","",IFERROR(INDEX(Projections!$E$2:$E$11,MATCH(INDEX(Calc!$A$2:$A$11,$T18)&amp;"|"&amp;INDEX(Calc!$AJ$2:$AJ$11,$T18),Projections!$AA$2:$AA$11,0)),""))</f>
        <v/>
      </c>
      <c r="N18" s="6">
        <f>IF($T18="","",IFERROR(INDEX(Projections!$H$2:$H$11,MATCH(INDEX(Calc!$A$2:$A$11,$T18)&amp;"|"&amp;INDEX(Calc!$AJ$2:$AJ$11,$T18),Projections!$AA$2:$AA$11,0)),""))</f>
        <v/>
      </c>
      <c r="O18">
        <f>IF($T18="","",IFERROR(INDEX(Projections!$N$2:$N$11,MATCH(INDEX(Calc!$A$2:$A$11,$T18)&amp;"|K1",Projections!$AA$2:$AA$11,0)),IFERROR(INDEX(Projections!$N$2:$N$11,MATCH(INDEX(Calc!$A$2:$A$11,$T18)&amp;"|"&amp;INDEX(Calc!$AJ$2:$AJ$11,$T18),Projections!$AA$2:$AA$11,0)),"")))</f>
        <v/>
      </c>
      <c r="P18" s="6">
        <f>IF($T18="","",IFERROR(INDEX(Projections!$S$2:$S$11,MATCH(INDEX(Calc!$A$2:$A$11,$T18)&amp;"|K1",Projections!$AA$2:$AA$11,0)),IFERROR(INDEX(Projections!$S$2:$S$11,MATCH(INDEX(Calc!$A$2:$A$11,$T18)&amp;"|"&amp;INDEX(Calc!$AJ$2:$AJ$11,$T18),Projections!$AA$2:$AA$11,0)),"")))</f>
        <v/>
      </c>
      <c r="Q18">
        <f>IF($T18="","",INDEX(Calc!$G$2:$G$11,$T18))</f>
        <v/>
      </c>
      <c r="R18">
        <f>IF($T18="","",INDEX(Calc!$AH$2:$AH$11,$T18))</f>
        <v/>
      </c>
      <c r="T18">
        <f>IFERROR(MATCH(7,Calc!$AI$2:$AI$11,0),"")</f>
        <v/>
      </c>
    </row>
    <row r="19">
      <c r="A19">
        <f>IF($T19="","",INDEX(Calc!$C$2:$C$11,$T19))</f>
        <v/>
      </c>
      <c r="B19">
        <f>IF($T19="","",INDEX(Calc!$D$2:$D$11,$T19))</f>
        <v/>
      </c>
      <c r="C19" s="6">
        <f>IF($T19="","",INDEX(Calc!$H$2:$H$11,$T19))</f>
        <v/>
      </c>
      <c r="D19" s="7">
        <f>IF($T19="","",INDEX(Calc!$I$2:$I$11,$T19))</f>
        <v/>
      </c>
      <c r="E19" s="7">
        <f>IF($T19="","",INDEX(Calc!$J$2:$J$11,$T19))</f>
        <v/>
      </c>
      <c r="F19" s="7">
        <f>IF($T19="","",INDEX(Calc!$K$2:$K$11,$T19))</f>
        <v/>
      </c>
      <c r="G19" s="6">
        <f>IF($T19="","",INDEX(Calc!$M$2:$M$11,$T19))</f>
        <v/>
      </c>
      <c r="H19" s="7">
        <f>IF($T19="","",INDEX(Calc!$Y$2:$Y$11,$T19))</f>
        <v/>
      </c>
      <c r="I19" s="7">
        <f>IF($T19="","",INDEX(Calc!$AE$2:$AE$11,$T19))</f>
        <v/>
      </c>
      <c r="J19">
        <f>IF($T19="","",IFERROR(INDEX(Projections!$E$2:$E$11,MATCH(INDEX(Calc!$A$2:$A$11,$T19)&amp;"|K1",Projections!$AA$2:$AA$11,0)),""))</f>
        <v/>
      </c>
      <c r="K19" s="6">
        <f>IF($T19="","",IFERROR(INDEX(Projections!$H$2:$H$11,MATCH(INDEX(Calc!$A$2:$A$11,$T19)&amp;"|K1",Projections!$AA$2:$AA$11,0)),""))</f>
        <v/>
      </c>
      <c r="L19" s="7">
        <f>IF($T19="","",INDEX(Calc!$AK$2:$AK$11,$T19))</f>
        <v/>
      </c>
      <c r="M19">
        <f>IF($T19="","",IFERROR(INDEX(Projections!$E$2:$E$11,MATCH(INDEX(Calc!$A$2:$A$11,$T19)&amp;"|"&amp;INDEX(Calc!$AJ$2:$AJ$11,$T19),Projections!$AA$2:$AA$11,0)),""))</f>
        <v/>
      </c>
      <c r="N19" s="6">
        <f>IF($T19="","",IFERROR(INDEX(Projections!$H$2:$H$11,MATCH(INDEX(Calc!$A$2:$A$11,$T19)&amp;"|"&amp;INDEX(Calc!$AJ$2:$AJ$11,$T19),Projections!$AA$2:$AA$11,0)),""))</f>
        <v/>
      </c>
      <c r="O19">
        <f>IF($T19="","",IFERROR(INDEX(Projections!$N$2:$N$11,MATCH(INDEX(Calc!$A$2:$A$11,$T19)&amp;"|K1",Projections!$AA$2:$AA$11,0)),IFERROR(INDEX(Projections!$N$2:$N$11,MATCH(INDEX(Calc!$A$2:$A$11,$T19)&amp;"|"&amp;INDEX(Calc!$AJ$2:$AJ$11,$T19),Projections!$AA$2:$AA$11,0)),"")))</f>
        <v/>
      </c>
      <c r="P19" s="6">
        <f>IF($T19="","",IFERROR(INDEX(Projections!$S$2:$S$11,MATCH(INDEX(Calc!$A$2:$A$11,$T19)&amp;"|K1",Projections!$AA$2:$AA$11,0)),IFERROR(INDEX(Projections!$S$2:$S$11,MATCH(INDEX(Calc!$A$2:$A$11,$T19)&amp;"|"&amp;INDEX(Calc!$AJ$2:$AJ$11,$T19),Projections!$AA$2:$AA$11,0)),"")))</f>
        <v/>
      </c>
      <c r="Q19">
        <f>IF($T19="","",INDEX(Calc!$G$2:$G$11,$T19))</f>
        <v/>
      </c>
      <c r="R19">
        <f>IF($T19="","",INDEX(Calc!$AH$2:$AH$11,$T19))</f>
        <v/>
      </c>
      <c r="T19">
        <f>IFERROR(MATCH(8,Calc!$AI$2:$AI$11,0),"")</f>
        <v/>
      </c>
    </row>
    <row r="20">
      <c r="A20">
        <f>IF($T20="","",INDEX(Calc!$C$2:$C$11,$T20))</f>
        <v/>
      </c>
      <c r="B20">
        <f>IF($T20="","",INDEX(Calc!$D$2:$D$11,$T20))</f>
        <v/>
      </c>
      <c r="C20" s="6">
        <f>IF($T20="","",INDEX(Calc!$H$2:$H$11,$T20))</f>
        <v/>
      </c>
      <c r="D20" s="7">
        <f>IF($T20="","",INDEX(Calc!$I$2:$I$11,$T20))</f>
        <v/>
      </c>
      <c r="E20" s="7">
        <f>IF($T20="","",INDEX(Calc!$J$2:$J$11,$T20))</f>
        <v/>
      </c>
      <c r="F20" s="7">
        <f>IF($T20="","",INDEX(Calc!$K$2:$K$11,$T20))</f>
        <v/>
      </c>
      <c r="G20" s="6">
        <f>IF($T20="","",INDEX(Calc!$M$2:$M$11,$T20))</f>
        <v/>
      </c>
      <c r="H20" s="7">
        <f>IF($T20="","",INDEX(Calc!$Y$2:$Y$11,$T20))</f>
        <v/>
      </c>
      <c r="I20" s="7">
        <f>IF($T20="","",INDEX(Calc!$AE$2:$AE$11,$T20))</f>
        <v/>
      </c>
      <c r="J20">
        <f>IF($T20="","",IFERROR(INDEX(Projections!$E$2:$E$11,MATCH(INDEX(Calc!$A$2:$A$11,$T20)&amp;"|K1",Projections!$AA$2:$AA$11,0)),""))</f>
        <v/>
      </c>
      <c r="K20" s="6">
        <f>IF($T20="","",IFERROR(INDEX(Projections!$H$2:$H$11,MATCH(INDEX(Calc!$A$2:$A$11,$T20)&amp;"|K1",Projections!$AA$2:$AA$11,0)),""))</f>
        <v/>
      </c>
      <c r="L20" s="7">
        <f>IF($T20="","",INDEX(Calc!$AK$2:$AK$11,$T20))</f>
        <v/>
      </c>
      <c r="M20">
        <f>IF($T20="","",IFERROR(INDEX(Projections!$E$2:$E$11,MATCH(INDEX(Calc!$A$2:$A$11,$T20)&amp;"|"&amp;INDEX(Calc!$AJ$2:$AJ$11,$T20),Projections!$AA$2:$AA$11,0)),""))</f>
        <v/>
      </c>
      <c r="N20" s="6">
        <f>IF($T20="","",IFERROR(INDEX(Projections!$H$2:$H$11,MATCH(INDEX(Calc!$A$2:$A$11,$T20)&amp;"|"&amp;INDEX(Calc!$AJ$2:$AJ$11,$T20),Projections!$AA$2:$AA$11,0)),""))</f>
        <v/>
      </c>
      <c r="O20">
        <f>IF($T20="","",IFERROR(INDEX(Projections!$N$2:$N$11,MATCH(INDEX(Calc!$A$2:$A$11,$T20)&amp;"|K1",Projections!$AA$2:$AA$11,0)),IFERROR(INDEX(Projections!$N$2:$N$11,MATCH(INDEX(Calc!$A$2:$A$11,$T20)&amp;"|"&amp;INDEX(Calc!$AJ$2:$AJ$11,$T20),Projections!$AA$2:$AA$11,0)),"")))</f>
        <v/>
      </c>
      <c r="P20" s="6">
        <f>IF($T20="","",IFERROR(INDEX(Projections!$S$2:$S$11,MATCH(INDEX(Calc!$A$2:$A$11,$T20)&amp;"|K1",Projections!$AA$2:$AA$11,0)),IFERROR(INDEX(Projections!$S$2:$S$11,MATCH(INDEX(Calc!$A$2:$A$11,$T20)&amp;"|"&amp;INDEX(Calc!$AJ$2:$AJ$11,$T20),Projections!$AA$2:$AA$11,0)),"")))</f>
        <v/>
      </c>
      <c r="Q20">
        <f>IF($T20="","",INDEX(Calc!$G$2:$G$11,$T20))</f>
        <v/>
      </c>
      <c r="R20">
        <f>IF($T20="","",INDEX(Calc!$AH$2:$AH$11,$T20))</f>
        <v/>
      </c>
      <c r="T20">
        <f>IFERROR(MATCH(9,Calc!$AI$2:$AI$11,0),"")</f>
        <v/>
      </c>
    </row>
    <row r="21">
      <c r="A21">
        <f>IF($T21="","",INDEX(Calc!$C$2:$C$11,$T21))</f>
        <v/>
      </c>
      <c r="B21">
        <f>IF($T21="","",INDEX(Calc!$D$2:$D$11,$T21))</f>
        <v/>
      </c>
      <c r="C21" s="6">
        <f>IF($T21="","",INDEX(Calc!$H$2:$H$11,$T21))</f>
        <v/>
      </c>
      <c r="D21" s="7">
        <f>IF($T21="","",INDEX(Calc!$I$2:$I$11,$T21))</f>
        <v/>
      </c>
      <c r="E21" s="7">
        <f>IF($T21="","",INDEX(Calc!$J$2:$J$11,$T21))</f>
        <v/>
      </c>
      <c r="F21" s="7">
        <f>IF($T21="","",INDEX(Calc!$K$2:$K$11,$T21))</f>
        <v/>
      </c>
      <c r="G21" s="6">
        <f>IF($T21="","",INDEX(Calc!$M$2:$M$11,$T21))</f>
        <v/>
      </c>
      <c r="H21" s="7">
        <f>IF($T21="","",INDEX(Calc!$Y$2:$Y$11,$T21))</f>
        <v/>
      </c>
      <c r="I21" s="7">
        <f>IF($T21="","",INDEX(Calc!$AE$2:$AE$11,$T21))</f>
        <v/>
      </c>
      <c r="J21">
        <f>IF($T21="","",IFERROR(INDEX(Projections!$E$2:$E$11,MATCH(INDEX(Calc!$A$2:$A$11,$T21)&amp;"|K1",Projections!$AA$2:$AA$11,0)),""))</f>
        <v/>
      </c>
      <c r="K21" s="6">
        <f>IF($T21="","",IFERROR(INDEX(Projections!$H$2:$H$11,MATCH(INDEX(Calc!$A$2:$A$11,$T21)&amp;"|K1",Projections!$AA$2:$AA$11,0)),""))</f>
        <v/>
      </c>
      <c r="L21" s="7">
        <f>IF($T21="","",INDEX(Calc!$AK$2:$AK$11,$T21))</f>
        <v/>
      </c>
      <c r="M21">
        <f>IF($T21="","",IFERROR(INDEX(Projections!$E$2:$E$11,MATCH(INDEX(Calc!$A$2:$A$11,$T21)&amp;"|"&amp;INDEX(Calc!$AJ$2:$AJ$11,$T21),Projections!$AA$2:$AA$11,0)),""))</f>
        <v/>
      </c>
      <c r="N21" s="6">
        <f>IF($T21="","",IFERROR(INDEX(Projections!$H$2:$H$11,MATCH(INDEX(Calc!$A$2:$A$11,$T21)&amp;"|"&amp;INDEX(Calc!$AJ$2:$AJ$11,$T21),Projections!$AA$2:$AA$11,0)),""))</f>
        <v/>
      </c>
      <c r="O21">
        <f>IF($T21="","",IFERROR(INDEX(Projections!$N$2:$N$11,MATCH(INDEX(Calc!$A$2:$A$11,$T21)&amp;"|K1",Projections!$AA$2:$AA$11,0)),IFERROR(INDEX(Projections!$N$2:$N$11,MATCH(INDEX(Calc!$A$2:$A$11,$T21)&amp;"|"&amp;INDEX(Calc!$AJ$2:$AJ$11,$T21),Projections!$AA$2:$AA$11,0)),"")))</f>
        <v/>
      </c>
      <c r="P21" s="6">
        <f>IF($T21="","",IFERROR(INDEX(Projections!$S$2:$S$11,MATCH(INDEX(Calc!$A$2:$A$11,$T21)&amp;"|K1",Projections!$AA$2:$AA$11,0)),IFERROR(INDEX(Projections!$S$2:$S$11,MATCH(INDEX(Calc!$A$2:$A$11,$T21)&amp;"|"&amp;INDEX(Calc!$AJ$2:$AJ$11,$T21),Projections!$AA$2:$AA$11,0)),"")))</f>
        <v/>
      </c>
      <c r="Q21">
        <f>IF($T21="","",INDEX(Calc!$G$2:$G$11,$T21))</f>
        <v/>
      </c>
      <c r="R21">
        <f>IF($T21="","",INDEX(Calc!$AH$2:$AH$11,$T21))</f>
        <v/>
      </c>
      <c r="T21">
        <f>IFERROR(MATCH(10,Calc!$AI$2:$AI$11,0),"")</f>
        <v/>
      </c>
    </row>
    <row r="22">
      <c r="A22">
        <f>IF($T22="","",INDEX(Calc!$C$2:$C$11,$T22))</f>
        <v/>
      </c>
      <c r="B22">
        <f>IF($T22="","",INDEX(Calc!$D$2:$D$11,$T22))</f>
        <v/>
      </c>
      <c r="C22" s="6">
        <f>IF($T22="","",INDEX(Calc!$H$2:$H$11,$T22))</f>
        <v/>
      </c>
      <c r="D22" s="7">
        <f>IF($T22="","",INDEX(Calc!$I$2:$I$11,$T22))</f>
        <v/>
      </c>
      <c r="E22" s="7">
        <f>IF($T22="","",INDEX(Calc!$J$2:$J$11,$T22))</f>
        <v/>
      </c>
      <c r="F22" s="7">
        <f>IF($T22="","",INDEX(Calc!$K$2:$K$11,$T22))</f>
        <v/>
      </c>
      <c r="G22" s="6">
        <f>IF($T22="","",INDEX(Calc!$M$2:$M$11,$T22))</f>
        <v/>
      </c>
      <c r="H22" s="7">
        <f>IF($T22="","",INDEX(Calc!$Y$2:$Y$11,$T22))</f>
        <v/>
      </c>
      <c r="I22" s="7">
        <f>IF($T22="","",INDEX(Calc!$AE$2:$AE$11,$T22))</f>
        <v/>
      </c>
      <c r="J22">
        <f>IF($T22="","",IFERROR(INDEX(Projections!$E$2:$E$11,MATCH(INDEX(Calc!$A$2:$A$11,$T22)&amp;"|K1",Projections!$AA$2:$AA$11,0)),""))</f>
        <v/>
      </c>
      <c r="K22" s="6">
        <f>IF($T22="","",IFERROR(INDEX(Projections!$H$2:$H$11,MATCH(INDEX(Calc!$A$2:$A$11,$T22)&amp;"|K1",Projections!$AA$2:$AA$11,0)),""))</f>
        <v/>
      </c>
      <c r="L22" s="7">
        <f>IF($T22="","",INDEX(Calc!$AK$2:$AK$11,$T22))</f>
        <v/>
      </c>
      <c r="M22">
        <f>IF($T22="","",IFERROR(INDEX(Projections!$E$2:$E$11,MATCH(INDEX(Calc!$A$2:$A$11,$T22)&amp;"|"&amp;INDEX(Calc!$AJ$2:$AJ$11,$T22),Projections!$AA$2:$AA$11,0)),""))</f>
        <v/>
      </c>
      <c r="N22" s="6">
        <f>IF($T22="","",IFERROR(INDEX(Projections!$H$2:$H$11,MATCH(INDEX(Calc!$A$2:$A$11,$T22)&amp;"|"&amp;INDEX(Calc!$AJ$2:$AJ$11,$T22),Projections!$AA$2:$AA$11,0)),""))</f>
        <v/>
      </c>
      <c r="O22">
        <f>IF($T22="","",IFERROR(INDEX(Projections!$N$2:$N$11,MATCH(INDEX(Calc!$A$2:$A$11,$T22)&amp;"|K1",Projections!$AA$2:$AA$11,0)),IFERROR(INDEX(Projections!$N$2:$N$11,MATCH(INDEX(Calc!$A$2:$A$11,$T22)&amp;"|"&amp;INDEX(Calc!$AJ$2:$AJ$11,$T22),Projections!$AA$2:$AA$11,0)),"")))</f>
        <v/>
      </c>
      <c r="P22" s="6">
        <f>IF($T22="","",IFERROR(INDEX(Projections!$S$2:$S$11,MATCH(INDEX(Calc!$A$2:$A$11,$T22)&amp;"|K1",Projections!$AA$2:$AA$11,0)),IFERROR(INDEX(Projections!$S$2:$S$11,MATCH(INDEX(Calc!$A$2:$A$11,$T22)&amp;"|"&amp;INDEX(Calc!$AJ$2:$AJ$11,$T22),Projections!$AA$2:$AA$11,0)),"")))</f>
        <v/>
      </c>
      <c r="Q22">
        <f>IF($T22="","",INDEX(Calc!$G$2:$G$11,$T22))</f>
        <v/>
      </c>
      <c r="R22">
        <f>IF($T22="","",INDEX(Calc!$AH$2:$AH$11,$T22))</f>
        <v/>
      </c>
      <c r="T22">
        <f>IFERROR(MATCH(11,Calc!$AI$2:$AI$11,0),"")</f>
        <v/>
      </c>
    </row>
    <row r="23">
      <c r="A23">
        <f>IF($T23="","",INDEX(Calc!$C$2:$C$11,$T23))</f>
        <v/>
      </c>
      <c r="B23">
        <f>IF($T23="","",INDEX(Calc!$D$2:$D$11,$T23))</f>
        <v/>
      </c>
      <c r="C23" s="6">
        <f>IF($T23="","",INDEX(Calc!$H$2:$H$11,$T23))</f>
        <v/>
      </c>
      <c r="D23" s="7">
        <f>IF($T23="","",INDEX(Calc!$I$2:$I$11,$T23))</f>
        <v/>
      </c>
      <c r="E23" s="7">
        <f>IF($T23="","",INDEX(Calc!$J$2:$J$11,$T23))</f>
        <v/>
      </c>
      <c r="F23" s="7">
        <f>IF($T23="","",INDEX(Calc!$K$2:$K$11,$T23))</f>
        <v/>
      </c>
      <c r="G23" s="6">
        <f>IF($T23="","",INDEX(Calc!$M$2:$M$11,$T23))</f>
        <v/>
      </c>
      <c r="H23" s="7">
        <f>IF($T23="","",INDEX(Calc!$Y$2:$Y$11,$T23))</f>
        <v/>
      </c>
      <c r="I23" s="7">
        <f>IF($T23="","",INDEX(Calc!$AE$2:$AE$11,$T23))</f>
        <v/>
      </c>
      <c r="J23">
        <f>IF($T23="","",IFERROR(INDEX(Projections!$E$2:$E$11,MATCH(INDEX(Calc!$A$2:$A$11,$T23)&amp;"|K1",Projections!$AA$2:$AA$11,0)),""))</f>
        <v/>
      </c>
      <c r="K23" s="6">
        <f>IF($T23="","",IFERROR(INDEX(Projections!$H$2:$H$11,MATCH(INDEX(Calc!$A$2:$A$11,$T23)&amp;"|K1",Projections!$AA$2:$AA$11,0)),""))</f>
        <v/>
      </c>
      <c r="L23" s="7">
        <f>IF($T23="","",INDEX(Calc!$AK$2:$AK$11,$T23))</f>
        <v/>
      </c>
      <c r="M23">
        <f>IF($T23="","",IFERROR(INDEX(Projections!$E$2:$E$11,MATCH(INDEX(Calc!$A$2:$A$11,$T23)&amp;"|"&amp;INDEX(Calc!$AJ$2:$AJ$11,$T23),Projections!$AA$2:$AA$11,0)),""))</f>
        <v/>
      </c>
      <c r="N23" s="6">
        <f>IF($T23="","",IFERROR(INDEX(Projections!$H$2:$H$11,MATCH(INDEX(Calc!$A$2:$A$11,$T23)&amp;"|"&amp;INDEX(Calc!$AJ$2:$AJ$11,$T23),Projections!$AA$2:$AA$11,0)),""))</f>
        <v/>
      </c>
      <c r="O23">
        <f>IF($T23="","",IFERROR(INDEX(Projections!$N$2:$N$11,MATCH(INDEX(Calc!$A$2:$A$11,$T23)&amp;"|K1",Projections!$AA$2:$AA$11,0)),IFERROR(INDEX(Projections!$N$2:$N$11,MATCH(INDEX(Calc!$A$2:$A$11,$T23)&amp;"|"&amp;INDEX(Calc!$AJ$2:$AJ$11,$T23),Projections!$AA$2:$AA$11,0)),"")))</f>
        <v/>
      </c>
      <c r="P23" s="6">
        <f>IF($T23="","",IFERROR(INDEX(Projections!$S$2:$S$11,MATCH(INDEX(Calc!$A$2:$A$11,$T23)&amp;"|K1",Projections!$AA$2:$AA$11,0)),IFERROR(INDEX(Projections!$S$2:$S$11,MATCH(INDEX(Calc!$A$2:$A$11,$T23)&amp;"|"&amp;INDEX(Calc!$AJ$2:$AJ$11,$T23),Projections!$AA$2:$AA$11,0)),"")))</f>
        <v/>
      </c>
      <c r="Q23">
        <f>IF($T23="","",INDEX(Calc!$G$2:$G$11,$T23))</f>
        <v/>
      </c>
      <c r="R23">
        <f>IF($T23="","",INDEX(Calc!$AH$2:$AH$11,$T23))</f>
        <v/>
      </c>
      <c r="T23">
        <f>IFERROR(MATCH(12,Calc!$AI$2:$AI$11,0),"")</f>
        <v/>
      </c>
    </row>
    <row r="25">
      <c r="A25" s="3" t="inlineStr">
        <is>
          <t>Proj = Σ maps of P(win map)·k_win + P(lose)·k_loss, with k_win = K̄·r/(q·r+1−q), k_loss = K̄/(q·r+1−q), r = WL_RATIO, q = his map win rate over PickFinder's sample. Naive = K̄ per map. At P(win) = q the two agree exactly. PAPER: no forward record.</t>
        </is>
      </c>
    </row>
  </sheetData>
  <conditionalFormatting sqref="K12:K23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N12:N23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1" customWidth="1" min="3" max="3"/>
    <col width="4" customWidth="1" min="4" max="4"/>
    <col width="18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7" customWidth="1" min="19" max="19"/>
    <col width="7" customWidth="1" min="20" max="20"/>
  </cols>
  <sheetData>
    <row r="1">
      <c r="A1" s="1" t="inlineStr">
        <is>
          <t>Matches — the shaded columns are yours: P(win) for each map, which maps get played, and the kill environment</t>
        </is>
      </c>
    </row>
    <row r="2">
      <c r="A2" s="3" t="inlineStr">
        <is>
          <t>Prefilled from Thunderpick, devigged: P(A wins map k) from Map k Winner (Bo1: Match Winner). Kills env × scales every projection in the match (1 = the players' own history; 1.10 = a game 10% bloodier).</t>
        </is>
      </c>
    </row>
    <row r="4">
      <c r="A4" s="8" t="inlineStr">
        <is>
          <t>Match</t>
        </is>
      </c>
      <c r="B4" s="8" t="inlineStr">
        <is>
          <t>Event</t>
        </is>
      </c>
      <c r="C4" s="8" t="inlineStr">
        <is>
          <t>Start (CT)</t>
        </is>
      </c>
      <c r="D4" s="8" t="inlineStr">
        <is>
          <t>Bo</t>
        </is>
      </c>
      <c r="E4" s="8" t="inlineStr">
        <is>
          <t>Team A</t>
        </is>
      </c>
      <c r="F4" s="8" t="inlineStr">
        <is>
          <t>Team B</t>
        </is>
      </c>
      <c r="G4" s="8" t="inlineStr">
        <is>
          <t>P(A wins)</t>
        </is>
      </c>
      <c r="H4" s="8" t="inlineStr">
        <is>
          <t>TP total kills M1</t>
        </is>
      </c>
      <c r="I4" s="8" t="inlineStr">
        <is>
          <t>TP A kills M1</t>
        </is>
      </c>
      <c r="J4" s="8" t="inlineStr">
        <is>
          <t>TP B kills M1</t>
        </is>
      </c>
      <c r="K4" s="8" t="inlineStr">
        <is>
          <t>TP duration M1</t>
        </is>
      </c>
      <c r="L4" s="8" t="inlineStr">
        <is>
          <t>TP markets</t>
        </is>
      </c>
      <c r="M4" s="8" t="inlineStr">
        <is>
          <t>P(A wins M1)</t>
        </is>
      </c>
      <c r="N4" s="8" t="inlineStr">
        <is>
          <t>P(A wins M2)</t>
        </is>
      </c>
      <c r="O4" s="8" t="inlineStr">
        <is>
          <t>P(A wins M3)</t>
        </is>
      </c>
      <c r="P4" s="8" t="inlineStr">
        <is>
          <t>P(M2 played)</t>
        </is>
      </c>
      <c r="Q4" s="8" t="inlineStr">
        <is>
          <t>P(M3 played)</t>
        </is>
      </c>
      <c r="R4" s="8" t="inlineStr">
        <is>
          <t>Kills env ×</t>
        </is>
      </c>
      <c r="S4" s="8" t="inlineStr">
        <is>
          <t>Tag A</t>
        </is>
      </c>
      <c r="T4" s="8" t="inlineStr">
        <is>
          <t>Tag B</t>
        </is>
      </c>
    </row>
    <row r="5">
      <c r="A5" t="inlineStr">
        <is>
          <t>LOL · KC vs MVK</t>
        </is>
      </c>
      <c r="B5" t="inlineStr">
        <is>
          <t>Worlds 2026</t>
        </is>
      </c>
      <c r="C5" t="inlineStr">
        <is>
          <t>Sun 13:00</t>
        </is>
      </c>
      <c r="D5" t="n">
        <v>5</v>
      </c>
      <c r="E5" t="inlineStr">
        <is>
          <t>Karmine Corp (KC)</t>
        </is>
      </c>
      <c r="F5" t="inlineStr">
        <is>
          <t>MVK Esports (MVK)</t>
        </is>
      </c>
      <c r="G5" s="6" t="n">
        <v>0.8405797101449275</v>
      </c>
      <c r="H5" s="7" t="n"/>
      <c r="I5" s="7" t="n"/>
      <c r="J5" s="7" t="n"/>
      <c r="K5" s="7" t="n"/>
      <c r="L5" t="n">
        <v>315</v>
      </c>
      <c r="M5" s="9" t="n">
        <v>0.7111</v>
      </c>
      <c r="N5" s="9" t="n">
        <v>0.7111</v>
      </c>
      <c r="O5" s="9" t="n">
        <v>0.7111</v>
      </c>
      <c r="P5" s="9" t="n">
        <v>1</v>
      </c>
      <c r="Q5" s="9" t="n">
        <v>1</v>
      </c>
      <c r="R5" s="10" t="n">
        <v>1</v>
      </c>
      <c r="S5" t="inlineStr">
        <is>
          <t>KC</t>
        </is>
      </c>
      <c r="T5" t="inlineStr">
        <is>
          <t>MVK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6" customWidth="1" min="3" max="3"/>
    <col width="14" customWidth="1" min="4" max="4"/>
    <col width="6" customWidth="1" min="5" max="5"/>
    <col width="7" customWidth="1" min="6" max="6"/>
    <col width="6" customWidth="1" min="7" max="7"/>
    <col width="8" customWidth="1" min="8" max="8"/>
    <col width="8" customWidth="1" min="9" max="9"/>
    <col width="7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6" customWidth="1" min="18" max="18"/>
    <col width="6" customWidth="1" min="19" max="19"/>
    <col width="6" customWidth="1" min="20" max="20"/>
    <col width="9" customWidth="1" min="21" max="21"/>
    <col width="6" customWidth="1" min="22" max="22"/>
    <col width="10" customWidth="1" min="23" max="23"/>
    <col width="30" customWidth="1" min="24" max="24"/>
    <col hidden="1" width="22" customWidth="1" min="25" max="25"/>
    <col hidden="1" width="5" customWidth="1" min="26" max="26"/>
    <col hidden="1" width="26" customWidth="1" min="27" max="27"/>
  </cols>
  <sheetData>
    <row r="1">
      <c r="A1" s="8" t="inlineStr">
        <is>
          <t>Match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Market</t>
        </is>
      </c>
      <c r="E1" s="8" t="inlineStr">
        <is>
          <t>Line</t>
        </is>
      </c>
      <c r="F1" s="8" t="inlineStr">
        <is>
          <t>Proj</t>
        </is>
      </c>
      <c r="G1" s="8" t="inlineStr">
        <is>
          <t>Sigma</t>
        </is>
      </c>
      <c r="H1" s="8" t="inlineStr">
        <is>
          <t>P(over)</t>
        </is>
      </c>
      <c r="I1" s="8" t="inlineStr">
        <is>
          <t>P(under)</t>
        </is>
      </c>
      <c r="J1" s="8" t="inlineStr">
        <is>
          <t>P(push)</t>
        </is>
      </c>
      <c r="K1" s="8" t="inlineStr">
        <is>
          <t>Model side (paper)</t>
        </is>
      </c>
      <c r="L1" s="8" t="inlineStr">
        <is>
          <t>Naive proj</t>
        </is>
      </c>
      <c r="M1" s="8" t="inlineStr">
        <is>
          <t>P(over) naive</t>
        </is>
      </c>
      <c r="N1" s="8" t="inlineStr">
        <is>
          <t>TP book median</t>
        </is>
      </c>
      <c r="O1" s="8" t="inlineStr">
        <is>
          <t>Map win rate q</t>
        </is>
      </c>
      <c r="P1" s="8" t="inlineStr">
        <is>
          <t>P(win M1)</t>
        </is>
      </c>
      <c r="Q1" s="8" t="inlineStr">
        <is>
          <t>PF Avg L10</t>
        </is>
      </c>
      <c r="R1" s="8" t="inlineStr">
        <is>
          <t>PF L5</t>
        </is>
      </c>
      <c r="S1" s="8" t="inlineStr">
        <is>
          <t>PF L10</t>
        </is>
      </c>
      <c r="T1" s="8" t="inlineStr">
        <is>
          <t>PF L15</t>
        </is>
      </c>
      <c r="U1" s="8" t="inlineStr">
        <is>
          <t>PF H2H</t>
        </is>
      </c>
      <c r="V1" s="8" t="inlineStr">
        <is>
          <t>PF streak</t>
        </is>
      </c>
      <c r="W1" s="8" t="inlineStr">
        <is>
          <t>Exact-line landings (15)</t>
        </is>
      </c>
      <c r="X1" s="8" t="inlineStr">
        <is>
          <t>Flags</t>
        </is>
      </c>
      <c r="Y1" s="8" t="inlineStr">
        <is>
          <t>Calc key</t>
        </is>
      </c>
      <c r="Z1" s="8" t="inlineStr">
        <is>
          <t>Code</t>
        </is>
      </c>
      <c r="AA1" s="8" t="inlineStr">
        <is>
          <t>Lookup</t>
        </is>
      </c>
    </row>
    <row r="2">
      <c r="A2" t="inlineStr">
        <is>
          <t>LOL · KC vs MVK</t>
        </is>
      </c>
      <c r="B2" t="inlineStr">
        <is>
          <t>Busio</t>
        </is>
      </c>
      <c r="C2" t="inlineStr">
        <is>
          <t>KC</t>
        </is>
      </c>
      <c r="D2" t="inlineStr">
        <is>
          <t>Maps 1-3 Kills</t>
        </is>
      </c>
      <c r="E2" t="n">
        <v>2.5</v>
      </c>
      <c r="F2" s="7">
        <f>IFERROR(INDEX(CHOOSE(MATCH($Z2,{"K1","K12","K13"},0),Calc!$Y$2:$Y$11,Calc!$AA$2:$AA$11,Calc!$AC$2:$AC$11),MATCH($Y2,Calc!$A$2:$A$11,0)),"")</f>
        <v/>
      </c>
      <c r="G2" s="7">
        <f>IFERROR(SQRT(INDEX(CHOOSE(MATCH($Z2,{"K1","K12","K13"},0),Calc!$Z$2:$Z$11,Calc!$AB$2:$AB$11,Calc!$AD$2:$AD$11),MATCH($Y2,Calc!$A$2:$A$11,0))),"")</f>
        <v/>
      </c>
      <c r="H2" s="6">
        <f>IF(OR($E2="",$F2="",N($G2)&lt;=0),"",1-NORMDIST(FLOOR($E2,1)+0.5,$F2,$G2,TRUE))</f>
        <v/>
      </c>
      <c r="I2" s="6">
        <f>IF($H2="","",NORMDIST(CEILING($E2,1)-0.5,$F2,$G2,TRUE))</f>
        <v/>
      </c>
      <c r="J2" s="6">
        <f>IF($H2="","",MAX(0,1-$H2-$I2))</f>
        <v/>
      </c>
      <c r="K2">
        <f>IF($H2="","",IF($H2&gt;=0.5+Config!$B$8,"OVER",IF($I2&gt;=0.5+Config!$B$8,"UNDER","—")))</f>
        <v/>
      </c>
      <c r="L2" s="7">
        <f>IFERROR(INDEX(CHOOSE(MATCH($Z2,{"K1","K12","K13"},0),Calc!$AE$2:$AE$11,Calc!$AF$2:$AF$11,Calc!$AG$2:$AG$11),MATCH($Y2,Calc!$A$2:$A$11,0)),"")</f>
        <v/>
      </c>
      <c r="M2" s="6">
        <f>IF(OR($E2="",$L2="",N($G2)&lt;=0),"",1-NORMDIST(FLOOR($E2,1)+0.5,$L2,$G2*SQRT($L2/$F2),TRUE))</f>
        <v/>
      </c>
      <c r="O2" s="6">
        <f>IFERROR(INDEX(Calc!$H$2:$H$11,MATCH($Y2,Calc!$A$2:$A$11,0)),"")</f>
        <v/>
      </c>
      <c r="P2" s="6">
        <f>IFERROR(INDEX(Calc!$M$2:$M$11,MATCH($Y2,Calc!$A$2:$A$11,0)),"")</f>
        <v/>
      </c>
      <c r="Q2" t="n">
        <v>2.9</v>
      </c>
      <c r="R2" s="6" t="n">
        <v>0.2</v>
      </c>
      <c r="S2" s="6" t="n">
        <v>0.4</v>
      </c>
      <c r="T2" s="6" t="n">
        <v>0.47</v>
      </c>
      <c r="U2" t="inlineStr">
        <is>
          <t>100%/1/1</t>
        </is>
      </c>
      <c r="V2" t="n">
        <v>1</v>
      </c>
      <c r="X2">
        <f>IFERROR(INDEX(Calc!$AH$2:$AH$11,MATCH($Y2,Calc!$A$2:$A$11,0)),"")</f>
        <v/>
      </c>
      <c r="Y2" t="inlineStr">
        <is>
          <t>s5zw84wcumkore8|LOL · KC vs MVK</t>
        </is>
      </c>
      <c r="Z2" t="inlineStr">
        <is>
          <t>K13</t>
        </is>
      </c>
      <c r="AA2">
        <f>Y2&amp;"|"&amp;Z2</f>
        <v/>
      </c>
    </row>
    <row r="3">
      <c r="A3" t="inlineStr">
        <is>
          <t>LOL · KC vs MVK</t>
        </is>
      </c>
      <c r="B3" t="inlineStr">
        <is>
          <t>Caliste</t>
        </is>
      </c>
      <c r="C3" t="inlineStr">
        <is>
          <t>KC</t>
        </is>
      </c>
      <c r="D3" t="inlineStr">
        <is>
          <t>Maps 1-3 Kills</t>
        </is>
      </c>
      <c r="E3" t="n">
        <v>15.5</v>
      </c>
      <c r="F3" s="7">
        <f>IFERROR(INDEX(CHOOSE(MATCH($Z3,{"K1","K12","K13"},0),Calc!$Y$2:$Y$11,Calc!$AA$2:$AA$11,Calc!$AC$2:$AC$11),MATCH($Y3,Calc!$A$2:$A$11,0)),"")</f>
        <v/>
      </c>
      <c r="G3" s="7">
        <f>IFERROR(SQRT(INDEX(CHOOSE(MATCH($Z3,{"K1","K12","K13"},0),Calc!$Z$2:$Z$11,Calc!$AB$2:$AB$11,Calc!$AD$2:$AD$11),MATCH($Y3,Calc!$A$2:$A$11,0))),"")</f>
        <v/>
      </c>
      <c r="H3" s="6">
        <f>IF(OR($E3="",$F3="",N($G3)&lt;=0),"",1-NORMDIST(FLOOR($E3,1)+0.5,$F3,$G3,TRUE))</f>
        <v/>
      </c>
      <c r="I3" s="6">
        <f>IF($H3="","",NORMDIST(CEILING($E3,1)-0.5,$F3,$G3,TRUE))</f>
        <v/>
      </c>
      <c r="J3" s="6">
        <f>IF($H3="","",MAX(0,1-$H3-$I3))</f>
        <v/>
      </c>
      <c r="K3">
        <f>IF($H3="","",IF($H3&gt;=0.5+Config!$B$8,"OVER",IF($I3&gt;=0.5+Config!$B$8,"UNDER","—")))</f>
        <v/>
      </c>
      <c r="L3" s="7">
        <f>IFERROR(INDEX(CHOOSE(MATCH($Z3,{"K1","K12","K13"},0),Calc!$AE$2:$AE$11,Calc!$AF$2:$AF$11,Calc!$AG$2:$AG$11),MATCH($Y3,Calc!$A$2:$A$11,0)),"")</f>
        <v/>
      </c>
      <c r="M3" s="6">
        <f>IF(OR($E3="",$L3="",N($G3)&lt;=0),"",1-NORMDIST(FLOOR($E3,1)+0.5,$L3,$G3*SQRT($L3/$F3),TRUE))</f>
        <v/>
      </c>
      <c r="O3" s="6">
        <f>IFERROR(INDEX(Calc!$H$2:$H$11,MATCH($Y3,Calc!$A$2:$A$11,0)),"")</f>
        <v/>
      </c>
      <c r="P3" s="6">
        <f>IFERROR(INDEX(Calc!$M$2:$M$11,MATCH($Y3,Calc!$A$2:$A$11,0)),"")</f>
        <v/>
      </c>
      <c r="Q3" t="n">
        <v>12.4</v>
      </c>
      <c r="R3" s="6" t="n">
        <v>0</v>
      </c>
      <c r="S3" s="6" t="n">
        <v>0.3</v>
      </c>
      <c r="T3" s="6" t="n">
        <v>0.27</v>
      </c>
      <c r="U3" t="inlineStr">
        <is>
          <t>0%/0/1</t>
        </is>
      </c>
      <c r="V3" t="n">
        <v>-5</v>
      </c>
      <c r="X3">
        <f>IFERROR(INDEX(Calc!$AH$2:$AH$11,MATCH($Y3,Calc!$A$2:$A$11,0)),"")</f>
        <v/>
      </c>
      <c r="Y3" t="inlineStr">
        <is>
          <t>60n3jocjohvthia|LOL · KC vs MVK</t>
        </is>
      </c>
      <c r="Z3" t="inlineStr">
        <is>
          <t>K13</t>
        </is>
      </c>
      <c r="AA3">
        <f>Y3&amp;"|"&amp;Z3</f>
        <v/>
      </c>
    </row>
    <row r="4">
      <c r="A4" t="inlineStr">
        <is>
          <t>LOL · KC vs MVK</t>
        </is>
      </c>
      <c r="B4" t="inlineStr">
        <is>
          <t>Canna</t>
        </is>
      </c>
      <c r="C4" t="inlineStr">
        <is>
          <t>KC</t>
        </is>
      </c>
      <c r="D4" t="inlineStr">
        <is>
          <t>Maps 1-3 Kills</t>
        </is>
      </c>
      <c r="E4" t="n">
        <v>9.5</v>
      </c>
      <c r="F4" s="7">
        <f>IFERROR(INDEX(CHOOSE(MATCH($Z4,{"K1","K12","K13"},0),Calc!$Y$2:$Y$11,Calc!$AA$2:$AA$11,Calc!$AC$2:$AC$11),MATCH($Y4,Calc!$A$2:$A$11,0)),"")</f>
        <v/>
      </c>
      <c r="G4" s="7">
        <f>IFERROR(SQRT(INDEX(CHOOSE(MATCH($Z4,{"K1","K12","K13"},0),Calc!$Z$2:$Z$11,Calc!$AB$2:$AB$11,Calc!$AD$2:$AD$11),MATCH($Y4,Calc!$A$2:$A$11,0))),"")</f>
        <v/>
      </c>
      <c r="H4" s="6">
        <f>IF(OR($E4="",$F4="",N($G4)&lt;=0),"",1-NORMDIST(FLOOR($E4,1)+0.5,$F4,$G4,TRUE))</f>
        <v/>
      </c>
      <c r="I4" s="6">
        <f>IF($H4="","",NORMDIST(CEILING($E4,1)-0.5,$F4,$G4,TRUE))</f>
        <v/>
      </c>
      <c r="J4" s="6">
        <f>IF($H4="","",MAX(0,1-$H4-$I4))</f>
        <v/>
      </c>
      <c r="K4">
        <f>IF($H4="","",IF($H4&gt;=0.5+Config!$B$8,"OVER",IF($I4&gt;=0.5+Config!$B$8,"UNDER","—")))</f>
        <v/>
      </c>
      <c r="L4" s="7">
        <f>IFERROR(INDEX(CHOOSE(MATCH($Z4,{"K1","K12","K13"},0),Calc!$AE$2:$AE$11,Calc!$AF$2:$AF$11,Calc!$AG$2:$AG$11),MATCH($Y4,Calc!$A$2:$A$11,0)),"")</f>
        <v/>
      </c>
      <c r="M4" s="6">
        <f>IF(OR($E4="",$L4="",N($G4)&lt;=0),"",1-NORMDIST(FLOOR($E4,1)+0.5,$L4,$G4*SQRT($L4/$F4),TRUE))</f>
        <v/>
      </c>
      <c r="O4" s="6">
        <f>IFERROR(INDEX(Calc!$H$2:$H$11,MATCH($Y4,Calc!$A$2:$A$11,0)),"")</f>
        <v/>
      </c>
      <c r="P4" s="6">
        <f>IFERROR(INDEX(Calc!$M$2:$M$11,MATCH($Y4,Calc!$A$2:$A$11,0)),"")</f>
        <v/>
      </c>
      <c r="Q4" t="n">
        <v>9.199999999999999</v>
      </c>
      <c r="R4" s="6" t="n">
        <v>0.2</v>
      </c>
      <c r="S4" s="6" t="n">
        <v>0.4</v>
      </c>
      <c r="T4" s="6" t="n">
        <v>0.47</v>
      </c>
      <c r="U4" t="inlineStr">
        <is>
          <t>0%/0/1</t>
        </is>
      </c>
      <c r="V4" t="n">
        <v>-4</v>
      </c>
      <c r="X4">
        <f>IFERROR(INDEX(Calc!$AH$2:$AH$11,MATCH($Y4,Calc!$A$2:$A$11,0)),"")</f>
        <v/>
      </c>
      <c r="Y4" t="inlineStr">
        <is>
          <t>5h8ktthuwylbro2|LOL · KC vs MVK</t>
        </is>
      </c>
      <c r="Z4" t="inlineStr">
        <is>
          <t>K13</t>
        </is>
      </c>
      <c r="AA4">
        <f>Y4&amp;"|"&amp;Z4</f>
        <v/>
      </c>
    </row>
    <row r="5">
      <c r="A5" t="inlineStr">
        <is>
          <t>LOL · KC vs MVK</t>
        </is>
      </c>
      <c r="B5" t="inlineStr">
        <is>
          <t>Kyeahoo</t>
        </is>
      </c>
      <c r="C5" t="inlineStr">
        <is>
          <t>KC</t>
        </is>
      </c>
      <c r="D5" t="inlineStr">
        <is>
          <t>Maps 1-3 Kills</t>
        </is>
      </c>
      <c r="E5" t="n">
        <v>11.5</v>
      </c>
      <c r="F5" s="7">
        <f>IFERROR(INDEX(CHOOSE(MATCH($Z5,{"K1","K12","K13"},0),Calc!$Y$2:$Y$11,Calc!$AA$2:$AA$11,Calc!$AC$2:$AC$11),MATCH($Y5,Calc!$A$2:$A$11,0)),"")</f>
        <v/>
      </c>
      <c r="G5" s="7">
        <f>IFERROR(SQRT(INDEX(CHOOSE(MATCH($Z5,{"K1","K12","K13"},0),Calc!$Z$2:$Z$11,Calc!$AB$2:$AB$11,Calc!$AD$2:$AD$11),MATCH($Y5,Calc!$A$2:$A$11,0))),"")</f>
        <v/>
      </c>
      <c r="H5" s="6">
        <f>IF(OR($E5="",$F5="",N($G5)&lt;=0),"",1-NORMDIST(FLOOR($E5,1)+0.5,$F5,$G5,TRUE))</f>
        <v/>
      </c>
      <c r="I5" s="6">
        <f>IF($H5="","",NORMDIST(CEILING($E5,1)-0.5,$F5,$G5,TRUE))</f>
        <v/>
      </c>
      <c r="J5" s="6">
        <f>IF($H5="","",MAX(0,1-$H5-$I5))</f>
        <v/>
      </c>
      <c r="K5">
        <f>IF($H5="","",IF($H5&gt;=0.5+Config!$B$8,"OVER",IF($I5&gt;=0.5+Config!$B$8,"UNDER","—")))</f>
        <v/>
      </c>
      <c r="L5" s="7">
        <f>IFERROR(INDEX(CHOOSE(MATCH($Z5,{"K1","K12","K13"},0),Calc!$AE$2:$AE$11,Calc!$AF$2:$AF$11,Calc!$AG$2:$AG$11),MATCH($Y5,Calc!$A$2:$A$11,0)),"")</f>
        <v/>
      </c>
      <c r="M5" s="6">
        <f>IF(OR($E5="",$L5="",N($G5)&lt;=0),"",1-NORMDIST(FLOOR($E5,1)+0.5,$L5,$G5*SQRT($L5/$F5),TRUE))</f>
        <v/>
      </c>
      <c r="O5" s="6">
        <f>IFERROR(INDEX(Calc!$H$2:$H$11,MATCH($Y5,Calc!$A$2:$A$11,0)),"")</f>
        <v/>
      </c>
      <c r="P5" s="6">
        <f>IFERROR(INDEX(Calc!$M$2:$M$11,MATCH($Y5,Calc!$A$2:$A$11,0)),"")</f>
        <v/>
      </c>
      <c r="Q5" t="n">
        <v>7.6</v>
      </c>
      <c r="R5" s="6" t="n">
        <v>0</v>
      </c>
      <c r="S5" s="6" t="n">
        <v>0</v>
      </c>
      <c r="T5" s="6" t="n">
        <v>0.13</v>
      </c>
      <c r="U5" t="inlineStr">
        <is>
          <t>0%/0/1</t>
        </is>
      </c>
      <c r="V5" t="n">
        <v>-12</v>
      </c>
      <c r="X5">
        <f>IFERROR(INDEX(Calc!$AH$2:$AH$11,MATCH($Y5,Calc!$A$2:$A$11,0)),"")</f>
        <v/>
      </c>
      <c r="Y5" t="inlineStr">
        <is>
          <t>cp4ibkwui10xeyj|LOL · KC vs MVK</t>
        </is>
      </c>
      <c r="Z5" t="inlineStr">
        <is>
          <t>K13</t>
        </is>
      </c>
      <c r="AA5">
        <f>Y5&amp;"|"&amp;Z5</f>
        <v/>
      </c>
    </row>
    <row r="6">
      <c r="A6" t="inlineStr">
        <is>
          <t>LOL · KC vs MVK</t>
        </is>
      </c>
      <c r="B6" t="inlineStr">
        <is>
          <t>Yike</t>
        </is>
      </c>
      <c r="C6" t="inlineStr">
        <is>
          <t>KC</t>
        </is>
      </c>
      <c r="D6" t="inlineStr">
        <is>
          <t>Maps 1-3 Kills</t>
        </is>
      </c>
      <c r="E6" t="n">
        <v>12.5</v>
      </c>
      <c r="F6" s="7">
        <f>IFERROR(INDEX(CHOOSE(MATCH($Z6,{"K1","K12","K13"},0),Calc!$Y$2:$Y$11,Calc!$AA$2:$AA$11,Calc!$AC$2:$AC$11),MATCH($Y6,Calc!$A$2:$A$11,0)),"")</f>
        <v/>
      </c>
      <c r="G6" s="7">
        <f>IFERROR(SQRT(INDEX(CHOOSE(MATCH($Z6,{"K1","K12","K13"},0),Calc!$Z$2:$Z$11,Calc!$AB$2:$AB$11,Calc!$AD$2:$AD$11),MATCH($Y6,Calc!$A$2:$A$11,0))),"")</f>
        <v/>
      </c>
      <c r="H6" s="6">
        <f>IF(OR($E6="",$F6="",N($G6)&lt;=0),"",1-NORMDIST(FLOOR($E6,1)+0.5,$F6,$G6,TRUE))</f>
        <v/>
      </c>
      <c r="I6" s="6">
        <f>IF($H6="","",NORMDIST(CEILING($E6,1)-0.5,$F6,$G6,TRUE))</f>
        <v/>
      </c>
      <c r="J6" s="6">
        <f>IF($H6="","",MAX(0,1-$H6-$I6))</f>
        <v/>
      </c>
      <c r="K6">
        <f>IF($H6="","",IF($H6&gt;=0.5+Config!$B$8,"OVER",IF($I6&gt;=0.5+Config!$B$8,"UNDER","—")))</f>
        <v/>
      </c>
      <c r="L6" s="7">
        <f>IFERROR(INDEX(CHOOSE(MATCH($Z6,{"K1","K12","K13"},0),Calc!$AE$2:$AE$11,Calc!$AF$2:$AF$11,Calc!$AG$2:$AG$11),MATCH($Y6,Calc!$A$2:$A$11,0)),"")</f>
        <v/>
      </c>
      <c r="M6" s="6">
        <f>IF(OR($E6="",$L6="",N($G6)&lt;=0),"",1-NORMDIST(FLOOR($E6,1)+0.5,$L6,$G6*SQRT($L6/$F6),TRUE))</f>
        <v/>
      </c>
      <c r="O6" s="6">
        <f>IFERROR(INDEX(Calc!$H$2:$H$11,MATCH($Y6,Calc!$A$2:$A$11,0)),"")</f>
        <v/>
      </c>
      <c r="P6" s="6">
        <f>IFERROR(INDEX(Calc!$M$2:$M$11,MATCH($Y6,Calc!$A$2:$A$11,0)),"")</f>
        <v/>
      </c>
      <c r="Q6" t="n">
        <v>9.199999999999999</v>
      </c>
      <c r="R6" s="6" t="n">
        <v>0</v>
      </c>
      <c r="S6" s="6" t="n">
        <v>0.2</v>
      </c>
      <c r="T6" s="6" t="n">
        <v>0.27</v>
      </c>
      <c r="U6" t="inlineStr">
        <is>
          <t>0%/0/1</t>
        </is>
      </c>
      <c r="V6" t="n">
        <v>-5</v>
      </c>
      <c r="X6">
        <f>IFERROR(INDEX(Calc!$AH$2:$AH$11,MATCH($Y6,Calc!$A$2:$A$11,0)),"")</f>
        <v/>
      </c>
      <c r="Y6" t="inlineStr">
        <is>
          <t>rfespsq7mcurckt|LOL · KC vs MVK</t>
        </is>
      </c>
      <c r="Z6" t="inlineStr">
        <is>
          <t>K13</t>
        </is>
      </c>
      <c r="AA6">
        <f>Y6&amp;"|"&amp;Z6</f>
        <v/>
      </c>
    </row>
    <row r="7">
      <c r="A7" t="inlineStr">
        <is>
          <t>LOL · KC vs MVK</t>
        </is>
      </c>
      <c r="B7" t="inlineStr">
        <is>
          <t>Chika</t>
        </is>
      </c>
      <c r="C7" t="inlineStr">
        <is>
          <t>MVK</t>
        </is>
      </c>
      <c r="D7" t="inlineStr">
        <is>
          <t>Maps 1-3 Kills</t>
        </is>
      </c>
      <c r="E7" t="n">
        <v>8.5</v>
      </c>
      <c r="F7" s="7">
        <f>IFERROR(INDEX(CHOOSE(MATCH($Z7,{"K1","K12","K13"},0),Calc!$Y$2:$Y$11,Calc!$AA$2:$AA$11,Calc!$AC$2:$AC$11),MATCH($Y7,Calc!$A$2:$A$11,0)),"")</f>
        <v/>
      </c>
      <c r="G7" s="7">
        <f>IFERROR(SQRT(INDEX(CHOOSE(MATCH($Z7,{"K1","K12","K13"},0),Calc!$Z$2:$Z$11,Calc!$AB$2:$AB$11,Calc!$AD$2:$AD$11),MATCH($Y7,Calc!$A$2:$A$11,0))),"")</f>
        <v/>
      </c>
      <c r="H7" s="6">
        <f>IF(OR($E7="",$F7="",N($G7)&lt;=0),"",1-NORMDIST(FLOOR($E7,1)+0.5,$F7,$G7,TRUE))</f>
        <v/>
      </c>
      <c r="I7" s="6">
        <f>IF($H7="","",NORMDIST(CEILING($E7,1)-0.5,$F7,$G7,TRUE))</f>
        <v/>
      </c>
      <c r="J7" s="6">
        <f>IF($H7="","",MAX(0,1-$H7-$I7))</f>
        <v/>
      </c>
      <c r="K7">
        <f>IF($H7="","",IF($H7&gt;=0.5+Config!$B$8,"OVER",IF($I7&gt;=0.5+Config!$B$8,"UNDER","—")))</f>
        <v/>
      </c>
      <c r="L7" s="7">
        <f>IFERROR(INDEX(CHOOSE(MATCH($Z7,{"K1","K12","K13"},0),Calc!$AE$2:$AE$11,Calc!$AF$2:$AF$11,Calc!$AG$2:$AG$11),MATCH($Y7,Calc!$A$2:$A$11,0)),"")</f>
        <v/>
      </c>
      <c r="M7" s="6">
        <f>IF(OR($E7="",$L7="",N($G7)&lt;=0),"",1-NORMDIST(FLOOR($E7,1)+0.5,$L7,$G7*SQRT($L7/$F7),TRUE))</f>
        <v/>
      </c>
      <c r="O7" s="6">
        <f>IFERROR(INDEX(Calc!$H$2:$H$11,MATCH($Y7,Calc!$A$2:$A$11,0)),"")</f>
        <v/>
      </c>
      <c r="P7" s="6">
        <f>IFERROR(INDEX(Calc!$M$2:$M$11,MATCH($Y7,Calc!$A$2:$A$11,0)),"")</f>
        <v/>
      </c>
      <c r="Q7" t="n">
        <v>11</v>
      </c>
      <c r="R7" s="6" t="n">
        <v>0.6</v>
      </c>
      <c r="S7" s="6" t="n">
        <v>0.7</v>
      </c>
      <c r="T7" s="6" t="n"/>
      <c r="U7" t="inlineStr">
        <is>
          <t>0%/0/1</t>
        </is>
      </c>
      <c r="V7" t="n">
        <v>-1</v>
      </c>
      <c r="X7">
        <f>IFERROR(INDEX(Calc!$AH$2:$AH$11,MATCH($Y7,Calc!$A$2:$A$11,0)),"")</f>
        <v/>
      </c>
      <c r="Y7" t="inlineStr">
        <is>
          <t>r22pe1iajr6mhdp|LOL · KC vs MVK</t>
        </is>
      </c>
      <c r="Z7" t="inlineStr">
        <is>
          <t>K13</t>
        </is>
      </c>
      <c r="AA7">
        <f>Y7&amp;"|"&amp;Z7</f>
        <v/>
      </c>
    </row>
    <row r="8">
      <c r="A8" t="inlineStr">
        <is>
          <t>LOL · KC vs MVK</t>
        </is>
      </c>
      <c r="B8" t="inlineStr">
        <is>
          <t>Gury</t>
        </is>
      </c>
      <c r="C8" t="inlineStr">
        <is>
          <t>MVK</t>
        </is>
      </c>
      <c r="D8" t="inlineStr">
        <is>
          <t>Maps 1-3 Kills</t>
        </is>
      </c>
      <c r="E8" t="n">
        <v>7</v>
      </c>
      <c r="F8" s="7">
        <f>IFERROR(INDEX(CHOOSE(MATCH($Z8,{"K1","K12","K13"},0),Calc!$Y$2:$Y$11,Calc!$AA$2:$AA$11,Calc!$AC$2:$AC$11),MATCH($Y8,Calc!$A$2:$A$11,0)),"")</f>
        <v/>
      </c>
      <c r="G8" s="7">
        <f>IFERROR(SQRT(INDEX(CHOOSE(MATCH($Z8,{"K1","K12","K13"},0),Calc!$Z$2:$Z$11,Calc!$AB$2:$AB$11,Calc!$AD$2:$AD$11),MATCH($Y8,Calc!$A$2:$A$11,0))),"")</f>
        <v/>
      </c>
      <c r="H8" s="6">
        <f>IF(OR($E8="",$F8="",N($G8)&lt;=0),"",1-NORMDIST(FLOOR($E8,1)+0.5,$F8,$G8,TRUE))</f>
        <v/>
      </c>
      <c r="I8" s="6">
        <f>IF($H8="","",NORMDIST(CEILING($E8,1)-0.5,$F8,$G8,TRUE))</f>
        <v/>
      </c>
      <c r="J8" s="6">
        <f>IF($H8="","",MAX(0,1-$H8-$I8))</f>
        <v/>
      </c>
      <c r="K8">
        <f>IF($H8="","",IF($H8&gt;=0.5+Config!$B$8,"OVER",IF($I8&gt;=0.5+Config!$B$8,"UNDER","—")))</f>
        <v/>
      </c>
      <c r="L8" s="7">
        <f>IFERROR(INDEX(CHOOSE(MATCH($Z8,{"K1","K12","K13"},0),Calc!$AE$2:$AE$11,Calc!$AF$2:$AF$11,Calc!$AG$2:$AG$11),MATCH($Y8,Calc!$A$2:$A$11,0)),"")</f>
        <v/>
      </c>
      <c r="M8" s="6">
        <f>IF(OR($E8="",$L8="",N($G8)&lt;=0),"",1-NORMDIST(FLOOR($E8,1)+0.5,$L8,$G8*SQRT($L8/$F8),TRUE))</f>
        <v/>
      </c>
      <c r="O8" s="6">
        <f>IFERROR(INDEX(Calc!$H$2:$H$11,MATCH($Y8,Calc!$A$2:$A$11,0)),"")</f>
        <v/>
      </c>
      <c r="P8" s="6">
        <f>IFERROR(INDEX(Calc!$M$2:$M$11,MATCH($Y8,Calc!$A$2:$A$11,0)),"")</f>
        <v/>
      </c>
      <c r="Q8" t="n">
        <v>7.4</v>
      </c>
      <c r="R8" s="6" t="n">
        <v>0.4</v>
      </c>
      <c r="S8" s="6" t="n">
        <v>0.4</v>
      </c>
      <c r="T8" s="6" t="n">
        <v>0.4</v>
      </c>
      <c r="U8" t="inlineStr">
        <is>
          <t>-</t>
        </is>
      </c>
      <c r="V8" t="n">
        <v>1</v>
      </c>
      <c r="W8" t="n">
        <v>1</v>
      </c>
      <c r="X8">
        <f>IFERROR(INDEX(Calc!$AH$2:$AH$11,MATCH($Y8,Calc!$A$2:$A$11,0)),"")</f>
        <v/>
      </c>
      <c r="Y8" t="inlineStr">
        <is>
          <t>jr80asvwieexg6m|LOL · KC vs MVK</t>
        </is>
      </c>
      <c r="Z8" t="inlineStr">
        <is>
          <t>K13</t>
        </is>
      </c>
      <c r="AA8">
        <f>Y8&amp;"|"&amp;Z8</f>
        <v/>
      </c>
    </row>
    <row r="9">
      <c r="A9" t="inlineStr">
        <is>
          <t>LOL · KC vs MVK</t>
        </is>
      </c>
      <c r="B9" t="inlineStr">
        <is>
          <t>Harky</t>
        </is>
      </c>
      <c r="C9" t="inlineStr">
        <is>
          <t>MVK</t>
        </is>
      </c>
      <c r="D9" t="inlineStr">
        <is>
          <t>Maps 1-3 Kills</t>
        </is>
      </c>
      <c r="E9" t="n">
        <v>9.5</v>
      </c>
      <c r="F9" s="7">
        <f>IFERROR(INDEX(CHOOSE(MATCH($Z9,{"K1","K12","K13"},0),Calc!$Y$2:$Y$11,Calc!$AA$2:$AA$11,Calc!$AC$2:$AC$11),MATCH($Y9,Calc!$A$2:$A$11,0)),"")</f>
        <v/>
      </c>
      <c r="G9" s="7">
        <f>IFERROR(SQRT(INDEX(CHOOSE(MATCH($Z9,{"K1","K12","K13"},0),Calc!$Z$2:$Z$11,Calc!$AB$2:$AB$11,Calc!$AD$2:$AD$11),MATCH($Y9,Calc!$A$2:$A$11,0))),"")</f>
        <v/>
      </c>
      <c r="H9" s="6">
        <f>IF(OR($E9="",$F9="",N($G9)&lt;=0),"",1-NORMDIST(FLOOR($E9,1)+0.5,$F9,$G9,TRUE))</f>
        <v/>
      </c>
      <c r="I9" s="6">
        <f>IF($H9="","",NORMDIST(CEILING($E9,1)-0.5,$F9,$G9,TRUE))</f>
        <v/>
      </c>
      <c r="J9" s="6">
        <f>IF($H9="","",MAX(0,1-$H9-$I9))</f>
        <v/>
      </c>
      <c r="K9">
        <f>IF($H9="","",IF($H9&gt;=0.5+Config!$B$8,"OVER",IF($I9&gt;=0.5+Config!$B$8,"UNDER","—")))</f>
        <v/>
      </c>
      <c r="L9" s="7">
        <f>IFERROR(INDEX(CHOOSE(MATCH($Z9,{"K1","K12","K13"},0),Calc!$AE$2:$AE$11,Calc!$AF$2:$AF$11,Calc!$AG$2:$AG$11),MATCH($Y9,Calc!$A$2:$A$11,0)),"")</f>
        <v/>
      </c>
      <c r="M9" s="6">
        <f>IF(OR($E9="",$L9="",N($G9)&lt;=0),"",1-NORMDIST(FLOOR($E9,1)+0.5,$L9,$G9*SQRT($L9/$F9),TRUE))</f>
        <v/>
      </c>
      <c r="O9" s="6">
        <f>IFERROR(INDEX(Calc!$H$2:$H$11,MATCH($Y9,Calc!$A$2:$A$11,0)),"")</f>
        <v/>
      </c>
      <c r="P9" s="6">
        <f>IFERROR(INDEX(Calc!$M$2:$M$11,MATCH($Y9,Calc!$A$2:$A$11,0)),"")</f>
        <v/>
      </c>
      <c r="Q9" t="n">
        <v>9.4</v>
      </c>
      <c r="R9" s="6" t="n">
        <v>0.4</v>
      </c>
      <c r="S9" s="6" t="n">
        <v>0.5</v>
      </c>
      <c r="T9" s="6" t="n">
        <v>0.67</v>
      </c>
      <c r="U9" t="inlineStr">
        <is>
          <t>0%/0/1</t>
        </is>
      </c>
      <c r="V9" t="n">
        <v>-1</v>
      </c>
      <c r="X9">
        <f>IFERROR(INDEX(Calc!$AH$2:$AH$11,MATCH($Y9,Calc!$A$2:$A$11,0)),"")</f>
        <v/>
      </c>
      <c r="Y9" t="inlineStr">
        <is>
          <t>tuhm132yvf0f8gg|LOL · KC vs MVK</t>
        </is>
      </c>
      <c r="Z9" t="inlineStr">
        <is>
          <t>K13</t>
        </is>
      </c>
      <c r="AA9">
        <f>Y9&amp;"|"&amp;Z9</f>
        <v/>
      </c>
    </row>
    <row r="10">
      <c r="A10" t="inlineStr">
        <is>
          <t>LOL · KC vs MVK</t>
        </is>
      </c>
      <c r="B10" t="inlineStr">
        <is>
          <t>Kratos</t>
        </is>
      </c>
      <c r="C10" t="inlineStr">
        <is>
          <t>MVK</t>
        </is>
      </c>
      <c r="D10" t="inlineStr">
        <is>
          <t>Maps 1-3 Kills</t>
        </is>
      </c>
      <c r="E10" t="n">
        <v>6</v>
      </c>
      <c r="F10" s="7">
        <f>IFERROR(INDEX(CHOOSE(MATCH($Z10,{"K1","K12","K13"},0),Calc!$Y$2:$Y$11,Calc!$AA$2:$AA$11,Calc!$AC$2:$AC$11),MATCH($Y10,Calc!$A$2:$A$11,0)),"")</f>
        <v/>
      </c>
      <c r="G10" s="7">
        <f>IFERROR(SQRT(INDEX(CHOOSE(MATCH($Z10,{"K1","K12","K13"},0),Calc!$Z$2:$Z$11,Calc!$AB$2:$AB$11,Calc!$AD$2:$AD$11),MATCH($Y10,Calc!$A$2:$A$11,0))),"")</f>
        <v/>
      </c>
      <c r="H10" s="6">
        <f>IF(OR($E10="",$F10="",N($G10)&lt;=0),"",1-NORMDIST(FLOOR($E10,1)+0.5,$F10,$G10,TRUE))</f>
        <v/>
      </c>
      <c r="I10" s="6">
        <f>IF($H10="","",NORMDIST(CEILING($E10,1)-0.5,$F10,$G10,TRUE))</f>
        <v/>
      </c>
      <c r="J10" s="6">
        <f>IF($H10="","",MAX(0,1-$H10-$I10))</f>
        <v/>
      </c>
      <c r="K10">
        <f>IF($H10="","",IF($H10&gt;=0.5+Config!$B$8,"OVER",IF($I10&gt;=0.5+Config!$B$8,"UNDER","—")))</f>
        <v/>
      </c>
      <c r="L10" s="7">
        <f>IFERROR(INDEX(CHOOSE(MATCH($Z10,{"K1","K12","K13"},0),Calc!$AE$2:$AE$11,Calc!$AF$2:$AF$11,Calc!$AG$2:$AG$11),MATCH($Y10,Calc!$A$2:$A$11,0)),"")</f>
        <v/>
      </c>
      <c r="M10" s="6">
        <f>IF(OR($E10="",$L10="",N($G10)&lt;=0),"",1-NORMDIST(FLOOR($E10,1)+0.5,$L10,$G10*SQRT($L10/$F10),TRUE))</f>
        <v/>
      </c>
      <c r="O10" s="6">
        <f>IFERROR(INDEX(Calc!$H$2:$H$11,MATCH($Y10,Calc!$A$2:$A$11,0)),"")</f>
        <v/>
      </c>
      <c r="P10" s="6">
        <f>IFERROR(INDEX(Calc!$M$2:$M$11,MATCH($Y10,Calc!$A$2:$A$11,0)),"")</f>
        <v/>
      </c>
      <c r="Q10" t="n">
        <v>7.9</v>
      </c>
      <c r="R10" s="6" t="n">
        <v>0.8</v>
      </c>
      <c r="S10" s="6" t="n">
        <v>0.8</v>
      </c>
      <c r="T10" s="6" t="n">
        <v>0.6</v>
      </c>
      <c r="U10" t="inlineStr">
        <is>
          <t>0%/0/1</t>
        </is>
      </c>
      <c r="V10" t="n">
        <v>-1</v>
      </c>
      <c r="W10" t="n">
        <v>2</v>
      </c>
      <c r="X10">
        <f>IFERROR(INDEX(Calc!$AH$2:$AH$11,MATCH($Y10,Calc!$A$2:$A$11,0)),"")</f>
        <v/>
      </c>
      <c r="Y10" t="inlineStr">
        <is>
          <t>zzsjtlvrbi44rqp|LOL · KC vs MVK</t>
        </is>
      </c>
      <c r="Z10" t="inlineStr">
        <is>
          <t>K13</t>
        </is>
      </c>
      <c r="AA10">
        <f>Y10&amp;"|"&amp;Z10</f>
        <v/>
      </c>
    </row>
    <row r="11">
      <c r="A11" t="inlineStr">
        <is>
          <t>LOL · KC vs MVK</t>
        </is>
      </c>
      <c r="B11" t="inlineStr">
        <is>
          <t>Siuloong</t>
        </is>
      </c>
      <c r="C11" t="inlineStr">
        <is>
          <t>MVK</t>
        </is>
      </c>
      <c r="D11" t="inlineStr">
        <is>
          <t>Maps 1-3 Kills</t>
        </is>
      </c>
      <c r="E11" t="n">
        <v>1.5</v>
      </c>
      <c r="F11" s="7">
        <f>IFERROR(INDEX(CHOOSE(MATCH($Z11,{"K1","K12","K13"},0),Calc!$Y$2:$Y$11,Calc!$AA$2:$AA$11,Calc!$AC$2:$AC$11),MATCH($Y11,Calc!$A$2:$A$11,0)),"")</f>
        <v/>
      </c>
      <c r="G11" s="7">
        <f>IFERROR(SQRT(INDEX(CHOOSE(MATCH($Z11,{"K1","K12","K13"},0),Calc!$Z$2:$Z$11,Calc!$AB$2:$AB$11,Calc!$AD$2:$AD$11),MATCH($Y11,Calc!$A$2:$A$11,0))),"")</f>
        <v/>
      </c>
      <c r="H11" s="6">
        <f>IF(OR($E11="",$F11="",N($G11)&lt;=0),"",1-NORMDIST(FLOOR($E11,1)+0.5,$F11,$G11,TRUE))</f>
        <v/>
      </c>
      <c r="I11" s="6">
        <f>IF($H11="","",NORMDIST(CEILING($E11,1)-0.5,$F11,$G11,TRUE))</f>
        <v/>
      </c>
      <c r="J11" s="6">
        <f>IF($H11="","",MAX(0,1-$H11-$I11))</f>
        <v/>
      </c>
      <c r="K11">
        <f>IF($H11="","",IF($H11&gt;=0.5+Config!$B$8,"OVER",IF($I11&gt;=0.5+Config!$B$8,"UNDER","—")))</f>
        <v/>
      </c>
      <c r="L11" s="7">
        <f>IFERROR(INDEX(CHOOSE(MATCH($Z11,{"K1","K12","K13"},0),Calc!$AE$2:$AE$11,Calc!$AF$2:$AF$11,Calc!$AG$2:$AG$11),MATCH($Y11,Calc!$A$2:$A$11,0)),"")</f>
        <v/>
      </c>
      <c r="M11" s="6">
        <f>IF(OR($E11="",$L11="",N($G11)&lt;=0),"",1-NORMDIST(FLOOR($E11,1)+0.5,$L11,$G11*SQRT($L11/$F11),TRUE))</f>
        <v/>
      </c>
      <c r="O11" s="6">
        <f>IFERROR(INDEX(Calc!$H$2:$H$11,MATCH($Y11,Calc!$A$2:$A$11,0)),"")</f>
        <v/>
      </c>
      <c r="P11" s="6">
        <f>IFERROR(INDEX(Calc!$M$2:$M$11,MATCH($Y11,Calc!$A$2:$A$11,0)),"")</f>
        <v/>
      </c>
      <c r="Q11" t="n">
        <v>2.6</v>
      </c>
      <c r="R11" s="6" t="n">
        <v>0.8</v>
      </c>
      <c r="S11" s="6" t="n">
        <v>0.8</v>
      </c>
      <c r="T11" s="6" t="n">
        <v>0.87</v>
      </c>
      <c r="U11" t="inlineStr">
        <is>
          <t>100%/1/1</t>
        </is>
      </c>
      <c r="V11" t="n">
        <v>4</v>
      </c>
      <c r="X11">
        <f>IFERROR(INDEX(Calc!$AH$2:$AH$11,MATCH($Y11,Calc!$A$2:$A$11,0)),"")</f>
        <v/>
      </c>
      <c r="Y11" t="inlineStr">
        <is>
          <t>16tiv29rhyefoti|LOL · KC vs MVK</t>
        </is>
      </c>
      <c r="Z11" t="inlineStr">
        <is>
          <t>K13</t>
        </is>
      </c>
      <c r="AA11">
        <f>Y11&amp;"|"&amp;Z11</f>
        <v/>
      </c>
    </row>
  </sheetData>
  <autoFilter ref="A1:AA11"/>
  <conditionalFormatting sqref="H2:H11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6" customWidth="1" min="3" max="3"/>
    <col width="12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A1" s="8" t="inlineStr">
        <is>
          <t>Key</t>
        </is>
      </c>
      <c r="B1" s="8" t="inlineStr">
        <is>
          <t>Match</t>
        </is>
      </c>
      <c r="C1" s="8" t="inlineStr">
        <is>
          <t>Team</t>
        </is>
      </c>
      <c r="D1" s="8" t="inlineStr">
        <is>
          <t>Player</t>
        </is>
      </c>
      <c r="E1" s="8" t="inlineStr">
        <is>
          <t>PID</t>
        </is>
      </c>
      <c r="F1" s="8" t="inlineStr">
        <is>
          <t>Side</t>
        </is>
      </c>
      <c r="G1" s="8" t="inlineStr">
        <is>
          <t>Maps n</t>
        </is>
      </c>
      <c r="H1" s="8" t="inlineStr">
        <is>
          <t>Win rate q</t>
        </is>
      </c>
      <c r="I1" s="8" t="inlineStr">
        <is>
          <t>K avg</t>
        </is>
      </c>
      <c r="J1" s="8" t="inlineStr">
        <is>
          <t>k win</t>
        </is>
      </c>
      <c r="K1" s="8" t="inlineStr">
        <is>
          <t>k loss</t>
        </is>
      </c>
      <c r="L1" s="8" t="inlineStr">
        <is>
          <t>Env</t>
        </is>
      </c>
      <c r="M1" s="8" t="inlineStr">
        <is>
          <t>M1 p win</t>
        </is>
      </c>
      <c r="N1" s="8" t="inlineStr">
        <is>
          <t>M1 p played</t>
        </is>
      </c>
      <c r="O1" s="8" t="inlineStr">
        <is>
          <t>M1 mean</t>
        </is>
      </c>
      <c r="P1" s="8" t="inlineStr">
        <is>
          <t>M1 var</t>
        </is>
      </c>
      <c r="Q1" s="8" t="inlineStr">
        <is>
          <t>M2 p win</t>
        </is>
      </c>
      <c r="R1" s="8" t="inlineStr">
        <is>
          <t>M2 p played</t>
        </is>
      </c>
      <c r="S1" s="8" t="inlineStr">
        <is>
          <t>M2 mean</t>
        </is>
      </c>
      <c r="T1" s="8" t="inlineStr">
        <is>
          <t>M2 var</t>
        </is>
      </c>
      <c r="U1" s="8" t="inlineStr">
        <is>
          <t>M3 p win</t>
        </is>
      </c>
      <c r="V1" s="8" t="inlineStr">
        <is>
          <t>M3 p played</t>
        </is>
      </c>
      <c r="W1" s="8" t="inlineStr">
        <is>
          <t>M3 mean</t>
        </is>
      </c>
      <c r="X1" s="8" t="inlineStr">
        <is>
          <t>M3 var</t>
        </is>
      </c>
      <c r="Y1" s="8" t="inlineStr">
        <is>
          <t>K1</t>
        </is>
      </c>
      <c r="Z1" s="8" t="inlineStr">
        <is>
          <t>K1 var</t>
        </is>
      </c>
      <c r="AA1" s="8" t="inlineStr">
        <is>
          <t>K12</t>
        </is>
      </c>
      <c r="AB1" s="8" t="inlineStr">
        <is>
          <t>K12 var</t>
        </is>
      </c>
      <c r="AC1" s="8" t="inlineStr">
        <is>
          <t>K13</t>
        </is>
      </c>
      <c r="AD1" s="8" t="inlineStr">
        <is>
          <t>K13 var</t>
        </is>
      </c>
      <c r="AE1" s="8" t="inlineStr">
        <is>
          <t>Naive K1</t>
        </is>
      </c>
      <c r="AF1" s="8" t="inlineStr">
        <is>
          <t>Naive K12</t>
        </is>
      </c>
      <c r="AG1" s="8" t="inlineStr">
        <is>
          <t>Naive K13</t>
        </is>
      </c>
      <c r="AH1" s="8" t="inlineStr">
        <is>
          <t>Flags</t>
        </is>
      </c>
      <c r="AI1" s="8" t="inlineStr">
        <is>
          <t>Board rank</t>
        </is>
      </c>
      <c r="AJ1" s="8" t="inlineStr">
        <is>
          <t>Series code</t>
        </is>
      </c>
      <c r="AK1" s="8" t="inlineStr">
        <is>
          <t>Series proj</t>
        </is>
      </c>
    </row>
    <row r="2">
      <c r="A2" t="inlineStr">
        <is>
          <t>s5zw84wcumkore8|LOL · KC vs MVK</t>
        </is>
      </c>
      <c r="B2" t="inlineStr">
        <is>
          <t>LOL · KC vs MVK</t>
        </is>
      </c>
      <c r="C2" t="inlineStr">
        <is>
          <t>KC</t>
        </is>
      </c>
      <c r="D2" t="inlineStr">
        <is>
          <t>Busio</t>
        </is>
      </c>
      <c r="E2" t="inlineStr">
        <is>
          <t>s5zw84wcumkore8</t>
        </is>
      </c>
      <c r="F2">
        <f>IFERROR(IF($C2=INDEX(Matches!$S$5:$S$5,MATCH($B2,Matches!$A$5:$A$5,0)),"A",IF($C2=INDEX(Matches!$T$5:$T$5,MATCH($B2,Matches!$A$5:$A$5,0)),"B","")),"")</f>
        <v/>
      </c>
      <c r="G2">
        <f>IFERROR(INDEX(Players!$E$2:$E$11,MATCH($E2,Players!$A$2:$A$11,0)),0)</f>
        <v/>
      </c>
      <c r="H2" s="6">
        <f>IFERROR(INDEX(Players!$F$2:$F$11,MATCH($E2,Players!$A$2:$A$11,0)),"")</f>
        <v/>
      </c>
      <c r="I2">
        <f>IFERROR(INDEX(Players!$G$2:$G$11,MATCH($E2,Players!$A$2:$A$11,0)),"")</f>
        <v/>
      </c>
      <c r="J2" s="11">
        <f>IF(OR($I2="",$H2=""),"",$I2*IF(LEFT($B2,4)="DOTA",Config!$B$5,Config!$B$4)/($H2*IF(LEFT($B2,4)="DOTA",Config!$B$5,Config!$B$4)+1-$H2))</f>
        <v/>
      </c>
      <c r="K2" s="11">
        <f>IF(OR($I2="",$H2=""),"",$I2/($H2*IF(LEFT($B2,4)="DOTA",Config!$B$5,Config!$B$4)+1-$H2))</f>
        <v/>
      </c>
      <c r="L2">
        <f>IFERROR(INDEX(Matches!$R$5:$R$5,MATCH($B2,Matches!$A$5:$A$5,0)),1)</f>
        <v/>
      </c>
      <c r="M2" s="6">
        <f>IFERROR(IF(INDEX(Matches!$M$5:$M$5,MATCH($B2,Matches!$A$5:$A$5,0))="","",IF($F2="A",INDEX(Matches!$M$5:$M$5,MATCH($B2,Matches!$A$5:$A$5,0)),1-INDEX(Matches!$M$5:$M$5,MATCH($B2,Matches!$A$5:$A$5,0)))),"")</f>
        <v/>
      </c>
      <c r="N2">
        <f>1</f>
        <v/>
      </c>
      <c r="O2" s="11">
        <f>IF(OR($M2="",$J2=""),"",$L2*($M2*$J2+(1-$M2)*$K2))</f>
        <v/>
      </c>
      <c r="P2">
        <f>IF($O2="","",IF(LEFT($B2,4)="DOTA",Config!$B$7,Config!$B$6)*$O2+$L2^2*$M2*(1-$M2)*($J2-$K2)^2)</f>
        <v/>
      </c>
      <c r="Q2" s="6">
        <f>IFERROR(IF(INDEX(Matches!$N$5:$N$5,MATCH($B2,Matches!$A$5:$A$5,0))="","",IF($F2="A",INDEX(Matches!$N$5:$N$5,MATCH($B2,Matches!$A$5:$A$5,0)),1-INDEX(Matches!$N$5:$N$5,MATCH($B2,Matches!$A$5:$A$5,0)))),"")</f>
        <v/>
      </c>
      <c r="R2">
        <f>IFERROR(N(INDEX(Matches!$P$5:$P$5,MATCH($B2,Matches!$A$5:$A$5,0))),0)</f>
        <v/>
      </c>
      <c r="S2" s="11">
        <f>IF(OR($Q2="",$J2=""),"",$L2*($Q2*$J2+(1-$Q2)*$K2))</f>
        <v/>
      </c>
      <c r="T2">
        <f>IF($S2="","",IF(LEFT($B2,4)="DOTA",Config!$B$7,Config!$B$6)*$S2+$L2^2*$Q2*(1-$Q2)*($J2-$K2)^2)</f>
        <v/>
      </c>
      <c r="U2" s="6">
        <f>IFERROR(IF(INDEX(Matches!$O$5:$O$5,MATCH($B2,Matches!$A$5:$A$5,0))="","",IF($F2="A",INDEX(Matches!$O$5:$O$5,MATCH($B2,Matches!$A$5:$A$5,0)),1-INDEX(Matches!$O$5:$O$5,MATCH($B2,Matches!$A$5:$A$5,0)))),"")</f>
        <v/>
      </c>
      <c r="V2">
        <f>IFERROR(N(INDEX(Matches!$Q$5:$Q$5,MATCH($B2,Matches!$A$5:$A$5,0))),0)</f>
        <v/>
      </c>
      <c r="W2" s="11">
        <f>IF(OR($U2="",$J2=""),"",$L2*($U2*$J2+(1-$U2)*$K2))</f>
        <v/>
      </c>
      <c r="X2">
        <f>IF($W2="","",IF(LEFT($B2,4)="DOTA",Config!$B$7,Config!$B$6)*$W2+$L2^2*$U2*(1-$U2)*($J2-$K2)^2)</f>
        <v/>
      </c>
      <c r="Y2" s="11">
        <f>IF($O2="","",$O2)</f>
        <v/>
      </c>
      <c r="Z2">
        <f>IF($P2="","",$P2)</f>
        <v/>
      </c>
      <c r="AA2" s="11">
        <f>IF($O2="","",N($N2)*N($O2)+N($R2)*N($S2))</f>
        <v/>
      </c>
      <c r="AB2">
        <f>IF($O2="","",(N($N2)*N($P2)+N($N2)*(1-N($N2))*N($O2)^2)+(N($R2)*N($T2)+N($R2)*(1-N($R2))*N($S2)^2))</f>
        <v/>
      </c>
      <c r="AC2" s="11">
        <f>IF($O2="","",N($N2)*N($O2)+N($R2)*N($S2)+N($V2)*N($W2))</f>
        <v/>
      </c>
      <c r="AD2">
        <f>IF($O2="","",(N($N2)*N($P2)+N($N2)*(1-N($N2))*N($O2)^2)+(N($R2)*N($T2)+N($R2)*(1-N($R2))*N($S2)^2)+(N($V2)*N($X2)+N($V2)*(1-N($V2))*N($W2)^2))</f>
        <v/>
      </c>
      <c r="AE2" s="11">
        <f>IF($I2="","",$I2*$L2)</f>
        <v/>
      </c>
      <c r="AF2" s="11">
        <f>IF($I2="","",$I2*$L2*(1+N($R2)))</f>
        <v/>
      </c>
      <c r="AG2" s="11">
        <f>IF($I2="","",$I2*$L2*(1+N($R2)+N($V2)))</f>
        <v/>
      </c>
      <c r="AH2">
        <f>TRIM(IF($G2&lt;Config!$B$9,"thin sample ("&amp;$G2&amp;" maps) · ","")&amp;IF($I2="","no PickFinder stats · ","")&amp;IFERROR(IF(INDEX(Players!$T$2:$T$11,MATCH($E2,Players!$A$2:$A$11,0))&lt;0.5,"new roster: "&amp;TEXT(INDEX(Players!$T$2:$T$11,MATCH($E2,Players!$A$2:$A$11,0)),"0%")&amp;" of his recent games with these teammates",""),""))</f>
        <v/>
      </c>
      <c r="AI2">
        <f>IF($B2=Board!$B$2,COUNTIFS($B$2:$B$11,Board!$B$2,$Y$2:$Y$11,"&gt;"&amp;$Y2)+COUNTIFS($B$1:$B1,Board!$B$2,$Y$1:$Y1,$Y2)+1,"")</f>
        <v/>
      </c>
      <c r="AJ2">
        <f>IFERROR(IF(INDEX(Matches!$D$5:$D$5,MATCH($B2,Matches!$A$5:$A$5,0))=3,"K12","K13"),"K13")</f>
        <v/>
      </c>
      <c r="AK2" s="11">
        <f>IF($AJ2="K12",$AA2,$AC2)</f>
        <v/>
      </c>
    </row>
    <row r="3">
      <c r="A3" t="inlineStr">
        <is>
          <t>60n3jocjohvthia|LOL · KC vs MVK</t>
        </is>
      </c>
      <c r="B3" t="inlineStr">
        <is>
          <t>LOL · KC vs MVK</t>
        </is>
      </c>
      <c r="C3" t="inlineStr">
        <is>
          <t>KC</t>
        </is>
      </c>
      <c r="D3" t="inlineStr">
        <is>
          <t>Caliste</t>
        </is>
      </c>
      <c r="E3" t="inlineStr">
        <is>
          <t>60n3jocjohvthia</t>
        </is>
      </c>
      <c r="F3">
        <f>IFERROR(IF($C3=INDEX(Matches!$S$5:$S$5,MATCH($B3,Matches!$A$5:$A$5,0)),"A",IF($C3=INDEX(Matches!$T$5:$T$5,MATCH($B3,Matches!$A$5:$A$5,0)),"B","")),"")</f>
        <v/>
      </c>
      <c r="G3">
        <f>IFERROR(INDEX(Players!$E$2:$E$11,MATCH($E3,Players!$A$2:$A$11,0)),0)</f>
        <v/>
      </c>
      <c r="H3" s="6">
        <f>IFERROR(INDEX(Players!$F$2:$F$11,MATCH($E3,Players!$A$2:$A$11,0)),"")</f>
        <v/>
      </c>
      <c r="I3">
        <f>IFERROR(INDEX(Players!$G$2:$G$11,MATCH($E3,Players!$A$2:$A$11,0)),"")</f>
        <v/>
      </c>
      <c r="J3" s="11">
        <f>IF(OR($I3="",$H3=""),"",$I3*IF(LEFT($B3,4)="DOTA",Config!$B$5,Config!$B$4)/($H3*IF(LEFT($B3,4)="DOTA",Config!$B$5,Config!$B$4)+1-$H3))</f>
        <v/>
      </c>
      <c r="K3" s="11">
        <f>IF(OR($I3="",$H3=""),"",$I3/($H3*IF(LEFT($B3,4)="DOTA",Config!$B$5,Config!$B$4)+1-$H3))</f>
        <v/>
      </c>
      <c r="L3">
        <f>IFERROR(INDEX(Matches!$R$5:$R$5,MATCH($B3,Matches!$A$5:$A$5,0)),1)</f>
        <v/>
      </c>
      <c r="M3" s="6">
        <f>IFERROR(IF(INDEX(Matches!$M$5:$M$5,MATCH($B3,Matches!$A$5:$A$5,0))="","",IF($F3="A",INDEX(Matches!$M$5:$M$5,MATCH($B3,Matches!$A$5:$A$5,0)),1-INDEX(Matches!$M$5:$M$5,MATCH($B3,Matches!$A$5:$A$5,0)))),"")</f>
        <v/>
      </c>
      <c r="N3">
        <f>1</f>
        <v/>
      </c>
      <c r="O3" s="11">
        <f>IF(OR($M3="",$J3=""),"",$L3*($M3*$J3+(1-$M3)*$K3))</f>
        <v/>
      </c>
      <c r="P3">
        <f>IF($O3="","",IF(LEFT($B3,4)="DOTA",Config!$B$7,Config!$B$6)*$O3+$L3^2*$M3*(1-$M3)*($J3-$K3)^2)</f>
        <v/>
      </c>
      <c r="Q3" s="6">
        <f>IFERROR(IF(INDEX(Matches!$N$5:$N$5,MATCH($B3,Matches!$A$5:$A$5,0))="","",IF($F3="A",INDEX(Matches!$N$5:$N$5,MATCH($B3,Matches!$A$5:$A$5,0)),1-INDEX(Matches!$N$5:$N$5,MATCH($B3,Matches!$A$5:$A$5,0)))),"")</f>
        <v/>
      </c>
      <c r="R3">
        <f>IFERROR(N(INDEX(Matches!$P$5:$P$5,MATCH($B3,Matches!$A$5:$A$5,0))),0)</f>
        <v/>
      </c>
      <c r="S3" s="11">
        <f>IF(OR($Q3="",$J3=""),"",$L3*($Q3*$J3+(1-$Q3)*$K3))</f>
        <v/>
      </c>
      <c r="T3">
        <f>IF($S3="","",IF(LEFT($B3,4)="DOTA",Config!$B$7,Config!$B$6)*$S3+$L3^2*$Q3*(1-$Q3)*($J3-$K3)^2)</f>
        <v/>
      </c>
      <c r="U3" s="6">
        <f>IFERROR(IF(INDEX(Matches!$O$5:$O$5,MATCH($B3,Matches!$A$5:$A$5,0))="","",IF($F3="A",INDEX(Matches!$O$5:$O$5,MATCH($B3,Matches!$A$5:$A$5,0)),1-INDEX(Matches!$O$5:$O$5,MATCH($B3,Matches!$A$5:$A$5,0)))),"")</f>
        <v/>
      </c>
      <c r="V3">
        <f>IFERROR(N(INDEX(Matches!$Q$5:$Q$5,MATCH($B3,Matches!$A$5:$A$5,0))),0)</f>
        <v/>
      </c>
      <c r="W3" s="11">
        <f>IF(OR($U3="",$J3=""),"",$L3*($U3*$J3+(1-$U3)*$K3))</f>
        <v/>
      </c>
      <c r="X3">
        <f>IF($W3="","",IF(LEFT($B3,4)="DOTA",Config!$B$7,Config!$B$6)*$W3+$L3^2*$U3*(1-$U3)*($J3-$K3)^2)</f>
        <v/>
      </c>
      <c r="Y3" s="11">
        <f>IF($O3="","",$O3)</f>
        <v/>
      </c>
      <c r="Z3">
        <f>IF($P3="","",$P3)</f>
        <v/>
      </c>
      <c r="AA3" s="11">
        <f>IF($O3="","",N($N3)*N($O3)+N($R3)*N($S3))</f>
        <v/>
      </c>
      <c r="AB3">
        <f>IF($O3="","",(N($N3)*N($P3)+N($N3)*(1-N($N3))*N($O3)^2)+(N($R3)*N($T3)+N($R3)*(1-N($R3))*N($S3)^2))</f>
        <v/>
      </c>
      <c r="AC3" s="11">
        <f>IF($O3="","",N($N3)*N($O3)+N($R3)*N($S3)+N($V3)*N($W3))</f>
        <v/>
      </c>
      <c r="AD3">
        <f>IF($O3="","",(N($N3)*N($P3)+N($N3)*(1-N($N3))*N($O3)^2)+(N($R3)*N($T3)+N($R3)*(1-N($R3))*N($S3)^2)+(N($V3)*N($X3)+N($V3)*(1-N($V3))*N($W3)^2))</f>
        <v/>
      </c>
      <c r="AE3" s="11">
        <f>IF($I3="","",$I3*$L3)</f>
        <v/>
      </c>
      <c r="AF3" s="11">
        <f>IF($I3="","",$I3*$L3*(1+N($R3)))</f>
        <v/>
      </c>
      <c r="AG3" s="11">
        <f>IF($I3="","",$I3*$L3*(1+N($R3)+N($V3)))</f>
        <v/>
      </c>
      <c r="AH3">
        <f>TRIM(IF($G3&lt;Config!$B$9,"thin sample ("&amp;$G3&amp;" maps) · ","")&amp;IF($I3="","no PickFinder stats · ","")&amp;IFERROR(IF(INDEX(Players!$T$2:$T$11,MATCH($E3,Players!$A$2:$A$11,0))&lt;0.5,"new roster: "&amp;TEXT(INDEX(Players!$T$2:$T$11,MATCH($E3,Players!$A$2:$A$11,0)),"0%")&amp;" of his recent games with these teammates",""),""))</f>
        <v/>
      </c>
      <c r="AI3">
        <f>IF($B3=Board!$B$2,COUNTIFS($B$2:$B$11,Board!$B$2,$Y$2:$Y$11,"&gt;"&amp;$Y3)+COUNTIFS($B$1:$B2,Board!$B$2,$Y$1:$Y2,$Y3)+1,"")</f>
        <v/>
      </c>
      <c r="AJ3">
        <f>IFERROR(IF(INDEX(Matches!$D$5:$D$5,MATCH($B3,Matches!$A$5:$A$5,0))=3,"K12","K13"),"K13")</f>
        <v/>
      </c>
      <c r="AK3" s="11">
        <f>IF($AJ3="K12",$AA3,$AC3)</f>
        <v/>
      </c>
    </row>
    <row r="4">
      <c r="A4" t="inlineStr">
        <is>
          <t>5h8ktthuwylbro2|LOL · KC vs MVK</t>
        </is>
      </c>
      <c r="B4" t="inlineStr">
        <is>
          <t>LOL · KC vs MVK</t>
        </is>
      </c>
      <c r="C4" t="inlineStr">
        <is>
          <t>KC</t>
        </is>
      </c>
      <c r="D4" t="inlineStr">
        <is>
          <t>Canna</t>
        </is>
      </c>
      <c r="E4" t="inlineStr">
        <is>
          <t>5h8ktthuwylbro2</t>
        </is>
      </c>
      <c r="F4">
        <f>IFERROR(IF($C4=INDEX(Matches!$S$5:$S$5,MATCH($B4,Matches!$A$5:$A$5,0)),"A",IF($C4=INDEX(Matches!$T$5:$T$5,MATCH($B4,Matches!$A$5:$A$5,0)),"B","")),"")</f>
        <v/>
      </c>
      <c r="G4">
        <f>IFERROR(INDEX(Players!$E$2:$E$11,MATCH($E4,Players!$A$2:$A$11,0)),0)</f>
        <v/>
      </c>
      <c r="H4" s="6">
        <f>IFERROR(INDEX(Players!$F$2:$F$11,MATCH($E4,Players!$A$2:$A$11,0)),"")</f>
        <v/>
      </c>
      <c r="I4">
        <f>IFERROR(INDEX(Players!$G$2:$G$11,MATCH($E4,Players!$A$2:$A$11,0)),"")</f>
        <v/>
      </c>
      <c r="J4" s="11">
        <f>IF(OR($I4="",$H4=""),"",$I4*IF(LEFT($B4,4)="DOTA",Config!$B$5,Config!$B$4)/($H4*IF(LEFT($B4,4)="DOTA",Config!$B$5,Config!$B$4)+1-$H4))</f>
        <v/>
      </c>
      <c r="K4" s="11">
        <f>IF(OR($I4="",$H4=""),"",$I4/($H4*IF(LEFT($B4,4)="DOTA",Config!$B$5,Config!$B$4)+1-$H4))</f>
        <v/>
      </c>
      <c r="L4">
        <f>IFERROR(INDEX(Matches!$R$5:$R$5,MATCH($B4,Matches!$A$5:$A$5,0)),1)</f>
        <v/>
      </c>
      <c r="M4" s="6">
        <f>IFERROR(IF(INDEX(Matches!$M$5:$M$5,MATCH($B4,Matches!$A$5:$A$5,0))="","",IF($F4="A",INDEX(Matches!$M$5:$M$5,MATCH($B4,Matches!$A$5:$A$5,0)),1-INDEX(Matches!$M$5:$M$5,MATCH($B4,Matches!$A$5:$A$5,0)))),"")</f>
        <v/>
      </c>
      <c r="N4">
        <f>1</f>
        <v/>
      </c>
      <c r="O4" s="11">
        <f>IF(OR($M4="",$J4=""),"",$L4*($M4*$J4+(1-$M4)*$K4))</f>
        <v/>
      </c>
      <c r="P4">
        <f>IF($O4="","",IF(LEFT($B4,4)="DOTA",Config!$B$7,Config!$B$6)*$O4+$L4^2*$M4*(1-$M4)*($J4-$K4)^2)</f>
        <v/>
      </c>
      <c r="Q4" s="6">
        <f>IFERROR(IF(INDEX(Matches!$N$5:$N$5,MATCH($B4,Matches!$A$5:$A$5,0))="","",IF($F4="A",INDEX(Matches!$N$5:$N$5,MATCH($B4,Matches!$A$5:$A$5,0)),1-INDEX(Matches!$N$5:$N$5,MATCH($B4,Matches!$A$5:$A$5,0)))),"")</f>
        <v/>
      </c>
      <c r="R4">
        <f>IFERROR(N(INDEX(Matches!$P$5:$P$5,MATCH($B4,Matches!$A$5:$A$5,0))),0)</f>
        <v/>
      </c>
      <c r="S4" s="11">
        <f>IF(OR($Q4="",$J4=""),"",$L4*($Q4*$J4+(1-$Q4)*$K4))</f>
        <v/>
      </c>
      <c r="T4">
        <f>IF($S4="","",IF(LEFT($B4,4)="DOTA",Config!$B$7,Config!$B$6)*$S4+$L4^2*$Q4*(1-$Q4)*($J4-$K4)^2)</f>
        <v/>
      </c>
      <c r="U4" s="6">
        <f>IFERROR(IF(INDEX(Matches!$O$5:$O$5,MATCH($B4,Matches!$A$5:$A$5,0))="","",IF($F4="A",INDEX(Matches!$O$5:$O$5,MATCH($B4,Matches!$A$5:$A$5,0)),1-INDEX(Matches!$O$5:$O$5,MATCH($B4,Matches!$A$5:$A$5,0)))),"")</f>
        <v/>
      </c>
      <c r="V4">
        <f>IFERROR(N(INDEX(Matches!$Q$5:$Q$5,MATCH($B4,Matches!$A$5:$A$5,0))),0)</f>
        <v/>
      </c>
      <c r="W4" s="11">
        <f>IF(OR($U4="",$J4=""),"",$L4*($U4*$J4+(1-$U4)*$K4))</f>
        <v/>
      </c>
      <c r="X4">
        <f>IF($W4="","",IF(LEFT($B4,4)="DOTA",Config!$B$7,Config!$B$6)*$W4+$L4^2*$U4*(1-$U4)*($J4-$K4)^2)</f>
        <v/>
      </c>
      <c r="Y4" s="11">
        <f>IF($O4="","",$O4)</f>
        <v/>
      </c>
      <c r="Z4">
        <f>IF($P4="","",$P4)</f>
        <v/>
      </c>
      <c r="AA4" s="11">
        <f>IF($O4="","",N($N4)*N($O4)+N($R4)*N($S4))</f>
        <v/>
      </c>
      <c r="AB4">
        <f>IF($O4="","",(N($N4)*N($P4)+N($N4)*(1-N($N4))*N($O4)^2)+(N($R4)*N($T4)+N($R4)*(1-N($R4))*N($S4)^2))</f>
        <v/>
      </c>
      <c r="AC4" s="11">
        <f>IF($O4="","",N($N4)*N($O4)+N($R4)*N($S4)+N($V4)*N($W4))</f>
        <v/>
      </c>
      <c r="AD4">
        <f>IF($O4="","",(N($N4)*N($P4)+N($N4)*(1-N($N4))*N($O4)^2)+(N($R4)*N($T4)+N($R4)*(1-N($R4))*N($S4)^2)+(N($V4)*N($X4)+N($V4)*(1-N($V4))*N($W4)^2))</f>
        <v/>
      </c>
      <c r="AE4" s="11">
        <f>IF($I4="","",$I4*$L4)</f>
        <v/>
      </c>
      <c r="AF4" s="11">
        <f>IF($I4="","",$I4*$L4*(1+N($R4)))</f>
        <v/>
      </c>
      <c r="AG4" s="11">
        <f>IF($I4="","",$I4*$L4*(1+N($R4)+N($V4)))</f>
        <v/>
      </c>
      <c r="AH4">
        <f>TRIM(IF($G4&lt;Config!$B$9,"thin sample ("&amp;$G4&amp;" maps) · ","")&amp;IF($I4="","no PickFinder stats · ","")&amp;IFERROR(IF(INDEX(Players!$T$2:$T$11,MATCH($E4,Players!$A$2:$A$11,0))&lt;0.5,"new roster: "&amp;TEXT(INDEX(Players!$T$2:$T$11,MATCH($E4,Players!$A$2:$A$11,0)),"0%")&amp;" of his recent games with these teammates",""),""))</f>
        <v/>
      </c>
      <c r="AI4">
        <f>IF($B4=Board!$B$2,COUNTIFS($B$2:$B$11,Board!$B$2,$Y$2:$Y$11,"&gt;"&amp;$Y4)+COUNTIFS($B$1:$B3,Board!$B$2,$Y$1:$Y3,$Y4)+1,"")</f>
        <v/>
      </c>
      <c r="AJ4">
        <f>IFERROR(IF(INDEX(Matches!$D$5:$D$5,MATCH($B4,Matches!$A$5:$A$5,0))=3,"K12","K13"),"K13")</f>
        <v/>
      </c>
      <c r="AK4" s="11">
        <f>IF($AJ4="K12",$AA4,$AC4)</f>
        <v/>
      </c>
    </row>
    <row r="5">
      <c r="A5" t="inlineStr">
        <is>
          <t>cp4ibkwui10xeyj|LOL · KC vs MVK</t>
        </is>
      </c>
      <c r="B5" t="inlineStr">
        <is>
          <t>LOL · KC vs MVK</t>
        </is>
      </c>
      <c r="C5" t="inlineStr">
        <is>
          <t>KC</t>
        </is>
      </c>
      <c r="D5" t="inlineStr">
        <is>
          <t>Kyeahoo</t>
        </is>
      </c>
      <c r="E5" t="inlineStr">
        <is>
          <t>cp4ibkwui10xeyj</t>
        </is>
      </c>
      <c r="F5">
        <f>IFERROR(IF($C5=INDEX(Matches!$S$5:$S$5,MATCH($B5,Matches!$A$5:$A$5,0)),"A",IF($C5=INDEX(Matches!$T$5:$T$5,MATCH($B5,Matches!$A$5:$A$5,0)),"B","")),"")</f>
        <v/>
      </c>
      <c r="G5">
        <f>IFERROR(INDEX(Players!$E$2:$E$11,MATCH($E5,Players!$A$2:$A$11,0)),0)</f>
        <v/>
      </c>
      <c r="H5" s="6">
        <f>IFERROR(INDEX(Players!$F$2:$F$11,MATCH($E5,Players!$A$2:$A$11,0)),"")</f>
        <v/>
      </c>
      <c r="I5">
        <f>IFERROR(INDEX(Players!$G$2:$G$11,MATCH($E5,Players!$A$2:$A$11,0)),"")</f>
        <v/>
      </c>
      <c r="J5" s="11">
        <f>IF(OR($I5="",$H5=""),"",$I5*IF(LEFT($B5,4)="DOTA",Config!$B$5,Config!$B$4)/($H5*IF(LEFT($B5,4)="DOTA",Config!$B$5,Config!$B$4)+1-$H5))</f>
        <v/>
      </c>
      <c r="K5" s="11">
        <f>IF(OR($I5="",$H5=""),"",$I5/($H5*IF(LEFT($B5,4)="DOTA",Config!$B$5,Config!$B$4)+1-$H5))</f>
        <v/>
      </c>
      <c r="L5">
        <f>IFERROR(INDEX(Matches!$R$5:$R$5,MATCH($B5,Matches!$A$5:$A$5,0)),1)</f>
        <v/>
      </c>
      <c r="M5" s="6">
        <f>IFERROR(IF(INDEX(Matches!$M$5:$M$5,MATCH($B5,Matches!$A$5:$A$5,0))="","",IF($F5="A",INDEX(Matches!$M$5:$M$5,MATCH($B5,Matches!$A$5:$A$5,0)),1-INDEX(Matches!$M$5:$M$5,MATCH($B5,Matches!$A$5:$A$5,0)))),"")</f>
        <v/>
      </c>
      <c r="N5">
        <f>1</f>
        <v/>
      </c>
      <c r="O5" s="11">
        <f>IF(OR($M5="",$J5=""),"",$L5*($M5*$J5+(1-$M5)*$K5))</f>
        <v/>
      </c>
      <c r="P5">
        <f>IF($O5="","",IF(LEFT($B5,4)="DOTA",Config!$B$7,Config!$B$6)*$O5+$L5^2*$M5*(1-$M5)*($J5-$K5)^2)</f>
        <v/>
      </c>
      <c r="Q5" s="6">
        <f>IFERROR(IF(INDEX(Matches!$N$5:$N$5,MATCH($B5,Matches!$A$5:$A$5,0))="","",IF($F5="A",INDEX(Matches!$N$5:$N$5,MATCH($B5,Matches!$A$5:$A$5,0)),1-INDEX(Matches!$N$5:$N$5,MATCH($B5,Matches!$A$5:$A$5,0)))),"")</f>
        <v/>
      </c>
      <c r="R5">
        <f>IFERROR(N(INDEX(Matches!$P$5:$P$5,MATCH($B5,Matches!$A$5:$A$5,0))),0)</f>
        <v/>
      </c>
      <c r="S5" s="11">
        <f>IF(OR($Q5="",$J5=""),"",$L5*($Q5*$J5+(1-$Q5)*$K5))</f>
        <v/>
      </c>
      <c r="T5">
        <f>IF($S5="","",IF(LEFT($B5,4)="DOTA",Config!$B$7,Config!$B$6)*$S5+$L5^2*$Q5*(1-$Q5)*($J5-$K5)^2)</f>
        <v/>
      </c>
      <c r="U5" s="6">
        <f>IFERROR(IF(INDEX(Matches!$O$5:$O$5,MATCH($B5,Matches!$A$5:$A$5,0))="","",IF($F5="A",INDEX(Matches!$O$5:$O$5,MATCH($B5,Matches!$A$5:$A$5,0)),1-INDEX(Matches!$O$5:$O$5,MATCH($B5,Matches!$A$5:$A$5,0)))),"")</f>
        <v/>
      </c>
      <c r="V5">
        <f>IFERROR(N(INDEX(Matches!$Q$5:$Q$5,MATCH($B5,Matches!$A$5:$A$5,0))),0)</f>
        <v/>
      </c>
      <c r="W5" s="11">
        <f>IF(OR($U5="",$J5=""),"",$L5*($U5*$J5+(1-$U5)*$K5))</f>
        <v/>
      </c>
      <c r="X5">
        <f>IF($W5="","",IF(LEFT($B5,4)="DOTA",Config!$B$7,Config!$B$6)*$W5+$L5^2*$U5*(1-$U5)*($J5-$K5)^2)</f>
        <v/>
      </c>
      <c r="Y5" s="11">
        <f>IF($O5="","",$O5)</f>
        <v/>
      </c>
      <c r="Z5">
        <f>IF($P5="","",$P5)</f>
        <v/>
      </c>
      <c r="AA5" s="11">
        <f>IF($O5="","",N($N5)*N($O5)+N($R5)*N($S5))</f>
        <v/>
      </c>
      <c r="AB5">
        <f>IF($O5="","",(N($N5)*N($P5)+N($N5)*(1-N($N5))*N($O5)^2)+(N($R5)*N($T5)+N($R5)*(1-N($R5))*N($S5)^2))</f>
        <v/>
      </c>
      <c r="AC5" s="11">
        <f>IF($O5="","",N($N5)*N($O5)+N($R5)*N($S5)+N($V5)*N($W5))</f>
        <v/>
      </c>
      <c r="AD5">
        <f>IF($O5="","",(N($N5)*N($P5)+N($N5)*(1-N($N5))*N($O5)^2)+(N($R5)*N($T5)+N($R5)*(1-N($R5))*N($S5)^2)+(N($V5)*N($X5)+N($V5)*(1-N($V5))*N($W5)^2))</f>
        <v/>
      </c>
      <c r="AE5" s="11">
        <f>IF($I5="","",$I5*$L5)</f>
        <v/>
      </c>
      <c r="AF5" s="11">
        <f>IF($I5="","",$I5*$L5*(1+N($R5)))</f>
        <v/>
      </c>
      <c r="AG5" s="11">
        <f>IF($I5="","",$I5*$L5*(1+N($R5)+N($V5)))</f>
        <v/>
      </c>
      <c r="AH5">
        <f>TRIM(IF($G5&lt;Config!$B$9,"thin sample ("&amp;$G5&amp;" maps) · ","")&amp;IF($I5="","no PickFinder stats · ","")&amp;IFERROR(IF(INDEX(Players!$T$2:$T$11,MATCH($E5,Players!$A$2:$A$11,0))&lt;0.5,"new roster: "&amp;TEXT(INDEX(Players!$T$2:$T$11,MATCH($E5,Players!$A$2:$A$11,0)),"0%")&amp;" of his recent games with these teammates",""),""))</f>
        <v/>
      </c>
      <c r="AI5">
        <f>IF($B5=Board!$B$2,COUNTIFS($B$2:$B$11,Board!$B$2,$Y$2:$Y$11,"&gt;"&amp;$Y5)+COUNTIFS($B$1:$B4,Board!$B$2,$Y$1:$Y4,$Y5)+1,"")</f>
        <v/>
      </c>
      <c r="AJ5">
        <f>IFERROR(IF(INDEX(Matches!$D$5:$D$5,MATCH($B5,Matches!$A$5:$A$5,0))=3,"K12","K13"),"K13")</f>
        <v/>
      </c>
      <c r="AK5" s="11">
        <f>IF($AJ5="K12",$AA5,$AC5)</f>
        <v/>
      </c>
    </row>
    <row r="6">
      <c r="A6" t="inlineStr">
        <is>
          <t>rfespsq7mcurckt|LOL · KC vs MVK</t>
        </is>
      </c>
      <c r="B6" t="inlineStr">
        <is>
          <t>LOL · KC vs MVK</t>
        </is>
      </c>
      <c r="C6" t="inlineStr">
        <is>
          <t>KC</t>
        </is>
      </c>
      <c r="D6" t="inlineStr">
        <is>
          <t>Yike</t>
        </is>
      </c>
      <c r="E6" t="inlineStr">
        <is>
          <t>rfespsq7mcurckt</t>
        </is>
      </c>
      <c r="F6">
        <f>IFERROR(IF($C6=INDEX(Matches!$S$5:$S$5,MATCH($B6,Matches!$A$5:$A$5,0)),"A",IF($C6=INDEX(Matches!$T$5:$T$5,MATCH($B6,Matches!$A$5:$A$5,0)),"B","")),"")</f>
        <v/>
      </c>
      <c r="G6">
        <f>IFERROR(INDEX(Players!$E$2:$E$11,MATCH($E6,Players!$A$2:$A$11,0)),0)</f>
        <v/>
      </c>
      <c r="H6" s="6">
        <f>IFERROR(INDEX(Players!$F$2:$F$11,MATCH($E6,Players!$A$2:$A$11,0)),"")</f>
        <v/>
      </c>
      <c r="I6">
        <f>IFERROR(INDEX(Players!$G$2:$G$11,MATCH($E6,Players!$A$2:$A$11,0)),"")</f>
        <v/>
      </c>
      <c r="J6" s="11">
        <f>IF(OR($I6="",$H6=""),"",$I6*IF(LEFT($B6,4)="DOTA",Config!$B$5,Config!$B$4)/($H6*IF(LEFT($B6,4)="DOTA",Config!$B$5,Config!$B$4)+1-$H6))</f>
        <v/>
      </c>
      <c r="K6" s="11">
        <f>IF(OR($I6="",$H6=""),"",$I6/($H6*IF(LEFT($B6,4)="DOTA",Config!$B$5,Config!$B$4)+1-$H6))</f>
        <v/>
      </c>
      <c r="L6">
        <f>IFERROR(INDEX(Matches!$R$5:$R$5,MATCH($B6,Matches!$A$5:$A$5,0)),1)</f>
        <v/>
      </c>
      <c r="M6" s="6">
        <f>IFERROR(IF(INDEX(Matches!$M$5:$M$5,MATCH($B6,Matches!$A$5:$A$5,0))="","",IF($F6="A",INDEX(Matches!$M$5:$M$5,MATCH($B6,Matches!$A$5:$A$5,0)),1-INDEX(Matches!$M$5:$M$5,MATCH($B6,Matches!$A$5:$A$5,0)))),"")</f>
        <v/>
      </c>
      <c r="N6">
        <f>1</f>
        <v/>
      </c>
      <c r="O6" s="11">
        <f>IF(OR($M6="",$J6=""),"",$L6*($M6*$J6+(1-$M6)*$K6))</f>
        <v/>
      </c>
      <c r="P6">
        <f>IF($O6="","",IF(LEFT($B6,4)="DOTA",Config!$B$7,Config!$B$6)*$O6+$L6^2*$M6*(1-$M6)*($J6-$K6)^2)</f>
        <v/>
      </c>
      <c r="Q6" s="6">
        <f>IFERROR(IF(INDEX(Matches!$N$5:$N$5,MATCH($B6,Matches!$A$5:$A$5,0))="","",IF($F6="A",INDEX(Matches!$N$5:$N$5,MATCH($B6,Matches!$A$5:$A$5,0)),1-INDEX(Matches!$N$5:$N$5,MATCH($B6,Matches!$A$5:$A$5,0)))),"")</f>
        <v/>
      </c>
      <c r="R6">
        <f>IFERROR(N(INDEX(Matches!$P$5:$P$5,MATCH($B6,Matches!$A$5:$A$5,0))),0)</f>
        <v/>
      </c>
      <c r="S6" s="11">
        <f>IF(OR($Q6="",$J6=""),"",$L6*($Q6*$J6+(1-$Q6)*$K6))</f>
        <v/>
      </c>
      <c r="T6">
        <f>IF($S6="","",IF(LEFT($B6,4)="DOTA",Config!$B$7,Config!$B$6)*$S6+$L6^2*$Q6*(1-$Q6)*($J6-$K6)^2)</f>
        <v/>
      </c>
      <c r="U6" s="6">
        <f>IFERROR(IF(INDEX(Matches!$O$5:$O$5,MATCH($B6,Matches!$A$5:$A$5,0))="","",IF($F6="A",INDEX(Matches!$O$5:$O$5,MATCH($B6,Matches!$A$5:$A$5,0)),1-INDEX(Matches!$O$5:$O$5,MATCH($B6,Matches!$A$5:$A$5,0)))),"")</f>
        <v/>
      </c>
      <c r="V6">
        <f>IFERROR(N(INDEX(Matches!$Q$5:$Q$5,MATCH($B6,Matches!$A$5:$A$5,0))),0)</f>
        <v/>
      </c>
      <c r="W6" s="11">
        <f>IF(OR($U6="",$J6=""),"",$L6*($U6*$J6+(1-$U6)*$K6))</f>
        <v/>
      </c>
      <c r="X6">
        <f>IF($W6="","",IF(LEFT($B6,4)="DOTA",Config!$B$7,Config!$B$6)*$W6+$L6^2*$U6*(1-$U6)*($J6-$K6)^2)</f>
        <v/>
      </c>
      <c r="Y6" s="11">
        <f>IF($O6="","",$O6)</f>
        <v/>
      </c>
      <c r="Z6">
        <f>IF($P6="","",$P6)</f>
        <v/>
      </c>
      <c r="AA6" s="11">
        <f>IF($O6="","",N($N6)*N($O6)+N($R6)*N($S6))</f>
        <v/>
      </c>
      <c r="AB6">
        <f>IF($O6="","",(N($N6)*N($P6)+N($N6)*(1-N($N6))*N($O6)^2)+(N($R6)*N($T6)+N($R6)*(1-N($R6))*N($S6)^2))</f>
        <v/>
      </c>
      <c r="AC6" s="11">
        <f>IF($O6="","",N($N6)*N($O6)+N($R6)*N($S6)+N($V6)*N($W6))</f>
        <v/>
      </c>
      <c r="AD6">
        <f>IF($O6="","",(N($N6)*N($P6)+N($N6)*(1-N($N6))*N($O6)^2)+(N($R6)*N($T6)+N($R6)*(1-N($R6))*N($S6)^2)+(N($V6)*N($X6)+N($V6)*(1-N($V6))*N($W6)^2))</f>
        <v/>
      </c>
      <c r="AE6" s="11">
        <f>IF($I6="","",$I6*$L6)</f>
        <v/>
      </c>
      <c r="AF6" s="11">
        <f>IF($I6="","",$I6*$L6*(1+N($R6)))</f>
        <v/>
      </c>
      <c r="AG6" s="11">
        <f>IF($I6="","",$I6*$L6*(1+N($R6)+N($V6)))</f>
        <v/>
      </c>
      <c r="AH6">
        <f>TRIM(IF($G6&lt;Config!$B$9,"thin sample ("&amp;$G6&amp;" maps) · ","")&amp;IF($I6="","no PickFinder stats · ","")&amp;IFERROR(IF(INDEX(Players!$T$2:$T$11,MATCH($E6,Players!$A$2:$A$11,0))&lt;0.5,"new roster: "&amp;TEXT(INDEX(Players!$T$2:$T$11,MATCH($E6,Players!$A$2:$A$11,0)),"0%")&amp;" of his recent games with these teammates",""),""))</f>
        <v/>
      </c>
      <c r="AI6">
        <f>IF($B6=Board!$B$2,COUNTIFS($B$2:$B$11,Board!$B$2,$Y$2:$Y$11,"&gt;"&amp;$Y6)+COUNTIFS($B$1:$B5,Board!$B$2,$Y$1:$Y5,$Y6)+1,"")</f>
        <v/>
      </c>
      <c r="AJ6">
        <f>IFERROR(IF(INDEX(Matches!$D$5:$D$5,MATCH($B6,Matches!$A$5:$A$5,0))=3,"K12","K13"),"K13")</f>
        <v/>
      </c>
      <c r="AK6" s="11">
        <f>IF($AJ6="K12",$AA6,$AC6)</f>
        <v/>
      </c>
    </row>
    <row r="7">
      <c r="A7" t="inlineStr">
        <is>
          <t>r22pe1iajr6mhdp|LOL · KC vs MVK</t>
        </is>
      </c>
      <c r="B7" t="inlineStr">
        <is>
          <t>LOL · KC vs MVK</t>
        </is>
      </c>
      <c r="C7" t="inlineStr">
        <is>
          <t>MVK</t>
        </is>
      </c>
      <c r="D7" t="inlineStr">
        <is>
          <t>Chika</t>
        </is>
      </c>
      <c r="E7" t="inlineStr">
        <is>
          <t>r22pe1iajr6mhdp</t>
        </is>
      </c>
      <c r="F7">
        <f>IFERROR(IF($C7=INDEX(Matches!$S$5:$S$5,MATCH($B7,Matches!$A$5:$A$5,0)),"A",IF($C7=INDEX(Matches!$T$5:$T$5,MATCH($B7,Matches!$A$5:$A$5,0)),"B","")),"")</f>
        <v/>
      </c>
      <c r="G7">
        <f>IFERROR(INDEX(Players!$E$2:$E$11,MATCH($E7,Players!$A$2:$A$11,0)),0)</f>
        <v/>
      </c>
      <c r="H7" s="6">
        <f>IFERROR(INDEX(Players!$F$2:$F$11,MATCH($E7,Players!$A$2:$A$11,0)),"")</f>
        <v/>
      </c>
      <c r="I7">
        <f>IFERROR(INDEX(Players!$G$2:$G$11,MATCH($E7,Players!$A$2:$A$11,0)),"")</f>
        <v/>
      </c>
      <c r="J7" s="11">
        <f>IF(OR($I7="",$H7=""),"",$I7*IF(LEFT($B7,4)="DOTA",Config!$B$5,Config!$B$4)/($H7*IF(LEFT($B7,4)="DOTA",Config!$B$5,Config!$B$4)+1-$H7))</f>
        <v/>
      </c>
      <c r="K7" s="11">
        <f>IF(OR($I7="",$H7=""),"",$I7/($H7*IF(LEFT($B7,4)="DOTA",Config!$B$5,Config!$B$4)+1-$H7))</f>
        <v/>
      </c>
      <c r="L7">
        <f>IFERROR(INDEX(Matches!$R$5:$R$5,MATCH($B7,Matches!$A$5:$A$5,0)),1)</f>
        <v/>
      </c>
      <c r="M7" s="6">
        <f>IFERROR(IF(INDEX(Matches!$M$5:$M$5,MATCH($B7,Matches!$A$5:$A$5,0))="","",IF($F7="A",INDEX(Matches!$M$5:$M$5,MATCH($B7,Matches!$A$5:$A$5,0)),1-INDEX(Matches!$M$5:$M$5,MATCH($B7,Matches!$A$5:$A$5,0)))),"")</f>
        <v/>
      </c>
      <c r="N7">
        <f>1</f>
        <v/>
      </c>
      <c r="O7" s="11">
        <f>IF(OR($M7="",$J7=""),"",$L7*($M7*$J7+(1-$M7)*$K7))</f>
        <v/>
      </c>
      <c r="P7">
        <f>IF($O7="","",IF(LEFT($B7,4)="DOTA",Config!$B$7,Config!$B$6)*$O7+$L7^2*$M7*(1-$M7)*($J7-$K7)^2)</f>
        <v/>
      </c>
      <c r="Q7" s="6">
        <f>IFERROR(IF(INDEX(Matches!$N$5:$N$5,MATCH($B7,Matches!$A$5:$A$5,0))="","",IF($F7="A",INDEX(Matches!$N$5:$N$5,MATCH($B7,Matches!$A$5:$A$5,0)),1-INDEX(Matches!$N$5:$N$5,MATCH($B7,Matches!$A$5:$A$5,0)))),"")</f>
        <v/>
      </c>
      <c r="R7">
        <f>IFERROR(N(INDEX(Matches!$P$5:$P$5,MATCH($B7,Matches!$A$5:$A$5,0))),0)</f>
        <v/>
      </c>
      <c r="S7" s="11">
        <f>IF(OR($Q7="",$J7=""),"",$L7*($Q7*$J7+(1-$Q7)*$K7))</f>
        <v/>
      </c>
      <c r="T7">
        <f>IF($S7="","",IF(LEFT($B7,4)="DOTA",Config!$B$7,Config!$B$6)*$S7+$L7^2*$Q7*(1-$Q7)*($J7-$K7)^2)</f>
        <v/>
      </c>
      <c r="U7" s="6">
        <f>IFERROR(IF(INDEX(Matches!$O$5:$O$5,MATCH($B7,Matches!$A$5:$A$5,0))="","",IF($F7="A",INDEX(Matches!$O$5:$O$5,MATCH($B7,Matches!$A$5:$A$5,0)),1-INDEX(Matches!$O$5:$O$5,MATCH($B7,Matches!$A$5:$A$5,0)))),"")</f>
        <v/>
      </c>
      <c r="V7">
        <f>IFERROR(N(INDEX(Matches!$Q$5:$Q$5,MATCH($B7,Matches!$A$5:$A$5,0))),0)</f>
        <v/>
      </c>
      <c r="W7" s="11">
        <f>IF(OR($U7="",$J7=""),"",$L7*($U7*$J7+(1-$U7)*$K7))</f>
        <v/>
      </c>
      <c r="X7">
        <f>IF($W7="","",IF(LEFT($B7,4)="DOTA",Config!$B$7,Config!$B$6)*$W7+$L7^2*$U7*(1-$U7)*($J7-$K7)^2)</f>
        <v/>
      </c>
      <c r="Y7" s="11">
        <f>IF($O7="","",$O7)</f>
        <v/>
      </c>
      <c r="Z7">
        <f>IF($P7="","",$P7)</f>
        <v/>
      </c>
      <c r="AA7" s="11">
        <f>IF($O7="","",N($N7)*N($O7)+N($R7)*N($S7))</f>
        <v/>
      </c>
      <c r="AB7">
        <f>IF($O7="","",(N($N7)*N($P7)+N($N7)*(1-N($N7))*N($O7)^2)+(N($R7)*N($T7)+N($R7)*(1-N($R7))*N($S7)^2))</f>
        <v/>
      </c>
      <c r="AC7" s="11">
        <f>IF($O7="","",N($N7)*N($O7)+N($R7)*N($S7)+N($V7)*N($W7))</f>
        <v/>
      </c>
      <c r="AD7">
        <f>IF($O7="","",(N($N7)*N($P7)+N($N7)*(1-N($N7))*N($O7)^2)+(N($R7)*N($T7)+N($R7)*(1-N($R7))*N($S7)^2)+(N($V7)*N($X7)+N($V7)*(1-N($V7))*N($W7)^2))</f>
        <v/>
      </c>
      <c r="AE7" s="11">
        <f>IF($I7="","",$I7*$L7)</f>
        <v/>
      </c>
      <c r="AF7" s="11">
        <f>IF($I7="","",$I7*$L7*(1+N($R7)))</f>
        <v/>
      </c>
      <c r="AG7" s="11">
        <f>IF($I7="","",$I7*$L7*(1+N($R7)+N($V7)))</f>
        <v/>
      </c>
      <c r="AH7">
        <f>TRIM(IF($G7&lt;Config!$B$9,"thin sample ("&amp;$G7&amp;" maps) · ","")&amp;IF($I7="","no PickFinder stats · ","")&amp;IFERROR(IF(INDEX(Players!$T$2:$T$11,MATCH($E7,Players!$A$2:$A$11,0))&lt;0.5,"new roster: "&amp;TEXT(INDEX(Players!$T$2:$T$11,MATCH($E7,Players!$A$2:$A$11,0)),"0%")&amp;" of his recent games with these teammates",""),""))</f>
        <v/>
      </c>
      <c r="AI7">
        <f>IF($B7=Board!$B$2,COUNTIFS($B$2:$B$11,Board!$B$2,$Y$2:$Y$11,"&gt;"&amp;$Y7)+COUNTIFS($B$1:$B6,Board!$B$2,$Y$1:$Y6,$Y7)+1,"")</f>
        <v/>
      </c>
      <c r="AJ7">
        <f>IFERROR(IF(INDEX(Matches!$D$5:$D$5,MATCH($B7,Matches!$A$5:$A$5,0))=3,"K12","K13"),"K13")</f>
        <v/>
      </c>
      <c r="AK7" s="11">
        <f>IF($AJ7="K12",$AA7,$AC7)</f>
        <v/>
      </c>
    </row>
    <row r="8">
      <c r="A8" t="inlineStr">
        <is>
          <t>jr80asvwieexg6m|LOL · KC vs MVK</t>
        </is>
      </c>
      <c r="B8" t="inlineStr">
        <is>
          <t>LOL · KC vs MVK</t>
        </is>
      </c>
      <c r="C8" t="inlineStr">
        <is>
          <t>MVK</t>
        </is>
      </c>
      <c r="D8" t="inlineStr">
        <is>
          <t>Gury</t>
        </is>
      </c>
      <c r="E8" t="inlineStr">
        <is>
          <t>jr80asvwieexg6m</t>
        </is>
      </c>
      <c r="F8">
        <f>IFERROR(IF($C8=INDEX(Matches!$S$5:$S$5,MATCH($B8,Matches!$A$5:$A$5,0)),"A",IF($C8=INDEX(Matches!$T$5:$T$5,MATCH($B8,Matches!$A$5:$A$5,0)),"B","")),"")</f>
        <v/>
      </c>
      <c r="G8">
        <f>IFERROR(INDEX(Players!$E$2:$E$11,MATCH($E8,Players!$A$2:$A$11,0)),0)</f>
        <v/>
      </c>
      <c r="H8" s="6">
        <f>IFERROR(INDEX(Players!$F$2:$F$11,MATCH($E8,Players!$A$2:$A$11,0)),"")</f>
        <v/>
      </c>
      <c r="I8">
        <f>IFERROR(INDEX(Players!$G$2:$G$11,MATCH($E8,Players!$A$2:$A$11,0)),"")</f>
        <v/>
      </c>
      <c r="J8" s="11">
        <f>IF(OR($I8="",$H8=""),"",$I8*IF(LEFT($B8,4)="DOTA",Config!$B$5,Config!$B$4)/($H8*IF(LEFT($B8,4)="DOTA",Config!$B$5,Config!$B$4)+1-$H8))</f>
        <v/>
      </c>
      <c r="K8" s="11">
        <f>IF(OR($I8="",$H8=""),"",$I8/($H8*IF(LEFT($B8,4)="DOTA",Config!$B$5,Config!$B$4)+1-$H8))</f>
        <v/>
      </c>
      <c r="L8">
        <f>IFERROR(INDEX(Matches!$R$5:$R$5,MATCH($B8,Matches!$A$5:$A$5,0)),1)</f>
        <v/>
      </c>
      <c r="M8" s="6">
        <f>IFERROR(IF(INDEX(Matches!$M$5:$M$5,MATCH($B8,Matches!$A$5:$A$5,0))="","",IF($F8="A",INDEX(Matches!$M$5:$M$5,MATCH($B8,Matches!$A$5:$A$5,0)),1-INDEX(Matches!$M$5:$M$5,MATCH($B8,Matches!$A$5:$A$5,0)))),"")</f>
        <v/>
      </c>
      <c r="N8">
        <f>1</f>
        <v/>
      </c>
      <c r="O8" s="11">
        <f>IF(OR($M8="",$J8=""),"",$L8*($M8*$J8+(1-$M8)*$K8))</f>
        <v/>
      </c>
      <c r="P8">
        <f>IF($O8="","",IF(LEFT($B8,4)="DOTA",Config!$B$7,Config!$B$6)*$O8+$L8^2*$M8*(1-$M8)*($J8-$K8)^2)</f>
        <v/>
      </c>
      <c r="Q8" s="6">
        <f>IFERROR(IF(INDEX(Matches!$N$5:$N$5,MATCH($B8,Matches!$A$5:$A$5,0))="","",IF($F8="A",INDEX(Matches!$N$5:$N$5,MATCH($B8,Matches!$A$5:$A$5,0)),1-INDEX(Matches!$N$5:$N$5,MATCH($B8,Matches!$A$5:$A$5,0)))),"")</f>
        <v/>
      </c>
      <c r="R8">
        <f>IFERROR(N(INDEX(Matches!$P$5:$P$5,MATCH($B8,Matches!$A$5:$A$5,0))),0)</f>
        <v/>
      </c>
      <c r="S8" s="11">
        <f>IF(OR($Q8="",$J8=""),"",$L8*($Q8*$J8+(1-$Q8)*$K8))</f>
        <v/>
      </c>
      <c r="T8">
        <f>IF($S8="","",IF(LEFT($B8,4)="DOTA",Config!$B$7,Config!$B$6)*$S8+$L8^2*$Q8*(1-$Q8)*($J8-$K8)^2)</f>
        <v/>
      </c>
      <c r="U8" s="6">
        <f>IFERROR(IF(INDEX(Matches!$O$5:$O$5,MATCH($B8,Matches!$A$5:$A$5,0))="","",IF($F8="A",INDEX(Matches!$O$5:$O$5,MATCH($B8,Matches!$A$5:$A$5,0)),1-INDEX(Matches!$O$5:$O$5,MATCH($B8,Matches!$A$5:$A$5,0)))),"")</f>
        <v/>
      </c>
      <c r="V8">
        <f>IFERROR(N(INDEX(Matches!$Q$5:$Q$5,MATCH($B8,Matches!$A$5:$A$5,0))),0)</f>
        <v/>
      </c>
      <c r="W8" s="11">
        <f>IF(OR($U8="",$J8=""),"",$L8*($U8*$J8+(1-$U8)*$K8))</f>
        <v/>
      </c>
      <c r="X8">
        <f>IF($W8="","",IF(LEFT($B8,4)="DOTA",Config!$B$7,Config!$B$6)*$W8+$L8^2*$U8*(1-$U8)*($J8-$K8)^2)</f>
        <v/>
      </c>
      <c r="Y8" s="11">
        <f>IF($O8="","",$O8)</f>
        <v/>
      </c>
      <c r="Z8">
        <f>IF($P8="","",$P8)</f>
        <v/>
      </c>
      <c r="AA8" s="11">
        <f>IF($O8="","",N($N8)*N($O8)+N($R8)*N($S8))</f>
        <v/>
      </c>
      <c r="AB8">
        <f>IF($O8="","",(N($N8)*N($P8)+N($N8)*(1-N($N8))*N($O8)^2)+(N($R8)*N($T8)+N($R8)*(1-N($R8))*N($S8)^2))</f>
        <v/>
      </c>
      <c r="AC8" s="11">
        <f>IF($O8="","",N($N8)*N($O8)+N($R8)*N($S8)+N($V8)*N($W8))</f>
        <v/>
      </c>
      <c r="AD8">
        <f>IF($O8="","",(N($N8)*N($P8)+N($N8)*(1-N($N8))*N($O8)^2)+(N($R8)*N($T8)+N($R8)*(1-N($R8))*N($S8)^2)+(N($V8)*N($X8)+N($V8)*(1-N($V8))*N($W8)^2))</f>
        <v/>
      </c>
      <c r="AE8" s="11">
        <f>IF($I8="","",$I8*$L8)</f>
        <v/>
      </c>
      <c r="AF8" s="11">
        <f>IF($I8="","",$I8*$L8*(1+N($R8)))</f>
        <v/>
      </c>
      <c r="AG8" s="11">
        <f>IF($I8="","",$I8*$L8*(1+N($R8)+N($V8)))</f>
        <v/>
      </c>
      <c r="AH8">
        <f>TRIM(IF($G8&lt;Config!$B$9,"thin sample ("&amp;$G8&amp;" maps) · ","")&amp;IF($I8="","no PickFinder stats · ","")&amp;IFERROR(IF(INDEX(Players!$T$2:$T$11,MATCH($E8,Players!$A$2:$A$11,0))&lt;0.5,"new roster: "&amp;TEXT(INDEX(Players!$T$2:$T$11,MATCH($E8,Players!$A$2:$A$11,0)),"0%")&amp;" of his recent games with these teammates",""),""))</f>
        <v/>
      </c>
      <c r="AI8">
        <f>IF($B8=Board!$B$2,COUNTIFS($B$2:$B$11,Board!$B$2,$Y$2:$Y$11,"&gt;"&amp;$Y8)+COUNTIFS($B$1:$B7,Board!$B$2,$Y$1:$Y7,$Y8)+1,"")</f>
        <v/>
      </c>
      <c r="AJ8">
        <f>IFERROR(IF(INDEX(Matches!$D$5:$D$5,MATCH($B8,Matches!$A$5:$A$5,0))=3,"K12","K13"),"K13")</f>
        <v/>
      </c>
      <c r="AK8" s="11">
        <f>IF($AJ8="K12",$AA8,$AC8)</f>
        <v/>
      </c>
    </row>
    <row r="9">
      <c r="A9" t="inlineStr">
        <is>
          <t>tuhm132yvf0f8gg|LOL · KC vs MVK</t>
        </is>
      </c>
      <c r="B9" t="inlineStr">
        <is>
          <t>LOL · KC vs MVK</t>
        </is>
      </c>
      <c r="C9" t="inlineStr">
        <is>
          <t>MVK</t>
        </is>
      </c>
      <c r="D9" t="inlineStr">
        <is>
          <t>Harky</t>
        </is>
      </c>
      <c r="E9" t="inlineStr">
        <is>
          <t>tuhm132yvf0f8gg</t>
        </is>
      </c>
      <c r="F9">
        <f>IFERROR(IF($C9=INDEX(Matches!$S$5:$S$5,MATCH($B9,Matches!$A$5:$A$5,0)),"A",IF($C9=INDEX(Matches!$T$5:$T$5,MATCH($B9,Matches!$A$5:$A$5,0)),"B","")),"")</f>
        <v/>
      </c>
      <c r="G9">
        <f>IFERROR(INDEX(Players!$E$2:$E$11,MATCH($E9,Players!$A$2:$A$11,0)),0)</f>
        <v/>
      </c>
      <c r="H9" s="6">
        <f>IFERROR(INDEX(Players!$F$2:$F$11,MATCH($E9,Players!$A$2:$A$11,0)),"")</f>
        <v/>
      </c>
      <c r="I9">
        <f>IFERROR(INDEX(Players!$G$2:$G$11,MATCH($E9,Players!$A$2:$A$11,0)),"")</f>
        <v/>
      </c>
      <c r="J9" s="11">
        <f>IF(OR($I9="",$H9=""),"",$I9*IF(LEFT($B9,4)="DOTA",Config!$B$5,Config!$B$4)/($H9*IF(LEFT($B9,4)="DOTA",Config!$B$5,Config!$B$4)+1-$H9))</f>
        <v/>
      </c>
      <c r="K9" s="11">
        <f>IF(OR($I9="",$H9=""),"",$I9/($H9*IF(LEFT($B9,4)="DOTA",Config!$B$5,Config!$B$4)+1-$H9))</f>
        <v/>
      </c>
      <c r="L9">
        <f>IFERROR(INDEX(Matches!$R$5:$R$5,MATCH($B9,Matches!$A$5:$A$5,0)),1)</f>
        <v/>
      </c>
      <c r="M9" s="6">
        <f>IFERROR(IF(INDEX(Matches!$M$5:$M$5,MATCH($B9,Matches!$A$5:$A$5,0))="","",IF($F9="A",INDEX(Matches!$M$5:$M$5,MATCH($B9,Matches!$A$5:$A$5,0)),1-INDEX(Matches!$M$5:$M$5,MATCH($B9,Matches!$A$5:$A$5,0)))),"")</f>
        <v/>
      </c>
      <c r="N9">
        <f>1</f>
        <v/>
      </c>
      <c r="O9" s="11">
        <f>IF(OR($M9="",$J9=""),"",$L9*($M9*$J9+(1-$M9)*$K9))</f>
        <v/>
      </c>
      <c r="P9">
        <f>IF($O9="","",IF(LEFT($B9,4)="DOTA",Config!$B$7,Config!$B$6)*$O9+$L9^2*$M9*(1-$M9)*($J9-$K9)^2)</f>
        <v/>
      </c>
      <c r="Q9" s="6">
        <f>IFERROR(IF(INDEX(Matches!$N$5:$N$5,MATCH($B9,Matches!$A$5:$A$5,0))="","",IF($F9="A",INDEX(Matches!$N$5:$N$5,MATCH($B9,Matches!$A$5:$A$5,0)),1-INDEX(Matches!$N$5:$N$5,MATCH($B9,Matches!$A$5:$A$5,0)))),"")</f>
        <v/>
      </c>
      <c r="R9">
        <f>IFERROR(N(INDEX(Matches!$P$5:$P$5,MATCH($B9,Matches!$A$5:$A$5,0))),0)</f>
        <v/>
      </c>
      <c r="S9" s="11">
        <f>IF(OR($Q9="",$J9=""),"",$L9*($Q9*$J9+(1-$Q9)*$K9))</f>
        <v/>
      </c>
      <c r="T9">
        <f>IF($S9="","",IF(LEFT($B9,4)="DOTA",Config!$B$7,Config!$B$6)*$S9+$L9^2*$Q9*(1-$Q9)*($J9-$K9)^2)</f>
        <v/>
      </c>
      <c r="U9" s="6">
        <f>IFERROR(IF(INDEX(Matches!$O$5:$O$5,MATCH($B9,Matches!$A$5:$A$5,0))="","",IF($F9="A",INDEX(Matches!$O$5:$O$5,MATCH($B9,Matches!$A$5:$A$5,0)),1-INDEX(Matches!$O$5:$O$5,MATCH($B9,Matches!$A$5:$A$5,0)))),"")</f>
        <v/>
      </c>
      <c r="V9">
        <f>IFERROR(N(INDEX(Matches!$Q$5:$Q$5,MATCH($B9,Matches!$A$5:$A$5,0))),0)</f>
        <v/>
      </c>
      <c r="W9" s="11">
        <f>IF(OR($U9="",$J9=""),"",$L9*($U9*$J9+(1-$U9)*$K9))</f>
        <v/>
      </c>
      <c r="X9">
        <f>IF($W9="","",IF(LEFT($B9,4)="DOTA",Config!$B$7,Config!$B$6)*$W9+$L9^2*$U9*(1-$U9)*($J9-$K9)^2)</f>
        <v/>
      </c>
      <c r="Y9" s="11">
        <f>IF($O9="","",$O9)</f>
        <v/>
      </c>
      <c r="Z9">
        <f>IF($P9="","",$P9)</f>
        <v/>
      </c>
      <c r="AA9" s="11">
        <f>IF($O9="","",N($N9)*N($O9)+N($R9)*N($S9))</f>
        <v/>
      </c>
      <c r="AB9">
        <f>IF($O9="","",(N($N9)*N($P9)+N($N9)*(1-N($N9))*N($O9)^2)+(N($R9)*N($T9)+N($R9)*(1-N($R9))*N($S9)^2))</f>
        <v/>
      </c>
      <c r="AC9" s="11">
        <f>IF($O9="","",N($N9)*N($O9)+N($R9)*N($S9)+N($V9)*N($W9))</f>
        <v/>
      </c>
      <c r="AD9">
        <f>IF($O9="","",(N($N9)*N($P9)+N($N9)*(1-N($N9))*N($O9)^2)+(N($R9)*N($T9)+N($R9)*(1-N($R9))*N($S9)^2)+(N($V9)*N($X9)+N($V9)*(1-N($V9))*N($W9)^2))</f>
        <v/>
      </c>
      <c r="AE9" s="11">
        <f>IF($I9="","",$I9*$L9)</f>
        <v/>
      </c>
      <c r="AF9" s="11">
        <f>IF($I9="","",$I9*$L9*(1+N($R9)))</f>
        <v/>
      </c>
      <c r="AG9" s="11">
        <f>IF($I9="","",$I9*$L9*(1+N($R9)+N($V9)))</f>
        <v/>
      </c>
      <c r="AH9">
        <f>TRIM(IF($G9&lt;Config!$B$9,"thin sample ("&amp;$G9&amp;" maps) · ","")&amp;IF($I9="","no PickFinder stats · ","")&amp;IFERROR(IF(INDEX(Players!$T$2:$T$11,MATCH($E9,Players!$A$2:$A$11,0))&lt;0.5,"new roster: "&amp;TEXT(INDEX(Players!$T$2:$T$11,MATCH($E9,Players!$A$2:$A$11,0)),"0%")&amp;" of his recent games with these teammates",""),""))</f>
        <v/>
      </c>
      <c r="AI9">
        <f>IF($B9=Board!$B$2,COUNTIFS($B$2:$B$11,Board!$B$2,$Y$2:$Y$11,"&gt;"&amp;$Y9)+COUNTIFS($B$1:$B8,Board!$B$2,$Y$1:$Y8,$Y9)+1,"")</f>
        <v/>
      </c>
      <c r="AJ9">
        <f>IFERROR(IF(INDEX(Matches!$D$5:$D$5,MATCH($B9,Matches!$A$5:$A$5,0))=3,"K12","K13"),"K13")</f>
        <v/>
      </c>
      <c r="AK9" s="11">
        <f>IF($AJ9="K12",$AA9,$AC9)</f>
        <v/>
      </c>
    </row>
    <row r="10">
      <c r="A10" t="inlineStr">
        <is>
          <t>zzsjtlvrbi44rqp|LOL · KC vs MVK</t>
        </is>
      </c>
      <c r="B10" t="inlineStr">
        <is>
          <t>LOL · KC vs MVK</t>
        </is>
      </c>
      <c r="C10" t="inlineStr">
        <is>
          <t>MVK</t>
        </is>
      </c>
      <c r="D10" t="inlineStr">
        <is>
          <t>Kratos</t>
        </is>
      </c>
      <c r="E10" t="inlineStr">
        <is>
          <t>zzsjtlvrbi44rqp</t>
        </is>
      </c>
      <c r="F10">
        <f>IFERROR(IF($C10=INDEX(Matches!$S$5:$S$5,MATCH($B10,Matches!$A$5:$A$5,0)),"A",IF($C10=INDEX(Matches!$T$5:$T$5,MATCH($B10,Matches!$A$5:$A$5,0)),"B","")),"")</f>
        <v/>
      </c>
      <c r="G10">
        <f>IFERROR(INDEX(Players!$E$2:$E$11,MATCH($E10,Players!$A$2:$A$11,0)),0)</f>
        <v/>
      </c>
      <c r="H10" s="6">
        <f>IFERROR(INDEX(Players!$F$2:$F$11,MATCH($E10,Players!$A$2:$A$11,0)),"")</f>
        <v/>
      </c>
      <c r="I10">
        <f>IFERROR(INDEX(Players!$G$2:$G$11,MATCH($E10,Players!$A$2:$A$11,0)),"")</f>
        <v/>
      </c>
      <c r="J10" s="11">
        <f>IF(OR($I10="",$H10=""),"",$I10*IF(LEFT($B10,4)="DOTA",Config!$B$5,Config!$B$4)/($H10*IF(LEFT($B10,4)="DOTA",Config!$B$5,Config!$B$4)+1-$H10))</f>
        <v/>
      </c>
      <c r="K10" s="11">
        <f>IF(OR($I10="",$H10=""),"",$I10/($H10*IF(LEFT($B10,4)="DOTA",Config!$B$5,Config!$B$4)+1-$H10))</f>
        <v/>
      </c>
      <c r="L10">
        <f>IFERROR(INDEX(Matches!$R$5:$R$5,MATCH($B10,Matches!$A$5:$A$5,0)),1)</f>
        <v/>
      </c>
      <c r="M10" s="6">
        <f>IFERROR(IF(INDEX(Matches!$M$5:$M$5,MATCH($B10,Matches!$A$5:$A$5,0))="","",IF($F10="A",INDEX(Matches!$M$5:$M$5,MATCH($B10,Matches!$A$5:$A$5,0)),1-INDEX(Matches!$M$5:$M$5,MATCH($B10,Matches!$A$5:$A$5,0)))),"")</f>
        <v/>
      </c>
      <c r="N10">
        <f>1</f>
        <v/>
      </c>
      <c r="O10" s="11">
        <f>IF(OR($M10="",$J10=""),"",$L10*($M10*$J10+(1-$M10)*$K10))</f>
        <v/>
      </c>
      <c r="P10">
        <f>IF($O10="","",IF(LEFT($B10,4)="DOTA",Config!$B$7,Config!$B$6)*$O10+$L10^2*$M10*(1-$M10)*($J10-$K10)^2)</f>
        <v/>
      </c>
      <c r="Q10" s="6">
        <f>IFERROR(IF(INDEX(Matches!$N$5:$N$5,MATCH($B10,Matches!$A$5:$A$5,0))="","",IF($F10="A",INDEX(Matches!$N$5:$N$5,MATCH($B10,Matches!$A$5:$A$5,0)),1-INDEX(Matches!$N$5:$N$5,MATCH($B10,Matches!$A$5:$A$5,0)))),"")</f>
        <v/>
      </c>
      <c r="R10">
        <f>IFERROR(N(INDEX(Matches!$P$5:$P$5,MATCH($B10,Matches!$A$5:$A$5,0))),0)</f>
        <v/>
      </c>
      <c r="S10" s="11">
        <f>IF(OR($Q10="",$J10=""),"",$L10*($Q10*$J10+(1-$Q10)*$K10))</f>
        <v/>
      </c>
      <c r="T10">
        <f>IF($S10="","",IF(LEFT($B10,4)="DOTA",Config!$B$7,Config!$B$6)*$S10+$L10^2*$Q10*(1-$Q10)*($J10-$K10)^2)</f>
        <v/>
      </c>
      <c r="U10" s="6">
        <f>IFERROR(IF(INDEX(Matches!$O$5:$O$5,MATCH($B10,Matches!$A$5:$A$5,0))="","",IF($F10="A",INDEX(Matches!$O$5:$O$5,MATCH($B10,Matches!$A$5:$A$5,0)),1-INDEX(Matches!$O$5:$O$5,MATCH($B10,Matches!$A$5:$A$5,0)))),"")</f>
        <v/>
      </c>
      <c r="V10">
        <f>IFERROR(N(INDEX(Matches!$Q$5:$Q$5,MATCH($B10,Matches!$A$5:$A$5,0))),0)</f>
        <v/>
      </c>
      <c r="W10" s="11">
        <f>IF(OR($U10="",$J10=""),"",$L10*($U10*$J10+(1-$U10)*$K10))</f>
        <v/>
      </c>
      <c r="X10">
        <f>IF($W10="","",IF(LEFT($B10,4)="DOTA",Config!$B$7,Config!$B$6)*$W10+$L10^2*$U10*(1-$U10)*($J10-$K10)^2)</f>
        <v/>
      </c>
      <c r="Y10" s="11">
        <f>IF($O10="","",$O10)</f>
        <v/>
      </c>
      <c r="Z10">
        <f>IF($P10="","",$P10)</f>
        <v/>
      </c>
      <c r="AA10" s="11">
        <f>IF($O10="","",N($N10)*N($O10)+N($R10)*N($S10))</f>
        <v/>
      </c>
      <c r="AB10">
        <f>IF($O10="","",(N($N10)*N($P10)+N($N10)*(1-N($N10))*N($O10)^2)+(N($R10)*N($T10)+N($R10)*(1-N($R10))*N($S10)^2))</f>
        <v/>
      </c>
      <c r="AC10" s="11">
        <f>IF($O10="","",N($N10)*N($O10)+N($R10)*N($S10)+N($V10)*N($W10))</f>
        <v/>
      </c>
      <c r="AD10">
        <f>IF($O10="","",(N($N10)*N($P10)+N($N10)*(1-N($N10))*N($O10)^2)+(N($R10)*N($T10)+N($R10)*(1-N($R10))*N($S10)^2)+(N($V10)*N($X10)+N($V10)*(1-N($V10))*N($W10)^2))</f>
        <v/>
      </c>
      <c r="AE10" s="11">
        <f>IF($I10="","",$I10*$L10)</f>
        <v/>
      </c>
      <c r="AF10" s="11">
        <f>IF($I10="","",$I10*$L10*(1+N($R10)))</f>
        <v/>
      </c>
      <c r="AG10" s="11">
        <f>IF($I10="","",$I10*$L10*(1+N($R10)+N($V10)))</f>
        <v/>
      </c>
      <c r="AH10">
        <f>TRIM(IF($G10&lt;Config!$B$9,"thin sample ("&amp;$G10&amp;" maps) · ","")&amp;IF($I10="","no PickFinder stats · ","")&amp;IFERROR(IF(INDEX(Players!$T$2:$T$11,MATCH($E10,Players!$A$2:$A$11,0))&lt;0.5,"new roster: "&amp;TEXT(INDEX(Players!$T$2:$T$11,MATCH($E10,Players!$A$2:$A$11,0)),"0%")&amp;" of his recent games with these teammates",""),""))</f>
        <v/>
      </c>
      <c r="AI10">
        <f>IF($B10=Board!$B$2,COUNTIFS($B$2:$B$11,Board!$B$2,$Y$2:$Y$11,"&gt;"&amp;$Y10)+COUNTIFS($B$1:$B9,Board!$B$2,$Y$1:$Y9,$Y10)+1,"")</f>
        <v/>
      </c>
      <c r="AJ10">
        <f>IFERROR(IF(INDEX(Matches!$D$5:$D$5,MATCH($B10,Matches!$A$5:$A$5,0))=3,"K12","K13"),"K13")</f>
        <v/>
      </c>
      <c r="AK10" s="11">
        <f>IF($AJ10="K12",$AA10,$AC10)</f>
        <v/>
      </c>
    </row>
    <row r="11">
      <c r="A11" t="inlineStr">
        <is>
          <t>16tiv29rhyefoti|LOL · KC vs MVK</t>
        </is>
      </c>
      <c r="B11" t="inlineStr">
        <is>
          <t>LOL · KC vs MVK</t>
        </is>
      </c>
      <c r="C11" t="inlineStr">
        <is>
          <t>MVK</t>
        </is>
      </c>
      <c r="D11" t="inlineStr">
        <is>
          <t>Siuloong</t>
        </is>
      </c>
      <c r="E11" t="inlineStr">
        <is>
          <t>16tiv29rhyefoti</t>
        </is>
      </c>
      <c r="F11">
        <f>IFERROR(IF($C11=INDEX(Matches!$S$5:$S$5,MATCH($B11,Matches!$A$5:$A$5,0)),"A",IF($C11=INDEX(Matches!$T$5:$T$5,MATCH($B11,Matches!$A$5:$A$5,0)),"B","")),"")</f>
        <v/>
      </c>
      <c r="G11">
        <f>IFERROR(INDEX(Players!$E$2:$E$11,MATCH($E11,Players!$A$2:$A$11,0)),0)</f>
        <v/>
      </c>
      <c r="H11" s="6">
        <f>IFERROR(INDEX(Players!$F$2:$F$11,MATCH($E11,Players!$A$2:$A$11,0)),"")</f>
        <v/>
      </c>
      <c r="I11">
        <f>IFERROR(INDEX(Players!$G$2:$G$11,MATCH($E11,Players!$A$2:$A$11,0)),"")</f>
        <v/>
      </c>
      <c r="J11" s="11">
        <f>IF(OR($I11="",$H11=""),"",$I11*IF(LEFT($B11,4)="DOTA",Config!$B$5,Config!$B$4)/($H11*IF(LEFT($B11,4)="DOTA",Config!$B$5,Config!$B$4)+1-$H11))</f>
        <v/>
      </c>
      <c r="K11" s="11">
        <f>IF(OR($I11="",$H11=""),"",$I11/($H11*IF(LEFT($B11,4)="DOTA",Config!$B$5,Config!$B$4)+1-$H11))</f>
        <v/>
      </c>
      <c r="L11">
        <f>IFERROR(INDEX(Matches!$R$5:$R$5,MATCH($B11,Matches!$A$5:$A$5,0)),1)</f>
        <v/>
      </c>
      <c r="M11" s="6">
        <f>IFERROR(IF(INDEX(Matches!$M$5:$M$5,MATCH($B11,Matches!$A$5:$A$5,0))="","",IF($F11="A",INDEX(Matches!$M$5:$M$5,MATCH($B11,Matches!$A$5:$A$5,0)),1-INDEX(Matches!$M$5:$M$5,MATCH($B11,Matches!$A$5:$A$5,0)))),"")</f>
        <v/>
      </c>
      <c r="N11">
        <f>1</f>
        <v/>
      </c>
      <c r="O11" s="11">
        <f>IF(OR($M11="",$J11=""),"",$L11*($M11*$J11+(1-$M11)*$K11))</f>
        <v/>
      </c>
      <c r="P11">
        <f>IF($O11="","",IF(LEFT($B11,4)="DOTA",Config!$B$7,Config!$B$6)*$O11+$L11^2*$M11*(1-$M11)*($J11-$K11)^2)</f>
        <v/>
      </c>
      <c r="Q11" s="6">
        <f>IFERROR(IF(INDEX(Matches!$N$5:$N$5,MATCH($B11,Matches!$A$5:$A$5,0))="","",IF($F11="A",INDEX(Matches!$N$5:$N$5,MATCH($B11,Matches!$A$5:$A$5,0)),1-INDEX(Matches!$N$5:$N$5,MATCH($B11,Matches!$A$5:$A$5,0)))),"")</f>
        <v/>
      </c>
      <c r="R11">
        <f>IFERROR(N(INDEX(Matches!$P$5:$P$5,MATCH($B11,Matches!$A$5:$A$5,0))),0)</f>
        <v/>
      </c>
      <c r="S11" s="11">
        <f>IF(OR($Q11="",$J11=""),"",$L11*($Q11*$J11+(1-$Q11)*$K11))</f>
        <v/>
      </c>
      <c r="T11">
        <f>IF($S11="","",IF(LEFT($B11,4)="DOTA",Config!$B$7,Config!$B$6)*$S11+$L11^2*$Q11*(1-$Q11)*($J11-$K11)^2)</f>
        <v/>
      </c>
      <c r="U11" s="6">
        <f>IFERROR(IF(INDEX(Matches!$O$5:$O$5,MATCH($B11,Matches!$A$5:$A$5,0))="","",IF($F11="A",INDEX(Matches!$O$5:$O$5,MATCH($B11,Matches!$A$5:$A$5,0)),1-INDEX(Matches!$O$5:$O$5,MATCH($B11,Matches!$A$5:$A$5,0)))),"")</f>
        <v/>
      </c>
      <c r="V11">
        <f>IFERROR(N(INDEX(Matches!$Q$5:$Q$5,MATCH($B11,Matches!$A$5:$A$5,0))),0)</f>
        <v/>
      </c>
      <c r="W11" s="11">
        <f>IF(OR($U11="",$J11=""),"",$L11*($U11*$J11+(1-$U11)*$K11))</f>
        <v/>
      </c>
      <c r="X11">
        <f>IF($W11="","",IF(LEFT($B11,4)="DOTA",Config!$B$7,Config!$B$6)*$W11+$L11^2*$U11*(1-$U11)*($J11-$K11)^2)</f>
        <v/>
      </c>
      <c r="Y11" s="11">
        <f>IF($O11="","",$O11)</f>
        <v/>
      </c>
      <c r="Z11">
        <f>IF($P11="","",$P11)</f>
        <v/>
      </c>
      <c r="AA11" s="11">
        <f>IF($O11="","",N($N11)*N($O11)+N($R11)*N($S11))</f>
        <v/>
      </c>
      <c r="AB11">
        <f>IF($O11="","",(N($N11)*N($P11)+N($N11)*(1-N($N11))*N($O11)^2)+(N($R11)*N($T11)+N($R11)*(1-N($R11))*N($S11)^2))</f>
        <v/>
      </c>
      <c r="AC11" s="11">
        <f>IF($O11="","",N($N11)*N($O11)+N($R11)*N($S11)+N($V11)*N($W11))</f>
        <v/>
      </c>
      <c r="AD11">
        <f>IF($O11="","",(N($N11)*N($P11)+N($N11)*(1-N($N11))*N($O11)^2)+(N($R11)*N($T11)+N($R11)*(1-N($R11))*N($S11)^2)+(N($V11)*N($X11)+N($V11)*(1-N($V11))*N($W11)^2))</f>
        <v/>
      </c>
      <c r="AE11" s="11">
        <f>IF($I11="","",$I11*$L11)</f>
        <v/>
      </c>
      <c r="AF11" s="11">
        <f>IF($I11="","",$I11*$L11*(1+N($R11)))</f>
        <v/>
      </c>
      <c r="AG11" s="11">
        <f>IF($I11="","",$I11*$L11*(1+N($R11)+N($V11)))</f>
        <v/>
      </c>
      <c r="AH11">
        <f>TRIM(IF($G11&lt;Config!$B$9,"thin sample ("&amp;$G11&amp;" maps) · ","")&amp;IF($I11="","no PickFinder stats · ","")&amp;IFERROR(IF(INDEX(Players!$T$2:$T$11,MATCH($E11,Players!$A$2:$A$11,0))&lt;0.5,"new roster: "&amp;TEXT(INDEX(Players!$T$2:$T$11,MATCH($E11,Players!$A$2:$A$11,0)),"0%")&amp;" of his recent games with these teammates",""),""))</f>
        <v/>
      </c>
      <c r="AI11">
        <f>IF($B11=Board!$B$2,COUNTIFS($B$2:$B$11,Board!$B$2,$Y$2:$Y$11,"&gt;"&amp;$Y11)+COUNTIFS($B$1:$B10,Board!$B$2,$Y$1:$Y10,$Y11)+1,"")</f>
        <v/>
      </c>
      <c r="AJ11">
        <f>IFERROR(IF(INDEX(Matches!$D$5:$D$5,MATCH($B11,Matches!$A$5:$A$5,0))=3,"K12","K13"),"K13")</f>
        <v/>
      </c>
      <c r="AK11" s="11">
        <f>IF($AJ11="K12",$AA11,$AC11)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0" customWidth="1" min="3" max="3"/>
  </cols>
  <sheetData>
    <row r="1">
      <c r="A1" s="1" t="inlineStr">
        <is>
          <t>Config — edit the shaded cells only</t>
        </is>
      </c>
    </row>
    <row r="3">
      <c r="A3" s="8" t="inlineStr">
        <is>
          <t>Setting</t>
        </is>
      </c>
      <c r="B3" s="8" t="inlineStr">
        <is>
          <t>Value</t>
        </is>
      </c>
      <c r="C3" s="8" t="inlineStr">
        <is>
          <t>Notes</t>
        </is>
      </c>
    </row>
    <row r="4">
      <c r="A4" s="4" t="inlineStr">
        <is>
          <t>WL_RATIO_LOL</t>
        </is>
      </c>
      <c r="B4" s="10" t="n">
        <v>2.21</v>
      </c>
      <c r="C4" s="2" t="inlineStr">
        <is>
          <t>LoL: kills in map WINS ÷ kills in map LOSSES. Measured on 25 LoL players 2026-08-19: median 2.21, range 1.20–4.16, 25 of 25 above 1 (sign test p = 3×10⁻⁸). One value per title: per-player ratios from ~10 losses are too noisy to use.</t>
        </is>
      </c>
    </row>
    <row r="5">
      <c r="A5" s="4" t="inlineStr">
        <is>
          <t>WL_RATIO_DOTA</t>
        </is>
      </c>
      <c r="B5" s="10" t="n">
        <v>1.77</v>
      </c>
      <c r="C5" s="2" t="inlineStr">
        <is>
          <t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      </is>
      </c>
    </row>
    <row r="6">
      <c r="A6" s="4" t="inlineStr">
        <is>
          <t>KILLS_DISPERSION_LOL</t>
        </is>
      </c>
      <c r="B6" s="10" t="n">
        <v>1.3</v>
      </c>
      <c r="C6" s="2" t="inlineStr">
        <is>
          <t>Variance ÷ mean of kills WITHIN a known map result (1 = Poisson), LoL. The win/loss mixture variance is added on top. Set by judgment, not measured.</t>
        </is>
      </c>
    </row>
    <row r="7">
      <c r="A7" s="4" t="inlineStr">
        <is>
          <t>KILLS_DISPERSION_DOTA</t>
        </is>
      </c>
      <c r="B7" s="10" t="n">
        <v>1.84</v>
      </c>
      <c r="C7" s="2" t="inlineStr">
        <is>
          <t>Same for Dota, measured: pooled within-result variance ÷ mean over the same 28 players × 40 games. Dota kill counts scatter more than LoL's.</t>
        </is>
      </c>
    </row>
    <row r="8">
      <c r="A8" s="4" t="inlineStr">
        <is>
          <t>EDGE_MIN</t>
        </is>
      </c>
      <c r="B8" s="10" t="n">
        <v>0.04</v>
      </c>
      <c r="C8" s="2" t="inlineStr">
        <is>
          <t>Model side shows OVER/UNDER only past 50% + this. PAPER: no forward record.</t>
        </is>
      </c>
    </row>
    <row r="9">
      <c r="A9" s="4" t="inlineStr">
        <is>
          <t>THIN_SAMPLE_MAPS</t>
        </is>
      </c>
      <c r="B9" s="10" t="n">
        <v>15</v>
      </c>
      <c r="C9" s="2" t="inlineStr">
        <is>
          <t>Flag players whose PickFinder sample is below this many maps.</t>
        </is>
      </c>
    </row>
    <row r="11">
      <c r="A11" t="inlineStr">
        <is>
          <t>SLATE_DATE</t>
        </is>
      </c>
      <c r="B11" t="inlineStr">
        <is>
          <t>2026-10-18</t>
        </is>
      </c>
    </row>
    <row r="12">
      <c r="A12" t="inlineStr">
        <is>
          <t>BUILT_UTC</t>
        </is>
      </c>
      <c r="B12" t="inlineStr">
        <is>
          <t>2026-10-17 23:06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16" customWidth="1" min="4" max="4"/>
    <col width="6" customWidth="1" min="5" max="5"/>
    <col width="9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10" customWidth="1" min="12" max="12"/>
    <col width="8" customWidth="1" min="13" max="13"/>
    <col width="55" customWidth="1" min="14" max="14"/>
    <col width="6" customWidth="1" min="15" max="15"/>
    <col width="11" customWidth="1" min="16" max="16"/>
    <col width="9" customWidth="1" min="17" max="17"/>
    <col width="9" customWidth="1" min="18" max="18"/>
    <col width="10" customWidth="1" min="19" max="19"/>
    <col width="12" customWidth="1" min="20" max="20"/>
  </cols>
  <sheetData>
    <row r="1">
      <c r="A1" s="8" t="inlineStr">
        <is>
          <t>PID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PF matchup</t>
        </is>
      </c>
      <c r="E1" s="8" t="inlineStr">
        <is>
          <t>Maps</t>
        </is>
      </c>
      <c r="F1" s="8" t="inlineStr">
        <is>
          <t>Map win rate</t>
        </is>
      </c>
      <c r="G1" s="8" t="inlineStr">
        <is>
          <t>K</t>
        </is>
      </c>
      <c r="H1" s="8" t="inlineStr">
        <is>
          <t>D</t>
        </is>
      </c>
      <c r="I1" s="8" t="inlineStr">
        <is>
          <t>A</t>
        </is>
      </c>
      <c r="J1" s="8" t="inlineStr">
        <is>
          <t>K/D</t>
        </is>
      </c>
      <c r="K1" s="8" t="inlineStr">
        <is>
          <t>Gamelog maps</t>
        </is>
      </c>
      <c r="L1" s="8" t="inlineStr">
        <is>
          <t>Gamelog kills/map</t>
        </is>
      </c>
      <c r="M1" s="8" t="inlineStr">
        <is>
          <t>Identity</t>
        </is>
      </c>
      <c r="N1" s="8" t="inlineStr">
        <is>
          <t>PickFinder page</t>
        </is>
      </c>
      <c r="O1" s="8" t="inlineStr">
        <is>
          <t>Title</t>
        </is>
      </c>
      <c r="P1" s="8" t="inlineStr">
        <is>
          <t>Role</t>
        </is>
      </c>
      <c r="Q1" s="8" t="inlineStr">
        <is>
          <t>OpenDota W</t>
        </is>
      </c>
      <c r="R1" s="8" t="inlineStr">
        <is>
          <t>OpenDota L</t>
        </is>
      </c>
      <c r="S1" s="8" t="inlineStr">
        <is>
          <t>Own W/L ratio</t>
        </is>
      </c>
      <c r="T1" s="8" t="inlineStr">
        <is>
          <t>With current teammates</t>
        </is>
      </c>
    </row>
    <row r="2">
      <c r="A2" t="inlineStr">
        <is>
          <t>s5zw84wcumkore8</t>
        </is>
      </c>
      <c r="B2" t="inlineStr">
        <is>
          <t>Busio</t>
        </is>
      </c>
      <c r="C2" t="inlineStr">
        <is>
          <t>KC</t>
        </is>
      </c>
      <c r="D2" t="inlineStr">
        <is>
          <t>KC vs MVK</t>
        </is>
      </c>
      <c r="E2" t="n">
        <v>30</v>
      </c>
      <c r="F2" s="12" t="n">
        <v>0.67</v>
      </c>
      <c r="G2" t="n">
        <v>0.9</v>
      </c>
      <c r="H2" t="n">
        <v>2.5</v>
      </c>
      <c r="I2" t="n">
        <v>9.800000000000001</v>
      </c>
      <c r="J2" t="n">
        <v>0.4</v>
      </c>
      <c r="K2" t="n">
        <v>45</v>
      </c>
      <c r="L2" t="n">
        <v>0.67</v>
      </c>
      <c r="M2" t="inlineStr">
        <is>
          <t>OK</t>
        </is>
      </c>
      <c r="N2" t="inlineStr">
        <is>
          <t>https://www.pickfinder.app/players/lol/s5zw84wcumkore8</t>
        </is>
      </c>
      <c r="O2" t="inlineStr">
        <is>
          <t>LOL</t>
        </is>
      </c>
      <c r="P2" t="inlineStr">
        <is>
          <t>sup</t>
        </is>
      </c>
      <c r="T2" s="12" t="n"/>
    </row>
    <row r="3">
      <c r="A3" t="inlineStr">
        <is>
          <t>60n3jocjohvthia</t>
        </is>
      </c>
      <c r="B3" t="inlineStr">
        <is>
          <t>Caliste</t>
        </is>
      </c>
      <c r="C3" t="inlineStr">
        <is>
          <t>KC</t>
        </is>
      </c>
      <c r="D3" t="inlineStr">
        <is>
          <t>KC vs MVK</t>
        </is>
      </c>
      <c r="E3" t="n">
        <v>30</v>
      </c>
      <c r="F3" s="12" t="n">
        <v>0.67</v>
      </c>
      <c r="G3" t="n">
        <v>4.5</v>
      </c>
      <c r="H3" t="n">
        <v>1.8</v>
      </c>
      <c r="I3" t="n">
        <v>5.3</v>
      </c>
      <c r="J3" t="n">
        <v>2.6</v>
      </c>
      <c r="K3" t="n">
        <v>45</v>
      </c>
      <c r="L3" t="n">
        <v>3.76</v>
      </c>
      <c r="M3" t="inlineStr">
        <is>
          <t>OK</t>
        </is>
      </c>
      <c r="N3" t="inlineStr">
        <is>
          <t>https://www.pickfinder.app/players/lol/60n3jocjohvthia</t>
        </is>
      </c>
      <c r="O3" t="inlineStr">
        <is>
          <t>LOL</t>
        </is>
      </c>
      <c r="P3" t="inlineStr">
        <is>
          <t>adc</t>
        </is>
      </c>
      <c r="T3" s="12" t="n"/>
    </row>
    <row r="4">
      <c r="A4" t="inlineStr">
        <is>
          <t>5h8ktthuwylbro2</t>
        </is>
      </c>
      <c r="B4" t="inlineStr">
        <is>
          <t>Canna</t>
        </is>
      </c>
      <c r="C4" t="inlineStr">
        <is>
          <t>KC</t>
        </is>
      </c>
      <c r="D4" t="inlineStr">
        <is>
          <t>KC vs MVK</t>
        </is>
      </c>
      <c r="E4" t="n">
        <v>30</v>
      </c>
      <c r="F4" s="12" t="n">
        <v>0.67</v>
      </c>
      <c r="G4" t="n">
        <v>2.8</v>
      </c>
      <c r="H4" t="n">
        <v>2.6</v>
      </c>
      <c r="I4" t="n">
        <v>4.7</v>
      </c>
      <c r="J4" t="n">
        <v>1.1</v>
      </c>
      <c r="K4" t="n">
        <v>45</v>
      </c>
      <c r="L4" t="n">
        <v>2.82</v>
      </c>
      <c r="M4" t="inlineStr">
        <is>
          <t>OK</t>
        </is>
      </c>
      <c r="N4" t="inlineStr">
        <is>
          <t>https://www.pickfinder.app/players/lol/5h8ktthuwylbro2</t>
        </is>
      </c>
      <c r="O4" t="inlineStr">
        <is>
          <t>LOL</t>
        </is>
      </c>
      <c r="P4" t="inlineStr">
        <is>
          <t>top</t>
        </is>
      </c>
      <c r="T4" s="12" t="n"/>
    </row>
    <row r="5">
      <c r="A5" t="inlineStr">
        <is>
          <t>cp4ibkwui10xeyj</t>
        </is>
      </c>
      <c r="B5" t="inlineStr">
        <is>
          <t>Kyeahoo</t>
        </is>
      </c>
      <c r="C5" t="inlineStr">
        <is>
          <t>KC</t>
        </is>
      </c>
      <c r="D5" t="inlineStr">
        <is>
          <t>KC vs MVK</t>
        </is>
      </c>
      <c r="E5" t="n">
        <v>30</v>
      </c>
      <c r="F5" s="12" t="n">
        <v>0.67</v>
      </c>
      <c r="G5" t="n">
        <v>2.2</v>
      </c>
      <c r="H5" t="n">
        <v>2.5</v>
      </c>
      <c r="I5" t="n">
        <v>5.9</v>
      </c>
      <c r="J5" t="n">
        <v>0.9</v>
      </c>
      <c r="K5" t="n">
        <v>45</v>
      </c>
      <c r="L5" t="n">
        <v>2.18</v>
      </c>
      <c r="M5" t="inlineStr">
        <is>
          <t>OK</t>
        </is>
      </c>
      <c r="N5" t="inlineStr">
        <is>
          <t>https://www.pickfinder.app/players/lol/cp4ibkwui10xeyj</t>
        </is>
      </c>
      <c r="O5" t="inlineStr">
        <is>
          <t>LOL</t>
        </is>
      </c>
      <c r="P5" t="inlineStr">
        <is>
          <t>mid</t>
        </is>
      </c>
      <c r="T5" s="12" t="n"/>
    </row>
    <row r="6">
      <c r="A6" t="inlineStr">
        <is>
          <t>rfespsq7mcurckt</t>
        </is>
      </c>
      <c r="B6" t="inlineStr">
        <is>
          <t>Yike</t>
        </is>
      </c>
      <c r="C6" t="inlineStr">
        <is>
          <t>KC</t>
        </is>
      </c>
      <c r="D6" t="inlineStr">
        <is>
          <t>KC vs MVK</t>
        </is>
      </c>
      <c r="E6" t="n">
        <v>30</v>
      </c>
      <c r="F6" s="12" t="n">
        <v>0.67</v>
      </c>
      <c r="G6" t="n">
        <v>3.8</v>
      </c>
      <c r="H6" t="n">
        <v>2.5</v>
      </c>
      <c r="I6" t="n">
        <v>6.7</v>
      </c>
      <c r="J6" t="n">
        <v>1.5</v>
      </c>
      <c r="K6" t="n">
        <v>45</v>
      </c>
      <c r="L6" t="n">
        <v>3.22</v>
      </c>
      <c r="M6" t="inlineStr">
        <is>
          <t>OK</t>
        </is>
      </c>
      <c r="N6" t="inlineStr">
        <is>
          <t>https://www.pickfinder.app/players/lol/rfespsq7mcurckt</t>
        </is>
      </c>
      <c r="O6" t="inlineStr">
        <is>
          <t>LOL</t>
        </is>
      </c>
      <c r="P6" t="inlineStr">
        <is>
          <t>jun</t>
        </is>
      </c>
      <c r="T6" s="12" t="n"/>
    </row>
    <row r="7">
      <c r="A7" t="inlineStr">
        <is>
          <t>r22pe1iajr6mhdp</t>
        </is>
      </c>
      <c r="B7" t="inlineStr">
        <is>
          <t>Chika</t>
        </is>
      </c>
      <c r="C7" t="inlineStr">
        <is>
          <t>MVK</t>
        </is>
      </c>
      <c r="D7" t="inlineStr">
        <is>
          <t>MVK vs KC</t>
        </is>
      </c>
      <c r="E7" t="n">
        <v>30</v>
      </c>
      <c r="F7" s="12" t="n">
        <v>0.47</v>
      </c>
      <c r="G7" t="n">
        <v>4.2</v>
      </c>
      <c r="H7" t="n">
        <v>3.2</v>
      </c>
      <c r="I7" t="n">
        <v>5.2</v>
      </c>
      <c r="J7" t="n">
        <v>1.3</v>
      </c>
      <c r="K7" t="n">
        <v>45</v>
      </c>
      <c r="L7" t="n">
        <v>2.98</v>
      </c>
      <c r="M7" t="inlineStr">
        <is>
          <t>OK</t>
        </is>
      </c>
      <c r="N7" t="inlineStr">
        <is>
          <t>https://www.pickfinder.app/players/lol/r22pe1iajr6mhdp</t>
        </is>
      </c>
      <c r="O7" t="inlineStr">
        <is>
          <t>LOL</t>
        </is>
      </c>
      <c r="P7" t="inlineStr">
        <is>
          <t>mid</t>
        </is>
      </c>
      <c r="T7" s="12" t="n"/>
    </row>
    <row r="8">
      <c r="A8" t="inlineStr">
        <is>
          <t>jr80asvwieexg6m</t>
        </is>
      </c>
      <c r="B8" t="inlineStr">
        <is>
          <t>Gury</t>
        </is>
      </c>
      <c r="C8" t="inlineStr">
        <is>
          <t>MVK</t>
        </is>
      </c>
      <c r="D8" t="inlineStr">
        <is>
          <t>MVK vs KC</t>
        </is>
      </c>
      <c r="E8" t="n">
        <v>30</v>
      </c>
      <c r="F8" s="12" t="n">
        <v>0.5</v>
      </c>
      <c r="G8" t="n">
        <v>2.7</v>
      </c>
      <c r="H8" t="n">
        <v>3.4</v>
      </c>
      <c r="I8" t="n">
        <v>6.6</v>
      </c>
      <c r="J8" t="n">
        <v>0.8</v>
      </c>
      <c r="K8" t="n">
        <v>45</v>
      </c>
      <c r="L8" t="n">
        <v>1.82</v>
      </c>
      <c r="M8" t="inlineStr">
        <is>
          <t>OK</t>
        </is>
      </c>
      <c r="N8" t="inlineStr">
        <is>
          <t>https://www.pickfinder.app/players/lol/jr80asvwieexg6m</t>
        </is>
      </c>
      <c r="O8" t="inlineStr">
        <is>
          <t>LOL</t>
        </is>
      </c>
      <c r="P8" t="inlineStr">
        <is>
          <t>jun</t>
        </is>
      </c>
      <c r="T8" s="12" t="n"/>
    </row>
    <row r="9">
      <c r="A9" t="inlineStr">
        <is>
          <t>tuhm132yvf0f8gg</t>
        </is>
      </c>
      <c r="B9" t="inlineStr">
        <is>
          <t>Harky</t>
        </is>
      </c>
      <c r="C9" t="inlineStr">
        <is>
          <t>MVK</t>
        </is>
      </c>
      <c r="D9" t="inlineStr">
        <is>
          <t>MVK vs KC</t>
        </is>
      </c>
      <c r="E9" t="n">
        <v>30</v>
      </c>
      <c r="F9" s="12" t="n">
        <v>0.47</v>
      </c>
      <c r="G9" t="n">
        <v>3.7</v>
      </c>
      <c r="H9" t="n">
        <v>3</v>
      </c>
      <c r="I9" t="n">
        <v>5.9</v>
      </c>
      <c r="J9" t="n">
        <v>1.2</v>
      </c>
      <c r="K9" t="n">
        <v>45</v>
      </c>
      <c r="L9" t="n">
        <v>2.78</v>
      </c>
      <c r="M9" t="inlineStr">
        <is>
          <t>OK</t>
        </is>
      </c>
      <c r="N9" t="inlineStr">
        <is>
          <t>https://www.pickfinder.app/players/lol/tuhm132yvf0f8gg</t>
        </is>
      </c>
      <c r="O9" t="inlineStr">
        <is>
          <t>LOL</t>
        </is>
      </c>
      <c r="P9" t="inlineStr">
        <is>
          <t>adc</t>
        </is>
      </c>
      <c r="T9" s="12" t="n"/>
    </row>
    <row r="10">
      <c r="A10" t="inlineStr">
        <is>
          <t>zzsjtlvrbi44rqp</t>
        </is>
      </c>
      <c r="B10" t="inlineStr">
        <is>
          <t>Kratos</t>
        </is>
      </c>
      <c r="C10" t="inlineStr">
        <is>
          <t>MVK</t>
        </is>
      </c>
      <c r="D10" t="inlineStr">
        <is>
          <t>MVK vs KC</t>
        </is>
      </c>
      <c r="E10" t="n">
        <v>30</v>
      </c>
      <c r="F10" s="12" t="n">
        <v>0.47</v>
      </c>
      <c r="G10" t="n">
        <v>2.5</v>
      </c>
      <c r="H10" t="n">
        <v>3.3</v>
      </c>
      <c r="I10" t="n">
        <v>4.5</v>
      </c>
      <c r="J10" t="n">
        <v>0.8</v>
      </c>
      <c r="K10" t="n">
        <v>45</v>
      </c>
      <c r="L10" t="n">
        <v>2.58</v>
      </c>
      <c r="M10" t="inlineStr">
        <is>
          <t>OK</t>
        </is>
      </c>
      <c r="N10" t="inlineStr">
        <is>
          <t>https://www.pickfinder.app/players/lol/zzsjtlvrbi44rqp</t>
        </is>
      </c>
      <c r="O10" t="inlineStr">
        <is>
          <t>LOL</t>
        </is>
      </c>
      <c r="P10" t="inlineStr">
        <is>
          <t>top</t>
        </is>
      </c>
      <c r="T10" s="12" t="n"/>
    </row>
    <row r="11">
      <c r="A11" t="inlineStr">
        <is>
          <t>16tiv29rhyefoti</t>
        </is>
      </c>
      <c r="B11" t="inlineStr">
        <is>
          <t>Siuloong</t>
        </is>
      </c>
      <c r="C11" t="inlineStr">
        <is>
          <t>MVK</t>
        </is>
      </c>
      <c r="D11" t="inlineStr">
        <is>
          <t>MVK vs KC</t>
        </is>
      </c>
      <c r="E11" t="n">
        <v>30</v>
      </c>
      <c r="F11" s="12" t="n">
        <v>0.47</v>
      </c>
      <c r="G11" t="n">
        <v>0.8</v>
      </c>
      <c r="H11" t="n">
        <v>3.1</v>
      </c>
      <c r="I11" t="n">
        <v>9.5</v>
      </c>
      <c r="J11" t="n">
        <v>0.3</v>
      </c>
      <c r="K11" t="n">
        <v>45</v>
      </c>
      <c r="L11" t="n">
        <v>0.8</v>
      </c>
      <c r="M11" t="inlineStr">
        <is>
          <t>OK</t>
        </is>
      </c>
      <c r="N11" t="inlineStr">
        <is>
          <t>https://www.pickfinder.app/players/lol/16tiv29rhyefoti</t>
        </is>
      </c>
      <c r="O11" t="inlineStr">
        <is>
          <t>LOL</t>
        </is>
      </c>
      <c r="P11" t="inlineStr">
        <is>
          <t>sup</t>
        </is>
      </c>
      <c r="T11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</cols>
  <sheetData>
    <row r="1">
      <c r="A1" s="8" t="inlineStr">
        <is>
          <t>Player</t>
        </is>
      </c>
      <c r="B1" s="8" t="inlineStr">
        <is>
          <t>Date</t>
        </is>
      </c>
      <c r="C1" s="8" t="inlineStr">
        <is>
          <t>Opponent</t>
        </is>
      </c>
      <c r="D1" s="8" t="inlineStr">
        <is>
          <t>M 1K</t>
        </is>
      </c>
      <c r="E1" s="8" t="inlineStr">
        <is>
          <t>M 2K</t>
        </is>
      </c>
      <c r="F1" s="8" t="inlineStr">
        <is>
          <t>M 3K</t>
        </is>
      </c>
      <c r="G1" s="8" t="inlineStr">
        <is>
          <t>M 1-2K</t>
        </is>
      </c>
      <c r="H1" s="8" t="inlineStr">
        <is>
          <t>M 1-3K</t>
        </is>
      </c>
    </row>
    <row r="2">
      <c r="A2" t="inlineStr">
        <is>
          <t>Busio</t>
        </is>
      </c>
      <c r="B2" t="inlineStr">
        <is>
          <t>10/16</t>
        </is>
      </c>
      <c r="C2" t="inlineStr">
        <is>
          <t>MVK</t>
        </is>
      </c>
      <c r="D2" t="n">
        <v>0</v>
      </c>
      <c r="E2" t="n">
        <v>4</v>
      </c>
      <c r="F2" t="n">
        <v>0</v>
      </c>
      <c r="G2" t="n">
        <v>4</v>
      </c>
      <c r="H2" t="n">
        <v>4</v>
      </c>
    </row>
    <row r="3">
      <c r="A3" t="inlineStr">
        <is>
          <t>Busio</t>
        </is>
      </c>
      <c r="B3" t="inlineStr">
        <is>
          <t>10/15</t>
        </is>
      </c>
      <c r="C3" t="inlineStr">
        <is>
          <t>C9</t>
        </is>
      </c>
      <c r="D3" t="n">
        <v>0</v>
      </c>
      <c r="E3" t="n">
        <v>2</v>
      </c>
      <c r="F3" t="n">
        <v>0</v>
      </c>
      <c r="G3" t="n">
        <v>2</v>
      </c>
      <c r="H3" t="n">
        <v>2</v>
      </c>
    </row>
    <row r="4">
      <c r="A4" t="inlineStr">
        <is>
          <t>Busio</t>
        </is>
      </c>
      <c r="B4" t="inlineStr">
        <is>
          <t>09/19</t>
        </is>
      </c>
      <c r="C4" t="inlineStr">
        <is>
          <t>MKOI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Busio</t>
        </is>
      </c>
      <c r="B5" t="inlineStr">
        <is>
          <t>09/06</t>
        </is>
      </c>
      <c r="C5" t="inlineStr">
        <is>
          <t>G2</t>
        </is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Busio</t>
        </is>
      </c>
      <c r="B6" t="inlineStr">
        <is>
          <t>09/05</t>
        </is>
      </c>
      <c r="C6" t="inlineStr">
        <is>
          <t>GX</t>
        </is>
      </c>
      <c r="D6" t="n">
        <v>1</v>
      </c>
      <c r="E6" t="n">
        <v>0</v>
      </c>
      <c r="F6" t="n">
        <v>1</v>
      </c>
      <c r="G6" t="n">
        <v>1</v>
      </c>
      <c r="H6" t="n">
        <v>2</v>
      </c>
    </row>
    <row r="7">
      <c r="A7" t="inlineStr">
        <is>
          <t>Busio</t>
        </is>
      </c>
      <c r="B7" t="inlineStr">
        <is>
          <t>08/29</t>
        </is>
      </c>
      <c r="C7" t="inlineStr">
        <is>
          <t>SK</t>
        </is>
      </c>
      <c r="D7" t="n">
        <v>0</v>
      </c>
      <c r="E7" t="n">
        <v>2</v>
      </c>
      <c r="F7" t="n">
        <v>0</v>
      </c>
      <c r="G7" t="n">
        <v>2</v>
      </c>
      <c r="H7" t="n">
        <v>2</v>
      </c>
    </row>
    <row r="8">
      <c r="A8" t="inlineStr">
        <is>
          <t>Busio</t>
        </is>
      </c>
      <c r="B8" t="inlineStr">
        <is>
          <t>08/23</t>
        </is>
      </c>
      <c r="C8" t="inlineStr">
        <is>
          <t>SHFT</t>
        </is>
      </c>
      <c r="D8" t="n">
        <v>2</v>
      </c>
      <c r="E8" t="n">
        <v>0</v>
      </c>
      <c r="F8" t="n">
        <v>1</v>
      </c>
      <c r="G8" t="n">
        <v>2</v>
      </c>
      <c r="H8" t="n">
        <v>3</v>
      </c>
    </row>
    <row r="9">
      <c r="A9" t="inlineStr">
        <is>
          <t>Busio</t>
        </is>
      </c>
      <c r="B9" t="inlineStr">
        <is>
          <t>08/17</t>
        </is>
      </c>
      <c r="C9" t="inlineStr">
        <is>
          <t>GX</t>
        </is>
      </c>
      <c r="D9" t="n">
        <v>1</v>
      </c>
      <c r="E9" t="n">
        <v>1</v>
      </c>
      <c r="F9" t="n">
        <v>0</v>
      </c>
      <c r="G9" t="n">
        <v>2</v>
      </c>
      <c r="H9" t="n">
        <v>2</v>
      </c>
    </row>
    <row r="10">
      <c r="A10" t="inlineStr">
        <is>
          <t>Busio</t>
        </is>
      </c>
      <c r="B10" t="inlineStr">
        <is>
          <t>08/09</t>
        </is>
      </c>
      <c r="C10" t="inlineStr">
        <is>
          <t>FNC</t>
        </is>
      </c>
      <c r="D10" t="n">
        <v>0</v>
      </c>
      <c r="E10" t="n">
        <v>1</v>
      </c>
      <c r="F10" t="n">
        <v>0</v>
      </c>
      <c r="G10" t="n">
        <v>1</v>
      </c>
      <c r="H10" t="n">
        <v>1</v>
      </c>
    </row>
    <row r="11">
      <c r="A11" t="inlineStr">
        <is>
          <t>Busio</t>
        </is>
      </c>
      <c r="B11" t="inlineStr">
        <is>
          <t>08/03</t>
        </is>
      </c>
      <c r="C11" t="inlineStr">
        <is>
          <t>TH</t>
        </is>
      </c>
      <c r="D11" t="n">
        <v>2</v>
      </c>
      <c r="E11" t="n">
        <v>3</v>
      </c>
      <c r="F11" t="n">
        <v>0</v>
      </c>
      <c r="G11" t="n">
        <v>5</v>
      </c>
      <c r="H11" t="n">
        <v>5</v>
      </c>
    </row>
    <row r="12">
      <c r="A12" t="inlineStr">
        <is>
          <t>Busio</t>
        </is>
      </c>
      <c r="B12" t="inlineStr">
        <is>
          <t>08/01</t>
        </is>
      </c>
      <c r="C12" t="inlineStr">
        <is>
          <t>Navi</t>
        </is>
      </c>
      <c r="D12" t="n">
        <v>1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Busio</t>
        </is>
      </c>
      <c r="B13" t="inlineStr">
        <is>
          <t>07/26</t>
        </is>
      </c>
      <c r="C13" t="inlineStr">
        <is>
          <t>G2</t>
        </is>
      </c>
      <c r="D13" t="n">
        <v>1</v>
      </c>
      <c r="E13" t="n">
        <v>0</v>
      </c>
      <c r="F13" t="n">
        <v>1</v>
      </c>
      <c r="G13" t="n">
        <v>1</v>
      </c>
      <c r="H13" t="n">
        <v>2</v>
      </c>
    </row>
    <row r="14">
      <c r="A14" t="inlineStr">
        <is>
          <t>Busio</t>
        </is>
      </c>
      <c r="B14" t="inlineStr">
        <is>
          <t>07/25</t>
        </is>
      </c>
      <c r="C14" t="inlineStr">
        <is>
          <t>MKOI</t>
        </is>
      </c>
      <c r="D14" t="n">
        <v>1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Busio</t>
        </is>
      </c>
      <c r="B15" t="inlineStr">
        <is>
          <t>07/24</t>
        </is>
      </c>
      <c r="C15" t="inlineStr">
        <is>
          <t>VIT</t>
        </is>
      </c>
      <c r="D15" t="n">
        <v>3</v>
      </c>
      <c r="E15" t="n">
        <v>1</v>
      </c>
      <c r="F15" t="n">
        <v>0</v>
      </c>
      <c r="G15" t="n">
        <v>4</v>
      </c>
      <c r="H15" t="n">
        <v>4</v>
      </c>
    </row>
    <row r="16">
      <c r="A16" t="inlineStr">
        <is>
          <t>Busio</t>
        </is>
      </c>
      <c r="B16" t="inlineStr">
        <is>
          <t>07/19</t>
        </is>
      </c>
      <c r="C16" t="inlineStr">
        <is>
          <t>DK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Caliste</t>
        </is>
      </c>
      <c r="B17" t="inlineStr">
        <is>
          <t>10/16</t>
        </is>
      </c>
      <c r="C17" t="inlineStr">
        <is>
          <t>MVK</t>
        </is>
      </c>
      <c r="D17" t="n">
        <v>3</v>
      </c>
      <c r="E17" t="n">
        <v>5</v>
      </c>
      <c r="F17" t="n">
        <v>2</v>
      </c>
      <c r="G17" t="n">
        <v>8</v>
      </c>
      <c r="H17" t="n">
        <v>10</v>
      </c>
    </row>
    <row r="18">
      <c r="A18" t="inlineStr">
        <is>
          <t>Caliste</t>
        </is>
      </c>
      <c r="B18" t="inlineStr">
        <is>
          <t>10/15</t>
        </is>
      </c>
      <c r="C18" t="inlineStr">
        <is>
          <t>C9</t>
        </is>
      </c>
      <c r="D18" t="n">
        <v>0</v>
      </c>
      <c r="E18" t="n">
        <v>4</v>
      </c>
      <c r="F18" t="n">
        <v>2</v>
      </c>
      <c r="G18" t="n">
        <v>4</v>
      </c>
      <c r="H18" t="n">
        <v>6</v>
      </c>
    </row>
    <row r="19">
      <c r="A19" t="inlineStr">
        <is>
          <t>Caliste</t>
        </is>
      </c>
      <c r="B19" t="inlineStr">
        <is>
          <t>09/19</t>
        </is>
      </c>
      <c r="C19" t="inlineStr">
        <is>
          <t>MKOI</t>
        </is>
      </c>
      <c r="D19" t="n">
        <v>6</v>
      </c>
      <c r="E19" t="n">
        <v>5</v>
      </c>
      <c r="F19" t="n">
        <v>0</v>
      </c>
      <c r="G19" t="n">
        <v>11</v>
      </c>
      <c r="H19" t="n">
        <v>11</v>
      </c>
    </row>
    <row r="20">
      <c r="A20" t="inlineStr">
        <is>
          <t>Caliste</t>
        </is>
      </c>
      <c r="B20" t="inlineStr">
        <is>
          <t>09/06</t>
        </is>
      </c>
      <c r="C20" t="inlineStr">
        <is>
          <t>G2</t>
        </is>
      </c>
      <c r="D20" t="n">
        <v>4</v>
      </c>
      <c r="E20" t="n">
        <v>3</v>
      </c>
      <c r="F20" t="n">
        <v>4</v>
      </c>
      <c r="G20" t="n">
        <v>7</v>
      </c>
      <c r="H20" t="n">
        <v>11</v>
      </c>
    </row>
    <row r="21">
      <c r="A21" t="inlineStr">
        <is>
          <t>Caliste</t>
        </is>
      </c>
      <c r="B21" t="inlineStr">
        <is>
          <t>09/05</t>
        </is>
      </c>
      <c r="C21" t="inlineStr">
        <is>
          <t>GX</t>
        </is>
      </c>
      <c r="D21" t="n">
        <v>1</v>
      </c>
      <c r="E21" t="n">
        <v>2</v>
      </c>
      <c r="F21" t="n">
        <v>3</v>
      </c>
      <c r="G21" t="n">
        <v>3</v>
      </c>
      <c r="H21" t="n">
        <v>6</v>
      </c>
    </row>
    <row r="22">
      <c r="A22" t="inlineStr">
        <is>
          <t>Caliste</t>
        </is>
      </c>
      <c r="B22" t="inlineStr">
        <is>
          <t>08/29</t>
        </is>
      </c>
      <c r="C22" t="inlineStr">
        <is>
          <t>SK</t>
        </is>
      </c>
      <c r="D22" t="n">
        <v>7</v>
      </c>
      <c r="E22" t="n">
        <v>7</v>
      </c>
      <c r="F22" t="n">
        <v>0</v>
      </c>
      <c r="G22" t="n">
        <v>14</v>
      </c>
      <c r="H22" t="n">
        <v>14</v>
      </c>
    </row>
    <row r="23">
      <c r="A23" t="inlineStr">
        <is>
          <t>Caliste</t>
        </is>
      </c>
      <c r="B23" t="inlineStr">
        <is>
          <t>08/23</t>
        </is>
      </c>
      <c r="C23" t="inlineStr">
        <is>
          <t>SHFT</t>
        </is>
      </c>
      <c r="D23" t="n">
        <v>6</v>
      </c>
      <c r="E23" t="n">
        <v>9</v>
      </c>
      <c r="F23" t="n">
        <v>4</v>
      </c>
      <c r="G23" t="n">
        <v>15</v>
      </c>
      <c r="H23" t="n">
        <v>19</v>
      </c>
    </row>
    <row r="24">
      <c r="A24" t="inlineStr">
        <is>
          <t>Caliste</t>
        </is>
      </c>
      <c r="B24" t="inlineStr">
        <is>
          <t>08/17</t>
        </is>
      </c>
      <c r="C24" t="inlineStr">
        <is>
          <t>GX</t>
        </is>
      </c>
      <c r="D24" t="n">
        <v>9</v>
      </c>
      <c r="E24" t="n">
        <v>2</v>
      </c>
      <c r="F24" t="n">
        <v>0</v>
      </c>
      <c r="G24" t="n">
        <v>11</v>
      </c>
      <c r="H24" t="n">
        <v>11</v>
      </c>
    </row>
    <row r="25">
      <c r="A25" t="inlineStr">
        <is>
          <t>Caliste</t>
        </is>
      </c>
      <c r="B25" t="inlineStr">
        <is>
          <t>08/09</t>
        </is>
      </c>
      <c r="C25" t="inlineStr">
        <is>
          <t>FNC</t>
        </is>
      </c>
      <c r="D25" t="n">
        <v>6</v>
      </c>
      <c r="E25" t="n">
        <v>9</v>
      </c>
      <c r="F25" t="n">
        <v>0</v>
      </c>
      <c r="G25" t="n">
        <v>15</v>
      </c>
      <c r="H25" t="n">
        <v>15</v>
      </c>
    </row>
    <row r="26">
      <c r="A26" t="inlineStr">
        <is>
          <t>Caliste</t>
        </is>
      </c>
      <c r="B26" t="inlineStr">
        <is>
          <t>08/03</t>
        </is>
      </c>
      <c r="C26" t="inlineStr">
        <is>
          <t>TH</t>
        </is>
      </c>
      <c r="D26" t="n">
        <v>3</v>
      </c>
      <c r="E26" t="n">
        <v>8</v>
      </c>
      <c r="F26" t="n">
        <v>0</v>
      </c>
      <c r="G26" t="n">
        <v>11</v>
      </c>
      <c r="H26" t="n">
        <v>11</v>
      </c>
    </row>
    <row r="27">
      <c r="A27" t="inlineStr">
        <is>
          <t>Caliste</t>
        </is>
      </c>
      <c r="B27" t="inlineStr">
        <is>
          <t>08/01</t>
        </is>
      </c>
      <c r="C27" t="inlineStr">
        <is>
          <t>Navi</t>
        </is>
      </c>
      <c r="D27" t="n">
        <v>5</v>
      </c>
      <c r="E27" t="n">
        <v>4</v>
      </c>
      <c r="F27" t="n">
        <v>0</v>
      </c>
      <c r="G27" t="n">
        <v>9</v>
      </c>
      <c r="H27" t="n">
        <v>9</v>
      </c>
    </row>
    <row r="28">
      <c r="A28" t="inlineStr">
        <is>
          <t>Caliste</t>
        </is>
      </c>
      <c r="B28" t="inlineStr">
        <is>
          <t>07/26</t>
        </is>
      </c>
      <c r="C28" t="inlineStr">
        <is>
          <t>G2</t>
        </is>
      </c>
      <c r="D28" t="n">
        <v>6</v>
      </c>
      <c r="E28" t="n">
        <v>4</v>
      </c>
      <c r="F28" t="n">
        <v>10</v>
      </c>
      <c r="G28" t="n">
        <v>10</v>
      </c>
      <c r="H28" t="n">
        <v>20</v>
      </c>
    </row>
    <row r="29">
      <c r="A29" t="inlineStr">
        <is>
          <t>Caliste</t>
        </is>
      </c>
      <c r="B29" t="inlineStr">
        <is>
          <t>07/25</t>
        </is>
      </c>
      <c r="C29" t="inlineStr">
        <is>
          <t>MKOI</t>
        </is>
      </c>
      <c r="D29" t="n">
        <v>5</v>
      </c>
      <c r="E29" t="n">
        <v>5</v>
      </c>
      <c r="F29" t="n">
        <v>0</v>
      </c>
      <c r="G29" t="n">
        <v>10</v>
      </c>
      <c r="H29" t="n">
        <v>10</v>
      </c>
    </row>
    <row r="30">
      <c r="A30" t="inlineStr">
        <is>
          <t>Caliste</t>
        </is>
      </c>
      <c r="B30" t="inlineStr">
        <is>
          <t>07/24</t>
        </is>
      </c>
      <c r="C30" t="inlineStr">
        <is>
          <t>VIT</t>
        </is>
      </c>
      <c r="D30" t="n">
        <v>3</v>
      </c>
      <c r="E30" t="n">
        <v>6</v>
      </c>
      <c r="F30" t="n">
        <v>0</v>
      </c>
      <c r="G30" t="n">
        <v>9</v>
      </c>
      <c r="H30" t="n">
        <v>9</v>
      </c>
    </row>
    <row r="31">
      <c r="A31" t="inlineStr">
        <is>
          <t>Caliste</t>
        </is>
      </c>
      <c r="B31" t="inlineStr">
        <is>
          <t>07/19</t>
        </is>
      </c>
      <c r="C31" t="inlineStr">
        <is>
          <t>DK</t>
        </is>
      </c>
      <c r="D31" t="n">
        <v>4</v>
      </c>
      <c r="E31" t="n">
        <v>2</v>
      </c>
      <c r="F31" t="n">
        <v>1</v>
      </c>
      <c r="G31" t="n">
        <v>6</v>
      </c>
      <c r="H31" t="n">
        <v>7</v>
      </c>
    </row>
    <row r="32">
      <c r="A32" t="inlineStr">
        <is>
          <t>Canna</t>
        </is>
      </c>
      <c r="B32" t="inlineStr">
        <is>
          <t>10/16</t>
        </is>
      </c>
      <c r="C32" t="inlineStr">
        <is>
          <t>MVK</t>
        </is>
      </c>
      <c r="D32" t="n">
        <v>2</v>
      </c>
      <c r="E32" t="n">
        <v>1</v>
      </c>
      <c r="F32" t="n">
        <v>6</v>
      </c>
      <c r="G32" t="n">
        <v>3</v>
      </c>
      <c r="H32" t="n">
        <v>9</v>
      </c>
    </row>
    <row r="33">
      <c r="A33" t="inlineStr">
        <is>
          <t>Canna</t>
        </is>
      </c>
      <c r="B33" t="inlineStr">
        <is>
          <t>10/15</t>
        </is>
      </c>
      <c r="C33" t="inlineStr">
        <is>
          <t>C9</t>
        </is>
      </c>
      <c r="D33" t="n">
        <v>0</v>
      </c>
      <c r="E33" t="n">
        <v>5</v>
      </c>
      <c r="F33" t="n">
        <v>0</v>
      </c>
      <c r="G33" t="n">
        <v>5</v>
      </c>
      <c r="H33" t="n">
        <v>5</v>
      </c>
    </row>
    <row r="34">
      <c r="A34" t="inlineStr">
        <is>
          <t>Canna</t>
        </is>
      </c>
      <c r="B34" t="inlineStr">
        <is>
          <t>09/19</t>
        </is>
      </c>
      <c r="C34" t="inlineStr">
        <is>
          <t>MKOI</t>
        </is>
      </c>
      <c r="D34" t="n">
        <v>4</v>
      </c>
      <c r="E34" t="n">
        <v>0</v>
      </c>
      <c r="F34" t="n">
        <v>0</v>
      </c>
      <c r="G34" t="n">
        <v>4</v>
      </c>
      <c r="H34" t="n">
        <v>4</v>
      </c>
    </row>
    <row r="35">
      <c r="A35" t="inlineStr">
        <is>
          <t>Canna</t>
        </is>
      </c>
      <c r="B35" t="inlineStr">
        <is>
          <t>09/06</t>
        </is>
      </c>
      <c r="C35" t="inlineStr">
        <is>
          <t>G2</t>
        </is>
      </c>
      <c r="D35" t="n">
        <v>1</v>
      </c>
      <c r="E35" t="n">
        <v>5</v>
      </c>
      <c r="F35" t="n">
        <v>2</v>
      </c>
      <c r="G35" t="n">
        <v>6</v>
      </c>
      <c r="H35" t="n">
        <v>8</v>
      </c>
    </row>
    <row r="36">
      <c r="A36" t="inlineStr">
        <is>
          <t>Canna</t>
        </is>
      </c>
      <c r="B36" t="inlineStr">
        <is>
          <t>09/05</t>
        </is>
      </c>
      <c r="C36" t="inlineStr">
        <is>
          <t>GX</t>
        </is>
      </c>
      <c r="D36" t="n">
        <v>6</v>
      </c>
      <c r="E36" t="n">
        <v>4</v>
      </c>
      <c r="F36" t="n">
        <v>5</v>
      </c>
      <c r="G36" t="n">
        <v>10</v>
      </c>
      <c r="H36" t="n">
        <v>15</v>
      </c>
    </row>
    <row r="37">
      <c r="A37" t="inlineStr">
        <is>
          <t>Canna</t>
        </is>
      </c>
      <c r="B37" t="inlineStr">
        <is>
          <t>08/29</t>
        </is>
      </c>
      <c r="C37" t="inlineStr">
        <is>
          <t>SK</t>
        </is>
      </c>
      <c r="D37" t="n">
        <v>3</v>
      </c>
      <c r="E37" t="n">
        <v>8</v>
      </c>
      <c r="F37" t="n">
        <v>0</v>
      </c>
      <c r="G37" t="n">
        <v>11</v>
      </c>
      <c r="H37" t="n">
        <v>11</v>
      </c>
    </row>
    <row r="38">
      <c r="A38" t="inlineStr">
        <is>
          <t>Canna</t>
        </is>
      </c>
      <c r="B38" t="inlineStr">
        <is>
          <t>08/23</t>
        </is>
      </c>
      <c r="C38" t="inlineStr">
        <is>
          <t>SHFT</t>
        </is>
      </c>
      <c r="D38" t="n">
        <v>3</v>
      </c>
      <c r="E38" t="n">
        <v>5</v>
      </c>
      <c r="F38" t="n">
        <v>4</v>
      </c>
      <c r="G38" t="n">
        <v>8</v>
      </c>
      <c r="H38" t="n">
        <v>12</v>
      </c>
    </row>
    <row r="39">
      <c r="A39" t="inlineStr">
        <is>
          <t>Canna</t>
        </is>
      </c>
      <c r="B39" t="inlineStr">
        <is>
          <t>08/17</t>
        </is>
      </c>
      <c r="C39" t="inlineStr">
        <is>
          <t>GX</t>
        </is>
      </c>
      <c r="D39" t="n">
        <v>2</v>
      </c>
      <c r="E39" t="n">
        <v>1</v>
      </c>
      <c r="F39" t="n">
        <v>0</v>
      </c>
      <c r="G39" t="n">
        <v>3</v>
      </c>
      <c r="H39" t="n">
        <v>3</v>
      </c>
    </row>
    <row r="40">
      <c r="A40" t="inlineStr">
        <is>
          <t>Canna</t>
        </is>
      </c>
      <c r="B40" t="inlineStr">
        <is>
          <t>08/09</t>
        </is>
      </c>
      <c r="C40" t="inlineStr">
        <is>
          <t>FNC</t>
        </is>
      </c>
      <c r="D40" t="n">
        <v>4</v>
      </c>
      <c r="E40" t="n">
        <v>3</v>
      </c>
      <c r="F40" t="n">
        <v>0</v>
      </c>
      <c r="G40" t="n">
        <v>7</v>
      </c>
      <c r="H40" t="n">
        <v>7</v>
      </c>
    </row>
    <row r="41">
      <c r="A41" t="inlineStr">
        <is>
          <t>Canna</t>
        </is>
      </c>
      <c r="B41" t="inlineStr">
        <is>
          <t>08/03</t>
        </is>
      </c>
      <c r="C41" t="inlineStr">
        <is>
          <t>TH</t>
        </is>
      </c>
      <c r="D41" t="n">
        <v>3</v>
      </c>
      <c r="E41" t="n">
        <v>1</v>
      </c>
      <c r="F41" t="n">
        <v>0</v>
      </c>
      <c r="G41" t="n">
        <v>4</v>
      </c>
      <c r="H41" t="n">
        <v>4</v>
      </c>
    </row>
    <row r="42">
      <c r="A42" t="inlineStr">
        <is>
          <t>Canna</t>
        </is>
      </c>
      <c r="B42" t="inlineStr">
        <is>
          <t>08/01</t>
        </is>
      </c>
      <c r="C42" t="inlineStr">
        <is>
          <t>Navi</t>
        </is>
      </c>
      <c r="D42" t="n">
        <v>7</v>
      </c>
      <c r="E42" t="n">
        <v>7</v>
      </c>
      <c r="F42" t="n">
        <v>0</v>
      </c>
      <c r="G42" t="n">
        <v>14</v>
      </c>
      <c r="H42" t="n">
        <v>14</v>
      </c>
    </row>
    <row r="43">
      <c r="A43" t="inlineStr">
        <is>
          <t>Canna</t>
        </is>
      </c>
      <c r="B43" t="inlineStr">
        <is>
          <t>07/26</t>
        </is>
      </c>
      <c r="C43" t="inlineStr">
        <is>
          <t>G2</t>
        </is>
      </c>
      <c r="D43" t="n">
        <v>5</v>
      </c>
      <c r="E43" t="n">
        <v>1</v>
      </c>
      <c r="F43" t="n">
        <v>5</v>
      </c>
      <c r="G43" t="n">
        <v>6</v>
      </c>
      <c r="H43" t="n">
        <v>11</v>
      </c>
    </row>
    <row r="44">
      <c r="A44" t="inlineStr">
        <is>
          <t>Canna</t>
        </is>
      </c>
      <c r="B44" t="inlineStr">
        <is>
          <t>07/25</t>
        </is>
      </c>
      <c r="C44" t="inlineStr">
        <is>
          <t>MKOI</t>
        </is>
      </c>
      <c r="D44" t="n">
        <v>2</v>
      </c>
      <c r="E44" t="n">
        <v>2</v>
      </c>
      <c r="F44" t="n">
        <v>0</v>
      </c>
      <c r="G44" t="n">
        <v>4</v>
      </c>
      <c r="H44" t="n">
        <v>4</v>
      </c>
    </row>
    <row r="45">
      <c r="A45" t="inlineStr">
        <is>
          <t>Canna</t>
        </is>
      </c>
      <c r="B45" t="inlineStr">
        <is>
          <t>07/24</t>
        </is>
      </c>
      <c r="C45" t="inlineStr">
        <is>
          <t>VIT</t>
        </is>
      </c>
      <c r="D45" t="n">
        <v>7</v>
      </c>
      <c r="E45" t="n">
        <v>6</v>
      </c>
      <c r="F45" t="n">
        <v>0</v>
      </c>
      <c r="G45" t="n">
        <v>13</v>
      </c>
      <c r="H45" t="n">
        <v>13</v>
      </c>
    </row>
    <row r="46">
      <c r="A46" t="inlineStr">
        <is>
          <t>Canna</t>
        </is>
      </c>
      <c r="B46" t="inlineStr">
        <is>
          <t>07/19</t>
        </is>
      </c>
      <c r="C46" t="inlineStr">
        <is>
          <t>DK</t>
        </is>
      </c>
      <c r="D46" t="n">
        <v>1</v>
      </c>
      <c r="E46" t="n">
        <v>5</v>
      </c>
      <c r="F46" t="n">
        <v>1</v>
      </c>
      <c r="G46" t="n">
        <v>6</v>
      </c>
      <c r="H46" t="n">
        <v>7</v>
      </c>
    </row>
    <row r="47">
      <c r="A47" t="inlineStr">
        <is>
          <t>Kyeahoo</t>
        </is>
      </c>
      <c r="B47" t="inlineStr">
        <is>
          <t>10/16</t>
        </is>
      </c>
      <c r="C47" t="inlineStr">
        <is>
          <t>MVK</t>
        </is>
      </c>
      <c r="D47" t="n">
        <v>3</v>
      </c>
      <c r="E47" t="n">
        <v>6</v>
      </c>
      <c r="F47" t="n">
        <v>1</v>
      </c>
      <c r="G47" t="n">
        <v>9</v>
      </c>
      <c r="H47" t="n">
        <v>10</v>
      </c>
    </row>
    <row r="48">
      <c r="A48" t="inlineStr">
        <is>
          <t>Kyeahoo</t>
        </is>
      </c>
      <c r="B48" t="inlineStr">
        <is>
          <t>10/15</t>
        </is>
      </c>
      <c r="C48" t="inlineStr">
        <is>
          <t>C9</t>
        </is>
      </c>
      <c r="D48" t="n">
        <v>1</v>
      </c>
      <c r="E48" t="n">
        <v>2</v>
      </c>
      <c r="F48" t="n">
        <v>2</v>
      </c>
      <c r="G48" t="n">
        <v>3</v>
      </c>
      <c r="H48" t="n">
        <v>5</v>
      </c>
    </row>
    <row r="49">
      <c r="A49" t="inlineStr">
        <is>
          <t>Kyeahoo</t>
        </is>
      </c>
      <c r="B49" t="inlineStr">
        <is>
          <t>09/19</t>
        </is>
      </c>
      <c r="C49" t="inlineStr">
        <is>
          <t>MKOI</t>
        </is>
      </c>
      <c r="D49" t="n">
        <v>5</v>
      </c>
      <c r="E49" t="n">
        <v>1</v>
      </c>
      <c r="F49" t="n">
        <v>2</v>
      </c>
      <c r="G49" t="n">
        <v>6</v>
      </c>
      <c r="H49" t="n">
        <v>8</v>
      </c>
    </row>
    <row r="50">
      <c r="A50" t="inlineStr">
        <is>
          <t>Kyeahoo</t>
        </is>
      </c>
      <c r="B50" t="inlineStr">
        <is>
          <t>09/06</t>
        </is>
      </c>
      <c r="C50" t="inlineStr">
        <is>
          <t>G2</t>
        </is>
      </c>
      <c r="D50" t="n">
        <v>1</v>
      </c>
      <c r="E50" t="n">
        <v>2</v>
      </c>
      <c r="F50" t="n">
        <v>5</v>
      </c>
      <c r="G50" t="n">
        <v>3</v>
      </c>
      <c r="H50" t="n">
        <v>8</v>
      </c>
    </row>
    <row r="51">
      <c r="A51" t="inlineStr">
        <is>
          <t>Kyeahoo</t>
        </is>
      </c>
      <c r="B51" t="inlineStr">
        <is>
          <t>09/05</t>
        </is>
      </c>
      <c r="C51" t="inlineStr">
        <is>
          <t>GX</t>
        </is>
      </c>
      <c r="D51" t="n">
        <v>3</v>
      </c>
      <c r="E51" t="n">
        <v>3</v>
      </c>
      <c r="F51" t="n">
        <v>0</v>
      </c>
      <c r="G51" t="n">
        <v>6</v>
      </c>
      <c r="H51" t="n">
        <v>6</v>
      </c>
    </row>
    <row r="52">
      <c r="A52" t="inlineStr">
        <is>
          <t>Kyeahoo</t>
        </is>
      </c>
      <c r="B52" t="inlineStr">
        <is>
          <t>08/29</t>
        </is>
      </c>
      <c r="C52" t="inlineStr">
        <is>
          <t>SK</t>
        </is>
      </c>
      <c r="D52" t="n">
        <v>2</v>
      </c>
      <c r="E52" t="n">
        <v>2</v>
      </c>
      <c r="F52" t="n">
        <v>0</v>
      </c>
      <c r="G52" t="n">
        <v>4</v>
      </c>
      <c r="H52" t="n">
        <v>4</v>
      </c>
    </row>
    <row r="53">
      <c r="A53" t="inlineStr">
        <is>
          <t>Kyeahoo</t>
        </is>
      </c>
      <c r="B53" t="inlineStr">
        <is>
          <t>08/23</t>
        </is>
      </c>
      <c r="C53" t="inlineStr">
        <is>
          <t>SHFT</t>
        </is>
      </c>
      <c r="D53" t="n">
        <v>3</v>
      </c>
      <c r="E53" t="n">
        <v>2</v>
      </c>
      <c r="F53" t="n">
        <v>1</v>
      </c>
      <c r="G53" t="n">
        <v>5</v>
      </c>
      <c r="H53" t="n">
        <v>6</v>
      </c>
    </row>
    <row r="54">
      <c r="A54" t="inlineStr">
        <is>
          <t>Kyeahoo</t>
        </is>
      </c>
      <c r="B54" t="inlineStr">
        <is>
          <t>08/17</t>
        </is>
      </c>
      <c r="C54" t="inlineStr">
        <is>
          <t>GX</t>
        </is>
      </c>
      <c r="D54" t="n">
        <v>2</v>
      </c>
      <c r="E54" t="n">
        <v>0</v>
      </c>
      <c r="F54" t="n">
        <v>0</v>
      </c>
      <c r="G54" t="n">
        <v>2</v>
      </c>
      <c r="H54" t="n">
        <v>2</v>
      </c>
    </row>
    <row r="55">
      <c r="A55" t="inlineStr">
        <is>
          <t>Kyeahoo</t>
        </is>
      </c>
      <c r="B55" t="inlineStr">
        <is>
          <t>08/09</t>
        </is>
      </c>
      <c r="C55" t="inlineStr">
        <is>
          <t>FNC</t>
        </is>
      </c>
      <c r="D55" t="n">
        <v>0</v>
      </c>
      <c r="E55" t="n">
        <v>2</v>
      </c>
      <c r="F55" t="n">
        <v>0</v>
      </c>
      <c r="G55" t="n">
        <v>2</v>
      </c>
      <c r="H55" t="n">
        <v>2</v>
      </c>
    </row>
    <row r="56">
      <c r="A56" t="inlineStr">
        <is>
          <t>Kyeahoo</t>
        </is>
      </c>
      <c r="B56" t="inlineStr">
        <is>
          <t>08/03</t>
        </is>
      </c>
      <c r="C56" t="inlineStr">
        <is>
          <t>TH</t>
        </is>
      </c>
      <c r="D56" t="n">
        <v>3</v>
      </c>
      <c r="E56" t="n">
        <v>2</v>
      </c>
      <c r="F56" t="n">
        <v>0</v>
      </c>
      <c r="G56" t="n">
        <v>5</v>
      </c>
      <c r="H56" t="n">
        <v>5</v>
      </c>
    </row>
    <row r="57">
      <c r="A57" t="inlineStr">
        <is>
          <t>Kyeahoo</t>
        </is>
      </c>
      <c r="B57" t="inlineStr">
        <is>
          <t>08/01</t>
        </is>
      </c>
      <c r="C57" t="inlineStr">
        <is>
          <t>Navi</t>
        </is>
      </c>
      <c r="D57" t="n">
        <v>5</v>
      </c>
      <c r="E57" t="n">
        <v>5</v>
      </c>
      <c r="F57" t="n">
        <v>0</v>
      </c>
      <c r="G57" t="n">
        <v>10</v>
      </c>
      <c r="H57" t="n">
        <v>10</v>
      </c>
    </row>
    <row r="58">
      <c r="A58" t="inlineStr">
        <is>
          <t>Kyeahoo</t>
        </is>
      </c>
      <c r="B58" t="inlineStr">
        <is>
          <t>07/26</t>
        </is>
      </c>
      <c r="C58" t="inlineStr">
        <is>
          <t>G2</t>
        </is>
      </c>
      <c r="D58" t="n">
        <v>4</v>
      </c>
      <c r="E58" t="n">
        <v>2</v>
      </c>
      <c r="F58" t="n">
        <v>3</v>
      </c>
      <c r="G58" t="n">
        <v>6</v>
      </c>
      <c r="H58" t="n">
        <v>9</v>
      </c>
    </row>
    <row r="59">
      <c r="A59" t="inlineStr">
        <is>
          <t>Kyeahoo</t>
        </is>
      </c>
      <c r="B59" t="inlineStr">
        <is>
          <t>07/25</t>
        </is>
      </c>
      <c r="C59" t="inlineStr">
        <is>
          <t>MKOI</t>
        </is>
      </c>
      <c r="D59" t="n">
        <v>11</v>
      </c>
      <c r="E59" t="n">
        <v>1</v>
      </c>
      <c r="F59" t="n">
        <v>0</v>
      </c>
      <c r="G59" t="n">
        <v>12</v>
      </c>
      <c r="H59" t="n">
        <v>12</v>
      </c>
    </row>
    <row r="60">
      <c r="A60" t="inlineStr">
        <is>
          <t>Kyeahoo</t>
        </is>
      </c>
      <c r="B60" t="inlineStr">
        <is>
          <t>07/24</t>
        </is>
      </c>
      <c r="C60" t="inlineStr">
        <is>
          <t>VIT</t>
        </is>
      </c>
      <c r="D60" t="n">
        <v>4</v>
      </c>
      <c r="E60" t="n">
        <v>4</v>
      </c>
      <c r="F60" t="n">
        <v>0</v>
      </c>
      <c r="G60" t="n">
        <v>8</v>
      </c>
      <c r="H60" t="n">
        <v>8</v>
      </c>
    </row>
    <row r="61">
      <c r="A61" t="inlineStr">
        <is>
          <t>Kyeahoo</t>
        </is>
      </c>
      <c r="B61" t="inlineStr">
        <is>
          <t>07/19</t>
        </is>
      </c>
      <c r="C61" t="inlineStr">
        <is>
          <t>DK</t>
        </is>
      </c>
      <c r="D61" t="n">
        <v>2</v>
      </c>
      <c r="E61" t="n">
        <v>0</v>
      </c>
      <c r="F61" t="n">
        <v>1</v>
      </c>
      <c r="G61" t="n">
        <v>2</v>
      </c>
      <c r="H61" t="n">
        <v>3</v>
      </c>
    </row>
    <row r="62">
      <c r="A62" t="inlineStr">
        <is>
          <t>Yike</t>
        </is>
      </c>
      <c r="B62" t="inlineStr">
        <is>
          <t>10/16</t>
        </is>
      </c>
      <c r="C62" t="inlineStr">
        <is>
          <t>MVK</t>
        </is>
      </c>
      <c r="D62" t="n">
        <v>1</v>
      </c>
      <c r="E62" t="n">
        <v>5</v>
      </c>
      <c r="F62" t="n">
        <v>5</v>
      </c>
      <c r="G62" t="n">
        <v>6</v>
      </c>
      <c r="H62" t="n">
        <v>11</v>
      </c>
    </row>
    <row r="63">
      <c r="A63" t="inlineStr">
        <is>
          <t>Yike</t>
        </is>
      </c>
      <c r="B63" t="inlineStr">
        <is>
          <t>10/15</t>
        </is>
      </c>
      <c r="C63" t="inlineStr">
        <is>
          <t>C9</t>
        </is>
      </c>
      <c r="D63" t="n">
        <v>0</v>
      </c>
      <c r="E63" t="n">
        <v>1</v>
      </c>
      <c r="F63" t="n">
        <v>1</v>
      </c>
      <c r="G63" t="n">
        <v>1</v>
      </c>
      <c r="H63" t="n">
        <v>2</v>
      </c>
    </row>
    <row r="64">
      <c r="A64" t="inlineStr">
        <is>
          <t>Yike</t>
        </is>
      </c>
      <c r="B64" t="inlineStr">
        <is>
          <t>09/19</t>
        </is>
      </c>
      <c r="C64" t="inlineStr">
        <is>
          <t>MKOI</t>
        </is>
      </c>
      <c r="D64" t="n">
        <v>0</v>
      </c>
      <c r="E64" t="n">
        <v>1</v>
      </c>
      <c r="F64" t="n">
        <v>1</v>
      </c>
      <c r="G64" t="n">
        <v>1</v>
      </c>
      <c r="H64" t="n">
        <v>2</v>
      </c>
    </row>
    <row r="65">
      <c r="A65" t="inlineStr">
        <is>
          <t>Yike</t>
        </is>
      </c>
      <c r="B65" t="inlineStr">
        <is>
          <t>09/06</t>
        </is>
      </c>
      <c r="C65" t="inlineStr">
        <is>
          <t>G2</t>
        </is>
      </c>
      <c r="D65" t="n">
        <v>4</v>
      </c>
      <c r="E65" t="n">
        <v>4</v>
      </c>
      <c r="F65" t="n">
        <v>3</v>
      </c>
      <c r="G65" t="n">
        <v>8</v>
      </c>
      <c r="H65" t="n">
        <v>11</v>
      </c>
    </row>
    <row r="66">
      <c r="A66" t="inlineStr">
        <is>
          <t>Yike</t>
        </is>
      </c>
      <c r="B66" t="inlineStr">
        <is>
          <t>09/05</t>
        </is>
      </c>
      <c r="C66" t="inlineStr">
        <is>
          <t>GX</t>
        </is>
      </c>
      <c r="D66" t="n">
        <v>1</v>
      </c>
      <c r="E66" t="n">
        <v>3</v>
      </c>
      <c r="F66" t="n">
        <v>5</v>
      </c>
      <c r="G66" t="n">
        <v>4</v>
      </c>
      <c r="H66" t="n">
        <v>9</v>
      </c>
    </row>
    <row r="67">
      <c r="A67" t="inlineStr">
        <is>
          <t>Yike</t>
        </is>
      </c>
      <c r="B67" t="inlineStr">
        <is>
          <t>08/29</t>
        </is>
      </c>
      <c r="C67" t="inlineStr">
        <is>
          <t>SK</t>
        </is>
      </c>
      <c r="D67" t="n">
        <v>12</v>
      </c>
      <c r="E67" t="n">
        <v>6</v>
      </c>
      <c r="F67" t="n">
        <v>0</v>
      </c>
      <c r="G67" t="n">
        <v>18</v>
      </c>
      <c r="H67" t="n">
        <v>18</v>
      </c>
    </row>
    <row r="68">
      <c r="A68" t="inlineStr">
        <is>
          <t>Yike</t>
        </is>
      </c>
      <c r="B68" t="inlineStr">
        <is>
          <t>08/23</t>
        </is>
      </c>
      <c r="C68" t="inlineStr">
        <is>
          <t>SHFT</t>
        </is>
      </c>
      <c r="D68" t="n">
        <v>5</v>
      </c>
      <c r="E68" t="n">
        <v>8</v>
      </c>
      <c r="F68" t="n">
        <v>7</v>
      </c>
      <c r="G68" t="n">
        <v>13</v>
      </c>
      <c r="H68" t="n">
        <v>20</v>
      </c>
    </row>
    <row r="69">
      <c r="A69" t="inlineStr">
        <is>
          <t>Yike</t>
        </is>
      </c>
      <c r="B69" t="inlineStr">
        <is>
          <t>08/17</t>
        </is>
      </c>
      <c r="C69" t="inlineStr">
        <is>
          <t>GX</t>
        </is>
      </c>
      <c r="D69" t="n">
        <v>2</v>
      </c>
      <c r="E69" t="n">
        <v>8</v>
      </c>
      <c r="F69" t="n">
        <v>0</v>
      </c>
      <c r="G69" t="n">
        <v>10</v>
      </c>
      <c r="H69" t="n">
        <v>10</v>
      </c>
    </row>
    <row r="70">
      <c r="A70" t="inlineStr">
        <is>
          <t>Yike</t>
        </is>
      </c>
      <c r="B70" t="inlineStr">
        <is>
          <t>08/09</t>
        </is>
      </c>
      <c r="C70" t="inlineStr">
        <is>
          <t>FNC</t>
        </is>
      </c>
      <c r="D70" t="n">
        <v>5</v>
      </c>
      <c r="E70" t="n">
        <v>5</v>
      </c>
      <c r="F70" t="n">
        <v>0</v>
      </c>
      <c r="G70" t="n">
        <v>10</v>
      </c>
      <c r="H70" t="n">
        <v>10</v>
      </c>
    </row>
    <row r="71">
      <c r="A71" t="inlineStr">
        <is>
          <t>Yike</t>
        </is>
      </c>
      <c r="B71" t="inlineStr">
        <is>
          <t>08/03</t>
        </is>
      </c>
      <c r="C71" t="inlineStr">
        <is>
          <t>TH</t>
        </is>
      </c>
      <c r="D71" t="n">
        <v>7</v>
      </c>
      <c r="E71" t="n">
        <v>2</v>
      </c>
      <c r="F71" t="n">
        <v>0</v>
      </c>
      <c r="G71" t="n">
        <v>9</v>
      </c>
      <c r="H71" t="n">
        <v>9</v>
      </c>
    </row>
    <row r="72">
      <c r="A72" t="inlineStr">
        <is>
          <t>Yike</t>
        </is>
      </c>
      <c r="B72" t="inlineStr">
        <is>
          <t>08/01</t>
        </is>
      </c>
      <c r="C72" t="inlineStr">
        <is>
          <t>Navi</t>
        </is>
      </c>
      <c r="D72" t="n">
        <v>1</v>
      </c>
      <c r="E72" t="n">
        <v>3</v>
      </c>
      <c r="F72" t="n">
        <v>0</v>
      </c>
      <c r="G72" t="n">
        <v>4</v>
      </c>
      <c r="H72" t="n">
        <v>4</v>
      </c>
    </row>
    <row r="73">
      <c r="A73" t="inlineStr">
        <is>
          <t>Yike</t>
        </is>
      </c>
      <c r="B73" t="inlineStr">
        <is>
          <t>07/26</t>
        </is>
      </c>
      <c r="C73" t="inlineStr">
        <is>
          <t>G2</t>
        </is>
      </c>
      <c r="D73" t="n">
        <v>3</v>
      </c>
      <c r="E73" t="n">
        <v>2</v>
      </c>
      <c r="F73" t="n">
        <v>8</v>
      </c>
      <c r="G73" t="n">
        <v>5</v>
      </c>
      <c r="H73" t="n">
        <v>13</v>
      </c>
    </row>
    <row r="74">
      <c r="A74" t="inlineStr">
        <is>
          <t>Yike</t>
        </is>
      </c>
      <c r="B74" t="inlineStr">
        <is>
          <t>07/25</t>
        </is>
      </c>
      <c r="C74" t="inlineStr">
        <is>
          <t>MKOI</t>
        </is>
      </c>
      <c r="D74" t="n">
        <v>5</v>
      </c>
      <c r="E74" t="n">
        <v>9</v>
      </c>
      <c r="F74" t="n">
        <v>0</v>
      </c>
      <c r="G74" t="n">
        <v>14</v>
      </c>
      <c r="H74" t="n">
        <v>14</v>
      </c>
    </row>
    <row r="75">
      <c r="A75" t="inlineStr">
        <is>
          <t>Yike</t>
        </is>
      </c>
      <c r="B75" t="inlineStr">
        <is>
          <t>07/24</t>
        </is>
      </c>
      <c r="C75" t="inlineStr">
        <is>
          <t>VIT</t>
        </is>
      </c>
      <c r="D75" t="n">
        <v>5</v>
      </c>
      <c r="E75" t="n">
        <v>2</v>
      </c>
      <c r="F75" t="n">
        <v>0</v>
      </c>
      <c r="G75" t="n">
        <v>7</v>
      </c>
      <c r="H75" t="n">
        <v>7</v>
      </c>
    </row>
    <row r="76">
      <c r="A76" t="inlineStr">
        <is>
          <t>Yike</t>
        </is>
      </c>
      <c r="B76" t="inlineStr">
        <is>
          <t>07/19</t>
        </is>
      </c>
      <c r="C76" t="inlineStr">
        <is>
          <t>DK</t>
        </is>
      </c>
      <c r="D76" t="n">
        <v>2</v>
      </c>
      <c r="E76" t="n">
        <v>1</v>
      </c>
      <c r="F76" t="n">
        <v>2</v>
      </c>
      <c r="G76" t="n">
        <v>3</v>
      </c>
      <c r="H76" t="n">
        <v>5</v>
      </c>
    </row>
    <row r="77">
      <c r="A77" t="inlineStr">
        <is>
          <t>Chika</t>
        </is>
      </c>
      <c r="B77" t="inlineStr">
        <is>
          <t>10/16</t>
        </is>
      </c>
      <c r="C77" t="inlineStr">
        <is>
          <t>KC</t>
        </is>
      </c>
      <c r="D77" t="n">
        <v>1</v>
      </c>
      <c r="E77" t="n">
        <v>2</v>
      </c>
      <c r="F77" t="n">
        <v>3</v>
      </c>
      <c r="G77" t="n">
        <v>3</v>
      </c>
      <c r="H77" t="n">
        <v>6</v>
      </c>
    </row>
    <row r="78">
      <c r="A78" t="inlineStr">
        <is>
          <t>Chika</t>
        </is>
      </c>
      <c r="B78" t="inlineStr">
        <is>
          <t>10/15</t>
        </is>
      </c>
      <c r="C78" t="inlineStr">
        <is>
          <t>FUR</t>
        </is>
      </c>
      <c r="D78" t="n">
        <v>6</v>
      </c>
      <c r="E78" t="n">
        <v>4</v>
      </c>
      <c r="F78" t="n">
        <v>7</v>
      </c>
      <c r="G78" t="n">
        <v>10</v>
      </c>
      <c r="H78" t="n">
        <v>17</v>
      </c>
    </row>
    <row r="79">
      <c r="A79" t="inlineStr">
        <is>
          <t>Chika</t>
        </is>
      </c>
      <c r="B79" t="inlineStr">
        <is>
          <t>08/29</t>
        </is>
      </c>
      <c r="C79" t="inlineStr">
        <is>
          <t>CFO</t>
        </is>
      </c>
      <c r="D79" t="n">
        <v>7</v>
      </c>
      <c r="E79" t="n">
        <v>3</v>
      </c>
      <c r="F79" t="n">
        <v>9</v>
      </c>
      <c r="G79" t="n">
        <v>10</v>
      </c>
      <c r="H79" t="n">
        <v>19</v>
      </c>
    </row>
    <row r="80">
      <c r="A80" t="inlineStr">
        <is>
          <t>Chika</t>
        </is>
      </c>
      <c r="B80" t="inlineStr">
        <is>
          <t>08/22</t>
        </is>
      </c>
      <c r="C80" t="inlineStr">
        <is>
          <t>GAM</t>
        </is>
      </c>
      <c r="D80" t="n">
        <v>1</v>
      </c>
      <c r="E80" t="n">
        <v>4</v>
      </c>
      <c r="F80" t="n">
        <v>1</v>
      </c>
      <c r="G80" t="n">
        <v>5</v>
      </c>
      <c r="H80" t="n">
        <v>6</v>
      </c>
    </row>
    <row r="81">
      <c r="A81" t="inlineStr">
        <is>
          <t>Chika</t>
        </is>
      </c>
      <c r="B81" t="inlineStr">
        <is>
          <t>08/20</t>
        </is>
      </c>
      <c r="C81" t="inlineStr">
        <is>
          <t>CFO</t>
        </is>
      </c>
      <c r="D81" t="n">
        <v>7</v>
      </c>
      <c r="E81" t="n">
        <v>2</v>
      </c>
      <c r="F81" t="n">
        <v>0</v>
      </c>
      <c r="G81" t="n">
        <v>9</v>
      </c>
      <c r="H81" t="n">
        <v>9</v>
      </c>
    </row>
    <row r="82">
      <c r="A82" t="inlineStr">
        <is>
          <t>Chika</t>
        </is>
      </c>
      <c r="B82" t="inlineStr">
        <is>
          <t>08/14</t>
        </is>
      </c>
      <c r="C82" t="inlineStr">
        <is>
          <t>CFO</t>
        </is>
      </c>
      <c r="D82" t="n">
        <v>1</v>
      </c>
      <c r="E82" t="n">
        <v>5</v>
      </c>
      <c r="F82" t="n">
        <v>6</v>
      </c>
      <c r="G82" t="n">
        <v>6</v>
      </c>
      <c r="H82" t="n">
        <v>12</v>
      </c>
    </row>
    <row r="83">
      <c r="A83" t="inlineStr">
        <is>
          <t>Chika</t>
        </is>
      </c>
      <c r="B83" t="inlineStr">
        <is>
          <t>08/08</t>
        </is>
      </c>
      <c r="C83" t="inlineStr">
        <is>
          <t>DCG</t>
        </is>
      </c>
      <c r="D83" t="n">
        <v>1</v>
      </c>
      <c r="E83" t="n">
        <v>5</v>
      </c>
      <c r="F83" t="n">
        <v>8</v>
      </c>
      <c r="G83" t="n">
        <v>6</v>
      </c>
      <c r="H83" t="n">
        <v>14</v>
      </c>
    </row>
    <row r="84">
      <c r="A84" t="inlineStr">
        <is>
          <t>Chika</t>
        </is>
      </c>
      <c r="B84" t="inlineStr">
        <is>
          <t>08/01</t>
        </is>
      </c>
      <c r="C84" t="inlineStr">
        <is>
          <t>GAM</t>
        </is>
      </c>
      <c r="D84" t="n">
        <v>1</v>
      </c>
      <c r="E84" t="n">
        <v>7</v>
      </c>
      <c r="F84" t="n">
        <v>0</v>
      </c>
      <c r="G84" t="n">
        <v>8</v>
      </c>
      <c r="H84" t="n">
        <v>8</v>
      </c>
    </row>
    <row r="85">
      <c r="A85" t="inlineStr">
        <is>
          <t>Chika</t>
        </is>
      </c>
      <c r="B85" t="inlineStr">
        <is>
          <t>07/31</t>
        </is>
      </c>
      <c r="C85" t="inlineStr">
        <is>
          <t>TSW</t>
        </is>
      </c>
      <c r="D85" t="n">
        <v>2</v>
      </c>
      <c r="E85" t="n">
        <v>1</v>
      </c>
      <c r="F85" t="n">
        <v>0</v>
      </c>
      <c r="G85" t="n">
        <v>3</v>
      </c>
      <c r="H85" t="n">
        <v>3</v>
      </c>
    </row>
    <row r="86">
      <c r="A86" t="inlineStr">
        <is>
          <t>Chika</t>
        </is>
      </c>
      <c r="B86" t="inlineStr">
        <is>
          <t>07/25</t>
        </is>
      </c>
      <c r="C86" t="inlineStr">
        <is>
          <t>GZ</t>
        </is>
      </c>
      <c r="D86" t="n">
        <v>6</v>
      </c>
      <c r="E86" t="n">
        <v>3</v>
      </c>
      <c r="F86" t="n">
        <v>0</v>
      </c>
      <c r="G86" t="n">
        <v>9</v>
      </c>
      <c r="H86" t="n">
        <v>9</v>
      </c>
    </row>
    <row r="87">
      <c r="A87" t="inlineStr">
        <is>
          <t>Chika</t>
        </is>
      </c>
      <c r="B87" t="inlineStr">
        <is>
          <t>05/13</t>
        </is>
      </c>
      <c r="C87" t="inlineStr">
        <is>
          <t>GAM</t>
        </is>
      </c>
      <c r="D87" t="n">
        <v>0</v>
      </c>
      <c r="E87" t="n">
        <v>4</v>
      </c>
      <c r="F87" t="n">
        <v>0</v>
      </c>
      <c r="G87" t="n">
        <v>4</v>
      </c>
      <c r="H87" t="n">
        <v>4</v>
      </c>
    </row>
    <row r="88">
      <c r="A88" t="inlineStr">
        <is>
          <t>Chika</t>
        </is>
      </c>
      <c r="B88" t="inlineStr">
        <is>
          <t>05/12</t>
        </is>
      </c>
      <c r="C88" t="inlineStr">
        <is>
          <t>GZ</t>
        </is>
      </c>
      <c r="D88" t="n">
        <v>7</v>
      </c>
      <c r="E88" t="n">
        <v>4</v>
      </c>
      <c r="F88" t="n">
        <v>0</v>
      </c>
      <c r="G88" t="n">
        <v>11</v>
      </c>
      <c r="H88" t="n">
        <v>11</v>
      </c>
    </row>
    <row r="89">
      <c r="A89" t="inlineStr">
        <is>
          <t>Chika</t>
        </is>
      </c>
      <c r="B89" t="inlineStr">
        <is>
          <t>05/09</t>
        </is>
      </c>
      <c r="C89" t="inlineStr">
        <is>
          <t>TSW</t>
        </is>
      </c>
      <c r="D89" t="n">
        <v>2</v>
      </c>
      <c r="E89" t="n">
        <v>0</v>
      </c>
      <c r="F89" t="n">
        <v>0</v>
      </c>
      <c r="G89" t="n">
        <v>2</v>
      </c>
      <c r="H89" t="n">
        <v>2</v>
      </c>
    </row>
    <row r="90">
      <c r="A90" t="inlineStr">
        <is>
          <t>Chika</t>
        </is>
      </c>
      <c r="B90" t="inlineStr">
        <is>
          <t>05/06</t>
        </is>
      </c>
      <c r="C90" t="inlineStr">
        <is>
          <t>SHG</t>
        </is>
      </c>
      <c r="D90" t="n">
        <v>0</v>
      </c>
      <c r="E90" t="n">
        <v>2</v>
      </c>
      <c r="F90" t="n">
        <v>0</v>
      </c>
      <c r="G90" t="n">
        <v>2</v>
      </c>
      <c r="H90" t="n">
        <v>2</v>
      </c>
    </row>
    <row r="91">
      <c r="A91" t="inlineStr">
        <is>
          <t>Chika</t>
        </is>
      </c>
      <c r="B91" t="inlineStr">
        <is>
          <t>05/02</t>
        </is>
      </c>
      <c r="C91" t="inlineStr">
        <is>
          <t>GZ</t>
        </is>
      </c>
      <c r="D91" t="n">
        <v>8</v>
      </c>
      <c r="E91" t="n">
        <v>4</v>
      </c>
      <c r="F91" t="n">
        <v>0</v>
      </c>
      <c r="G91" t="n">
        <v>12</v>
      </c>
      <c r="H91" t="n">
        <v>12</v>
      </c>
    </row>
    <row r="92">
      <c r="A92" t="inlineStr">
        <is>
          <t>Gury</t>
        </is>
      </c>
      <c r="B92" t="inlineStr">
        <is>
          <t>10/16</t>
        </is>
      </c>
      <c r="C92" t="inlineStr">
        <is>
          <t>KC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Gury</t>
        </is>
      </c>
      <c r="B93" t="inlineStr">
        <is>
          <t>10/15</t>
        </is>
      </c>
      <c r="C93" t="inlineStr">
        <is>
          <t>FUR</t>
        </is>
      </c>
      <c r="D93" t="n">
        <v>2</v>
      </c>
      <c r="E93" t="n">
        <v>8</v>
      </c>
      <c r="F93" t="n">
        <v>5</v>
      </c>
      <c r="G93" t="n">
        <v>10</v>
      </c>
      <c r="H93" t="n">
        <v>15</v>
      </c>
    </row>
    <row r="94">
      <c r="A94" t="inlineStr">
        <is>
          <t>Gury</t>
        </is>
      </c>
      <c r="B94" t="inlineStr">
        <is>
          <t>08/29</t>
        </is>
      </c>
      <c r="C94" t="inlineStr">
        <is>
          <t>CFO</t>
        </is>
      </c>
      <c r="D94" t="n">
        <v>2</v>
      </c>
      <c r="E94" t="n">
        <v>0</v>
      </c>
      <c r="F94" t="n">
        <v>0</v>
      </c>
      <c r="G94" t="n">
        <v>2</v>
      </c>
      <c r="H94" t="n">
        <v>2</v>
      </c>
    </row>
    <row r="95">
      <c r="A95" t="inlineStr">
        <is>
          <t>Gury</t>
        </is>
      </c>
      <c r="B95" t="inlineStr">
        <is>
          <t>08/22</t>
        </is>
      </c>
      <c r="C95" t="inlineStr">
        <is>
          <t>GAM</t>
        </is>
      </c>
      <c r="D95" t="n">
        <v>0</v>
      </c>
      <c r="E95" t="n">
        <v>5</v>
      </c>
      <c r="F95" t="n">
        <v>1</v>
      </c>
      <c r="G95" t="n">
        <v>5</v>
      </c>
      <c r="H95" t="n">
        <v>6</v>
      </c>
    </row>
    <row r="96">
      <c r="A96" t="inlineStr">
        <is>
          <t>Gury</t>
        </is>
      </c>
      <c r="B96" t="inlineStr">
        <is>
          <t>08/20</t>
        </is>
      </c>
      <c r="C96" t="inlineStr">
        <is>
          <t>CFO</t>
        </is>
      </c>
      <c r="D96" t="n">
        <v>3</v>
      </c>
      <c r="E96" t="n">
        <v>4</v>
      </c>
      <c r="F96" t="n">
        <v>0</v>
      </c>
      <c r="G96" t="n">
        <v>7</v>
      </c>
      <c r="H96" t="n">
        <v>7</v>
      </c>
    </row>
    <row r="97">
      <c r="A97" t="inlineStr">
        <is>
          <t>Gury</t>
        </is>
      </c>
      <c r="B97" t="inlineStr">
        <is>
          <t>08/14</t>
        </is>
      </c>
      <c r="C97" t="inlineStr">
        <is>
          <t>CFO</t>
        </is>
      </c>
      <c r="D97" t="n">
        <v>2</v>
      </c>
      <c r="E97" t="n">
        <v>1</v>
      </c>
      <c r="F97" t="n">
        <v>3</v>
      </c>
      <c r="G97" t="n">
        <v>3</v>
      </c>
      <c r="H97" t="n">
        <v>6</v>
      </c>
    </row>
    <row r="98">
      <c r="A98" t="inlineStr">
        <is>
          <t>Gury</t>
        </is>
      </c>
      <c r="B98" t="inlineStr">
        <is>
          <t>08/08</t>
        </is>
      </c>
      <c r="C98" t="inlineStr">
        <is>
          <t>DCG</t>
        </is>
      </c>
      <c r="D98" t="n">
        <v>3</v>
      </c>
      <c r="E98" t="n">
        <v>5</v>
      </c>
      <c r="F98" t="n">
        <v>1</v>
      </c>
      <c r="G98" t="n">
        <v>8</v>
      </c>
      <c r="H98" t="n">
        <v>9</v>
      </c>
    </row>
    <row r="99">
      <c r="A99" t="inlineStr">
        <is>
          <t>Gury</t>
        </is>
      </c>
      <c r="B99" t="inlineStr">
        <is>
          <t>08/01</t>
        </is>
      </c>
      <c r="C99" t="inlineStr">
        <is>
          <t>GAM</t>
        </is>
      </c>
      <c r="D99" t="n">
        <v>2</v>
      </c>
      <c r="E99" t="n">
        <v>2</v>
      </c>
      <c r="F99" t="n">
        <v>0</v>
      </c>
      <c r="G99" t="n">
        <v>4</v>
      </c>
      <c r="H99" t="n">
        <v>4</v>
      </c>
    </row>
    <row r="100">
      <c r="A100" t="inlineStr">
        <is>
          <t>Gury</t>
        </is>
      </c>
      <c r="B100" t="inlineStr">
        <is>
          <t>07/31</t>
        </is>
      </c>
      <c r="C100" t="inlineStr">
        <is>
          <t>TSW</t>
        </is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</row>
    <row r="101">
      <c r="A101" t="inlineStr">
        <is>
          <t>Gury</t>
        </is>
      </c>
      <c r="B101" t="inlineStr">
        <is>
          <t>07/25</t>
        </is>
      </c>
      <c r="C101" t="inlineStr">
        <is>
          <t>GZ</t>
        </is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</row>
    <row r="102">
      <c r="A102" t="inlineStr">
        <is>
          <t>Gury</t>
        </is>
      </c>
      <c r="B102" t="inlineStr">
        <is>
          <t>06/05</t>
        </is>
      </c>
      <c r="C102" t="inlineStr">
        <is>
          <t>GAM</t>
        </is>
      </c>
      <c r="D102" t="n">
        <v>2</v>
      </c>
      <c r="E102" t="n">
        <v>1</v>
      </c>
      <c r="F102" t="n">
        <v>3</v>
      </c>
      <c r="G102" t="n">
        <v>3</v>
      </c>
      <c r="H102" t="n">
        <v>6</v>
      </c>
    </row>
    <row r="103">
      <c r="A103" t="inlineStr">
        <is>
          <t>Gury</t>
        </is>
      </c>
      <c r="B103" t="inlineStr">
        <is>
          <t>05/29</t>
        </is>
      </c>
      <c r="C103" t="inlineStr">
        <is>
          <t>TSW</t>
        </is>
      </c>
      <c r="D103" t="n">
        <v>3</v>
      </c>
      <c r="E103" t="n">
        <v>3</v>
      </c>
      <c r="F103" t="n">
        <v>0</v>
      </c>
      <c r="G103" t="n">
        <v>6</v>
      </c>
      <c r="H103" t="n">
        <v>6</v>
      </c>
    </row>
    <row r="104">
      <c r="A104" t="inlineStr">
        <is>
          <t>Gury</t>
        </is>
      </c>
      <c r="B104" t="inlineStr">
        <is>
          <t>05/23</t>
        </is>
      </c>
      <c r="C104" t="inlineStr">
        <is>
          <t>CFO</t>
        </is>
      </c>
      <c r="D104" t="n">
        <v>3</v>
      </c>
      <c r="E104" t="n">
        <v>6</v>
      </c>
      <c r="F104" t="n">
        <v>2</v>
      </c>
      <c r="G104" t="n">
        <v>9</v>
      </c>
      <c r="H104" t="n">
        <v>11</v>
      </c>
    </row>
    <row r="105">
      <c r="A105" t="inlineStr">
        <is>
          <t>Gury</t>
        </is>
      </c>
      <c r="B105" t="inlineStr">
        <is>
          <t>05/16</t>
        </is>
      </c>
      <c r="C105" t="inlineStr">
        <is>
          <t>SHG</t>
        </is>
      </c>
      <c r="D105" t="n">
        <v>2</v>
      </c>
      <c r="E105" t="n">
        <v>3</v>
      </c>
      <c r="F105" t="n">
        <v>1</v>
      </c>
      <c r="G105" t="n">
        <v>5</v>
      </c>
      <c r="H105" t="n">
        <v>6</v>
      </c>
    </row>
    <row r="106">
      <c r="A106" t="inlineStr">
        <is>
          <t>Gury</t>
        </is>
      </c>
      <c r="B106" t="inlineStr">
        <is>
          <t>05/13</t>
        </is>
      </c>
      <c r="C106" t="inlineStr">
        <is>
          <t>GAM</t>
        </is>
      </c>
      <c r="D106" t="n">
        <v>0</v>
      </c>
      <c r="E106" t="n">
        <v>2</v>
      </c>
      <c r="F106" t="n">
        <v>0</v>
      </c>
      <c r="G106" t="n">
        <v>2</v>
      </c>
      <c r="H106" t="n">
        <v>2</v>
      </c>
    </row>
    <row r="107">
      <c r="A107" t="inlineStr">
        <is>
          <t>Harky</t>
        </is>
      </c>
      <c r="B107" t="inlineStr">
        <is>
          <t>10/16</t>
        </is>
      </c>
      <c r="C107" t="inlineStr">
        <is>
          <t>KC</t>
        </is>
      </c>
      <c r="D107" t="n">
        <v>3</v>
      </c>
      <c r="E107" t="n">
        <v>2</v>
      </c>
      <c r="F107" t="n">
        <v>2</v>
      </c>
      <c r="G107" t="n">
        <v>5</v>
      </c>
      <c r="H107" t="n">
        <v>7</v>
      </c>
    </row>
    <row r="108">
      <c r="A108" t="inlineStr">
        <is>
          <t>Harky</t>
        </is>
      </c>
      <c r="B108" t="inlineStr">
        <is>
          <t>10/15</t>
        </is>
      </c>
      <c r="C108" t="inlineStr">
        <is>
          <t>FUR</t>
        </is>
      </c>
      <c r="D108" t="n">
        <v>0</v>
      </c>
      <c r="E108" t="n">
        <v>6</v>
      </c>
      <c r="F108" t="n">
        <v>5</v>
      </c>
      <c r="G108" t="n">
        <v>6</v>
      </c>
      <c r="H108" t="n">
        <v>11</v>
      </c>
    </row>
    <row r="109">
      <c r="A109" t="inlineStr">
        <is>
          <t>Harky</t>
        </is>
      </c>
      <c r="B109" t="inlineStr">
        <is>
          <t>08/29</t>
        </is>
      </c>
      <c r="C109" t="inlineStr">
        <is>
          <t>CFO</t>
        </is>
      </c>
      <c r="D109" t="n">
        <v>1</v>
      </c>
      <c r="E109" t="n">
        <v>0</v>
      </c>
      <c r="F109" t="n">
        <v>11</v>
      </c>
      <c r="G109" t="n">
        <v>1</v>
      </c>
      <c r="H109" t="n">
        <v>12</v>
      </c>
    </row>
    <row r="110">
      <c r="A110" t="inlineStr">
        <is>
          <t>Harky</t>
        </is>
      </c>
      <c r="B110" t="inlineStr">
        <is>
          <t>08/22</t>
        </is>
      </c>
      <c r="C110" t="inlineStr">
        <is>
          <t>GAM</t>
        </is>
      </c>
      <c r="D110" t="n">
        <v>3</v>
      </c>
      <c r="E110" t="n">
        <v>5</v>
      </c>
      <c r="F110" t="n">
        <v>1</v>
      </c>
      <c r="G110" t="n">
        <v>8</v>
      </c>
      <c r="H110" t="n">
        <v>9</v>
      </c>
    </row>
    <row r="111">
      <c r="A111" t="inlineStr">
        <is>
          <t>Harky</t>
        </is>
      </c>
      <c r="B111" t="inlineStr">
        <is>
          <t>08/20</t>
        </is>
      </c>
      <c r="C111" t="inlineStr">
        <is>
          <t>CFO</t>
        </is>
      </c>
      <c r="D111" t="n">
        <v>2</v>
      </c>
      <c r="E111" t="n">
        <v>2</v>
      </c>
      <c r="F111" t="n">
        <v>1</v>
      </c>
      <c r="G111" t="n">
        <v>4</v>
      </c>
      <c r="H111" t="n">
        <v>5</v>
      </c>
    </row>
    <row r="112">
      <c r="A112" t="inlineStr">
        <is>
          <t>Harky</t>
        </is>
      </c>
      <c r="B112" t="inlineStr">
        <is>
          <t>08/14</t>
        </is>
      </c>
      <c r="C112" t="inlineStr">
        <is>
          <t>CFO</t>
        </is>
      </c>
      <c r="D112" t="n">
        <v>11</v>
      </c>
      <c r="E112" t="n">
        <v>7</v>
      </c>
      <c r="F112" t="n">
        <v>3</v>
      </c>
      <c r="G112" t="n">
        <v>18</v>
      </c>
      <c r="H112" t="n">
        <v>21</v>
      </c>
    </row>
    <row r="113">
      <c r="A113" t="inlineStr">
        <is>
          <t>Harky</t>
        </is>
      </c>
      <c r="B113" t="inlineStr">
        <is>
          <t>08/08</t>
        </is>
      </c>
      <c r="C113" t="inlineStr">
        <is>
          <t>DCG</t>
        </is>
      </c>
      <c r="D113" t="n">
        <v>1</v>
      </c>
      <c r="E113" t="n">
        <v>8</v>
      </c>
      <c r="F113" t="n">
        <v>1</v>
      </c>
      <c r="G113" t="n">
        <v>9</v>
      </c>
      <c r="H113" t="n">
        <v>10</v>
      </c>
    </row>
    <row r="114">
      <c r="A114" t="inlineStr">
        <is>
          <t>Harky</t>
        </is>
      </c>
      <c r="B114" t="inlineStr">
        <is>
          <t>08/01</t>
        </is>
      </c>
      <c r="C114" t="inlineStr">
        <is>
          <t>GAM</t>
        </is>
      </c>
      <c r="D114" t="n">
        <v>3</v>
      </c>
      <c r="E114" t="n">
        <v>6</v>
      </c>
      <c r="F114" t="n">
        <v>0</v>
      </c>
      <c r="G114" t="n">
        <v>9</v>
      </c>
      <c r="H114" t="n">
        <v>9</v>
      </c>
    </row>
    <row r="115">
      <c r="A115" t="inlineStr">
        <is>
          <t>Harky</t>
        </is>
      </c>
      <c r="B115" t="inlineStr">
        <is>
          <t>07/31</t>
        </is>
      </c>
      <c r="C115" t="inlineStr">
        <is>
          <t>TSW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Harky</t>
        </is>
      </c>
      <c r="B116" t="inlineStr">
        <is>
          <t>07/25</t>
        </is>
      </c>
      <c r="C116" t="inlineStr">
        <is>
          <t>GZ</t>
        </is>
      </c>
      <c r="D116" t="n">
        <v>6</v>
      </c>
      <c r="E116" t="n">
        <v>3</v>
      </c>
      <c r="F116" t="n">
        <v>0</v>
      </c>
      <c r="G116" t="n">
        <v>9</v>
      </c>
      <c r="H116" t="n">
        <v>9</v>
      </c>
    </row>
    <row r="117">
      <c r="A117" t="inlineStr">
        <is>
          <t>Harky</t>
        </is>
      </c>
      <c r="B117" t="inlineStr">
        <is>
          <t>06/05</t>
        </is>
      </c>
      <c r="C117" t="inlineStr">
        <is>
          <t>GAM</t>
        </is>
      </c>
      <c r="D117" t="n">
        <v>1</v>
      </c>
      <c r="E117" t="n">
        <v>2</v>
      </c>
      <c r="F117" t="n">
        <v>0</v>
      </c>
      <c r="G117" t="n">
        <v>3</v>
      </c>
      <c r="H117" t="n">
        <v>3</v>
      </c>
    </row>
    <row r="118">
      <c r="A118" t="inlineStr">
        <is>
          <t>Harky</t>
        </is>
      </c>
      <c r="B118" t="inlineStr">
        <is>
          <t>05/29</t>
        </is>
      </c>
      <c r="C118" t="inlineStr">
        <is>
          <t>TSW</t>
        </is>
      </c>
      <c r="D118" t="n">
        <v>2</v>
      </c>
      <c r="E118" t="n">
        <v>3</v>
      </c>
      <c r="F118" t="n">
        <v>0</v>
      </c>
      <c r="G118" t="n">
        <v>5</v>
      </c>
      <c r="H118" t="n">
        <v>5</v>
      </c>
    </row>
    <row r="119">
      <c r="A119" t="inlineStr">
        <is>
          <t>Harky</t>
        </is>
      </c>
      <c r="B119" t="inlineStr">
        <is>
          <t>05/23</t>
        </is>
      </c>
      <c r="C119" t="inlineStr">
        <is>
          <t>CFO</t>
        </is>
      </c>
      <c r="D119" t="n">
        <v>1</v>
      </c>
      <c r="E119" t="n">
        <v>1</v>
      </c>
      <c r="F119" t="n">
        <v>9</v>
      </c>
      <c r="G119" t="n">
        <v>2</v>
      </c>
      <c r="H119" t="n">
        <v>11</v>
      </c>
    </row>
    <row r="120">
      <c r="A120" t="inlineStr">
        <is>
          <t>Harky</t>
        </is>
      </c>
      <c r="B120" t="inlineStr">
        <is>
          <t>05/16</t>
        </is>
      </c>
      <c r="C120" t="inlineStr">
        <is>
          <t>SHG</t>
        </is>
      </c>
      <c r="D120" t="n">
        <v>6</v>
      </c>
      <c r="E120" t="n">
        <v>0</v>
      </c>
      <c r="F120" t="n">
        <v>4</v>
      </c>
      <c r="G120" t="n">
        <v>6</v>
      </c>
      <c r="H120" t="n">
        <v>10</v>
      </c>
    </row>
    <row r="121">
      <c r="A121" t="inlineStr">
        <is>
          <t>Harky</t>
        </is>
      </c>
      <c r="B121" t="inlineStr">
        <is>
          <t>05/13</t>
        </is>
      </c>
      <c r="C121" t="inlineStr">
        <is>
          <t>GAM</t>
        </is>
      </c>
      <c r="D121" t="n">
        <v>1</v>
      </c>
      <c r="E121" t="n">
        <v>2</v>
      </c>
      <c r="F121" t="n">
        <v>0</v>
      </c>
      <c r="G121" t="n">
        <v>3</v>
      </c>
      <c r="H121" t="n">
        <v>3</v>
      </c>
    </row>
    <row r="122">
      <c r="A122" t="inlineStr">
        <is>
          <t>Kratos</t>
        </is>
      </c>
      <c r="B122" t="inlineStr">
        <is>
          <t>10/16</t>
        </is>
      </c>
      <c r="C122" t="inlineStr">
        <is>
          <t>KC</t>
        </is>
      </c>
      <c r="D122" t="n">
        <v>0</v>
      </c>
      <c r="E122" t="n">
        <v>3</v>
      </c>
      <c r="F122" t="n">
        <v>1</v>
      </c>
      <c r="G122" t="n">
        <v>3</v>
      </c>
      <c r="H122" t="n">
        <v>4</v>
      </c>
    </row>
    <row r="123">
      <c r="A123" t="inlineStr">
        <is>
          <t>Kratos</t>
        </is>
      </c>
      <c r="B123" t="inlineStr">
        <is>
          <t>10/15</t>
        </is>
      </c>
      <c r="C123" t="inlineStr">
        <is>
          <t>FUR</t>
        </is>
      </c>
      <c r="D123" t="n">
        <v>2</v>
      </c>
      <c r="E123" t="n">
        <v>8</v>
      </c>
      <c r="F123" t="n">
        <v>2</v>
      </c>
      <c r="G123" t="n">
        <v>10</v>
      </c>
      <c r="H123" t="n">
        <v>12</v>
      </c>
    </row>
    <row r="124">
      <c r="A124" t="inlineStr">
        <is>
          <t>Kratos</t>
        </is>
      </c>
      <c r="B124" t="inlineStr">
        <is>
          <t>08/29</t>
        </is>
      </c>
      <c r="C124" t="inlineStr">
        <is>
          <t>CFO</t>
        </is>
      </c>
      <c r="D124" t="n">
        <v>2</v>
      </c>
      <c r="E124" t="n">
        <v>0</v>
      </c>
      <c r="F124" t="n">
        <v>6</v>
      </c>
      <c r="G124" t="n">
        <v>2</v>
      </c>
      <c r="H124" t="n">
        <v>8</v>
      </c>
    </row>
    <row r="125">
      <c r="A125" t="inlineStr">
        <is>
          <t>Kratos</t>
        </is>
      </c>
      <c r="B125" t="inlineStr">
        <is>
          <t>08/22</t>
        </is>
      </c>
      <c r="C125" t="inlineStr">
        <is>
          <t>GAM</t>
        </is>
      </c>
      <c r="D125" t="n">
        <v>1</v>
      </c>
      <c r="E125" t="n">
        <v>4</v>
      </c>
      <c r="F125" t="n">
        <v>1</v>
      </c>
      <c r="G125" t="n">
        <v>5</v>
      </c>
      <c r="H125" t="n">
        <v>6</v>
      </c>
    </row>
    <row r="126">
      <c r="A126" t="inlineStr">
        <is>
          <t>Kratos</t>
        </is>
      </c>
      <c r="B126" t="inlineStr">
        <is>
          <t>08/20</t>
        </is>
      </c>
      <c r="C126" t="inlineStr">
        <is>
          <t>CFO</t>
        </is>
      </c>
      <c r="D126" t="n">
        <v>3</v>
      </c>
      <c r="E126" t="n">
        <v>0</v>
      </c>
      <c r="F126" t="n">
        <v>3</v>
      </c>
      <c r="G126" t="n">
        <v>3</v>
      </c>
      <c r="H126" t="n">
        <v>6</v>
      </c>
    </row>
    <row r="127">
      <c r="A127" t="inlineStr">
        <is>
          <t>Kratos</t>
        </is>
      </c>
      <c r="B127" t="inlineStr">
        <is>
          <t>08/14</t>
        </is>
      </c>
      <c r="C127" t="inlineStr">
        <is>
          <t>CFO</t>
        </is>
      </c>
      <c r="D127" t="n">
        <v>5</v>
      </c>
      <c r="E127" t="n">
        <v>5</v>
      </c>
      <c r="F127" t="n">
        <v>2</v>
      </c>
      <c r="G127" t="n">
        <v>10</v>
      </c>
      <c r="H127" t="n">
        <v>12</v>
      </c>
    </row>
    <row r="128">
      <c r="A128" t="inlineStr">
        <is>
          <t>Kratos</t>
        </is>
      </c>
      <c r="B128" t="inlineStr">
        <is>
          <t>08/08</t>
        </is>
      </c>
      <c r="C128" t="inlineStr">
        <is>
          <t>DCG</t>
        </is>
      </c>
      <c r="D128" t="n">
        <v>4</v>
      </c>
      <c r="E128" t="n">
        <v>7</v>
      </c>
      <c r="F128" t="n">
        <v>2</v>
      </c>
      <c r="G128" t="n">
        <v>11</v>
      </c>
      <c r="H128" t="n">
        <v>13</v>
      </c>
    </row>
    <row r="129">
      <c r="A129" t="inlineStr">
        <is>
          <t>Kratos</t>
        </is>
      </c>
      <c r="B129" t="inlineStr">
        <is>
          <t>08/01</t>
        </is>
      </c>
      <c r="C129" t="inlineStr">
        <is>
          <t>GAM</t>
        </is>
      </c>
      <c r="D129" t="n">
        <v>5</v>
      </c>
      <c r="E129" t="n">
        <v>3</v>
      </c>
      <c r="F129" t="n">
        <v>0</v>
      </c>
      <c r="G129" t="n">
        <v>8</v>
      </c>
      <c r="H129" t="n">
        <v>8</v>
      </c>
    </row>
    <row r="130">
      <c r="A130" t="inlineStr">
        <is>
          <t>Kratos</t>
        </is>
      </c>
      <c r="B130" t="inlineStr">
        <is>
          <t>07/31</t>
        </is>
      </c>
      <c r="C130" t="inlineStr">
        <is>
          <t>TSW</t>
        </is>
      </c>
      <c r="D130" t="n">
        <v>1</v>
      </c>
      <c r="E130" t="n">
        <v>1</v>
      </c>
      <c r="F130" t="n">
        <v>0</v>
      </c>
      <c r="G130" t="n">
        <v>2</v>
      </c>
      <c r="H130" t="n">
        <v>2</v>
      </c>
    </row>
    <row r="131">
      <c r="A131" t="inlineStr">
        <is>
          <t>Kratos</t>
        </is>
      </c>
      <c r="B131" t="inlineStr">
        <is>
          <t>07/25</t>
        </is>
      </c>
      <c r="C131" t="inlineStr">
        <is>
          <t>GZ</t>
        </is>
      </c>
      <c r="D131" t="n">
        <v>8</v>
      </c>
      <c r="E131" t="n">
        <v>6</v>
      </c>
      <c r="F131" t="n">
        <v>0</v>
      </c>
      <c r="G131" t="n">
        <v>14</v>
      </c>
      <c r="H131" t="n">
        <v>14</v>
      </c>
    </row>
    <row r="132">
      <c r="A132" t="inlineStr">
        <is>
          <t>Kratos</t>
        </is>
      </c>
      <c r="B132" t="inlineStr">
        <is>
          <t>06/05</t>
        </is>
      </c>
      <c r="C132" t="inlineStr">
        <is>
          <t>GAM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Kratos</t>
        </is>
      </c>
      <c r="B133" t="inlineStr">
        <is>
          <t>05/29</t>
        </is>
      </c>
      <c r="C133" t="inlineStr">
        <is>
          <t>TSW</t>
        </is>
      </c>
      <c r="D133" t="n">
        <v>0</v>
      </c>
      <c r="E133" t="n">
        <v>6</v>
      </c>
      <c r="F133" t="n">
        <v>2</v>
      </c>
      <c r="G133" t="n">
        <v>6</v>
      </c>
      <c r="H133" t="n">
        <v>8</v>
      </c>
    </row>
    <row r="134">
      <c r="A134" t="inlineStr">
        <is>
          <t>Kratos</t>
        </is>
      </c>
      <c r="B134" t="inlineStr">
        <is>
          <t>05/23</t>
        </is>
      </c>
      <c r="C134" t="inlineStr">
        <is>
          <t>CFO</t>
        </is>
      </c>
      <c r="D134" t="n">
        <v>0</v>
      </c>
      <c r="E134" t="n">
        <v>6</v>
      </c>
      <c r="F134" t="n">
        <v>4</v>
      </c>
      <c r="G134" t="n">
        <v>6</v>
      </c>
      <c r="H134" t="n">
        <v>10</v>
      </c>
    </row>
    <row r="135">
      <c r="A135" t="inlineStr">
        <is>
          <t>Kratos</t>
        </is>
      </c>
      <c r="B135" t="inlineStr">
        <is>
          <t>05/13</t>
        </is>
      </c>
      <c r="C135" t="inlineStr">
        <is>
          <t>GAM</t>
        </is>
      </c>
      <c r="D135" t="n">
        <v>1</v>
      </c>
      <c r="E135" t="n">
        <v>2</v>
      </c>
      <c r="F135" t="n">
        <v>0</v>
      </c>
      <c r="G135" t="n">
        <v>3</v>
      </c>
      <c r="H135" t="n">
        <v>3</v>
      </c>
    </row>
    <row r="136">
      <c r="A136" t="inlineStr">
        <is>
          <t>Kratos</t>
        </is>
      </c>
      <c r="B136" t="inlineStr">
        <is>
          <t>05/12</t>
        </is>
      </c>
      <c r="C136" t="inlineStr">
        <is>
          <t>GZ</t>
        </is>
      </c>
      <c r="D136" t="n">
        <v>7</v>
      </c>
      <c r="E136" t="n">
        <v>3</v>
      </c>
      <c r="F136" t="n">
        <v>0</v>
      </c>
      <c r="G136" t="n">
        <v>10</v>
      </c>
      <c r="H136" t="n">
        <v>10</v>
      </c>
    </row>
    <row r="137">
      <c r="A137" t="inlineStr">
        <is>
          <t>Siuloong</t>
        </is>
      </c>
      <c r="B137" t="inlineStr">
        <is>
          <t>10/16</t>
        </is>
      </c>
      <c r="C137" t="inlineStr">
        <is>
          <t>KC</t>
        </is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</row>
    <row r="138">
      <c r="A138" t="inlineStr">
        <is>
          <t>Siuloong</t>
        </is>
      </c>
      <c r="B138" t="inlineStr">
        <is>
          <t>10/15</t>
        </is>
      </c>
      <c r="C138" t="inlineStr">
        <is>
          <t>FUR</t>
        </is>
      </c>
      <c r="D138" t="n">
        <v>1</v>
      </c>
      <c r="E138" t="n">
        <v>1</v>
      </c>
      <c r="F138" t="n">
        <v>3</v>
      </c>
      <c r="G138" t="n">
        <v>2</v>
      </c>
      <c r="H138" t="n">
        <v>5</v>
      </c>
    </row>
    <row r="139">
      <c r="A139" t="inlineStr">
        <is>
          <t>Siuloong</t>
        </is>
      </c>
      <c r="B139" t="inlineStr">
        <is>
          <t>08/29</t>
        </is>
      </c>
      <c r="C139" t="inlineStr">
        <is>
          <t>CFO</t>
        </is>
      </c>
      <c r="D139" t="n">
        <v>3</v>
      </c>
      <c r="E139" t="n">
        <v>0</v>
      </c>
      <c r="F139" t="n">
        <v>0</v>
      </c>
      <c r="G139" t="n">
        <v>3</v>
      </c>
      <c r="H139" t="n">
        <v>3</v>
      </c>
    </row>
    <row r="140">
      <c r="A140" t="inlineStr">
        <is>
          <t>Siuloong</t>
        </is>
      </c>
      <c r="B140" t="inlineStr">
        <is>
          <t>08/22</t>
        </is>
      </c>
      <c r="C140" t="inlineStr">
        <is>
          <t>GAM</t>
        </is>
      </c>
      <c r="D140" t="n">
        <v>1</v>
      </c>
      <c r="E140" t="n">
        <v>1</v>
      </c>
      <c r="F140" t="n">
        <v>0</v>
      </c>
      <c r="G140" t="n">
        <v>2</v>
      </c>
      <c r="H140" t="n">
        <v>2</v>
      </c>
    </row>
    <row r="141">
      <c r="A141" t="inlineStr">
        <is>
          <t>Siuloong</t>
        </is>
      </c>
      <c r="B141" t="inlineStr">
        <is>
          <t>08/20</t>
        </is>
      </c>
      <c r="C141" t="inlineStr">
        <is>
          <t>CFO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Siuloong</t>
        </is>
      </c>
      <c r="B142" t="inlineStr">
        <is>
          <t>08/14</t>
        </is>
      </c>
      <c r="C142" t="inlineStr">
        <is>
          <t>CFO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Siuloong</t>
        </is>
      </c>
      <c r="B143" t="inlineStr">
        <is>
          <t>08/08</t>
        </is>
      </c>
      <c r="C143" t="inlineStr">
        <is>
          <t>DCG</t>
        </is>
      </c>
      <c r="D143" t="n">
        <v>1</v>
      </c>
      <c r="E143" t="n">
        <v>1</v>
      </c>
      <c r="F143" t="n">
        <v>2</v>
      </c>
      <c r="G143" t="n">
        <v>2</v>
      </c>
      <c r="H143" t="n">
        <v>4</v>
      </c>
    </row>
    <row r="144">
      <c r="A144" t="inlineStr">
        <is>
          <t>Siuloong</t>
        </is>
      </c>
      <c r="B144" t="inlineStr">
        <is>
          <t>08/01</t>
        </is>
      </c>
      <c r="C144" t="inlineStr">
        <is>
          <t>GAM</t>
        </is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</row>
    <row r="145">
      <c r="A145" t="inlineStr">
        <is>
          <t>Siuloong</t>
        </is>
      </c>
      <c r="B145" t="inlineStr">
        <is>
          <t>07/31</t>
        </is>
      </c>
      <c r="C145" t="inlineStr">
        <is>
          <t>TSW</t>
        </is>
      </c>
      <c r="D145" t="n">
        <v>1</v>
      </c>
      <c r="E145" t="n">
        <v>2</v>
      </c>
      <c r="F145" t="n">
        <v>0</v>
      </c>
      <c r="G145" t="n">
        <v>3</v>
      </c>
      <c r="H145" t="n">
        <v>3</v>
      </c>
    </row>
    <row r="146">
      <c r="A146" t="inlineStr">
        <is>
          <t>Siuloong</t>
        </is>
      </c>
      <c r="B146" t="inlineStr">
        <is>
          <t>07/25</t>
        </is>
      </c>
      <c r="C146" t="inlineStr">
        <is>
          <t>GZ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Siuloong</t>
        </is>
      </c>
      <c r="B147" t="inlineStr">
        <is>
          <t>06/05</t>
        </is>
      </c>
      <c r="C147" t="inlineStr">
        <is>
          <t>GAM</t>
        </is>
      </c>
      <c r="D147" t="n">
        <v>4</v>
      </c>
      <c r="E147" t="n">
        <v>1</v>
      </c>
      <c r="F147" t="n">
        <v>1</v>
      </c>
      <c r="G147" t="n">
        <v>5</v>
      </c>
      <c r="H147" t="n">
        <v>6</v>
      </c>
    </row>
    <row r="148">
      <c r="A148" t="inlineStr">
        <is>
          <t>Siuloong</t>
        </is>
      </c>
      <c r="B148" t="inlineStr">
        <is>
          <t>05/29</t>
        </is>
      </c>
      <c r="C148" t="inlineStr">
        <is>
          <t>TSW</t>
        </is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</row>
    <row r="149">
      <c r="A149" t="inlineStr">
        <is>
          <t>Siuloong</t>
        </is>
      </c>
      <c r="B149" t="inlineStr">
        <is>
          <t>05/23</t>
        </is>
      </c>
      <c r="C149" t="inlineStr">
        <is>
          <t>CFO</t>
        </is>
      </c>
      <c r="D149" t="n">
        <v>1</v>
      </c>
      <c r="E149" t="n">
        <v>0</v>
      </c>
      <c r="F149" t="n">
        <v>1</v>
      </c>
      <c r="G149" t="n">
        <v>1</v>
      </c>
      <c r="H149" t="n">
        <v>2</v>
      </c>
    </row>
    <row r="150">
      <c r="A150" t="inlineStr">
        <is>
          <t>Siuloong</t>
        </is>
      </c>
      <c r="B150" t="inlineStr">
        <is>
          <t>05/16</t>
        </is>
      </c>
      <c r="C150" t="inlineStr">
        <is>
          <t>SHG</t>
        </is>
      </c>
      <c r="D150" t="n">
        <v>2</v>
      </c>
      <c r="E150" t="n">
        <v>0</v>
      </c>
      <c r="F150" t="n">
        <v>2</v>
      </c>
      <c r="G150" t="n">
        <v>2</v>
      </c>
      <c r="H150" t="n">
        <v>4</v>
      </c>
    </row>
    <row r="151">
      <c r="A151" t="inlineStr">
        <is>
          <t>Siuloong</t>
        </is>
      </c>
      <c r="B151" t="inlineStr">
        <is>
          <t>05/13</t>
        </is>
      </c>
      <c r="C151" t="inlineStr">
        <is>
          <t>GAM</t>
        </is>
      </c>
      <c r="D151" t="n">
        <v>1</v>
      </c>
      <c r="E151" t="n">
        <v>1</v>
      </c>
      <c r="F151" t="n">
        <v>0</v>
      </c>
      <c r="G151" t="n">
        <v>2</v>
      </c>
      <c r="H15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18" customWidth="1" min="7" max="7"/>
  </cols>
  <sheetData>
    <row r="1">
      <c r="A1" s="8" t="inlineStr">
        <is>
          <t>Match</t>
        </is>
      </c>
      <c r="B1" s="8" t="inlineStr">
        <is>
          <t>TP player name</t>
        </is>
      </c>
      <c r="C1" s="8" t="inlineStr">
        <is>
          <t>Map 1 median</t>
        </is>
      </c>
      <c r="D1" s="8" t="inlineStr">
        <is>
          <t>Map 2 median</t>
        </is>
      </c>
      <c r="E1" s="8" t="inlineStr">
        <is>
          <t>Map 3 median</t>
        </is>
      </c>
      <c r="F1" s="8" t="inlineStr">
        <is>
          <t>Rungs (M1)</t>
        </is>
      </c>
      <c r="G1" s="8" t="inlineStr">
        <is>
          <t>Matched PID</t>
        </is>
      </c>
    </row>
    <row r="2">
      <c r="A2" t="inlineStr">
        <is>
          <t>LOL · KC vs MVK</t>
        </is>
      </c>
      <c r="B2" t="inlineStr">
        <is>
          <t>busio</t>
        </is>
      </c>
      <c r="F2" t="n">
        <v>1</v>
      </c>
      <c r="G2" t="inlineStr">
        <is>
          <t>s5zw84wcumkore8</t>
        </is>
      </c>
    </row>
    <row r="3">
      <c r="A3" t="inlineStr">
        <is>
          <t>LOL · KC vs MVK</t>
        </is>
      </c>
      <c r="B3" t="inlineStr">
        <is>
          <t>caliste</t>
        </is>
      </c>
      <c r="C3" t="n">
        <v>5.31</v>
      </c>
      <c r="F3" t="n">
        <v>3</v>
      </c>
      <c r="G3" t="inlineStr">
        <is>
          <t>60n3jocjohvthia</t>
        </is>
      </c>
    </row>
    <row r="4">
      <c r="A4" t="inlineStr">
        <is>
          <t>LOL · KC vs MVK</t>
        </is>
      </c>
      <c r="B4" t="inlineStr">
        <is>
          <t>canna</t>
        </is>
      </c>
      <c r="C4" t="n">
        <v>3</v>
      </c>
      <c r="F4" t="n">
        <v>3</v>
      </c>
      <c r="G4" t="inlineStr">
        <is>
          <t>5h8ktthuwylbro2</t>
        </is>
      </c>
    </row>
    <row r="5">
      <c r="A5" t="inlineStr">
        <is>
          <t>LOL · KC vs MVK</t>
        </is>
      </c>
      <c r="B5" t="inlineStr">
        <is>
          <t>chika</t>
        </is>
      </c>
      <c r="C5" t="n">
        <v>2.1</v>
      </c>
      <c r="F5" t="n">
        <v>3</v>
      </c>
      <c r="G5" t="inlineStr">
        <is>
          <t>r22pe1iajr6mhdp</t>
        </is>
      </c>
    </row>
    <row r="6">
      <c r="A6" t="inlineStr">
        <is>
          <t>LOL · KC vs MVK</t>
        </is>
      </c>
      <c r="B6" t="inlineStr">
        <is>
          <t>gury</t>
        </is>
      </c>
      <c r="C6" t="n">
        <v>1.82</v>
      </c>
      <c r="F6" t="n">
        <v>3</v>
      </c>
      <c r="G6" t="inlineStr">
        <is>
          <t>jr80asvwieexg6m</t>
        </is>
      </c>
    </row>
    <row r="7">
      <c r="A7" t="inlineStr">
        <is>
          <t>LOL · KC vs MVK</t>
        </is>
      </c>
      <c r="B7" t="inlineStr">
        <is>
          <t>harky</t>
        </is>
      </c>
      <c r="C7" t="n">
        <v>2.16</v>
      </c>
      <c r="F7" t="n">
        <v>3</v>
      </c>
      <c r="G7" t="inlineStr">
        <is>
          <t>tuhm132yvf0f8gg</t>
        </is>
      </c>
    </row>
    <row r="8">
      <c r="A8" t="inlineStr">
        <is>
          <t>LOL · KC vs MVK</t>
        </is>
      </c>
      <c r="B8" t="inlineStr">
        <is>
          <t>kratos</t>
        </is>
      </c>
      <c r="C8" t="n">
        <v>1.7</v>
      </c>
      <c r="F8" t="n">
        <v>3</v>
      </c>
      <c r="G8" t="inlineStr">
        <is>
          <t>zzsjtlvrbi44rqp</t>
        </is>
      </c>
    </row>
    <row r="9">
      <c r="A9" t="inlineStr">
        <is>
          <t>LOL · KC vs MVK</t>
        </is>
      </c>
      <c r="B9" t="inlineStr">
        <is>
          <t>kyeahoo</t>
        </is>
      </c>
      <c r="C9" t="n">
        <v>3.31</v>
      </c>
      <c r="F9" t="n">
        <v>3</v>
      </c>
      <c r="G9" t="inlineStr">
        <is>
          <t>cp4ibkwui10xeyj</t>
        </is>
      </c>
    </row>
    <row r="10">
      <c r="A10" t="inlineStr">
        <is>
          <t>LOL · KC vs MVK</t>
        </is>
      </c>
      <c r="B10" t="inlineStr">
        <is>
          <t>siuloong</t>
        </is>
      </c>
      <c r="F10" t="n">
        <v>1</v>
      </c>
      <c r="G10" t="inlineStr">
        <is>
          <t>16tiv29rhyefoti</t>
        </is>
      </c>
    </row>
    <row r="11">
      <c r="A11" t="inlineStr">
        <is>
          <t>LOL · KC vs MVK</t>
        </is>
      </c>
      <c r="B11" t="inlineStr">
        <is>
          <t>yike</t>
        </is>
      </c>
      <c r="C11" t="n">
        <v>4</v>
      </c>
      <c r="F11" t="n">
        <v>3</v>
      </c>
      <c r="G11" t="inlineStr">
        <is>
          <t>rfespsq7mcurckt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3" customWidth="1" min="4" max="4"/>
    <col width="14" customWidth="1" min="5" max="5"/>
    <col width="6" customWidth="1" min="6" max="6"/>
    <col width="7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7" customWidth="1" min="14" max="14"/>
    <col width="7" customWidth="1" min="15" max="15"/>
    <col width="8" customWidth="1" min="16" max="16"/>
  </cols>
  <sheetData>
    <row r="1">
      <c r="A1" s="8" t="inlineStr">
        <is>
          <t>Logged (UTC)</t>
        </is>
      </c>
      <c r="B1" s="8" t="inlineStr">
        <is>
          <t>Slate</t>
        </is>
      </c>
      <c r="C1" s="8" t="inlineStr">
        <is>
          <t>Match</t>
        </is>
      </c>
      <c r="D1" s="8" t="inlineStr">
        <is>
          <t>Player</t>
        </is>
      </c>
      <c r="E1" s="8" t="inlineStr">
        <is>
          <t>Market</t>
        </is>
      </c>
      <c r="F1" s="8" t="inlineStr">
        <is>
          <t>Line</t>
        </is>
      </c>
      <c r="G1" s="8" t="inlineStr">
        <is>
          <t>Proj</t>
        </is>
      </c>
      <c r="H1" s="8" t="inlineStr">
        <is>
          <t>P(over)</t>
        </is>
      </c>
      <c r="I1" s="8" t="inlineStr">
        <is>
          <t>Naive proj</t>
        </is>
      </c>
      <c r="J1" s="8" t="inlineStr">
        <is>
          <t>P(over) naive</t>
        </is>
      </c>
      <c r="K1" s="8" t="inlineStr">
        <is>
          <t>P(win M1)</t>
        </is>
      </c>
      <c r="L1" s="8" t="inlineStr">
        <is>
          <t>Map win q</t>
        </is>
      </c>
      <c r="M1" s="8" t="inlineStr">
        <is>
          <t>TP book median</t>
        </is>
      </c>
      <c r="N1" s="8" t="inlineStr">
        <is>
          <t>PF L10</t>
        </is>
      </c>
      <c r="O1" s="8" t="inlineStr">
        <is>
          <t>Actual</t>
        </is>
      </c>
      <c r="P1" s="8" t="inlineStr">
        <is>
          <t>Result</t>
        </is>
      </c>
    </row>
    <row r="2">
      <c r="A2" t="inlineStr">
        <is>
          <t>2026-10-17 23:06</t>
        </is>
      </c>
      <c r="B2" t="inlineStr">
        <is>
          <t>2026-10-18</t>
        </is>
      </c>
      <c r="C2" t="inlineStr">
        <is>
          <t>LOL · KC vs MVK</t>
        </is>
      </c>
      <c r="D2" t="inlineStr">
        <is>
          <t>Busio</t>
        </is>
      </c>
      <c r="E2" t="inlineStr">
        <is>
          <t>Maps 1-3 Kills</t>
        </is>
      </c>
      <c r="F2" t="n">
        <v>2.5</v>
      </c>
      <c r="G2" t="n">
        <v>2.77</v>
      </c>
      <c r="H2" s="6" t="n">
        <v>0.5557</v>
      </c>
      <c r="I2" t="n">
        <v>2.7</v>
      </c>
      <c r="J2" s="6" t="n">
        <v>0.5413</v>
      </c>
      <c r="K2" s="6" t="n">
        <v>0.7111</v>
      </c>
      <c r="L2" s="6" t="n">
        <v>0.67</v>
      </c>
      <c r="N2" s="6" t="n">
        <v>0.4</v>
      </c>
      <c r="O2" s="10" t="n"/>
      <c r="P2">
        <f>IF(O2="","",IF(O2&gt;F2,"OVER",IF(O2&lt;F2,"UNDER","PUSH")))</f>
        <v/>
      </c>
    </row>
    <row r="3">
      <c r="A3" t="inlineStr">
        <is>
          <t>2026-10-17 23:06</t>
        </is>
      </c>
      <c r="B3" t="inlineStr">
        <is>
          <t>2026-10-18</t>
        </is>
      </c>
      <c r="C3" t="inlineStr">
        <is>
          <t>LOL · KC vs MVK</t>
        </is>
      </c>
      <c r="D3" t="inlineStr">
        <is>
          <t>Caliste</t>
        </is>
      </c>
      <c r="E3" t="inlineStr">
        <is>
          <t>Maps 1-3 Kills</t>
        </is>
      </c>
      <c r="F3" t="n">
        <v>15.5</v>
      </c>
      <c r="G3" t="n">
        <v>13.87</v>
      </c>
      <c r="H3" s="6" t="n">
        <v>0.3687</v>
      </c>
      <c r="I3" t="n">
        <v>13.5</v>
      </c>
      <c r="J3" s="6" t="n">
        <v>0.3382</v>
      </c>
      <c r="K3" s="6" t="n">
        <v>0.7111</v>
      </c>
      <c r="L3" s="6" t="n">
        <v>0.67</v>
      </c>
      <c r="N3" s="6" t="n">
        <v>0.3</v>
      </c>
      <c r="O3" s="10" t="n"/>
      <c r="P3">
        <f>IF(O3="","",IF(O3&gt;F3,"OVER",IF(O3&lt;F3,"UNDER","PUSH")))</f>
        <v/>
      </c>
    </row>
    <row r="4">
      <c r="A4" t="inlineStr">
        <is>
          <t>2026-10-17 23:06</t>
        </is>
      </c>
      <c r="B4" t="inlineStr">
        <is>
          <t>2026-10-18</t>
        </is>
      </c>
      <c r="C4" t="inlineStr">
        <is>
          <t>LOL · KC vs MVK</t>
        </is>
      </c>
      <c r="D4" t="inlineStr">
        <is>
          <t>Canna</t>
        </is>
      </c>
      <c r="E4" t="inlineStr">
        <is>
          <t>Maps 1-3 Kills</t>
        </is>
      </c>
      <c r="F4" t="n">
        <v>9.5</v>
      </c>
      <c r="G4" t="n">
        <v>8.630000000000001</v>
      </c>
      <c r="H4" s="6" t="n">
        <v>0.4061</v>
      </c>
      <c r="I4" t="n">
        <v>8.4</v>
      </c>
      <c r="J4" s="6" t="n">
        <v>0.3802</v>
      </c>
      <c r="K4" s="6" t="n">
        <v>0.7111</v>
      </c>
      <c r="L4" s="6" t="n">
        <v>0.67</v>
      </c>
      <c r="N4" s="6" t="n">
        <v>0.4</v>
      </c>
      <c r="O4" s="10" t="n"/>
      <c r="P4">
        <f>IF(O4="","",IF(O4&gt;F4,"OVER",IF(O4&lt;F4,"UNDER","PUSH")))</f>
        <v/>
      </c>
    </row>
    <row r="5">
      <c r="A5" t="inlineStr">
        <is>
          <t>2026-10-17 23:06</t>
        </is>
      </c>
      <c r="B5" t="inlineStr">
        <is>
          <t>2026-10-18</t>
        </is>
      </c>
      <c r="C5" t="inlineStr">
        <is>
          <t>LOL · KC vs MVK</t>
        </is>
      </c>
      <c r="D5" t="inlineStr">
        <is>
          <t>Kyeahoo</t>
        </is>
      </c>
      <c r="E5" t="inlineStr">
        <is>
          <t>Maps 1-3 Kills</t>
        </is>
      </c>
      <c r="F5" t="n">
        <v>11.5</v>
      </c>
      <c r="G5" t="n">
        <v>6.78</v>
      </c>
      <c r="H5" s="6" t="n">
        <v>0.0693</v>
      </c>
      <c r="I5" t="n">
        <v>6.6</v>
      </c>
      <c r="J5" s="6" t="n">
        <v>0.0595</v>
      </c>
      <c r="K5" s="6" t="n">
        <v>0.7111</v>
      </c>
      <c r="L5" s="6" t="n">
        <v>0.67</v>
      </c>
      <c r="N5" s="6" t="n">
        <v>0</v>
      </c>
      <c r="O5" s="10" t="n"/>
      <c r="P5">
        <f>IF(O5="","",IF(O5&gt;F5,"OVER",IF(O5&lt;F5,"UNDER","PUSH")))</f>
        <v/>
      </c>
    </row>
    <row r="6">
      <c r="A6" t="inlineStr">
        <is>
          <t>2026-10-17 23:06</t>
        </is>
      </c>
      <c r="B6" t="inlineStr">
        <is>
          <t>2026-10-18</t>
        </is>
      </c>
      <c r="C6" t="inlineStr">
        <is>
          <t>LOL · KC vs MVK</t>
        </is>
      </c>
      <c r="D6" t="inlineStr">
        <is>
          <t>Yike</t>
        </is>
      </c>
      <c r="E6" t="inlineStr">
        <is>
          <t>Maps 1-3 Kills</t>
        </is>
      </c>
      <c r="F6" t="n">
        <v>12.5</v>
      </c>
      <c r="G6" t="n">
        <v>11.71</v>
      </c>
      <c r="H6" s="6" t="n">
        <v>0.4287</v>
      </c>
      <c r="I6" t="n">
        <v>11.4</v>
      </c>
      <c r="J6" s="6" t="n">
        <v>0.3996</v>
      </c>
      <c r="K6" s="6" t="n">
        <v>0.7111</v>
      </c>
      <c r="L6" s="6" t="n">
        <v>0.67</v>
      </c>
      <c r="N6" s="6" t="n">
        <v>0.2</v>
      </c>
      <c r="O6" s="10" t="n"/>
      <c r="P6">
        <f>IF(O6="","",IF(O6&gt;F6,"OVER",IF(O6&lt;F6,"UNDER","PUSH")))</f>
        <v/>
      </c>
    </row>
    <row r="7">
      <c r="A7" t="inlineStr">
        <is>
          <t>2026-10-17 23:06</t>
        </is>
      </c>
      <c r="B7" t="inlineStr">
        <is>
          <t>2026-10-18</t>
        </is>
      </c>
      <c r="C7" t="inlineStr">
        <is>
          <t>LOL · KC vs MVK</t>
        </is>
      </c>
      <c r="D7" t="inlineStr">
        <is>
          <t>Chika</t>
        </is>
      </c>
      <c r="E7" t="inlineStr">
        <is>
          <t>Maps 1-3 Kills</t>
        </is>
      </c>
      <c r="F7" t="n">
        <v>8.5</v>
      </c>
      <c r="G7" t="n">
        <v>10.84</v>
      </c>
      <c r="H7" s="6" t="n">
        <v>0.6971000000000001</v>
      </c>
      <c r="I7" t="n">
        <v>12.6</v>
      </c>
      <c r="J7" s="6" t="n">
        <v>0.7992</v>
      </c>
      <c r="K7" s="6" t="n">
        <v>0.2889</v>
      </c>
      <c r="L7" s="6" t="n">
        <v>0.47</v>
      </c>
      <c r="N7" s="6" t="n">
        <v>0.7</v>
      </c>
      <c r="O7" s="10" t="n"/>
      <c r="P7">
        <f>IF(O7="","",IF(O7&gt;F7,"OVER",IF(O7&lt;F7,"UNDER","PUSH")))</f>
        <v/>
      </c>
    </row>
    <row r="8">
      <c r="A8" t="inlineStr">
        <is>
          <t>2026-10-17 23:06</t>
        </is>
      </c>
      <c r="B8" t="inlineStr">
        <is>
          <t>2026-10-18</t>
        </is>
      </c>
      <c r="C8" t="inlineStr">
        <is>
          <t>LOL · KC vs MVK</t>
        </is>
      </c>
      <c r="D8" t="inlineStr">
        <is>
          <t>Gury</t>
        </is>
      </c>
      <c r="E8" t="inlineStr">
        <is>
          <t>Maps 1-3 Kills</t>
        </is>
      </c>
      <c r="F8" t="n">
        <v>7</v>
      </c>
      <c r="G8" t="n">
        <v>6.81</v>
      </c>
      <c r="H8" s="6" t="n">
        <v>0.4192</v>
      </c>
      <c r="I8" t="n">
        <v>8.1</v>
      </c>
      <c r="J8" s="6" t="n">
        <v>0.5647</v>
      </c>
      <c r="K8" s="6" t="n">
        <v>0.2889</v>
      </c>
      <c r="L8" s="6" t="n">
        <v>0.5</v>
      </c>
      <c r="N8" s="6" t="n">
        <v>0.4</v>
      </c>
      <c r="O8" s="10" t="n"/>
      <c r="P8">
        <f>IF(O8="","",IF(O8&gt;F8,"OVER",IF(O8&lt;F8,"UNDER","PUSH")))</f>
        <v/>
      </c>
    </row>
    <row r="9">
      <c r="A9" t="inlineStr">
        <is>
          <t>2026-10-17 23:06</t>
        </is>
      </c>
      <c r="B9" t="inlineStr">
        <is>
          <t>2026-10-18</t>
        </is>
      </c>
      <c r="C9" t="inlineStr">
        <is>
          <t>LOL · KC vs MVK</t>
        </is>
      </c>
      <c r="D9" t="inlineStr">
        <is>
          <t>Harky</t>
        </is>
      </c>
      <c r="E9" t="inlineStr">
        <is>
          <t>Maps 1-3 Kills</t>
        </is>
      </c>
      <c r="F9" t="n">
        <v>9.5</v>
      </c>
      <c r="G9" t="n">
        <v>9.550000000000001</v>
      </c>
      <c r="H9" s="6" t="n">
        <v>0.5047</v>
      </c>
      <c r="I9" t="n">
        <v>11.1</v>
      </c>
      <c r="J9" s="6" t="n">
        <v>0.6389</v>
      </c>
      <c r="K9" s="6" t="n">
        <v>0.2889</v>
      </c>
      <c r="L9" s="6" t="n">
        <v>0.47</v>
      </c>
      <c r="N9" s="6" t="n">
        <v>0.5</v>
      </c>
      <c r="O9" s="10" t="n"/>
      <c r="P9">
        <f>IF(O9="","",IF(O9&gt;F9,"OVER",IF(O9&lt;F9,"UNDER","PUSH")))</f>
        <v/>
      </c>
    </row>
    <row r="10">
      <c r="A10" t="inlineStr">
        <is>
          <t>2026-10-17 23:06</t>
        </is>
      </c>
      <c r="B10" t="inlineStr">
        <is>
          <t>2026-10-18</t>
        </is>
      </c>
      <c r="C10" t="inlineStr">
        <is>
          <t>LOL · KC vs MVK</t>
        </is>
      </c>
      <c r="D10" t="inlineStr">
        <is>
          <t>Kratos</t>
        </is>
      </c>
      <c r="E10" t="inlineStr">
        <is>
          <t>Maps 1-3 Kills</t>
        </is>
      </c>
      <c r="F10" t="n">
        <v>6</v>
      </c>
      <c r="G10" t="n">
        <v>6.45</v>
      </c>
      <c r="H10" s="6" t="n">
        <v>0.4942</v>
      </c>
      <c r="I10" t="n">
        <v>7.5</v>
      </c>
      <c r="J10" s="6" t="n">
        <v>0.6117</v>
      </c>
      <c r="K10" s="6" t="n">
        <v>0.2889</v>
      </c>
      <c r="L10" s="6" t="n">
        <v>0.47</v>
      </c>
      <c r="N10" s="6" t="n">
        <v>0.8</v>
      </c>
      <c r="O10" s="10" t="n"/>
      <c r="P10">
        <f>IF(O10="","",IF(O10&gt;F10,"OVER",IF(O10&lt;F10,"UNDER","PUSH")))</f>
        <v/>
      </c>
    </row>
    <row r="11">
      <c r="A11" t="inlineStr">
        <is>
          <t>2026-10-17 23:06</t>
        </is>
      </c>
      <c r="B11" t="inlineStr">
        <is>
          <t>2026-10-18</t>
        </is>
      </c>
      <c r="C11" t="inlineStr">
        <is>
          <t>LOL · KC vs MVK</t>
        </is>
      </c>
      <c r="D11" t="inlineStr">
        <is>
          <t>Siuloong</t>
        </is>
      </c>
      <c r="E11" t="inlineStr">
        <is>
          <t>Maps 1-3 Kills</t>
        </is>
      </c>
      <c r="F11" t="n">
        <v>1.5</v>
      </c>
      <c r="G11" t="n">
        <v>2.06</v>
      </c>
      <c r="H11" s="6" t="n">
        <v>0.6294999999999999</v>
      </c>
      <c r="I11" t="n">
        <v>2.4</v>
      </c>
      <c r="J11" s="6" t="n">
        <v>0.6874</v>
      </c>
      <c r="K11" s="6" t="n">
        <v>0.2889</v>
      </c>
      <c r="L11" s="6" t="n">
        <v>0.47</v>
      </c>
      <c r="N11" s="6" t="n">
        <v>0.8</v>
      </c>
      <c r="O11" s="10" t="n"/>
      <c r="P11">
        <f>IF(O11="","",IF(O11&gt;F11,"OVER",IF(O11&lt;F11,"UNDER","PUSH")))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8" t="inlineStr">
        <is>
          <t>Check</t>
        </is>
      </c>
      <c r="B1" s="8" t="inlineStr">
        <is>
          <t>Result</t>
        </is>
      </c>
    </row>
    <row r="2">
      <c r="A2" t="inlineStr">
        <is>
          <t>PickFinder board rows (LoL + Dota)</t>
        </is>
      </c>
      <c r="B2" t="n">
        <v>10</v>
      </c>
    </row>
    <row r="3">
      <c r="A3" t="inlineStr">
        <is>
          <t>Players with stats</t>
        </is>
      </c>
      <c r="B3" t="n">
        <v>10</v>
      </c>
    </row>
    <row r="4">
      <c r="A4" t="inlineStr">
        <is>
          <t>Gamelog identity M1+M2 = M1-2 and M1-2+M3 = M1-3, every row</t>
        </is>
      </c>
      <c r="B4" t="inlineStr">
        <is>
          <t>10 / 10 players pass</t>
        </is>
      </c>
    </row>
    <row r="5">
      <c r="A5" t="inlineStr">
        <is>
          <t>Matches resolved to Thunderpick</t>
        </is>
      </c>
      <c r="B5" t="inlineStr">
        <is>
          <t>1 / 1</t>
        </is>
      </c>
    </row>
    <row r="6">
      <c r="A6" t="inlineStr">
        <is>
          <t>Thunderpick player kill ladders matched to board players</t>
        </is>
      </c>
      <c r="B6" t="n">
        <v>10</v>
      </c>
    </row>
    <row r="7">
      <c r="A7" t="inlineStr">
        <is>
          <t>LIVE: formula errors on Projections (should be 0)</t>
        </is>
      </c>
      <c r="B7">
        <f>SUMPRODUCT(--ISERROR(Projections!F2:M11))</f>
        <v/>
      </c>
    </row>
    <row r="8">
      <c r="A8" t="inlineStr">
        <is>
          <t>LIVE: legs with no projection (should be 0)</t>
        </is>
      </c>
      <c r="B8">
        <f>COUNTBLANK(Projections!F2:F11)</f>
        <v/>
      </c>
    </row>
    <row r="9">
      <c r="A9" t="inlineStr">
        <is>
          <t>LIVE: largest |Projections − Log| (≈0 at default settings)</t>
        </is>
      </c>
      <c r="B9">
        <f>SUMPRODUCT(MAX(ABS(N(+Projections!F2:F11)-N(+Log!G2:G11))))</f>
        <v/>
      </c>
    </row>
    <row r="10">
      <c r="A10" t="inlineStr">
        <is>
          <t>LIVE: identity — legs where P(win M1) = q but Proj ≠ Naive (should be 0)</t>
        </is>
      </c>
      <c r="B10">
        <f>SUMPRODUCT((ABS(N(+Projections!O2:O11)-N(+Projections!P2:P11))&lt;0.00001)*(ABS(N(+Projections!F2:F11)-N(+Projections!L2:L11))&gt;0.001)*(Projections!D2:D11="Map 1 Kills"))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2026-10-17T23:06:09Z</dcterms:created>
  <dcterms:modified xmlns:dcterms="http://purl.org/dc/terms/" xmlns:xsi="http://www.w3.org/2001/XMLSchema-instance" xsi:type="dcterms:W3CDTF">2026-10-17T23:06:09Z</dcterms:modified>
</cp:coreProperties>
</file>