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HLTV_Veto!$A$1:$G$57</definedName>
    <definedName function="false" hidden="true" localSheetId="8" name="_xlnm._FilterDatabase" vbProcedure="false">Map_Stats!$A$1:$K$256</definedName>
    <definedName function="false" hidden="true" localSheetId="7" name="_xlnm._FilterDatabase" vbProcedure="false">Players!$A$1:$O$42</definedName>
    <definedName function="false" hidden="true" localSheetId="4" name="_xlnm._FilterDatabase" vbProcedure="false">Projections!$A$1:$AE$73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<sst xmlns="http://schemas.openxmlformats.org/spreadsheetml/2006/main" count="4602" uniqueCount="1396">
  <si>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</si>
  <si>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</si>
  <si>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2026-10-22 · 72 board legs · 6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</si>
  <si>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</si>
  <si>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</si>
  <si>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</si>
  <si>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</si>
  <si>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</si>
  <si>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</si>
  <si>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</si>
  <si>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</si>
  <si>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</si>
  <si>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</si>
  <si>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</si>
  <si>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</si>
  <si>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</si>
  <si>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</si>
  <si>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</si>
  <si>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</si>
  <si>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</si>
  <si>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</si>
  <si>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</si>
  <si>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</si>
  <si>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</si>
  <si>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</si>
  <si>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</si>
  <si>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</si>
  <si>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</si>
  <si>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</si>
  <si>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</si>
  <si>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2026-10-22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</si>
  <si>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</si>
  <si>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VAL · KBG vs WOL   |   09:00 UTC   |   Bo3   |   Win: KBG 45% – WOL 55%   |   2-0 24% · 2-1 21% · 1-2 23% · 0-2 31%</t>
  </si>
  <si>
    <t xml:space="preserve">KeepBest Gaming (KBG)</t>
  </si>
  <si>
    <t xml:space="preserve">Wolves (WOL)</t>
  </si>
  <si>
    <t xml:space="preserve">Rank (vlr)</t>
  </si>
  <si>
    <t xml:space="preserve">Current Rank 14 China · Rating 1500 · Record 3W 4L</t>
  </si>
  <si>
    <t xml:space="preserve">Current Rank 19 China · Rating 1360 · Record 8W 24L</t>
  </si>
  <si>
    <t xml:space="preserve">Last 10 series: maps W-L</t>
  </si>
  <si>
    <t xml:space="preserve">9-7</t>
  </si>
  <si>
    <t xml:space="preserve">10-16</t>
  </si>
  <si>
    <t xml:space="preserve">Avg margin in wins / losses</t>
  </si>
  <si>
    <t xml:space="preserve">+3.6 / -4.3</t>
  </si>
  <si>
    <t xml:space="preserve">+4.8 / -4.3</t>
  </si>
  <si>
    <t xml:space="preserve">Stomps for / against (8+)</t>
  </si>
  <si>
    <t xml:space="preserve">1 / 1</t>
  </si>
  <si>
    <t xml:space="preserve">2 / 3</t>
  </si>
  <si>
    <t xml:space="preserve">Pistols</t>
  </si>
  <si>
    <t xml:space="preserve">not available from vlr summary pages</t>
  </si>
  <si>
    <t xml:space="preserve">Kill share (last 10 series, all maps)</t>
  </si>
  <si>
    <t xml:space="preserve">6 series · 16 maps · team 82.2 kills/map
Tonk 21.4% (17.6/map)
Ying 20.8% (17.1/map)
Akeman 20.2% (16.6/map)
sibeastw0w 19.5% (16.0/map)
Krst1Ng 18.0% (14.8/map)</t>
  </si>
  <si>
    <t xml:space="preserve">10 series · 26 maps · team 75.9 kills/map
glacier 22.9% (17.4/map)
Spring 22.2% (16.8/map)
yosemite 20.4% (15.5/map)
Deryeon 18.5% (14.0/map)
aluba 16.0% (12.2/map)</t>
  </si>
  <si>
    <t xml:space="preserve">Last 5 series</t>
  </si>
  <si>
    <t xml:space="preserve">2026-09-13  KeepBest Gaming vs FunPlus Phoenix  Ascent:13-4:P,Abyss:8-13:P,Sunset:13-10:P,Split:11-13:P,Summit:11-13:
2026-09-11  KeepBest Gaming vs Unsettled Resentment  Split:14-12:P,Sunset:13-7:P
2026-09-09  Guangzhou Huadu Bilibili Gaming (Bilibili Gaming) vs KeepBest Gaming  Haven:13-15:P,Ascent:10-13:P
2026-09-03  Wolves Esports vs KeepBest Gaming  Split:11-13:P,Ascent:12-14:P
2026-08-08  KeepBest Gaming vs FunPlus Phoenix  Breeze:10-13:P,Sunset:8-13:P</t>
  </si>
  <si>
    <t xml:space="preserve">2026-10-21  Wolves Esports vs A Team  Summit:13-7:P,Ascent:13-10:P
2026-09-03  Wolves Esports vs KeepBest Gaming  Split:11-13:P,Ascent:12-14:P
2026-08-09  EDward Gaming vs Wolves Esports  Ascent:11-13:P,Sunset:13-10:P,Haven:13-6:
2026-08-08  A Team vs Wolves Esports  Haven:13-11:P,Ascent:8-13:P,Summit:14-16:
2026-08-06  Wolves Esports vs Dragon Ranger Gaming  Lotus:13-11:P,Haven:9-13:P,Summit:8-13:</t>
  </si>
  <si>
    <t xml:space="preserve">Recent vetoes (last 5)</t>
  </si>
  <si>
    <t xml:space="preserve">2026-09-13 vs FunPlus Phoenix: KBG ban Lotus; FPX ban Haven; KBG pick Ascent; FPX pick Abyss; KBG pick Sunset; FPX pick Split; Summit remains
2026-09-11 vs Unsettled Resentment: KBG ban Lotus; UR ban Haven; KBG pick Split; UR pick Sunset; KBG ban Summit; UR ban Ascent; Abyss remains
2026-09-09 vs Guangzhou Huadu Bilibili Gaming (Bilibili Gaming): BLG ban Split; KBG ban Lotus; BLG pick Haven; KBG pick Ascent; BLG ban Sunset; KBG ban Summit; Abyss remains
2026-09-03 vs Wolves Esports: KBG ban Lotus; WOL ban Sunset; KBG pick Split; WOL pick Ascent; KBG ban Haven; WOL ban Abyss; Summit remains
2026-08-08 vs FunPlus Phoenix: KBG ban Ascent; FPX ban Haven; KBG pick Breeze; FPX pick Sunset; KBG ban Lotus; FPX ban Split; Summit remains</t>
  </si>
  <si>
    <t xml:space="preserve">2026-10-21 vs A Team: AT ban Lotus; WOL ban Sunset; AT pick Summit; WOL pick Ascent; AT ban Haven; WOL ban Abyss; Split remains
2026-09-03 vs KeepBest Gaming: KBG ban Lotus; WOL ban Sunset; KBG pick Split; WOL pick Ascent; KBG ban Haven; WOL ban Abyss; Summit remains
2026-08-09 vs EDward Gaming: WOL ban Breeze; EDG ban Lotus; WOL pick Ascent; EDG pick Sunset; WOL ban Split; EDG ban Summit; Haven remains
2026-08-08 vs A Team: WOL ban Breeze; AT ban Lotus; WOL pick Haven; AT pick Ascent; WOL ban Sunset; AT ban Split; Summit remains
2026-08-06 vs Dragon Ranger Gaming: WOL ban Breeze; DRG ban Sunset; WOL pick Lotus; DRG pick Haven; WOL ban Ascent; DRG ban Split; Summit remains</t>
  </si>
  <si>
    <t xml:space="preserve">Map</t>
  </si>
  <si>
    <t xml:space="preserve">PF pick %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</si>
  <si>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</si>
  <si>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</si>
  <si>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</si>
  <si>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</si>
  <si>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</si>
  <si>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</si>
  <si>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A 8+ | A 3-7 | close/OT | B 3-7 | B 8+</t>
  </si>
  <si>
    <t xml:space="preserve">E rounds</t>
  </si>
  <si>
    <t xml:space="preserve">Split</t>
  </si>
  <si>
    <t xml:space="preserve">20%</t>
  </si>
  <si>
    <t xml:space="preserve">51%</t>
  </si>
  <si>
    <t xml:space="preserve">38%</t>
  </si>
  <si>
    <t xml:space="preserve">31%</t>
  </si>
  <si>
    <t xml:space="preserve">9% | 34% | 30% | 23% | 4%</t>
  </si>
  <si>
    <t xml:space="preserve">22.0</t>
  </si>
  <si>
    <t xml:space="preserve">Sunset</t>
  </si>
  <si>
    <t xml:space="preserve">17%</t>
  </si>
  <si>
    <t xml:space="preserve">52%</t>
  </si>
  <si>
    <t xml:space="preserve">55%</t>
  </si>
  <si>
    <t xml:space="preserve">50%</t>
  </si>
  <si>
    <t xml:space="preserve">8% | 34% | 30% | 24% | 4%</t>
  </si>
  <si>
    <t xml:space="preserve">Lotus</t>
  </si>
  <si>
    <t xml:space="preserve">15%</t>
  </si>
  <si>
    <t xml:space="preserve">61%</t>
  </si>
  <si>
    <t xml:space="preserve">56%</t>
  </si>
  <si>
    <t xml:space="preserve">5% | 25% | 30% | 33% | 8%</t>
  </si>
  <si>
    <t xml:space="preserve">Abyss</t>
  </si>
  <si>
    <t xml:space="preserve">58%</t>
  </si>
  <si>
    <t xml:space="preserve">11%</t>
  </si>
  <si>
    <t xml:space="preserve">5% | 26% | 30% | 31% | 7%</t>
  </si>
  <si>
    <t xml:space="preserve">22.1</t>
  </si>
  <si>
    <t xml:space="preserve">Ascent</t>
  </si>
  <si>
    <t xml:space="preserve">70%</t>
  </si>
  <si>
    <t xml:space="preserve">34%</t>
  </si>
  <si>
    <t xml:space="preserve">57%</t>
  </si>
  <si>
    <t xml:space="preserve">6% | 27% | 31% | 30% | 7%</t>
  </si>
  <si>
    <t xml:space="preserve">Breeze</t>
  </si>
  <si>
    <t xml:space="preserve">27%</t>
  </si>
  <si>
    <t xml:space="preserve">6% | 27% | 30% | 30% | 7%</t>
  </si>
  <si>
    <t xml:space="preserve">Haven</t>
  </si>
  <si>
    <t xml:space="preserve">71%</t>
  </si>
  <si>
    <t xml:space="preserve">36%</t>
  </si>
  <si>
    <t xml:space="preserve">47%</t>
  </si>
  <si>
    <t xml:space="preserve">Summit</t>
  </si>
  <si>
    <t xml:space="preserve">41%</t>
  </si>
  <si>
    <t xml:space="preserve">49%</t>
  </si>
  <si>
    <t xml:space="preserve">5% | 27% | 30% | 31% | 7%</t>
  </si>
  <si>
    <t xml:space="preserve">CS2 · BIG vs MGLZ   |   11:00 UTC   |   Bo3   |   Win: BIG 48% – MGLZ 52%   |   2-0 23% · 2-1 26% · 1-2 25% · 0-2 27%</t>
  </si>
  <si>
    <t xml:space="preserve">BIG (BIG)</t>
  </si>
  <si>
    <t xml:space="preserve">MongolZ (MGLZ)</t>
  </si>
  <si>
    <t xml:space="preserve">Rank</t>
  </si>
  <si>
    <t xml:space="preserve">HLTV: #37 · VRS: #24</t>
  </si>
  <si>
    <t xml:space="preserve">HLTV: #20 · VRS: #41</t>
  </si>
  <si>
    <t xml:space="preserve">Last 10 maps (newest first)</t>
  </si>
  <si>
    <t xml:space="preserve">5-5   L L W W W W L W L L</t>
  </si>
  <si>
    <t xml:space="preserve">6-4   W W W W L L W W L L</t>
  </si>
  <si>
    <t xml:space="preserve">Last 10 maps, avg margin</t>
  </si>
  <si>
    <t xml:space="preserve">-0.6</t>
  </si>
  <si>
    <t xml:space="preserve">+0.7</t>
  </si>
  <si>
    <t xml:space="preserve">3 months: maps W-L</t>
  </si>
  <si>
    <t xml:space="preserve">25-20 (56%)</t>
  </si>
  <si>
    <t xml:space="preserve">16-13 (55%)</t>
  </si>
  <si>
    <t xml:space="preserve">+5.4 / -5.5</t>
  </si>
  <si>
    <t xml:space="preserve">+5.1 / -5.5</t>
  </si>
  <si>
    <t xml:space="preserve">6 / 6</t>
  </si>
  <si>
    <t xml:space="preserve">2 / 4</t>
  </si>
  <si>
    <t xml:space="preserve">Pistols (3 months)</t>
  </si>
  <si>
    <t xml:space="preserve">not captured</t>
  </si>
  <si>
    <t xml:space="preserve">Kill share (last 6 series, all maps)</t>
  </si>
  <si>
    <t xml:space="preserve">6 series · 15 maps · team 70.7 kills/map
blameF 23.3% (16.5/map)
faveN 20.8% (14.7/map)
gr1ks 20.4% (14.4/map)
JDC 19.2% (13.6/map)
tabseN 16.2% (11.5/map)</t>
  </si>
  <si>
    <t xml:space="preserve">6 series · 13 maps · team 73.4 kills/map
910 23.4% (17.2/map)
cobrazera 22.3% (16.4/map)
bLitz 20.9% (15.3/map)
Techno 11.2% (13.4/map)
nin9 10.9% (13.0/map)
DarkMeister 6.0% (11.4/map) (sub)
tikuak 5.3% (10.2/map) (sub)</t>
  </si>
  <si>
    <t xml:space="preserve">0 - 2  BIG vs PARIVISION
2 - 0  BIG vs The MongolZ
2 - 0  BIG vs PRIVATE
1 - 2  BIG vs Astralis
1 - 2  BIG vs Luminosity</t>
  </si>
  <si>
    <t xml:space="preserve">2 - 0  The MongolZ vs PRIVATE
2 - 0  The MongolZ vs magic
0 - 2  The MongolZ vs BIG
2 - 0  The MongolZ vs Alliance
0 - 2  The MongolZ vs 5star</t>
  </si>
  <si>
    <t xml:space="preserve">First ban: Ancient×2, Dust2×2   First pick: Cache×4, Inferno×1
21st of Octo  BIG vs PARIVISION:  us ban Ancient · opp ban Nuke · us pick Cache · opp pick Dust2 · opp ban Anubis · us ban Inferno · left Mirage
20th of Octo  BIG vs The MongolZ:  us ban Dust2 · opp ban Anubis · us pick Cache · opp pick Mirage · opp ban Nuke · us ban Ancient · left Inferno
19th of Octo  BIG vs PRIVATE:  us ban Dust2 · opp ban Inferno · us pick Cache · opp pick Mirage · opp ban Nuke · us ban Anubis · left Ancient
3rd of Octob  BIG vs Astralis:  opp ban Dust2 · us ban Ancient · opp pick Cache · us pick Inferno · us ban Nuke · opp ban Anubis · left Mirage
2nd of Octob  BIG vs Luminosity:  opp ban Anubis · us ban Nuke · opp pick Inferno · us pick Cache · us ban Dust2 · opp ban Ancient · left Mirage</t>
  </si>
  <si>
    <t xml:space="preserve">First ban: Anubis×5   First pick: Mirage×2, Inferno×1
21st of Octo  The MongolZ vs PRIVATE:  us ban Anubis · opp ban Inferno · us pick Mirage · opp pick Ancient · opp ban Cache · us ban Nuke · left Dust2
21st of Octo  The MongolZ vs magic:  us ban Anubis · opp ban Nuke · us pick Inferno · opp pick Ancient · opp ban Cache · us ban Mirage · left Dust2
20th of Octo  The MongolZ vs BIG:  opp ban Dust2 · us ban Anubis · opp pick Cache · us pick Mirage · us ban Nuke · opp ban Ancient · left Inferno
19th of Octo  The MongolZ vs Alliance:  opp ban Cache · us ban Anubis · opp pick Inferno · us pick Dust2 · us ban Nuke · opp ban Mirage · left Ancient
9th of Septe  The MongolZ vs 5star:  opp ban Dust2 · us ban Anubis · opp pick Inferno · us pick Nuke · opp ban Mirage · us ban Cache · left Ancient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</si>
  <si>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</si>
  <si>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</si>
  <si>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</si>
  <si>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</si>
  <si>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</si>
  <si>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</si>
  <si>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</si>
  <si>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</si>
  <si>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</si>
  <si>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</si>
  <si>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</si>
  <si>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</si>
  <si>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Inferno</t>
  </si>
  <si>
    <t xml:space="preserve">32%</t>
  </si>
  <si>
    <t xml:space="preserve">6-2</t>
  </si>
  <si>
    <t xml:space="preserve">+1.6</t>
  </si>
  <si>
    <t xml:space="preserve">51.9%</t>
  </si>
  <si>
    <t xml:space="preserve">56.0%</t>
  </si>
  <si>
    <t xml:space="preserve">5/16</t>
  </si>
  <si>
    <t xml:space="preserve">4-4</t>
  </si>
  <si>
    <t xml:space="preserve">-0.5</t>
  </si>
  <si>
    <t xml:space="preserve">58.1%</t>
  </si>
  <si>
    <t xml:space="preserve">41.3%</t>
  </si>
  <si>
    <t xml:space="preserve">9/16</t>
  </si>
  <si>
    <t xml:space="preserve">8% | 32% | 30% | 25% | 5%</t>
  </si>
  <si>
    <t xml:space="preserve">22.5</t>
  </si>
  <si>
    <t xml:space="preserve">Cache</t>
  </si>
  <si>
    <t xml:space="preserve">26%</t>
  </si>
  <si>
    <t xml:space="preserve">7-6</t>
  </si>
  <si>
    <t xml:space="preserve">+0.3</t>
  </si>
  <si>
    <t xml:space="preserve">42.0%</t>
  </si>
  <si>
    <t xml:space="preserve">58.6%</t>
  </si>
  <si>
    <t xml:space="preserve">10/26</t>
  </si>
  <si>
    <t xml:space="preserve">1-1</t>
  </si>
  <si>
    <t xml:space="preserve">+0.0</t>
  </si>
  <si>
    <t xml:space="preserve">57.1%</t>
  </si>
  <si>
    <t xml:space="preserve">42.9%</t>
  </si>
  <si>
    <t xml:space="preserve">1/4</t>
  </si>
  <si>
    <t xml:space="preserve">6% | 29% | 31% | 28% | 6%</t>
  </si>
  <si>
    <t xml:space="preserve">Mirage</t>
  </si>
  <si>
    <t xml:space="preserve">21%</t>
  </si>
  <si>
    <t xml:space="preserve">5-5</t>
  </si>
  <si>
    <t xml:space="preserve">50.8%</t>
  </si>
  <si>
    <t xml:space="preserve">46.2%</t>
  </si>
  <si>
    <t xml:space="preserve">2/20</t>
  </si>
  <si>
    <t xml:space="preserve">3-3</t>
  </si>
  <si>
    <t xml:space="preserve">53.8%</t>
  </si>
  <si>
    <t xml:space="preserve">48.5%</t>
  </si>
  <si>
    <t xml:space="preserve">5/12</t>
  </si>
  <si>
    <t xml:space="preserve">Dust2</t>
  </si>
  <si>
    <t xml:space="preserve">6%</t>
  </si>
  <si>
    <t xml:space="preserve">2-2</t>
  </si>
  <si>
    <t xml:space="preserve">56.2%</t>
  </si>
  <si>
    <t xml:space="preserve">42.1%</t>
  </si>
  <si>
    <t xml:space="preserve">2/8</t>
  </si>
  <si>
    <t xml:space="preserve">3-1</t>
  </si>
  <si>
    <t xml:space="preserve">+1.8</t>
  </si>
  <si>
    <t xml:space="preserve">54.7%</t>
  </si>
  <si>
    <t xml:space="preserve">52.1%</t>
  </si>
  <si>
    <t xml:space="preserve">5/8</t>
  </si>
  <si>
    <t xml:space="preserve">Ancient</t>
  </si>
  <si>
    <t xml:space="preserve">5%</t>
  </si>
  <si>
    <t xml:space="preserve">3-4</t>
  </si>
  <si>
    <t xml:space="preserve">+0.6</t>
  </si>
  <si>
    <t xml:space="preserve">43.0%</t>
  </si>
  <si>
    <t xml:space="preserve">59.5%</t>
  </si>
  <si>
    <t xml:space="preserve">10/14</t>
  </si>
  <si>
    <t xml:space="preserve">4-1</t>
  </si>
  <si>
    <t xml:space="preserve">+3.2</t>
  </si>
  <si>
    <t xml:space="preserve">56.7%</t>
  </si>
  <si>
    <t xml:space="preserve">59.1%</t>
  </si>
  <si>
    <t xml:space="preserve">5/10</t>
  </si>
  <si>
    <t xml:space="preserve">5% | 24% | 30% | 33% | 8%</t>
  </si>
  <si>
    <t xml:space="preserve">Nuke</t>
  </si>
  <si>
    <t xml:space="preserve">2-1</t>
  </si>
  <si>
    <t xml:space="preserve">+3.3</t>
  </si>
  <si>
    <t xml:space="preserve">69.4%</t>
  </si>
  <si>
    <t xml:space="preserve">41.7%</t>
  </si>
  <si>
    <t xml:space="preserve">4/6</t>
  </si>
  <si>
    <t xml:space="preserve">1-3</t>
  </si>
  <si>
    <t xml:space="preserve">-2.8</t>
  </si>
  <si>
    <t xml:space="preserve">55.1%</t>
  </si>
  <si>
    <t xml:space="preserve">31.8%</t>
  </si>
  <si>
    <t xml:space="preserve">9% | 35% | 30% | 22% | 4%</t>
  </si>
  <si>
    <t xml:space="preserve">22.4</t>
  </si>
  <si>
    <t xml:space="preserve">VAL · NOVA vs AQ   |   11:00 UTC   |   Bo3   |   Win: NOVA 72% – AQ 28%   |   2-0 45% · 2-1 26% · 1-2 14% · 0-2 15%</t>
  </si>
  <si>
    <t xml:space="preserve">Nova Esports (NOVA)</t>
  </si>
  <si>
    <t xml:space="preserve">Any Questions Gaming (AQ)</t>
  </si>
  <si>
    <t xml:space="preserve">Unranked · Rating N/A · Record N/A</t>
  </si>
  <si>
    <t xml:space="preserve">Current Rank 10 China · Rating 1526 · Record 9W 8L</t>
  </si>
  <si>
    <t xml:space="preserve">14-9</t>
  </si>
  <si>
    <t xml:space="preserve">10-2</t>
  </si>
  <si>
    <t xml:space="preserve">+4.5 / -5.1</t>
  </si>
  <si>
    <t xml:space="preserve">+5.5 / -6.5</t>
  </si>
  <si>
    <t xml:space="preserve">2 / 0</t>
  </si>
  <si>
    <t xml:space="preserve">2 / 1</t>
  </si>
  <si>
    <t xml:space="preserve">10 series · 23 maps · team 77.0 kills/map
swagzor 18.5% (18.2/map)
GuanG 16.8% (16.6/map)
cb 15.8% (15.5/map)
Ezeir 15.7% (15.4/map)
qiutiaN 12.8% (12.6/map)
GREEN 4.7% (16.8/map) (sub)
leo7 4.4% (15.6/map) (sub)
nono 4.1% (14.6/map) (sub)
Doomer 4.0% (14.2/map) (sub)
OnGod 3.2% (11.2/map) (sub)</t>
  </si>
  <si>
    <t xml:space="preserve">5 series · 12 maps · team 78.7 kills/map
Juicy 25.2% (19.8/map)
5CM 19.7% (15.5/map)
Youjun 19.2% (15.1/map)
S1Mon 18.8% (14.8/map)
Dannyy 17.2% (13.5/map)</t>
  </si>
  <si>
    <t xml:space="preserve">2026-09-10  Nova Esports vs FunPlus Phoenix  Sunset:8-13:P,Lotus:6-13:P
2026-09-05  Nova Esports vs EDward Gaming  Haven:13-9:P,Lotus:11-13:P,Ascent:13-7:
2026-08-21  Nova Esports vs TYLOO  Ascent:7-13:P,Summit:10-13:P
2026-08-20  Xi Lai Gaming vs Nova Esports  Split:13-6:P,Lotus:5-13:P,Breeze:3-13:
2026-08-16  Wuxi Titan Esports Club (Titan Esports Club) vs Nova Esports  Summit:11-13:P,Sunset:8-13:P</t>
  </si>
  <si>
    <t xml:space="preserve">2026-10-21  Any Questions Gaming vs World Sports Invictus Gaming  Lotus:13-9:P,Summit:14-12:P
2026-09-12  Unsettled Resentment vs Any Questions Gaming  Abyss:12-14:P,Lotus:6-13:P,Sunset:6-13:P
2026-09-11  FunPlus Phoenix vs Any Questions Gaming  Lotus:8-13:P,Split:13-5:P,Ascent:13-8:
2026-09-10  JD Gaming vs Any Questions Gaming  Haven:2-13:P,Ascent:5-13:P
2026-09-06  Dragon Ranger Gaming vs Any Questions Gaming  Split:12-14:P,Sunset:6-13:P</t>
  </si>
  <si>
    <t xml:space="preserve">2026-09-10 vs FunPlus Phoenix: NOVA ban Abyss; FPX ban Haven; NOVA pick Sunset; FPX pick Lotus; NOVA ban Split; FPX ban Summit; Ascent remains
2026-09-05 vs EDward Gaming: NOVA ban Abyss; EDG ban Summit; NOVA pick Haven; EDG pick Lotus; NOVA ban Split; EDG ban Sunset; Ascent remains
2026-08-21 vs TYLOO: NOVA ban Sunset; TYL ban Breeze; NOVA pick Ascent; TYL pick Summit; NOVA ban Haven; TYL ban Split; Lotus remains
2026-08-20 vs Xi Lai Gaming: NOVA ban Summit; XLG ban Ascent; NOVA pick Split; XLG pick Lotus; NOVA ban Haven; XLG ban Sunset; Breeze remains
2026-08-16 vs Wuxi Titan Esports Club (Titan Esports Club): TEC ban Lotus; NOVA ban Haven; TEC pick Summit; NOVA pick Sunset; TEC ban Breeze; NOVA ban Split; Ascent remains</t>
  </si>
  <si>
    <t xml:space="preserve">2026-10-21 vs World Sports Invictus Gaming: WSIG ban Haven; AQ ban Split; WSIG pick Lotus; AQ pick Summit; WSIG ban Ascent; AQ ban Abyss; Sunset remains
2026-09-12 vs Unsettled Resentment: UR ban Haven; AQ ban Summit; UR pick Abyss; AQ pick Lotus; UR pick Sunset; AQ pick Ascent; Split remains
2026-09-11 vs FunPlus Phoenix: FPX ban Haven; AQ ban Abyss; FPX pick Lotus; AQ pick Split; FPX ban Summit; AQ ban Sunset; Ascent remains
2026-09-10 vs JD Gaming: AQ ban Abyss; JDG ban Sunset; AQ pick Haven; JDG pick Ascent; AQ ban Summit; JDG ban Lotus; Split remains
2026-09-06 vs Dragon Ranger Gaming: AQ ban Lotus; DRG ban Abyss; AQ pick Split; DRG pick Sunset; AQ ban Summit; DRG ban Ascent; Haven remains</t>
  </si>
  <si>
    <t xml:space="preserve">18%</t>
  </si>
  <si>
    <t xml:space="preserve">40%</t>
  </si>
  <si>
    <t xml:space="preserve">88%</t>
  </si>
  <si>
    <t xml:space="preserve">4% | 23% | 30% | 34% | 9%</t>
  </si>
  <si>
    <t xml:space="preserve">7% | 30% | 30% | 28% | 6%</t>
  </si>
  <si>
    <t xml:space="preserve">85%</t>
  </si>
  <si>
    <t xml:space="preserve">23%</t>
  </si>
  <si>
    <t xml:space="preserve">6% | 28% | 31% | 29% | 6%</t>
  </si>
  <si>
    <t xml:space="preserve">69%</t>
  </si>
  <si>
    <t xml:space="preserve">60%</t>
  </si>
  <si>
    <t xml:space="preserve">100%</t>
  </si>
  <si>
    <t xml:space="preserve">83%</t>
  </si>
  <si>
    <t xml:space="preserve">5% | 25% | 30% | 32% | 7%</t>
  </si>
  <si>
    <t xml:space="preserve">46%</t>
  </si>
  <si>
    <t xml:space="preserve">48%</t>
  </si>
  <si>
    <t xml:space="preserve">37%</t>
  </si>
  <si>
    <t xml:space="preserve">5% | 27% | 30% | 30% | 7%</t>
  </si>
  <si>
    <t xml:space="preserve">67%</t>
  </si>
  <si>
    <t xml:space="preserve">30%</t>
  </si>
  <si>
    <t xml:space="preserve">6% | 27% | 31% | 29% | 7%</t>
  </si>
  <si>
    <t xml:space="preserve">54%</t>
  </si>
  <si>
    <t xml:space="preserve">44%</t>
  </si>
  <si>
    <t xml:space="preserve">62%</t>
  </si>
  <si>
    <t xml:space="preserve">79%</t>
  </si>
  <si>
    <t xml:space="preserve">4% | 23% | 30% | 35% | 9%</t>
  </si>
  <si>
    <t xml:space="preserve">CS2 · BCG vs FaZe   |   13:00 UTC   |   Bo3   |   Win: BCG 46% – FaZe 54%   |   2-0 25% · 2-1 21% · 1-2 27% · 0-2 27%</t>
  </si>
  <si>
    <t xml:space="preserve">BC.Game (BCG)</t>
  </si>
  <si>
    <t xml:space="preserve">FaZe (FaZe)</t>
  </si>
  <si>
    <t xml:space="preserve">HLTV: #51 · VRS: #37</t>
  </si>
  <si>
    <t xml:space="preserve">HLTV: #17 · VRS: #17</t>
  </si>
  <si>
    <t xml:space="preserve">7-3   L L W W L W W W W W</t>
  </si>
  <si>
    <t xml:space="preserve">6-4   W L W W L W L L W W</t>
  </si>
  <si>
    <t xml:space="preserve">+3.7</t>
  </si>
  <si>
    <t xml:space="preserve">+1.5</t>
  </si>
  <si>
    <t xml:space="preserve">31-16 (66%)</t>
  </si>
  <si>
    <t xml:space="preserve">27-21 (56%)</t>
  </si>
  <si>
    <t xml:space="preserve">+6.3 / -3.9</t>
  </si>
  <si>
    <t xml:space="preserve">+5.1 / -3.8</t>
  </si>
  <si>
    <t xml:space="preserve">10 / 2</t>
  </si>
  <si>
    <t xml:space="preserve">4 / 1</t>
  </si>
  <si>
    <t xml:space="preserve">6 series · 13 maps · team 74.5 kills/map
mzinho 21.5% (16.0/map)
s1mple 21.5% (16.0/map)
Senzu 21.2% (15.8/map)
asap 19.2% (14.3/map)
Magisk 16.7% (12.5/map)</t>
  </si>
  <si>
    <t xml:space="preserve">6 series · 17 maps · team 76.5 kills/map
JBOEN 21.7% (16.6/map)
Twistzz 21.1% (16.1/map)
jcobbb 20.4% (15.6/map)
frozen 20.3% (15.5/map)
Neityu 16.5% (12.6/map)</t>
  </si>
  <si>
    <t xml:space="preserve">1 - 2  BC.Game vs Eternal Fire
2 - 1  BC.Game vs Nexus
2 - 0  BC.Game vs BBL
13 - 10  BC.Game vs WBT
13 - 8  BC.Game vs Drama</t>
  </si>
  <si>
    <t xml:space="preserve">2 - 1  FaZe vs HEROIC
2 - 1  FaZe vs Envy
1 - 2  FaZe vs JiJieHao
2 - 1  FaZe vs ASTRAL
2 - 0  FaZe vs NAVI Junior</t>
  </si>
  <si>
    <t xml:space="preserve">First ban: Anubis×3, Ancient×2   First pick: Mirage×2, Cache×1
21st of Octo  BC.Game vs Eternal Fire:  us ban Anubis · opp ban Nuke · us pick Mirage · opp pick Ancient · opp ban Dust2 · us ban Inferno · left Cache
21st of Octo  BC.Game vs Nexus:  opp ban Nuke · us ban Anubis · opp pick Ancient · us pick Cache · us ban Inferno · opp ban Mirage · left Dust2
20th of Octo  BC.Game vs BBL:  us ban Anubis · opp ban Dust2 · us pick Mirage · opp pick Nuke · opp ban Cache · us ban Inferno · left Ancient
19th of Octo  BC.Game vs WBT:  opp ban Inferno · opp ban Cache · us ban Ancient · us ban Anubis · us ban Mirage · opp ban Nuke · left Dust2
19th of Octo  BC.Game vs Drama:  opp ban Dust2 · opp ban Cache · us ban Ancient · us ban Anubis · us ban Inferno · opp ban Nuke · left Mirage</t>
  </si>
  <si>
    <t xml:space="preserve">First ban: Inferno×5   First pick: Mirage×2, Ancient×1
21st of Octo  FaZe vs HEROIC:  us ban Inferno · opp ban Anubis · us pick Mirage · opp pick Ancient · opp ban Cache · us ban Dust2 · left Nuke
21st of Octo  FaZe vs Envy:  us ban Inferno · opp ban Mirage · us pick Ancient · opp pick Dust2 · opp ban Cache · us ban Nuke · left Anubis
21st of Octo  FaZe vs JiJieHao:  opp ban Nuke · us ban Inferno · opp pick Mirage · us pick Dust2 · us ban Ancient · opp ban Cache · left Anubis
20th of Octo  FaZe vs ASTRAL:  opp ban Dust2 · us ban Inferno · opp pick Ancient · us pick Mirage · us ban Anubis · opp ban Nuke · left Cache
10th of Octo  FaZe vs NAVI Junior:  opp ban Cache · us ban Inferno · opp pick Anubis · us pick Nuke · opp ban Ancient · us ban Mirage · left Dust2</t>
  </si>
  <si>
    <t xml:space="preserve">24%</t>
  </si>
  <si>
    <t xml:space="preserve">7-2</t>
  </si>
  <si>
    <t xml:space="preserve">+3.6</t>
  </si>
  <si>
    <t xml:space="preserve">69.1%</t>
  </si>
  <si>
    <t xml:space="preserve">47.3%</t>
  </si>
  <si>
    <t xml:space="preserve">10/18</t>
  </si>
  <si>
    <t xml:space="preserve">6-3</t>
  </si>
  <si>
    <t xml:space="preserve">50.5%</t>
  </si>
  <si>
    <t xml:space="preserve">8/18</t>
  </si>
  <si>
    <t xml:space="preserve">8% | 32% | 30% | 24% | 5%</t>
  </si>
  <si>
    <t xml:space="preserve">8-3</t>
  </si>
  <si>
    <t xml:space="preserve">+3.0</t>
  </si>
  <si>
    <t xml:space="preserve">57.6%</t>
  </si>
  <si>
    <t xml:space="preserve">55.6%</t>
  </si>
  <si>
    <t xml:space="preserve">11/22</t>
  </si>
  <si>
    <t xml:space="preserve">5-3</t>
  </si>
  <si>
    <t xml:space="preserve">+1.2</t>
  </si>
  <si>
    <t xml:space="preserve">52.7%</t>
  </si>
  <si>
    <t xml:space="preserve">52.6%</t>
  </si>
  <si>
    <t xml:space="preserve">7/16</t>
  </si>
  <si>
    <t xml:space="preserve">6-0</t>
  </si>
  <si>
    <t xml:space="preserve">+6.8</t>
  </si>
  <si>
    <t xml:space="preserve">71.9%</t>
  </si>
  <si>
    <t xml:space="preserve">62.7%</t>
  </si>
  <si>
    <t xml:space="preserve">7/12</t>
  </si>
  <si>
    <t xml:space="preserve">3-5</t>
  </si>
  <si>
    <t xml:space="preserve">-1.0</t>
  </si>
  <si>
    <t xml:space="preserve">49.5%</t>
  </si>
  <si>
    <t xml:space="preserve">46.4%</t>
  </si>
  <si>
    <t xml:space="preserve">8/16</t>
  </si>
  <si>
    <t xml:space="preserve">14% | 43% | 27% | 15% | 2%</t>
  </si>
  <si>
    <t xml:space="preserve">16%</t>
  </si>
  <si>
    <t xml:space="preserve">+1.7</t>
  </si>
  <si>
    <t xml:space="preserve">58.5%</t>
  </si>
  <si>
    <t xml:space="preserve">47.9%</t>
  </si>
  <si>
    <t xml:space="preserve">12/20</t>
  </si>
  <si>
    <t xml:space="preserve">8-1</t>
  </si>
  <si>
    <t xml:space="preserve">+4.7</t>
  </si>
  <si>
    <t xml:space="preserve">71.4%</t>
  </si>
  <si>
    <t xml:space="preserve">50.0%</t>
  </si>
  <si>
    <t xml:space="preserve">12/18</t>
  </si>
  <si>
    <t xml:space="preserve">4% | 21% | 30% | 35% | 9%</t>
  </si>
  <si>
    <t xml:space="preserve">10%</t>
  </si>
  <si>
    <t xml:space="preserve">2-3</t>
  </si>
  <si>
    <t xml:space="preserve">43.2%</t>
  </si>
  <si>
    <t xml:space="preserve">3-6</t>
  </si>
  <si>
    <t xml:space="preserve">-0.7</t>
  </si>
  <si>
    <t xml:space="preserve">46.9%</t>
  </si>
  <si>
    <t xml:space="preserve">7/18</t>
  </si>
  <si>
    <t xml:space="preserve">7% | 30% | 30% | 27% | 6%</t>
  </si>
  <si>
    <t xml:space="preserve">3-2</t>
  </si>
  <si>
    <t xml:space="preserve">47.2%</t>
  </si>
  <si>
    <t xml:space="preserve">60.4%</t>
  </si>
  <si>
    <t xml:space="preserve">6/10</t>
  </si>
  <si>
    <t xml:space="preserve">7% | 31% | 30% | 26% | 5%</t>
  </si>
  <si>
    <t xml:space="preserve">Anubis</t>
  </si>
  <si>
    <t xml:space="preserve">0-1</t>
  </si>
  <si>
    <t xml:space="preserve">-2.0</t>
  </si>
  <si>
    <t xml:space="preserve">2/2</t>
  </si>
  <si>
    <t xml:space="preserve">+1.0</t>
  </si>
  <si>
    <t xml:space="preserve">54.0%</t>
  </si>
  <si>
    <t xml:space="preserve">CS2 · JJH vs NXS   |   13:00 UTC   |   Bo3   |   Win: JJH 64% – NXS 36%   |   2-0 38% · 2-1 26% · 1-2 17% · 0-2 18%</t>
  </si>
  <si>
    <t xml:space="preserve">JiJieHao (JJH)</t>
  </si>
  <si>
    <t xml:space="preserve">Nexus (NXS)</t>
  </si>
  <si>
    <t xml:space="preserve">HLTV: #44 · VRS: #26</t>
  </si>
  <si>
    <t xml:space="preserve">HLTV: #146 · VRS: #63</t>
  </si>
  <si>
    <t xml:space="preserve">4-6   L L W W L W W L L L</t>
  </si>
  <si>
    <t xml:space="preserve">6-4   W W L W W L L W L W</t>
  </si>
  <si>
    <t xml:space="preserve">-1.9</t>
  </si>
  <si>
    <t xml:space="preserve">-0.8</t>
  </si>
  <si>
    <t xml:space="preserve">33-30 (52%)</t>
  </si>
  <si>
    <t xml:space="preserve">37-30 (55%)</t>
  </si>
  <si>
    <t xml:space="preserve">+5.1 / -5.0</t>
  </si>
  <si>
    <t xml:space="preserve">+5.9 / -5.3</t>
  </si>
  <si>
    <t xml:space="preserve">7 / 5</t>
  </si>
  <si>
    <t xml:space="preserve">9 / 7</t>
  </si>
  <si>
    <t xml:space="preserve">6 series · 15 maps · team 70.2 kills/map
m1N1 23.6% (16.5/map)
CacaNito 20.9% (14.7/map)
0SAMAS 19.7% (13.8/map)
sinnopsyy 18.8% (13.2/map)
Bibu 17.1% (12.0/map)</t>
  </si>
  <si>
    <t xml:space="preserve">6 series · 18 maps · team 73.0 kills/map
HOLY 22.1% (16.1/map)
shield 21.5% (15.7/map)
Nexius 20.2% (14.7/map)
s0und 18.8% (13.7/map)
fNk 17.5% (12.8/map)</t>
  </si>
  <si>
    <t xml:space="preserve">0 - 2  JiJieHao vs SINNERS
2 - 1  JiJieHao vs FaZe
2 - 1  JiJieHao vs Iberian Soul
0 - 2  JiJieHao vs Liquid
2 - 1  JiJieHao vs BBL</t>
  </si>
  <si>
    <t xml:space="preserve">2 - 1  Nexus vs BASEMENT BOYS
2 - 1  Nexus vs SAW
1 - 2  Nexus vs BC.Game
2 - 1  Nexus vs Luminosity
2 - 1  Nexus vs WBT</t>
  </si>
  <si>
    <t xml:space="preserve">First ban: Nuke×5   First pick: Mirage×4, Inferno×1
21st of Octo  JiJieHao vs SINNERS:  opp ban Anubis · us ban Nuke · opp pick Dust2 · us pick Inferno · us ban Ancient · opp ban Cache · left Mirage
21st of Octo  JiJieHao vs FaZe:  us ban Nuke · opp ban Inferno · us pick Mirage · opp pick Dust2 · opp ban Ancient · us ban Cache · left Anubis
20th of Octo  JiJieHao vs Iberian Soul:  opp ban Dust2 · us ban Nuke · opp pick Inferno · us pick Mirage · us ban Anubis · opp ban Cache · left Ancient
13th of Octo  JiJieHao vs Liquid:  us ban Nuke · opp ban Ancient · us pick Mirage · opp pick Cache · us ban Anubis · opp ban Dust2 · left Inferno
13th of Octo  JiJieHao vs BBL:  opp ban Dust2 · us ban Nuke · opp pick Inferno · us pick Mirage · opp ban Anubis · us ban Ancient · left Cache</t>
  </si>
  <si>
    <t xml:space="preserve">First ban: Nuke×5   First pick: Ancient×3, Anubis×2
21st of Octo  Nexus vs BASEMENT BOYS:  us ban Nuke · opp ban Inferno · us pick Anubis · opp pick Mirage · opp ban Dust2 · us ban Ancient · left Cache
21st of Octo  Nexus vs SAW:  opp ban Mirage · us ban Nuke · opp pick Inferno · us pick Anubis · us ban Cache · opp ban Dust2 · left Ancient
21st of Octo  Nexus vs BC.Game:  us ban Nuke · opp ban Anubis · us pick Ancient · opp pick Cache · opp ban Inferno · us ban Mirage · left Dust2
20th of Octo  Nexus vs Luminosity:  us ban Nuke · opp ban Anubis · us pick Ancient · opp pick Inferno · opp ban Cache · us ban Mirage · left Dust2
19th of Octo  Nexus vs WBT:  us ban Nuke · opp ban Inferno · us pick Ancient · opp pick Dust2 · opp ban Cache · us ban Mirage · left Anubis</t>
  </si>
  <si>
    <t xml:space="preserve">7-4</t>
  </si>
  <si>
    <t xml:space="preserve">+0.2</t>
  </si>
  <si>
    <t xml:space="preserve">53.7%</t>
  </si>
  <si>
    <t xml:space="preserve">47.1%</t>
  </si>
  <si>
    <t xml:space="preserve">+0.4</t>
  </si>
  <si>
    <t xml:space="preserve">54.3%</t>
  </si>
  <si>
    <t xml:space="preserve">11/32</t>
  </si>
  <si>
    <t xml:space="preserve">6% | 28% | 30% | 29% | 6%</t>
  </si>
  <si>
    <t xml:space="preserve">3-8</t>
  </si>
  <si>
    <t xml:space="preserve">-2.2</t>
  </si>
  <si>
    <t xml:space="preserve">43.4%</t>
  </si>
  <si>
    <t xml:space="preserve">7-8</t>
  </si>
  <si>
    <t xml:space="preserve">-0.3</t>
  </si>
  <si>
    <t xml:space="preserve">57.7%</t>
  </si>
  <si>
    <t xml:space="preserve">38.8%</t>
  </si>
  <si>
    <t xml:space="preserve">15/30</t>
  </si>
  <si>
    <t xml:space="preserve">5% | 25% | 30% | 31% | 8%</t>
  </si>
  <si>
    <t xml:space="preserve">11-4</t>
  </si>
  <si>
    <t xml:space="preserve">+3.1</t>
  </si>
  <si>
    <t xml:space="preserve">58.0%</t>
  </si>
  <si>
    <t xml:space="preserve">57.8%</t>
  </si>
  <si>
    <t xml:space="preserve">17/30</t>
  </si>
  <si>
    <t xml:space="preserve">5-2</t>
  </si>
  <si>
    <t xml:space="preserve">+2.3</t>
  </si>
  <si>
    <t xml:space="preserve">58.8%</t>
  </si>
  <si>
    <t xml:space="preserve">51.3%</t>
  </si>
  <si>
    <t xml:space="preserve">12/14</t>
  </si>
  <si>
    <t xml:space="preserve">55.3%</t>
  </si>
  <si>
    <t xml:space="preserve">4/16</t>
  </si>
  <si>
    <t xml:space="preserve">7-3</t>
  </si>
  <si>
    <t xml:space="preserve">11/20</t>
  </si>
  <si>
    <t xml:space="preserve">4% | 23% | 30% | 34% | 8%</t>
  </si>
  <si>
    <t xml:space="preserve">4-6</t>
  </si>
  <si>
    <t xml:space="preserve">-1.2</t>
  </si>
  <si>
    <t xml:space="preserve">47.0%</t>
  </si>
  <si>
    <t xml:space="preserve">7/20</t>
  </si>
  <si>
    <t xml:space="preserve">6-5</t>
  </si>
  <si>
    <t xml:space="preserve">+2.2</t>
  </si>
  <si>
    <t xml:space="preserve">15/22</t>
  </si>
  <si>
    <t xml:space="preserve">4% | 21% | 29% | 37% | 10%</t>
  </si>
  <si>
    <t xml:space="preserve">53.9%</t>
  </si>
  <si>
    <t xml:space="preserve">10/16</t>
  </si>
  <si>
    <t xml:space="preserve">40.3%</t>
  </si>
  <si>
    <t xml:space="preserve">51.4%</t>
  </si>
  <si>
    <t xml:space="preserve">8/14</t>
  </si>
  <si>
    <t xml:space="preserve">-3.0</t>
  </si>
  <si>
    <t xml:space="preserve">45.5%</t>
  </si>
  <si>
    <t xml:space="preserve">1/2</t>
  </si>
  <si>
    <t xml:space="preserve">CS2 · SIN vs EF   |   16:00 UTC   |   Bo3   |   Win: SIN 50% – EF 50%   |   2-0 26% · 2-1 24% · 1-2 24% · 0-2 26%</t>
  </si>
  <si>
    <t xml:space="preserve">SINNERS (SIN)</t>
  </si>
  <si>
    <t xml:space="preserve">Eternal Fire (EF)</t>
  </si>
  <si>
    <t xml:space="preserve">HLTV: #45 · VRS: #36</t>
  </si>
  <si>
    <t xml:space="preserve">HLTV: #43 · VRS: #32</t>
  </si>
  <si>
    <t xml:space="preserve">6-4   W W W L W W W L L L</t>
  </si>
  <si>
    <t xml:space="preserve">6-4   W W L W W L W W L L</t>
  </si>
  <si>
    <t xml:space="preserve">58-45 (56%)</t>
  </si>
  <si>
    <t xml:space="preserve">59-38 (61%)</t>
  </si>
  <si>
    <t xml:space="preserve">+6.2 / -5.5</t>
  </si>
  <si>
    <t xml:space="preserve">+5.4 / -4.7</t>
  </si>
  <si>
    <t xml:space="preserve">19 / 12</t>
  </si>
  <si>
    <t xml:space="preserve">12 / 7</t>
  </si>
  <si>
    <t xml:space="preserve">55.3% (114-92) · R2 conv 78.8% · R2 break 20.0%</t>
  </si>
  <si>
    <t xml:space="preserve">53.6% (104-90) · R2 conv 81.7% · R2 break 17.8%</t>
  </si>
  <si>
    <t xml:space="preserve">6 series · 15 maps · team 69.9 kills/map
SHOCK 22.0% (15.4/map)
stressarN 21.3% (14.9/map)
beastik 20.8% (14.5/map)
MoDo 18.4% (12.9/map)
kisserek 17.5% (12.3/map)</t>
  </si>
  <si>
    <t xml:space="preserve">6 series · 15 maps · team 77.5 kills/map
jottAAA 23.2% (18.0/map)
regali 21.6% (16.7/map)
Kvem 20.5% (15.9/map)
soulfly 18.0% (13.9/map)
MisteM 16.7% (12.9/map)</t>
  </si>
  <si>
    <t xml:space="preserve">2 - 0  SINNERS vs JiJieHao
2 - 1  SINNERS vs HEROIC
2 - 0  SINNERS vs SAW
0 - 2  SINNERS vs GamerLegion
1 - 2  SINNERS vs Black Phoenix</t>
  </si>
  <si>
    <t xml:space="preserve">2 - 1  Eternal Fire vs BC.Game
2 - 1  Eternal Fire vs BASEMENT BOYS
2 - 0  Eternal Fire vs INFINITE
0 - 2  Eternal Fire vs Nuclear TigeRES
1 - 2  Eternal Fire vs Betclic</t>
  </si>
  <si>
    <t xml:space="preserve">First ban: Anubis×3, Inferno×1   First pick: Mirage×2, Ancient×2
21st of Octo  SINNERS vs JiJieHao:  us ban Anubis · opp ban Nuke · us pick Dust2 · opp pick Inferno · opp ban Ancient · us ban Cache · left Mirage
21st of Octo  SINNERS vs HEROIC:  us ban Inferno · opp ban Anubis · us pick Mirage · opp pick Nuke · opp ban Ancient · us ban Cache · left Dust2
20th of Octo  SINNERS vs SAW:  opp ban Mirage · us ban Anubis · opp pick Inferno · us pick Ancient · us ban Cache · opp ban Dust2 · left Nuke
9th of Octob  SINNERS vs GamerLegion:  opp ban Dust2 · us ban Cache · opp pick Nuke · us pick Ancient · us ban Inferno · opp ban Anubis · left Mirage
8th of Octob  SINNERS vs Black Phoenix:  opp ban Ancient · us ban Anubis · opp pick Dust2 · us pick Mirage · opp ban Cache · us ban Inferno · left Nuke</t>
  </si>
  <si>
    <t xml:space="preserve">First ban: Nuke×5   First pick: Dust2×3, Ancient×1
21st of Octo  Eternal Fire vs BC.Game:  opp ban Anubis · us ban Nuke · opp pick Mirage · us pick Ancient · us ban Dust2 · opp ban Inferno · left Cache
21st of Octo  Eternal Fire vs BASEMENT BOYS:  opp ban Inferno · us ban Nuke · opp pick Mirage · us pick Cache · us ban Dust2 · opp ban Anubis · left Ancient
20th of Octo  Eternal Fire vs INFINITE:  opp ban Anubis · us ban Nuke · opp pick Cache · us pick Dust2 · us ban Inferno · opp ban Mirage · left Ancient
17th of Octo  Eternal Fire vs Nuclear TigeRES:  opp ban Cache · us ban Nuke · opp pick Anubis · us pick Dust2 · us ban Inferno · opp ban Mirage · left Ancient
16th of Octo  Eternal Fire vs Betclic:  opp ban Inferno · us ban Nuke · opp pick Anubis · us pick Dust2 · us ban Mirage · opp ban Ancient · left Cache</t>
  </si>
  <si>
    <t xml:space="preserve">17-7</t>
  </si>
  <si>
    <t xml:space="preserve">53.4%</t>
  </si>
  <si>
    <t xml:space="preserve">60.0%</t>
  </si>
  <si>
    <t xml:space="preserve">29/48</t>
  </si>
  <si>
    <t xml:space="preserve">12-6</t>
  </si>
  <si>
    <t xml:space="preserve">+2.4</t>
  </si>
  <si>
    <t xml:space="preserve">58.2%</t>
  </si>
  <si>
    <t xml:space="preserve">52.0%</t>
  </si>
  <si>
    <t xml:space="preserve">19/36</t>
  </si>
  <si>
    <t xml:space="preserve">7% | 32% | 30% | 26% | 5%</t>
  </si>
  <si>
    <t xml:space="preserve">11-5</t>
  </si>
  <si>
    <t xml:space="preserve">48.7%</t>
  </si>
  <si>
    <t xml:space="preserve">22/32</t>
  </si>
  <si>
    <t xml:space="preserve">14-5</t>
  </si>
  <si>
    <t xml:space="preserve">+2.9</t>
  </si>
  <si>
    <t xml:space="preserve">59.6%</t>
  </si>
  <si>
    <t xml:space="preserve">19/38</t>
  </si>
  <si>
    <t xml:space="preserve">14%</t>
  </si>
  <si>
    <t xml:space="preserve">14-8</t>
  </si>
  <si>
    <t xml:space="preserve">+2.1</t>
  </si>
  <si>
    <t xml:space="preserve">61.7%</t>
  </si>
  <si>
    <t xml:space="preserve">48.9%</t>
  </si>
  <si>
    <t xml:space="preserve">23/44</t>
  </si>
  <si>
    <t xml:space="preserve">7-10</t>
  </si>
  <si>
    <t xml:space="preserve">-1.4</t>
  </si>
  <si>
    <t xml:space="preserve">48.0%</t>
  </si>
  <si>
    <t xml:space="preserve">45.8%</t>
  </si>
  <si>
    <t xml:space="preserve">18/34</t>
  </si>
  <si>
    <t xml:space="preserve">12% | 40% | 28% | 18% | 3%</t>
  </si>
  <si>
    <t xml:space="preserve">22.2</t>
  </si>
  <si>
    <t xml:space="preserve">-0.9</t>
  </si>
  <si>
    <t xml:space="preserve">49.3%</t>
  </si>
  <si>
    <t xml:space="preserve">16/34</t>
  </si>
  <si>
    <t xml:space="preserve">13-7</t>
  </si>
  <si>
    <t xml:space="preserve">57.0%</t>
  </si>
  <si>
    <t xml:space="preserve">22/40</t>
  </si>
  <si>
    <t xml:space="preserve">4% | 20% | 29% | 37% | 10%</t>
  </si>
  <si>
    <t xml:space="preserve">4%</t>
  </si>
  <si>
    <t xml:space="preserve">6-7</t>
  </si>
  <si>
    <t xml:space="preserve">48.6%</t>
  </si>
  <si>
    <t xml:space="preserve">49.1%</t>
  </si>
  <si>
    <t xml:space="preserve">7/26</t>
  </si>
  <si>
    <t xml:space="preserve">14/22</t>
  </si>
  <si>
    <t xml:space="preserve">52.3%</t>
  </si>
  <si>
    <t xml:space="preserve">43.1%</t>
  </si>
  <si>
    <t xml:space="preserve">17/22</t>
  </si>
  <si>
    <t xml:space="preserve">7-5</t>
  </si>
  <si>
    <t xml:space="preserve">55.0%</t>
  </si>
  <si>
    <t xml:space="preserve">12/24</t>
  </si>
  <si>
    <t xml:space="preserve">Board</t>
  </si>
  <si>
    <t xml:space="preserve">Match:</t>
  </si>
  <si>
    <t xml:space="preserve">CS2 · BIG vs MGLZ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</si>
  <si>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</si>
  <si>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</si>
  <si>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</si>
  <si>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</si>
  <si>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</si>
  <si>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</si>
  <si>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</si>
  <si>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</si>
  <si>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</si>
  <si>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</si>
  <si>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</si>
  <si>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</si>
  <si>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</si>
  <si>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</si>
  <si>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</si>
  <si>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</si>
  <si>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</si>
  <si>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</si>
  <si>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</si>
  <si>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</si>
  <si>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</si>
  <si>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</si>
  <si>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</si>
  <si>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</si>
  <si>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</si>
  <si>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</si>
  <si>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</si>
  <si>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</si>
  <si>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</si>
  <si>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</si>
  <si>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</si>
  <si>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</si>
  <si>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</si>
  <si>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</si>
  <si>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</si>
  <si>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</si>
  <si>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</si>
  <si>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</si>
  <si>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</si>
  <si>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</si>
  <si>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</si>
  <si>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</si>
  <si>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</si>
  <si>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</si>
  <si>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</si>
  <si>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</si>
  <si>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</si>
  <si>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</si>
  <si>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</si>
  <si>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</si>
  <si>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</si>
  <si>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</si>
  <si>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</si>
  <si>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</si>
  <si>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</si>
  <si>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</si>
  <si>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</si>
  <si>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</si>
  <si>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</si>
  <si>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</si>
  <si>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</si>
  <si>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</si>
  <si>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</si>
  <si>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</si>
  <si>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</si>
  <si>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</si>
  <si>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</si>
  <si>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</si>
  <si>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</si>
  <si>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</si>
  <si>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</si>
  <si>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</si>
  <si>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</si>
  <si>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</si>
  <si>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</si>
  <si>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</si>
  <si>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</si>
  <si>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</si>
  <si>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</si>
  <si>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</si>
  <si>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</si>
  <si>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</si>
  <si>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</si>
  <si>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Thu 06:00</t>
  </si>
  <si>
    <t xml:space="preserve">Inferno 32%</t>
  </si>
  <si>
    <t xml:space="preserve">Cache 26%</t>
  </si>
  <si>
    <t xml:space="preserve">Mirage 21%</t>
  </si>
  <si>
    <t xml:space="preserve">PF Map Picks</t>
  </si>
  <si>
    <t xml:space="preserve">BIG</t>
  </si>
  <si>
    <t xml:space="preserve">MGLZ</t>
  </si>
  <si>
    <t xml:space="preserve">CS2 · BCG vs FaZe</t>
  </si>
  <si>
    <t xml:space="preserve">Thu 08:00</t>
  </si>
  <si>
    <t xml:space="preserve">Mirage 24%</t>
  </si>
  <si>
    <t xml:space="preserve">Cache 21%</t>
  </si>
  <si>
    <t xml:space="preserve">Dust2 18%</t>
  </si>
  <si>
    <t xml:space="preserve">BCG</t>
  </si>
  <si>
    <t xml:space="preserve">FaZe</t>
  </si>
  <si>
    <t xml:space="preserve">CS2 · JJH vs NXS</t>
  </si>
  <si>
    <t xml:space="preserve">Anubis 21%</t>
  </si>
  <si>
    <t xml:space="preserve">Dust2 20%</t>
  </si>
  <si>
    <t xml:space="preserve">Mirage 17%</t>
  </si>
  <si>
    <t xml:space="preserve">HLTV veto: played, minus first-bans (no Map Picks)</t>
  </si>
  <si>
    <t xml:space="preserve">JJH</t>
  </si>
  <si>
    <t xml:space="preserve">NXS</t>
  </si>
  <si>
    <t xml:space="preserve">CS2 · SIN vs EF</t>
  </si>
  <si>
    <t xml:space="preserve">Thu 11:00</t>
  </si>
  <si>
    <t xml:space="preserve">Dust2 46%</t>
  </si>
  <si>
    <t xml:space="preserve">Ancient 17%</t>
  </si>
  <si>
    <t xml:space="preserve">Mirage 14%</t>
  </si>
  <si>
    <t xml:space="preserve">SIN</t>
  </si>
  <si>
    <t xml:space="preserve">EF</t>
  </si>
  <si>
    <t xml:space="preserve">VAL · KBG vs WOL</t>
  </si>
  <si>
    <t xml:space="preserve">VAL</t>
  </si>
  <si>
    <t xml:space="preserve">Thu 04:00</t>
  </si>
  <si>
    <t xml:space="preserve">Split 20%</t>
  </si>
  <si>
    <t xml:space="preserve">Sunset 17%</t>
  </si>
  <si>
    <t xml:space="preserve">Lotus 15%</t>
  </si>
  <si>
    <t xml:space="preserve">most-played by both rosters (no Map Picks)</t>
  </si>
  <si>
    <t xml:space="preserve">KBG</t>
  </si>
  <si>
    <t xml:space="preserve">WOL</t>
  </si>
  <si>
    <t xml:space="preserve">VAL · NOVA vs AQ</t>
  </si>
  <si>
    <t xml:space="preserve">Lotus 18%</t>
  </si>
  <si>
    <t xml:space="preserve">Ascent 17%</t>
  </si>
  <si>
    <t xml:space="preserve">Bind 14%</t>
  </si>
  <si>
    <t xml:space="preserve">Bind</t>
  </si>
  <si>
    <t xml:space="preserve">NOVA</t>
  </si>
  <si>
    <t xml:space="preserve">AQ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</si>
  <si>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</si>
  <si>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</si>
  <si>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</si>
  <si>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</si>
  <si>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</si>
  <si>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</si>
  <si>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</si>
  <si>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</si>
  <si>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</si>
  <si>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</si>
  <si>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</si>
  <si>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</si>
  <si>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</si>
  <si>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</si>
  <si>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</si>
  <si>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</si>
  <si>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</si>
  <si>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</si>
  <si>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</si>
  <si>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</si>
  <si>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</si>
  <si>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</si>
  <si>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</si>
  <si>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asap</t>
  </si>
  <si>
    <t xml:space="preserve">Maps 1-2 HS</t>
  </si>
  <si>
    <t xml:space="preserve">-</t>
  </si>
  <si>
    <t xml:space="preserve">sr5c0xeb12zshv5|CS2 · BCG vs FaZe</t>
  </si>
  <si>
    <t xml:space="preserve">H12</t>
  </si>
  <si>
    <t xml:space="preserve">Maps 1-2 Kills</t>
  </si>
  <si>
    <t xml:space="preserve">K12</t>
  </si>
  <si>
    <t xml:space="preserve">Magisk</t>
  </si>
  <si>
    <t xml:space="preserve">67%/4/6</t>
  </si>
  <si>
    <t xml:space="preserve">1d7bsesjr3mn3m2|CS2 · BCG vs FaZe</t>
  </si>
  <si>
    <t xml:space="preserve">33%/2/6</t>
  </si>
  <si>
    <t xml:space="preserve">mzinho</t>
  </si>
  <si>
    <t xml:space="preserve">50%/2/4</t>
  </si>
  <si>
    <t xml:space="preserve">d5pdwo5hc84he1g|CS2 · BCG vs FaZe</t>
  </si>
  <si>
    <t xml:space="preserve">25%/1/4</t>
  </si>
  <si>
    <t xml:space="preserve">s1mple</t>
  </si>
  <si>
    <t xml:space="preserve">100%/1/1</t>
  </si>
  <si>
    <t xml:space="preserve">wmdnx0gqjw734wn|CS2 · BCG vs FaZe</t>
  </si>
  <si>
    <t xml:space="preserve">senzu</t>
  </si>
  <si>
    <t xml:space="preserve">80%/4/5</t>
  </si>
  <si>
    <t xml:space="preserve">5mlzxv2cg2u3emi|CS2 · BCG vs FaZe</t>
  </si>
  <si>
    <t xml:space="preserve">frozen</t>
  </si>
  <si>
    <t xml:space="preserve">0%/0/2</t>
  </si>
  <si>
    <t xml:space="preserve">w36zabyloy9xbbl|CS2 · BCG vs FaZe</t>
  </si>
  <si>
    <t xml:space="preserve">50%/1/2</t>
  </si>
  <si>
    <t xml:space="preserve">JBOEN</t>
  </si>
  <si>
    <t xml:space="preserve">3i7rtlh9c02jvmx|CS2 · BCG vs FaZe</t>
  </si>
  <si>
    <t xml:space="preserve">Jcobbb</t>
  </si>
  <si>
    <t xml:space="preserve">vdo0jykqczuyswb|CS2 · BCG vs FaZe</t>
  </si>
  <si>
    <t xml:space="preserve">Neityu</t>
  </si>
  <si>
    <t xml:space="preserve">100%/2/2</t>
  </si>
  <si>
    <t xml:space="preserve">42o4a4l388ybjjn|CS2 · BCG vs FaZe</t>
  </si>
  <si>
    <t xml:space="preserve">Twistzz</t>
  </si>
  <si>
    <t xml:space="preserve">fyrdqmky6zw6rl0|CS2 · BCG vs FaZe</t>
  </si>
  <si>
    <t xml:space="preserve">0%/0/1</t>
  </si>
  <si>
    <t xml:space="preserve">blameF</t>
  </si>
  <si>
    <t xml:space="preserve">8trkhn8eds1uu4p|CS2 · BIG vs MGLZ</t>
  </si>
  <si>
    <t xml:space="preserve">faveN</t>
  </si>
  <si>
    <t xml:space="preserve">67%/2/3</t>
  </si>
  <si>
    <t xml:space="preserve">8aq8zm8lnarakek|CS2 · BIG vs MGLZ</t>
  </si>
  <si>
    <t xml:space="preserve">gr1ks</t>
  </si>
  <si>
    <t xml:space="preserve">3m04868n6ftaamy|CS2 · BIG vs MGLZ</t>
  </si>
  <si>
    <t xml:space="preserve">JDC</t>
  </si>
  <si>
    <t xml:space="preserve">cbsjkz3yqg99r06|CS2 · BIG vs MGLZ</t>
  </si>
  <si>
    <t xml:space="preserve">tabseN</t>
  </si>
  <si>
    <t xml:space="preserve">ji96h9ot97jiwq9|CS2 · BIG vs MGLZ</t>
  </si>
  <si>
    <t xml:space="preserve">910</t>
  </si>
  <si>
    <t xml:space="preserve">5ttqna5u230tb49|CS2 · BIG vs MGLZ</t>
  </si>
  <si>
    <t xml:space="preserve">bLitz</t>
  </si>
  <si>
    <t xml:space="preserve">56bqvguml6vhetk|CS2 · BIG vs MGLZ</t>
  </si>
  <si>
    <t xml:space="preserve">cobrazera</t>
  </si>
  <si>
    <t xml:space="preserve">01464eymprqfx0w|CS2 · BIG vs MGLZ</t>
  </si>
  <si>
    <t xml:space="preserve">nin9</t>
  </si>
  <si>
    <t xml:space="preserve">dobeml44vsvpy4d|CS2 · BIG vs MGLZ</t>
  </si>
  <si>
    <t xml:space="preserve">Techno</t>
  </si>
  <si>
    <t xml:space="preserve">f34szm5kcyom32u|CS2 · BIG vs MGLZ</t>
  </si>
  <si>
    <t xml:space="preserve">0SAMAS</t>
  </si>
  <si>
    <t xml:space="preserve">3ur3fyq90jlwliy|CS2 · JJH vs NXS</t>
  </si>
  <si>
    <t xml:space="preserve">CacaNito</t>
  </si>
  <si>
    <t xml:space="preserve">lykfimmteia2jqy|CS2 · JJH vs NXS</t>
  </si>
  <si>
    <t xml:space="preserve">m1N1</t>
  </si>
  <si>
    <t xml:space="preserve">u9fufnbk30lfitd|CS2 · JJH vs NXS</t>
  </si>
  <si>
    <t xml:space="preserve">sinnopsyy</t>
  </si>
  <si>
    <t xml:space="preserve">r77hvt5nvgfdk4q|CS2 · JJH vs NXS</t>
  </si>
  <si>
    <t xml:space="preserve">jottAAA</t>
  </si>
  <si>
    <t xml:space="preserve">rfuts2r0t85cd95|CS2 · SIN vs EF</t>
  </si>
  <si>
    <t xml:space="preserve">Kvem</t>
  </si>
  <si>
    <t xml:space="preserve">t2lttsuygcwlbxl|CS2 · SIN vs EF</t>
  </si>
  <si>
    <t xml:space="preserve">MisteM</t>
  </si>
  <si>
    <t xml:space="preserve">mp3vrg2adugpxjt|CS2 · SIN vs EF</t>
  </si>
  <si>
    <t xml:space="preserve">regali</t>
  </si>
  <si>
    <t xml:space="preserve">v15ff2btfwe796g|CS2 · SIN vs EF</t>
  </si>
  <si>
    <t xml:space="preserve">Soulfly</t>
  </si>
  <si>
    <t xml:space="preserve">agwfljw0nydsug9|CS2 · SIN vs EF</t>
  </si>
  <si>
    <t xml:space="preserve">beastik</t>
  </si>
  <si>
    <t xml:space="preserve">8aai8x2gzwv7n81|CS2 · SIN vs EF</t>
  </si>
  <si>
    <t xml:space="preserve">kisserek</t>
  </si>
  <si>
    <t xml:space="preserve">lsulnpetantoynq|CS2 · SIN vs EF</t>
  </si>
  <si>
    <t xml:space="preserve">MoDo</t>
  </si>
  <si>
    <t xml:space="preserve">1hopqlnjw3mlmoz|CS2 · SIN vs EF</t>
  </si>
  <si>
    <t xml:space="preserve">SHOCK</t>
  </si>
  <si>
    <t xml:space="preserve">ve4e5j5hk63t18f|CS2 · SIN vs EF</t>
  </si>
  <si>
    <t xml:space="preserve">stressarN</t>
  </si>
  <si>
    <t xml:space="preserve">y49315sm0j0j0bi|CS2 · SIN vs EF</t>
  </si>
  <si>
    <t xml:space="preserve">Akeman</t>
  </si>
  <si>
    <t xml:space="preserve">uuenaj2yjxssq46|VAL · KBG vs WOL</t>
  </si>
  <si>
    <t xml:space="preserve">sibeastw0w</t>
  </si>
  <si>
    <t xml:space="preserve">16vwmlbwgx0jdz4|VAL · KBG vs WOL</t>
  </si>
  <si>
    <t xml:space="preserve">Spring</t>
  </si>
  <si>
    <t xml:space="preserve">8kll5g3vinbfh59|VAL · KBG vs WOL</t>
  </si>
  <si>
    <t xml:space="preserve">yosemite</t>
  </si>
  <si>
    <t xml:space="preserve">444z6h74mh01o68|VAL · KBG vs WOL</t>
  </si>
  <si>
    <t xml:space="preserve">juicy</t>
  </si>
  <si>
    <t xml:space="preserve">mxrzw7oqrb9cwf7|VAL · NOVA vs AQ</t>
  </si>
  <si>
    <t xml:space="preserve">S1Mon</t>
  </si>
  <si>
    <t xml:space="preserve">vomvlrg1mawo6ao|VAL · NOVA vs AQ</t>
  </si>
  <si>
    <t xml:space="preserve">Youjun</t>
  </si>
  <si>
    <t xml:space="preserve">75w4sfsbpspu5te|VAL · NOVA vs AQ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</si>
  <si>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</si>
  <si>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</si>
  <si>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</si>
  <si>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</si>
  <si>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</si>
  <si>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</si>
  <si>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</si>
  <si>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</si>
  <si>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</si>
  <si>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</si>
  <si>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</si>
  <si>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</si>
  <si>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</si>
  <si>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</si>
  <si>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</si>
  <si>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</si>
  <si>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</si>
  <si>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</si>
  <si>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</si>
  <si>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</si>
  <si>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</si>
  <si>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</si>
  <si>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</si>
  <si>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</si>
  <si>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</si>
  <si>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</si>
  <si>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</si>
  <si>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</si>
  <si>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</si>
  <si>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</si>
  <si>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</si>
  <si>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</si>
  <si>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</si>
  <si>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</si>
  <si>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</si>
  <si>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</si>
  <si>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</si>
  <si>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</si>
  <si>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</si>
  <si>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</si>
  <si>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</si>
  <si>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</si>
  <si>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</si>
  <si>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</si>
  <si>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</si>
  <si>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</si>
  <si>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</si>
  <si>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</si>
  <si>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</si>
  <si>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</si>
  <si>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</si>
  <si>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</si>
  <si>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sr5c0xeb12zshv5</t>
  </si>
  <si>
    <t xml:space="preserve">1d7bsesjr3mn3m2</t>
  </si>
  <si>
    <t xml:space="preserve">d5pdwo5hc84he1g</t>
  </si>
  <si>
    <t xml:space="preserve">wmdnx0gqjw734wn</t>
  </si>
  <si>
    <t xml:space="preserve">5mlzxv2cg2u3emi</t>
  </si>
  <si>
    <t xml:space="preserve">w36zabyloy9xbbl</t>
  </si>
  <si>
    <t xml:space="preserve">3i7rtlh9c02jvmx</t>
  </si>
  <si>
    <t xml:space="preserve">vdo0jykqczuyswb</t>
  </si>
  <si>
    <t xml:space="preserve">42o4a4l388ybjjn</t>
  </si>
  <si>
    <t xml:space="preserve">fyrdqmky6zw6rl0</t>
  </si>
  <si>
    <t xml:space="preserve">8trkhn8eds1uu4p</t>
  </si>
  <si>
    <t xml:space="preserve">8aq8zm8lnarakek</t>
  </si>
  <si>
    <t xml:space="preserve">3m04868n6ftaamy</t>
  </si>
  <si>
    <t xml:space="preserve">cbsjkz3yqg99r06</t>
  </si>
  <si>
    <t xml:space="preserve">ji96h9ot97jiwq9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</si>
  <si>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</si>
  <si>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</si>
  <si>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</si>
  <si>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</si>
  <si>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</si>
  <si>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3ur3fyq90jlwliy</t>
  </si>
  <si>
    <t xml:space="preserve">lykfimmteia2jqy</t>
  </si>
  <si>
    <t xml:space="preserve">u9fufnbk30lfitd</t>
  </si>
  <si>
    <t xml:space="preserve">r77hvt5nvgfdk4q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</si>
  <si>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</si>
  <si>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</si>
  <si>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</si>
  <si>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</si>
  <si>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</si>
  <si>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8aai8x2gzwv7n81</t>
  </si>
  <si>
    <t xml:space="preserve">lsulnpetantoynq</t>
  </si>
  <si>
    <t xml:space="preserve">1hopqlnjw3mlmoz</t>
  </si>
  <si>
    <t xml:space="preserve">ve4e5j5hk63t18f</t>
  </si>
  <si>
    <t xml:space="preserve">y49315sm0j0j0bi</t>
  </si>
  <si>
    <t xml:space="preserve">uuenaj2yjxssq46</t>
  </si>
  <si>
    <t xml:space="preserve">16vwmlbwgx0jdz4</t>
  </si>
  <si>
    <t xml:space="preserve">8kll5g3vinbfh59</t>
  </si>
  <si>
    <t xml:space="preserve">444z6h74mh01o68</t>
  </si>
  <si>
    <t xml:space="preserve">mxrzw7oqrb9cwf7</t>
  </si>
  <si>
    <t xml:space="preserve">vomvlrg1mawo6ao</t>
  </si>
  <si>
    <t xml:space="preserve">75w4sfsbpspu5te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</si>
  <si>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</si>
  <si>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</si>
  <si>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</si>
  <si>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</si>
  <si>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</si>
  <si>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</si>
  <si>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</si>
  <si>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</si>
  <si>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</si>
  <si>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</si>
  <si>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</si>
  <si>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</si>
  <si>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</si>
  <si>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</si>
  <si>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Corrode</t>
  </si>
  <si>
    <t xml:space="preserve">DEFAULT_ROUNDS_VAL</t>
  </si>
  <si>
    <t xml:space="preserve">Same for Valorant.</t>
  </si>
  <si>
    <t xml:space="preserve">Fracture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</si>
  <si>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</si>
  <si>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</si>
  <si>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</si>
  <si>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</si>
  <si>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Icebox</t>
  </si>
  <si>
    <t xml:space="preserve">REF_ROUNDS_VAL</t>
  </si>
  <si>
    <t xml:space="preserve">Overpass</t>
  </si>
  <si>
    <t xml:space="preserve">THIN_SAMPLE_MAPS</t>
  </si>
  <si>
    <t xml:space="preserve">Flag a player whose PickFinder sample is below this many maps.</t>
  </si>
  <si>
    <t xml:space="preserve">Pearl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</si>
  <si>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</si>
  <si>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</si>
  <si>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</si>
  <si>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</si>
  <si>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</si>
  <si>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</si>
  <si>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</si>
  <si>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</si>
  <si>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2026-10-22</t>
  </si>
  <si>
    <t xml:space="preserve">BUILT_UTC</t>
  </si>
  <si>
    <t xml:space="preserve">2026-10-22 03:19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</si>
  <si>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</si>
  <si>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</si>
  <si>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</si>
  <si>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</si>
  <si>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</si>
  <si>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</si>
  <si>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</si>
  <si>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</si>
  <si>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</si>
  <si>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</si>
  <si>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</si>
  <si>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</si>
  <si>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</si>
  <si>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BCG vs FaZe</t>
  </si>
  <si>
    <t xml:space="preserve">OK</t>
  </si>
  <si>
    <t xml:space="preserve">https://www.pickfinder.app/players/cs2/sr5c0xeb12zshv5</t>
  </si>
  <si>
    <t xml:space="preserve">https://www.pickfinder.app/players/cs2/1d7bsesjr3mn3m2</t>
  </si>
  <si>
    <t xml:space="preserve">https://www.pickfinder.app/players/cs2/d5pdwo5hc84he1g</t>
  </si>
  <si>
    <t xml:space="preserve">https://www.pickfinder.app/players/cs2/wmdnx0gqjw734wn</t>
  </si>
  <si>
    <t xml:space="preserve">https://www.pickfinder.app/players/cs2/5mlzxv2cg2u3emi</t>
  </si>
  <si>
    <t xml:space="preserve">BIG vs MGLZ</t>
  </si>
  <si>
    <t xml:space="preserve">https://www.pickfinder.app/players/cs2/8trkhn8eds1uu4p</t>
  </si>
  <si>
    <t xml:space="preserve">https://www.pickfinder.app/players/cs2/8aq8zm8lnarakek</t>
  </si>
  <si>
    <t xml:space="preserve">https://www.pickfinder.app/players/cs2/3m04868n6ftaamy</t>
  </si>
  <si>
    <t xml:space="preserve">https://www.pickfinder.app/players/cs2/cbsjkz3yqg99r06</t>
  </si>
  <si>
    <t xml:space="preserve">https://www.pickfinder.app/players/cs2/ji96h9ot97jiwq9</t>
  </si>
  <si>
    <t xml:space="preserve">EF vs SIN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</si>
  <si>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</si>
  <si>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</si>
  <si>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</si>
  <si>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</si>
  <si>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</si>
  <si>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FaZe vs BCG</t>
  </si>
  <si>
    <t xml:space="preserve">https://www.pickfinder.app/players/cs2/w36zabyloy9xbbl</t>
  </si>
  <si>
    <t xml:space="preserve">https://www.pickfinder.app/players/cs2/3i7rtlh9c02jvmx</t>
  </si>
  <si>
    <t xml:space="preserve">https://www.pickfinder.app/players/cs2/vdo0jykqczuyswb</t>
  </si>
  <si>
    <t xml:space="preserve">https://www.pickfinder.app/players/cs2/42o4a4l388ybjjn</t>
  </si>
  <si>
    <t xml:space="preserve">https://www.pickfinder.app/players/cs2/fyrdqmky6zw6rl0</t>
  </si>
  <si>
    <t xml:space="preserve">JJH vs NXS</t>
  </si>
  <si>
    <t xml:space="preserve">https://www.pickfinder.app/players/cs2/3ur3fyq90jlwliy</t>
  </si>
  <si>
    <t xml:space="preserve">https://www.pickfinder.app/players/cs2/lykfimmteia2jqy</t>
  </si>
  <si>
    <t xml:space="preserve">https://www.pickfinder.app/players/cs2/u9fufnbk30lfitd</t>
  </si>
  <si>
    <t xml:space="preserve">https://www.pickfinder.app/players/cs2/r77hvt5nvgfdk4q</t>
  </si>
  <si>
    <t xml:space="preserve">MGLZ vs BIG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</si>
  <si>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</si>
  <si>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</si>
  <si>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</si>
  <si>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</si>
  <si>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</si>
  <si>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SIN vs EF</t>
  </si>
  <si>
    <t xml:space="preserve">https://www.pickfinder.app/players/cs2/8aai8x2gzwv7n81</t>
  </si>
  <si>
    <t xml:space="preserve">https://www.pickfinder.app/players/cs2/lsulnpetantoynq</t>
  </si>
  <si>
    <t xml:space="preserve">https://www.pickfinder.app/players/cs2/1hopqlnjw3mlmoz</t>
  </si>
  <si>
    <t xml:space="preserve">https://www.pickfinder.app/players/cs2/ve4e5j5hk63t18f</t>
  </si>
  <si>
    <t xml:space="preserve">https://www.pickfinder.app/players/cs2/y49315sm0j0j0bi</t>
  </si>
  <si>
    <t xml:space="preserve">AQ vs NOVA</t>
  </si>
  <si>
    <t xml:space="preserve">https://www.pickfinder.app/players/val/mxrzw7oqrb9cwf7</t>
  </si>
  <si>
    <t xml:space="preserve">https://www.pickfinder.app/players/val/vomvlrg1mawo6ao</t>
  </si>
  <si>
    <t xml:space="preserve">https://www.pickfinder.app/players/val/75w4sfsbpspu5te</t>
  </si>
  <si>
    <t xml:space="preserve">KBG vs WOL</t>
  </si>
  <si>
    <t xml:space="preserve">https://www.pickfinder.app/players/val/uuenaj2yjxssq46</t>
  </si>
  <si>
    <t xml:space="preserve">https://www.pickfinder.app/players/val/16vwmlbwgx0jdz4</t>
  </si>
  <si>
    <t xml:space="preserve">WOL vs KBG</t>
  </si>
  <si>
    <t xml:space="preserve">https://www.pickfinder.app/players/val/8kll5g3vinbfh59</t>
  </si>
  <si>
    <t xml:space="preserve">https://www.pickfinder.app/players/val/444z6h74mh01o68</t>
  </si>
  <si>
    <t xml:space="preserve">Maps (n)</t>
  </si>
  <si>
    <t xml:space="preserve">Kills/map</t>
  </si>
  <si>
    <t xml:space="preserve">KPR (PF)</t>
  </si>
  <si>
    <t xml:space="preserve">KPR used</t>
  </si>
  <si>
    <t xml:space="preserve">3ur3fyq90jlwliy|Mirage</t>
  </si>
  <si>
    <t xml:space="preserve">3ur3fyq90jlwliy|Anubis</t>
  </si>
  <si>
    <t xml:space="preserve">3ur3fyq90jlwliy|Cache</t>
  </si>
  <si>
    <t xml:space="preserve">3ur3fyq90jlwliy|Dust2</t>
  </si>
  <si>
    <t xml:space="preserve">3ur3fyq90jlwliy|Inferno</t>
  </si>
  <si>
    <t xml:space="preserve">3ur3fyq90jlwliy|Ancient</t>
  </si>
  <si>
    <t xml:space="preserve">5ttqna5u230tb49|Inferno</t>
  </si>
  <si>
    <t xml:space="preserve">5ttqna5u230tb49|Mirage</t>
  </si>
  <si>
    <t xml:space="preserve">5ttqna5u230tb49|Ancient</t>
  </si>
  <si>
    <t xml:space="preserve">5ttqna5u230tb49|Dust2</t>
  </si>
  <si>
    <t xml:space="preserve">5ttqna5u230tb49|Nuke</t>
  </si>
  <si>
    <t xml:space="preserve">5ttqna5u230tb49|Cache</t>
  </si>
  <si>
    <t xml:space="preserve">5ttqna5u230tb49|Overpass</t>
  </si>
  <si>
    <t xml:space="preserve">sr5c0xeb12zshv5|Cache</t>
  </si>
  <si>
    <t xml:space="preserve">sr5c0xeb12zshv5|Dust2</t>
  </si>
  <si>
    <t xml:space="preserve">sr5c0xeb12zshv5|Ancient</t>
  </si>
  <si>
    <t xml:space="preserve">sr5c0xeb12zshv5|Nuke</t>
  </si>
  <si>
    <t xml:space="preserve">sr5c0xeb12zshv5|Mirage</t>
  </si>
  <si>
    <t xml:space="preserve">sr5c0xeb12zshv5|Inferno</t>
  </si>
  <si>
    <t xml:space="preserve">8aai8x2gzwv7n81|Mirage</t>
  </si>
  <si>
    <t xml:space="preserve">8aai8x2gzwv7n81|Dust2</t>
  </si>
  <si>
    <t xml:space="preserve">8aai8x2gzwv7n81|Nuke</t>
  </si>
  <si>
    <t xml:space="preserve">8aai8x2gzwv7n81|Ancient</t>
  </si>
  <si>
    <t xml:space="preserve">8aai8x2gzwv7n81|Cache</t>
  </si>
  <si>
    <t xml:space="preserve">8aai8x2gzwv7n81|Inferno</t>
  </si>
  <si>
    <t xml:space="preserve">8trkhn8eds1uu4p|Cache</t>
  </si>
  <si>
    <t xml:space="preserve">8trkhn8eds1uu4p|Mirage</t>
  </si>
  <si>
    <t xml:space="preserve">8trkhn8eds1uu4p|Ancient</t>
  </si>
  <si>
    <t xml:space="preserve">8trkhn8eds1uu4p|Inferno</t>
  </si>
  <si>
    <t xml:space="preserve">8trkhn8eds1uu4p|Dust2</t>
  </si>
  <si>
    <t xml:space="preserve">8trkhn8eds1uu4p|Nuke</t>
  </si>
  <si>
    <t xml:space="preserve">56bqvguml6vhetk|Inferno</t>
  </si>
  <si>
    <t xml:space="preserve">56bqvguml6vhetk|Mirage</t>
  </si>
  <si>
    <t xml:space="preserve">56bqvguml6vhetk|Ancient</t>
  </si>
  <si>
    <t xml:space="preserve">56bqvguml6vhetk|Dust2</t>
  </si>
  <si>
    <t xml:space="preserve">56bqvguml6vhetk|Nuke</t>
  </si>
  <si>
    <t xml:space="preserve">56bqvguml6vhetk|Cache</t>
  </si>
  <si>
    <t xml:space="preserve">56bqvguml6vhetk|Overpass</t>
  </si>
  <si>
    <t xml:space="preserve">lykfimmteia2jqy|Mirage</t>
  </si>
  <si>
    <t xml:space="preserve">lykfimmteia2jqy|Anubis</t>
  </si>
  <si>
    <t xml:space="preserve">lykfimmteia2jqy|Cache</t>
  </si>
  <si>
    <t xml:space="preserve">lykfimmteia2jqy|Dust2</t>
  </si>
  <si>
    <t xml:space="preserve">lykfimmteia2jqy|Inferno</t>
  </si>
  <si>
    <t xml:space="preserve">lykfimmteia2jqy|Ancient</t>
  </si>
  <si>
    <t xml:space="preserve">01464eymprqfx0w|Mirage</t>
  </si>
  <si>
    <t xml:space="preserve">01464eymprqfx0w|Inferno</t>
  </si>
  <si>
    <t xml:space="preserve">01464eymprqfx0w|Ancient</t>
  </si>
  <si>
    <t xml:space="preserve">01464eymprqfx0w|Nuke</t>
  </si>
  <si>
    <t xml:space="preserve">01464eymprqfx0w|Dust2</t>
  </si>
  <si>
    <t xml:space="preserve">01464eymprqfx0w|Overpass</t>
  </si>
  <si>
    <t xml:space="preserve">01464eymprqfx0w|Cache</t>
  </si>
  <si>
    <t xml:space="preserve">8aq8zm8lnarakek|Cache</t>
  </si>
  <si>
    <t xml:space="preserve">8aq8zm8lnarakek|Mirage</t>
  </si>
  <si>
    <t xml:space="preserve">8aq8zm8lnarakek|Ancient</t>
  </si>
  <si>
    <t xml:space="preserve">8aq8zm8lnarakek|Inferno</t>
  </si>
  <si>
    <t xml:space="preserve">8aq8zm8lnarakek|Dust2</t>
  </si>
  <si>
    <t xml:space="preserve">8aq8zm8lnarakek|Nuke</t>
  </si>
  <si>
    <t xml:space="preserve">w36zabyloy9xbbl|Ancient</t>
  </si>
  <si>
    <t xml:space="preserve">w36zabyloy9xbbl|Nuke</t>
  </si>
  <si>
    <t xml:space="preserve">w36zabyloy9xbbl|Dust2</t>
  </si>
  <si>
    <t xml:space="preserve">w36zabyloy9xbbl|Mirage</t>
  </si>
  <si>
    <t xml:space="preserve">w36zabyloy9xbbl|Cache</t>
  </si>
  <si>
    <t xml:space="preserve">w36zabyloy9xbbl|Anubis</t>
  </si>
  <si>
    <t xml:space="preserve">3m04868n6ftaamy|Cache</t>
  </si>
  <si>
    <t xml:space="preserve">3m04868n6ftaamy|Mirage</t>
  </si>
  <si>
    <t xml:space="preserve">3m04868n6ftaamy|Ancient</t>
  </si>
  <si>
    <t xml:space="preserve">3m04868n6ftaamy|Inferno</t>
  </si>
  <si>
    <t xml:space="preserve">3m04868n6ftaamy|Dust2</t>
  </si>
  <si>
    <t xml:space="preserve">3m04868n6ftaamy|Nuke</t>
  </si>
  <si>
    <t xml:space="preserve">3i7rtlh9c02jvmx|Ancient</t>
  </si>
  <si>
    <t xml:space="preserve">3i7rtlh9c02jvmx|Nuke</t>
  </si>
  <si>
    <t xml:space="preserve">3i7rtlh9c02jvmx|Cache</t>
  </si>
  <si>
    <t xml:space="preserve">3i7rtlh9c02jvmx|Dust2</t>
  </si>
  <si>
    <t xml:space="preserve">3i7rtlh9c02jvmx|Mirage</t>
  </si>
  <si>
    <t xml:space="preserve">3i7rtlh9c02jvmx|Anubis</t>
  </si>
  <si>
    <t xml:space="preserve">vdo0jykqczuyswb|Ancient</t>
  </si>
  <si>
    <t xml:space="preserve">vdo0jykqczuyswb|Nuke</t>
  </si>
  <si>
    <t xml:space="preserve">vdo0jykqczuyswb|Mirage</t>
  </si>
  <si>
    <t xml:space="preserve">vdo0jykqczuyswb|Dust2</t>
  </si>
  <si>
    <t xml:space="preserve">vdo0jykqczuyswb|Cache</t>
  </si>
  <si>
    <t xml:space="preserve">vdo0jykqczuyswb|Anubis</t>
  </si>
  <si>
    <t xml:space="preserve">cbsjkz3yqg99r06|Cache</t>
  </si>
  <si>
    <t xml:space="preserve">cbsjkz3yqg99r06|Mirage</t>
  </si>
  <si>
    <t xml:space="preserve">cbsjkz3yqg99r06|Ancient</t>
  </si>
  <si>
    <t xml:space="preserve">cbsjkz3yqg99r06|Inferno</t>
  </si>
  <si>
    <t xml:space="preserve">cbsjkz3yqg99r06|Dust2</t>
  </si>
  <si>
    <t xml:space="preserve">cbsjkz3yqg99r06|Nuke</t>
  </si>
  <si>
    <t xml:space="preserve">rfuts2r0t85cd95|Dust2</t>
  </si>
  <si>
    <t xml:space="preserve">rfuts2r0t85cd95|Cache</t>
  </si>
  <si>
    <t xml:space="preserve">rfuts2r0t85cd95|Ancient</t>
  </si>
  <si>
    <t xml:space="preserve">rfuts2r0t85cd95|Mirage</t>
  </si>
  <si>
    <t xml:space="preserve">rfuts2r0t85cd95|Anubis</t>
  </si>
  <si>
    <t xml:space="preserve">rfuts2r0t85cd95|Inferno</t>
  </si>
  <si>
    <t xml:space="preserve">lsulnpetantoynq|Mirage</t>
  </si>
  <si>
    <t xml:space="preserve">lsulnpetantoynq|Dust2</t>
  </si>
  <si>
    <t xml:space="preserve">lsulnpetantoynq|Nuke</t>
  </si>
  <si>
    <t xml:space="preserve">lsulnpetantoynq|Ancient</t>
  </si>
  <si>
    <t xml:space="preserve">lsulnpetantoynq|Cache</t>
  </si>
  <si>
    <t xml:space="preserve">lsulnpetantoynq|Inferno</t>
  </si>
  <si>
    <t xml:space="preserve">t2lttsuygcwlbxl|Dust2</t>
  </si>
  <si>
    <t xml:space="preserve">t2lttsuygcwlbxl|Cache</t>
  </si>
  <si>
    <t xml:space="preserve">t2lttsuygcwlbxl|Ancient</t>
  </si>
  <si>
    <t xml:space="preserve">t2lttsuygcwlbxl|Mirage</t>
  </si>
  <si>
    <t xml:space="preserve">t2lttsuygcwlbxl|Anubis</t>
  </si>
  <si>
    <t xml:space="preserve">t2lttsuygcwlbxl|Inferno</t>
  </si>
  <si>
    <t xml:space="preserve">u9fufnbk30lfitd|Mirage</t>
  </si>
  <si>
    <t xml:space="preserve">u9fufnbk30lfitd|Anubis</t>
  </si>
  <si>
    <t xml:space="preserve">u9fufnbk30lfitd|Dust2</t>
  </si>
  <si>
    <t xml:space="preserve">u9fufnbk30lfitd|Cache</t>
  </si>
  <si>
    <t xml:space="preserve">u9fufnbk30lfitd|Inferno</t>
  </si>
  <si>
    <t xml:space="preserve">u9fufnbk30lfitd|Ancient</t>
  </si>
  <si>
    <t xml:space="preserve">1d7bsesjr3mn3m2|Cache</t>
  </si>
  <si>
    <t xml:space="preserve">1d7bsesjr3mn3m2|Dust2</t>
  </si>
  <si>
    <t xml:space="preserve">1d7bsesjr3mn3m2|Mirage</t>
  </si>
  <si>
    <t xml:space="preserve">1d7bsesjr3mn3m2|Nuke</t>
  </si>
  <si>
    <t xml:space="preserve">1d7bsesjr3mn3m2|Ancient</t>
  </si>
  <si>
    <t xml:space="preserve">1d7bsesjr3mn3m2|Inferno</t>
  </si>
  <si>
    <t xml:space="preserve">mp3vrg2adugpxjt|Dust2</t>
  </si>
  <si>
    <t xml:space="preserve">mp3vrg2adugpxjt|Cache</t>
  </si>
  <si>
    <t xml:space="preserve">mp3vrg2adugpxjt|Ancient</t>
  </si>
  <si>
    <t xml:space="preserve">mp3vrg2adugpxjt|Mirage</t>
  </si>
  <si>
    <t xml:space="preserve">mp3vrg2adugpxjt|Anubis</t>
  </si>
  <si>
    <t xml:space="preserve">mp3vrg2adugpxjt|Inferno</t>
  </si>
  <si>
    <t xml:space="preserve">1hopqlnjw3mlmoz|Mirage</t>
  </si>
  <si>
    <t xml:space="preserve">1hopqlnjw3mlmoz|Dust2</t>
  </si>
  <si>
    <t xml:space="preserve">1hopqlnjw3mlmoz|Nuke</t>
  </si>
  <si>
    <t xml:space="preserve">1hopqlnjw3mlmoz|Ancient</t>
  </si>
  <si>
    <t xml:space="preserve">1hopqlnjw3mlmoz|Cache</t>
  </si>
  <si>
    <t xml:space="preserve">1hopqlnjw3mlmoz|Inferno</t>
  </si>
  <si>
    <t xml:space="preserve">d5pdwo5hc84he1g|Cache</t>
  </si>
  <si>
    <t xml:space="preserve">d5pdwo5hc84he1g|Dust2</t>
  </si>
  <si>
    <t xml:space="preserve">d5pdwo5hc84he1g|Nuke</t>
  </si>
  <si>
    <t xml:space="preserve">d5pdwo5hc84he1g|Mirage</t>
  </si>
  <si>
    <t xml:space="preserve">d5pdwo5hc84he1g|Ancient</t>
  </si>
  <si>
    <t xml:space="preserve">d5pdwo5hc84he1g|Inferno</t>
  </si>
  <si>
    <t xml:space="preserve">42o4a4l388ybjjn|Ancient</t>
  </si>
  <si>
    <t xml:space="preserve">42o4a4l388ybjjn|Nuke</t>
  </si>
  <si>
    <t xml:space="preserve">42o4a4l388ybjjn|Dust2</t>
  </si>
  <si>
    <t xml:space="preserve">42o4a4l388ybjjn|Mirage</t>
  </si>
  <si>
    <t xml:space="preserve">42o4a4l388ybjjn|Cache</t>
  </si>
  <si>
    <t xml:space="preserve">42o4a4l388ybjjn|Anubis</t>
  </si>
  <si>
    <t xml:space="preserve">dobeml44vsvpy4d|Inferno</t>
  </si>
  <si>
    <t xml:space="preserve">dobeml44vsvpy4d|Dust2</t>
  </si>
  <si>
    <t xml:space="preserve">dobeml44vsvpy4d|Ancient</t>
  </si>
  <si>
    <t xml:space="preserve">dobeml44vsvpy4d|Mirage</t>
  </si>
  <si>
    <t xml:space="preserve">dobeml44vsvpy4d|Nuke</t>
  </si>
  <si>
    <t xml:space="preserve">dobeml44vsvpy4d|Cache</t>
  </si>
  <si>
    <t xml:space="preserve">v15ff2btfwe796g|Dust2</t>
  </si>
  <si>
    <t xml:space="preserve">v15ff2btfwe796g|Cache</t>
  </si>
  <si>
    <t xml:space="preserve">v15ff2btfwe796g|Ancient</t>
  </si>
  <si>
    <t xml:space="preserve">v15ff2btfwe796g|Mirage</t>
  </si>
  <si>
    <t xml:space="preserve">v15ff2btfwe796g|Anubis</t>
  </si>
  <si>
    <t xml:space="preserve">v15ff2btfwe796g|Inferno</t>
  </si>
  <si>
    <t xml:space="preserve">wmdnx0gqjw734wn|Cache</t>
  </si>
  <si>
    <t xml:space="preserve">wmdnx0gqjw734wn|Nuke</t>
  </si>
  <si>
    <t xml:space="preserve">wmdnx0gqjw734wn|Dust2</t>
  </si>
  <si>
    <t xml:space="preserve">wmdnx0gqjw734wn|Ancient</t>
  </si>
  <si>
    <t xml:space="preserve">wmdnx0gqjw734wn|Mirage</t>
  </si>
  <si>
    <t xml:space="preserve">wmdnx0gqjw734wn|Inferno</t>
  </si>
  <si>
    <t xml:space="preserve">5mlzxv2cg2u3emi|Cache</t>
  </si>
  <si>
    <t xml:space="preserve">5mlzxv2cg2u3emi|Dust2</t>
  </si>
  <si>
    <t xml:space="preserve">5mlzxv2cg2u3emi|Nuke</t>
  </si>
  <si>
    <t xml:space="preserve">5mlzxv2cg2u3emi|Mirage</t>
  </si>
  <si>
    <t xml:space="preserve">5mlzxv2cg2u3emi|Ancient</t>
  </si>
  <si>
    <t xml:space="preserve">5mlzxv2cg2u3emi|Inferno</t>
  </si>
  <si>
    <t xml:space="preserve">ve4e5j5hk63t18f|Mirage</t>
  </si>
  <si>
    <t xml:space="preserve">ve4e5j5hk63t18f|Dust2</t>
  </si>
  <si>
    <t xml:space="preserve">ve4e5j5hk63t18f|Nuke</t>
  </si>
  <si>
    <t xml:space="preserve">ve4e5j5hk63t18f|Ancient</t>
  </si>
  <si>
    <t xml:space="preserve">ve4e5j5hk63t18f|Cache</t>
  </si>
  <si>
    <t xml:space="preserve">ve4e5j5hk63t18f|Inferno</t>
  </si>
  <si>
    <t xml:space="preserve">r77hvt5nvgfdk4q|Mirage</t>
  </si>
  <si>
    <t xml:space="preserve">r77hvt5nvgfdk4q|Anubis</t>
  </si>
  <si>
    <t xml:space="preserve">r77hvt5nvgfdk4q|Dust2</t>
  </si>
  <si>
    <t xml:space="preserve">r77hvt5nvgfdk4q|Cache</t>
  </si>
  <si>
    <t xml:space="preserve">r77hvt5nvgfdk4q|Inferno</t>
  </si>
  <si>
    <t xml:space="preserve">r77hvt5nvgfdk4q|Ancient</t>
  </si>
  <si>
    <t xml:space="preserve">agwfljw0nydsug9|Dust2</t>
  </si>
  <si>
    <t xml:space="preserve">agwfljw0nydsug9|Cache</t>
  </si>
  <si>
    <t xml:space="preserve">agwfljw0nydsug9|Ancient</t>
  </si>
  <si>
    <t xml:space="preserve">agwfljw0nydsug9|Mirage</t>
  </si>
  <si>
    <t xml:space="preserve">agwfljw0nydsug9|Anubis</t>
  </si>
  <si>
    <t xml:space="preserve">agwfljw0nydsug9|Inferno</t>
  </si>
  <si>
    <t xml:space="preserve">y49315sm0j0j0bi|Mirage</t>
  </si>
  <si>
    <t xml:space="preserve">y49315sm0j0j0bi|Dust2</t>
  </si>
  <si>
    <t xml:space="preserve">y49315sm0j0j0bi|Nuke</t>
  </si>
  <si>
    <t xml:space="preserve">y49315sm0j0j0bi|Ancient</t>
  </si>
  <si>
    <t xml:space="preserve">y49315sm0j0j0bi|Cache</t>
  </si>
  <si>
    <t xml:space="preserve">y49315sm0j0j0bi|Inferno</t>
  </si>
  <si>
    <t xml:space="preserve">ji96h9ot97jiwq9|Cache</t>
  </si>
  <si>
    <t xml:space="preserve">ji96h9ot97jiwq9|Mirage</t>
  </si>
  <si>
    <t xml:space="preserve">ji96h9ot97jiwq9|Ancient</t>
  </si>
  <si>
    <t xml:space="preserve">ji96h9ot97jiwq9|Inferno</t>
  </si>
  <si>
    <t xml:space="preserve">ji96h9ot97jiwq9|Dust2</t>
  </si>
  <si>
    <t xml:space="preserve">ji96h9ot97jiwq9|Nuke</t>
  </si>
  <si>
    <t xml:space="preserve">f34szm5kcyom32u|Inferno</t>
  </si>
  <si>
    <t xml:space="preserve">f34szm5kcyom32u|Mirage</t>
  </si>
  <si>
    <t xml:space="preserve">f34szm5kcyom32u|Dust2</t>
  </si>
  <si>
    <t xml:space="preserve">f34szm5kcyom32u|Ancient</t>
  </si>
  <si>
    <t xml:space="preserve">f34szm5kcyom32u|Nuke</t>
  </si>
  <si>
    <t xml:space="preserve">f34szm5kcyom32u|Overpass</t>
  </si>
  <si>
    <t xml:space="preserve">f34szm5kcyom32u|Cache</t>
  </si>
  <si>
    <t xml:space="preserve">fyrdqmky6zw6rl0|Ancient</t>
  </si>
  <si>
    <t xml:space="preserve">fyrdqmky6zw6rl0|Nuke</t>
  </si>
  <si>
    <t xml:space="preserve">fyrdqmky6zw6rl0|Mirage</t>
  </si>
  <si>
    <t xml:space="preserve">fyrdqmky6zw6rl0|Cache</t>
  </si>
  <si>
    <t xml:space="preserve">fyrdqmky6zw6rl0|Dust2</t>
  </si>
  <si>
    <t xml:space="preserve">fyrdqmky6zw6rl0|Anubis</t>
  </si>
  <si>
    <t xml:space="preserve">uuenaj2yjxssq46|Lotus</t>
  </si>
  <si>
    <t xml:space="preserve">uuenaj2yjxssq46|Sunset</t>
  </si>
  <si>
    <t xml:space="preserve">uuenaj2yjxssq46|Abyss</t>
  </si>
  <si>
    <t xml:space="preserve">mxrzw7oqrb9cwf7|Ascent</t>
  </si>
  <si>
    <t xml:space="preserve">mxrzw7oqrb9cwf7|Icebox</t>
  </si>
  <si>
    <t xml:space="preserve">mxrzw7oqrb9cwf7|Lotus</t>
  </si>
  <si>
    <t xml:space="preserve">mxrzw7oqrb9cwf7|Bind</t>
  </si>
  <si>
    <t xml:space="preserve">mxrzw7oqrb9cwf7|Haven</t>
  </si>
  <si>
    <t xml:space="preserve">mxrzw7oqrb9cwf7|Split</t>
  </si>
  <si>
    <t xml:space="preserve">mxrzw7oqrb9cwf7|Pearl</t>
  </si>
  <si>
    <t xml:space="preserve">mxrzw7oqrb9cwf7|Abyss</t>
  </si>
  <si>
    <t xml:space="preserve">mxrzw7oqrb9cwf7|Sunset</t>
  </si>
  <si>
    <t xml:space="preserve">vomvlrg1mawo6ao|Bind</t>
  </si>
  <si>
    <t xml:space="preserve">vomvlrg1mawo6ao|Lotus</t>
  </si>
  <si>
    <t xml:space="preserve">vomvlrg1mawo6ao|Sunset</t>
  </si>
  <si>
    <t xml:space="preserve">vomvlrg1mawo6ao|Split</t>
  </si>
  <si>
    <t xml:space="preserve">vomvlrg1mawo6ao|Pearl</t>
  </si>
  <si>
    <t xml:space="preserve">vomvlrg1mawo6ao|Haven</t>
  </si>
  <si>
    <t xml:space="preserve">vomvlrg1mawo6ao|Ascent</t>
  </si>
  <si>
    <t xml:space="preserve">vomvlrg1mawo6ao|Icebox</t>
  </si>
  <si>
    <t xml:space="preserve">vomvlrg1mawo6ao|Abyss</t>
  </si>
  <si>
    <t xml:space="preserve">vomvlrg1mawo6ao|Fracture</t>
  </si>
  <si>
    <t xml:space="preserve">16vwmlbwgx0jdz4|Sunset</t>
  </si>
  <si>
    <t xml:space="preserve">16vwmlbwgx0jdz4|Split</t>
  </si>
  <si>
    <t xml:space="preserve">16vwmlbwgx0jdz4|Haven</t>
  </si>
  <si>
    <t xml:space="preserve">16vwmlbwgx0jdz4|Pearl</t>
  </si>
  <si>
    <t xml:space="preserve">16vwmlbwgx0jdz4|Bind</t>
  </si>
  <si>
    <t xml:space="preserve">16vwmlbwgx0jdz4|Ascent</t>
  </si>
  <si>
    <t xml:space="preserve">16vwmlbwgx0jdz4|Corrode</t>
  </si>
  <si>
    <t xml:space="preserve">16vwmlbwgx0jdz4|Abyss</t>
  </si>
  <si>
    <t xml:space="preserve">16vwmlbwgx0jdz4|Icebox</t>
  </si>
  <si>
    <t xml:space="preserve">8kll5g3vinbfh59|Lotus</t>
  </si>
  <si>
    <t xml:space="preserve">8kll5g3vinbfh59|Split</t>
  </si>
  <si>
    <t xml:space="preserve">8kll5g3vinbfh59|Ascent</t>
  </si>
  <si>
    <t xml:space="preserve">8kll5g3vinbfh59|Icebox</t>
  </si>
  <si>
    <t xml:space="preserve">8kll5g3vinbfh59|Pearl</t>
  </si>
  <si>
    <t xml:space="preserve">8kll5g3vinbfh59|Sunset</t>
  </si>
  <si>
    <t xml:space="preserve">444z6h74mh01o68|Lotus</t>
  </si>
  <si>
    <t xml:space="preserve">444z6h74mh01o68|Icebox</t>
  </si>
  <si>
    <t xml:space="preserve">444z6h74mh01o68|Bind</t>
  </si>
  <si>
    <t xml:space="preserve">75w4sfsbpspu5te|Ascent</t>
  </si>
  <si>
    <t xml:space="preserve">75w4sfsbpspu5te|Lotus</t>
  </si>
  <si>
    <t xml:space="preserve">75w4sfsbpspu5te|Icebox</t>
  </si>
  <si>
    <t xml:space="preserve">75w4sfsbpspu5te|Bind</t>
  </si>
  <si>
    <t xml:space="preserve">75w4sfsbpspu5te|Sunset</t>
  </si>
  <si>
    <t xml:space="preserve">75w4sfsbpspu5te|Split</t>
  </si>
  <si>
    <t xml:space="preserve">75w4sfsbpspu5te|Haven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</si>
  <si>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</si>
  <si>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</si>
  <si>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</si>
  <si>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</si>
  <si>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</si>
  <si>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</si>
  <si>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</si>
  <si>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jboen</t>
  </si>
  <si>
    <t xml:space="preserve">jcobbb</t>
  </si>
  <si>
    <t xml:space="preserve">magisk</t>
  </si>
  <si>
    <t xml:space="preserve">neityu</t>
  </si>
  <si>
    <t xml:space="preserve">twistzz</t>
  </si>
  <si>
    <t xml:space="preserve">jottaaa</t>
  </si>
  <si>
    <t xml:space="preserve">kvem</t>
  </si>
  <si>
    <t xml:space="preserve">mistem</t>
  </si>
  <si>
    <t xml:space="preserve">modo</t>
  </si>
  <si>
    <t xml:space="preserve">shock</t>
  </si>
  <si>
    <t xml:space="preserve">soulfly</t>
  </si>
  <si>
    <t xml:space="preserve">stressarn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</si>
  <si>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</si>
  <si>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</si>
  <si>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</si>
  <si>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</si>
  <si>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</si>
  <si>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</si>
  <si>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</si>
  <si>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</si>
  <si>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</si>
  <si>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</si>
  <si>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</si>
  <si>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</si>
  <si>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</si>
  <si>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</si>
  <si>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</si>
  <si>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</si>
  <si>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BIG vs MGLZ|A</t>
  </si>
  <si>
    <t xml:space="preserve">A</t>
  </si>
  <si>
    <t xml:space="preserve">CS2 · BIG vs MGLZ|B</t>
  </si>
  <si>
    <t xml:space="preserve">B</t>
  </si>
  <si>
    <t xml:space="preserve">The MongolZ</t>
  </si>
  <si>
    <t xml:space="preserve">CS2 · BCG vs FaZe|A</t>
  </si>
  <si>
    <t xml:space="preserve">BC.Game</t>
  </si>
  <si>
    <t xml:space="preserve">CS2 · BCG vs FaZe|B</t>
  </si>
  <si>
    <t xml:space="preserve">CS2 · JJH vs NXS|A</t>
  </si>
  <si>
    <t xml:space="preserve">JiJieHao</t>
  </si>
  <si>
    <t xml:space="preserve">CS2 · JJH vs NXS|B</t>
  </si>
  <si>
    <t xml:space="preserve">Nexus</t>
  </si>
  <si>
    <t xml:space="preserve">CS2 · SIN vs EF|A</t>
  </si>
  <si>
    <t xml:space="preserve">SINNERS</t>
  </si>
  <si>
    <t xml:space="preserve">CS2 · SIN vs EF|B</t>
  </si>
  <si>
    <t xml:space="preserve">Eternal Fire</t>
  </si>
  <si>
    <t xml:space="preserve">Key (match|side|map|stat)</t>
  </si>
  <si>
    <t xml:space="preserve">CS2 · BIG vs MGLZ|A|ALL|lw</t>
  </si>
  <si>
    <t xml:space="preserve">CS2 · BIG vs MGLZ|A|ALL|wl</t>
  </si>
  <si>
    <t xml:space="preserve">CS2 · BIG vs MGLZ|A|Cache|lw</t>
  </si>
  <si>
    <t xml:space="preserve">CS2 · BIG vs MGLZ|A|Cache|wl</t>
  </si>
  <si>
    <t xml:space="preserve">CS2 · BIG vs MGLZ|A|Dust2|lw</t>
  </si>
  <si>
    <t xml:space="preserve">CS2 · BIG vs MGLZ|A|Dust2|wl</t>
  </si>
  <si>
    <t xml:space="preserve">CS2 · BIG vs MGLZ|A|Mirage|lw</t>
  </si>
  <si>
    <t xml:space="preserve">CS2 · BIG vs MGLZ|A|Mirage|wl</t>
  </si>
  <si>
    <t xml:space="preserve">CS2 · BIG vs MGLZ|A|Inferno|lw</t>
  </si>
  <si>
    <t xml:space="preserve">CS2 · BIG vs MGLZ|A|Inferno|wl</t>
  </si>
  <si>
    <t xml:space="preserve">CS2 · BIG vs MGLZ|A|Nuke|lw</t>
  </si>
  <si>
    <t xml:space="preserve">CS2 · BIG vs MGLZ|A|Nuke|wl</t>
  </si>
  <si>
    <t xml:space="preserve">CS2 · BIG vs MGLZ|A|Ancient|lw</t>
  </si>
  <si>
    <t xml:space="preserve">CS2 · BIG vs MGLZ|A|Ancient|wl</t>
  </si>
  <si>
    <t xml:space="preserve">CS2 · BIG vs MGLZ|B|ALL|lw</t>
  </si>
  <si>
    <t xml:space="preserve">CS2 · BIG vs MGLZ|B|ALL|wl</t>
  </si>
  <si>
    <t xml:space="preserve">CS2 · BIG vs MGLZ|B|Cache|lw</t>
  </si>
  <si>
    <t xml:space="preserve">CS2 · BIG vs MGLZ|B|Cache|wl</t>
  </si>
  <si>
    <t xml:space="preserve">CS2 · BIG vs MGLZ|B|Dust2|lw</t>
  </si>
  <si>
    <t xml:space="preserve">CS2 · BIG vs MGLZ|B|Dust2|wl</t>
  </si>
  <si>
    <t xml:space="preserve">CS2 · BIG vs MGLZ|B|Mirage|lw</t>
  </si>
  <si>
    <t xml:space="preserve">CS2 · BIG vs MGLZ|B|Mirage|wl</t>
  </si>
  <si>
    <t xml:space="preserve">CS2 · BIG vs MGLZ|B|Inferno|lw</t>
  </si>
  <si>
    <t xml:space="preserve">CS2 · BIG vs MGLZ|B|Inferno|wl</t>
  </si>
  <si>
    <t xml:space="preserve">CS2 · BIG vs MGLZ|B|Nuke|lw</t>
  </si>
  <si>
    <t xml:space="preserve">CS2 · BIG vs MGLZ|B|Nuke|wl</t>
  </si>
  <si>
    <t xml:space="preserve">CS2 · BIG vs MGLZ|B|Ancient|lw</t>
  </si>
  <si>
    <t xml:space="preserve">CS2 · BIG vs MGLZ|B|Ancient|wl</t>
  </si>
  <si>
    <t xml:space="preserve">CS2 · BCG vs FaZe|A|ALL|lw</t>
  </si>
  <si>
    <t xml:space="preserve">CS2 · BCG vs FaZe|A|ALL|wl</t>
  </si>
  <si>
    <t xml:space="preserve">CS2 · BCG vs FaZe|A|Cache|lw</t>
  </si>
  <si>
    <t xml:space="preserve">CS2 · BCG vs FaZe|A|Cache|wl</t>
  </si>
  <si>
    <t xml:space="preserve">CS2 · BCG vs FaZe|A|Dust2|lw</t>
  </si>
  <si>
    <t xml:space="preserve">CS2 · BCG vs FaZe|A|Mirage|lw</t>
  </si>
  <si>
    <t xml:space="preserve">CS2 · BCG vs FaZe|A|Mirage|wl</t>
  </si>
  <si>
    <t xml:space="preserve">CS2 · BCG vs FaZe|A|Inferno|lw</t>
  </si>
  <si>
    <t xml:space="preserve">CS2 · BCG vs FaZe|A|Inferno|wl</t>
  </si>
  <si>
    <t xml:space="preserve">CS2 · BCG vs FaZe|A|Nuke|lw</t>
  </si>
  <si>
    <t xml:space="preserve">CS2 · BCG vs FaZe|A|Nuke|wl</t>
  </si>
  <si>
    <t xml:space="preserve">CS2 · BCG vs FaZe|A|Ancient|lw</t>
  </si>
  <si>
    <t xml:space="preserve">CS2 · BCG vs FaZe|A|Ancient|wl</t>
  </si>
  <si>
    <t xml:space="preserve">CS2 · BCG vs FaZe|A|Anubis|wl</t>
  </si>
  <si>
    <t xml:space="preserve">CS2 · BCG vs FaZe|B|ALL|lw</t>
  </si>
  <si>
    <t xml:space="preserve">CS2 · BCG vs FaZe|B|ALL|wl</t>
  </si>
  <si>
    <t xml:space="preserve">CS2 · BCG vs FaZe|B|Cache|lw</t>
  </si>
  <si>
    <t xml:space="preserve">CS2 · BCG vs FaZe|B|Cache|wl</t>
  </si>
  <si>
    <t xml:space="preserve">CS2 · BCG vs FaZe|B|Dust2|lw</t>
  </si>
  <si>
    <t xml:space="preserve">CS2 · BCG vs FaZe|B|Dust2|wl</t>
  </si>
  <si>
    <t xml:space="preserve">CS2 · BCG vs FaZe|B|Mirage|lw</t>
  </si>
  <si>
    <t xml:space="preserve">CS2 · BCG vs FaZe|B|Mirage|wl</t>
  </si>
  <si>
    <t xml:space="preserve">CS2 · BCG vs FaZe|B|Nuke|lw</t>
  </si>
  <si>
    <t xml:space="preserve">CS2 · BCG vs FaZe|B|Nuke|wl</t>
  </si>
  <si>
    <t xml:space="preserve">CS2 · BCG vs FaZe|B|Ancient|lw</t>
  </si>
  <si>
    <t xml:space="preserve">CS2 · BCG vs FaZe|B|Ancient|wl</t>
  </si>
  <si>
    <t xml:space="preserve">CS2 · BCG vs FaZe|B|Anubis|lw</t>
  </si>
  <si>
    <t xml:space="preserve">CS2 · BCG vs FaZe|B|Anubis|wl</t>
  </si>
  <si>
    <t xml:space="preserve">CS2 · JJH vs NXS|A|ALL|lw</t>
  </si>
  <si>
    <t xml:space="preserve">CS2 · JJH vs NXS|A|ALL|wl</t>
  </si>
  <si>
    <t xml:space="preserve">CS2 · JJH vs NXS|A|Cache|lw</t>
  </si>
  <si>
    <t xml:space="preserve">CS2 · JJH vs NXS|A|Cache|wl</t>
  </si>
  <si>
    <t xml:space="preserve">CS2 · JJH vs NXS|A|Dust2|lw</t>
  </si>
  <si>
    <t xml:space="preserve">CS2 · JJH vs NXS|A|Dust2|wl</t>
  </si>
  <si>
    <t xml:space="preserve">CS2 · JJH vs NXS|A|Mirage|lw</t>
  </si>
  <si>
    <t xml:space="preserve">CS2 · JJH vs NXS|A|Mirage|wl</t>
  </si>
  <si>
    <t xml:space="preserve">CS2 · JJH vs NXS|A|Inferno|lw</t>
  </si>
  <si>
    <t xml:space="preserve">CS2 · JJH vs NXS|A|Inferno|wl</t>
  </si>
  <si>
    <t xml:space="preserve">CS2 · JJH vs NXS|A|Ancient|lw</t>
  </si>
  <si>
    <t xml:space="preserve">CS2 · JJH vs NXS|A|Ancient|wl</t>
  </si>
  <si>
    <t xml:space="preserve">CS2 · JJH vs NXS|A|Anubis|lw</t>
  </si>
  <si>
    <t xml:space="preserve">CS2 · JJH vs NXS|A|Anubis|wl</t>
  </si>
  <si>
    <t xml:space="preserve">CS2 · JJH vs NXS|B|ALL|lw</t>
  </si>
  <si>
    <t xml:space="preserve">CS2 · JJH vs NXS|B|ALL|wl</t>
  </si>
  <si>
    <t xml:space="preserve">CS2 · JJH vs NXS|B|Cache|lw</t>
  </si>
  <si>
    <t xml:space="preserve">CS2 · JJH vs NXS|B|Cache|wl</t>
  </si>
  <si>
    <t xml:space="preserve">CS2 · JJH vs NXS|B|Dust2|lw</t>
  </si>
  <si>
    <t xml:space="preserve">CS2 · JJH vs NXS|B|Dust2|wl</t>
  </si>
  <si>
    <t xml:space="preserve">CS2 · JJH vs NXS|B|Mirage|lw</t>
  </si>
  <si>
    <t xml:space="preserve">CS2 · JJH vs NXS|B|Mirage|wl</t>
  </si>
  <si>
    <t xml:space="preserve">CS2 · JJH vs NXS|B|Inferno|lw</t>
  </si>
  <si>
    <t xml:space="preserve">CS2 · JJH vs NXS|B|Inferno|wl</t>
  </si>
  <si>
    <t xml:space="preserve">CS2 · JJH vs NXS|B|Nuke|wl</t>
  </si>
  <si>
    <t xml:space="preserve">CS2 · JJH vs NXS|B|Ancient|lw</t>
  </si>
  <si>
    <t xml:space="preserve">CS2 · JJH vs NXS|B|Ancient|wl</t>
  </si>
  <si>
    <t xml:space="preserve">CS2 · JJH vs NXS|B|Anubis|lw</t>
  </si>
  <si>
    <t xml:space="preserve">CS2 · JJH vs NXS|B|Anubis|wl</t>
  </si>
  <si>
    <t xml:space="preserve">CS2 · SIN vs EF|A|ALL|lw</t>
  </si>
  <si>
    <t xml:space="preserve">CS2 · SIN vs EF|A|ALL|wl</t>
  </si>
  <si>
    <t xml:space="preserve">CS2 · SIN vs EF|A|Cache|lw</t>
  </si>
  <si>
    <t xml:space="preserve">CS2 · SIN vs EF|A|Cache|wl</t>
  </si>
  <si>
    <t xml:space="preserve">CS2 · SIN vs EF|A|Dust2|lw</t>
  </si>
  <si>
    <t xml:space="preserve">CS2 · SIN vs EF|A|Dust2|wl</t>
  </si>
  <si>
    <t xml:space="preserve">CS2 · SIN vs EF|A|Mirage|lw</t>
  </si>
  <si>
    <t xml:space="preserve">CS2 · SIN vs EF|A|Mirage|wl</t>
  </si>
  <si>
    <t xml:space="preserve">CS2 · SIN vs EF|A|Inferno|lw</t>
  </si>
  <si>
    <t xml:space="preserve">CS2 · SIN vs EF|A|Inferno|wl</t>
  </si>
  <si>
    <t xml:space="preserve">CS2 · SIN vs EF|A|Nuke|lw</t>
  </si>
  <si>
    <t xml:space="preserve">CS2 · SIN vs EF|A|Nuke|wl</t>
  </si>
  <si>
    <t xml:space="preserve">CS2 · SIN vs EF|A|Ancient|lw</t>
  </si>
  <si>
    <t xml:space="preserve">CS2 · SIN vs EF|A|Ancient|wl</t>
  </si>
  <si>
    <t xml:space="preserve">CS2 · SIN vs EF|B|ALL|lw</t>
  </si>
  <si>
    <t xml:space="preserve">CS2 · SIN vs EF|B|ALL|wl</t>
  </si>
  <si>
    <t xml:space="preserve">CS2 · SIN vs EF|B|Cache|lw</t>
  </si>
  <si>
    <t xml:space="preserve">CS2 · SIN vs EF|B|Cache|wl</t>
  </si>
  <si>
    <t xml:space="preserve">CS2 · SIN vs EF|B|Dust2|lw</t>
  </si>
  <si>
    <t xml:space="preserve">CS2 · SIN vs EF|B|Dust2|wl</t>
  </si>
  <si>
    <t xml:space="preserve">CS2 · SIN vs EF|B|Mirage|lw</t>
  </si>
  <si>
    <t xml:space="preserve">CS2 · SIN vs EF|B|Mirage|wl</t>
  </si>
  <si>
    <t xml:space="preserve">CS2 · SIN vs EF|B|Inferno|lw</t>
  </si>
  <si>
    <t xml:space="preserve">CS2 · SIN vs EF|B|Inferno|wl</t>
  </si>
  <si>
    <t xml:space="preserve">CS2 · SIN vs EF|B|Ancient|lw</t>
  </si>
  <si>
    <t xml:space="preserve">CS2 · SIN vs EF|B|Ancient|wl</t>
  </si>
  <si>
    <t xml:space="preserve">CS2 · SIN vs EF|B|Anubis|lw</t>
  </si>
  <si>
    <t xml:space="preserve">CS2 · SIN vs EF|B|Anubis|wl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</si>
  <si>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</si>
  <si>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</si>
  <si>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</si>
  <si>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</si>
  <si>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</si>
  <si>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</si>
  <si>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</si>
  <si>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</si>
  <si>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</si>
  <si>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Mirage / Cache</t>
  </si>
  <si>
    <t xml:space="preserve">21.3 / 21.2</t>
  </si>
  <si>
    <t xml:space="preserve">Inferno / Cache</t>
  </si>
  <si>
    <t xml:space="preserve">21.5 / 21.5</t>
  </si>
  <si>
    <t xml:space="preserve">Anubis / Dust2</t>
  </si>
  <si>
    <t xml:space="preserve">21.0 / 21.0</t>
  </si>
  <si>
    <t xml:space="preserve">Dust2 / Ancient</t>
  </si>
  <si>
    <t xml:space="preserve">21.3 / 21.3</t>
  </si>
  <si>
    <t xml:space="preserve">Split / Sunset</t>
  </si>
  <si>
    <t xml:space="preserve">Lotus / Ascent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</si>
  <si>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</si>
  <si>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</si>
  <si>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</si>
  <si>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</si>
  <si>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41 / 41 pass</t>
  </si>
  <si>
    <t xml:space="preserve">Board players with NO stats page read</t>
  </si>
  <si>
    <t xml:space="preserve">Matches resolved to Thunderpick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</si>
  <si>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</si>
  <si>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</si>
  <si>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</si>
  <si>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</si>
  <si>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</si>
  <si>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</si>
  <si>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</si>
  <si>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</si>
  <si>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</si>
  <si>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</si>
  <si>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</si>
  <si>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</si>
  <si>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MAP PICKS FALLBACK CS2 · JJH vs NXS -&gt; Anubis, Dust2, Mirage</t>
  </si>
  <si>
    <t xml:space="preserve">MAP PICKS FALLBACK VAL · NOVA vs AQ -&gt; Lotus, Ascent, Bind</t>
  </si>
  <si>
    <t xml:space="preserve">MAP PICKS FALLBACK VAL · KBG vs WOL -&gt; Split, Sunset, Lotus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</si>
</sst>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DAECE3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9E1E4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B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48</v>
      </c>
    </row>
    <row r="11" customFormat="false" ht="105" hidden="false" customHeight="true" outlineLevel="0" collapsed="false">
      <c r="A11" s="3" t="s">
        <v>49</v>
      </c>
      <c r="B11" s="4" t="s">
        <v>50</v>
      </c>
      <c r="C11" s="4" t="s">
        <v>51</v>
      </c>
    </row>
    <row r="12" customFormat="false" ht="75" hidden="false" customHeight="true" outlineLevel="0" collapsed="false">
      <c r="A12" s="3" t="s">
        <v>52</v>
      </c>
      <c r="B12" s="4" t="s">
        <v>53</v>
      </c>
      <c r="C12" s="4" t="s">
        <v>54</v>
      </c>
    </row>
    <row r="13" customFormat="false" ht="120" hidden="false" customHeight="true" outlineLevel="0" collapsed="false">
      <c r="A13" s="3" t="s">
        <v>55</v>
      </c>
      <c r="B13" s="4" t="s">
        <v>56</v>
      </c>
      <c r="C13" s="4" t="s">
        <v>57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7" t="s">
        <v>60</v>
      </c>
      <c r="D14" s="7" t="s">
        <v>61</v>
      </c>
      <c r="E14" s="7" t="s">
        <v>62</v>
      </c>
      <c r="F14" s="7"/>
      <c r="G14" s="7"/>
      <c r="H14" s="7"/>
      <c r="I14" s="7" t="s">
        <v>63</v>
      </c>
      <c r="J14" s="7" t="s">
        <v>64</v>
      </c>
      <c r="K14" s="7" t="s">
        <v>65</v>
      </c>
      <c r="L14" s="7"/>
      <c r="M14" s="7"/>
      <c r="N14" s="7"/>
      <c r="O14" s="7" t="s">
        <v>66</v>
      </c>
      <c r="P14" s="7" t="s">
        <v>67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n">
        <v>3</v>
      </c>
      <c r="D15" s="0" t="s">
        <v>70</v>
      </c>
      <c r="E15" s="0" t="s">
        <v>70</v>
      </c>
      <c r="I15" s="0" t="n">
        <v>2</v>
      </c>
      <c r="J15" s="0" t="s">
        <v>71</v>
      </c>
      <c r="K15" s="0" t="s">
        <v>72</v>
      </c>
      <c r="O15" s="0" t="s">
        <v>73</v>
      </c>
      <c r="P15" s="0" t="s">
        <v>74</v>
      </c>
    </row>
    <row r="16" customFormat="false" ht="15" hidden="false" customHeight="false" outlineLevel="0" collapsed="false">
      <c r="A16" s="0" t="s">
        <v>75</v>
      </c>
      <c r="B16" s="0" t="s">
        <v>76</v>
      </c>
      <c r="C16" s="0" t="n">
        <v>4</v>
      </c>
      <c r="D16" s="0" t="s">
        <v>77</v>
      </c>
      <c r="E16" s="0" t="s">
        <v>78</v>
      </c>
      <c r="I16" s="0" t="n">
        <v>2</v>
      </c>
      <c r="J16" s="0" t="s">
        <v>79</v>
      </c>
      <c r="K16" s="0" t="s">
        <v>71</v>
      </c>
      <c r="O16" s="0" t="s">
        <v>80</v>
      </c>
      <c r="P16" s="0" t="s">
        <v>74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0</v>
      </c>
      <c r="I17" s="0" t="n">
        <v>3</v>
      </c>
      <c r="J17" s="0" t="s">
        <v>83</v>
      </c>
      <c r="K17" s="0" t="s">
        <v>84</v>
      </c>
      <c r="O17" s="0" t="s">
        <v>85</v>
      </c>
      <c r="P17" s="0" t="s">
        <v>74</v>
      </c>
    </row>
    <row r="18" customFormat="false" ht="15" hidden="false" customHeight="false" outlineLevel="0" collapsed="false">
      <c r="A18" s="0" t="s">
        <v>86</v>
      </c>
      <c r="C18" s="0" t="n">
        <v>1</v>
      </c>
      <c r="D18" s="0" t="s">
        <v>87</v>
      </c>
      <c r="E18" s="0" t="s">
        <v>88</v>
      </c>
      <c r="I18" s="0" t="n">
        <v>0</v>
      </c>
      <c r="O18" s="0" t="s">
        <v>89</v>
      </c>
      <c r="P18" s="0" t="s">
        <v>90</v>
      </c>
    </row>
    <row r="19" customFormat="false" ht="15" hidden="false" customHeight="false" outlineLevel="0" collapsed="false">
      <c r="A19" s="0" t="s">
        <v>91</v>
      </c>
      <c r="C19" s="0" t="n">
        <v>4</v>
      </c>
      <c r="D19" s="0" t="s">
        <v>92</v>
      </c>
      <c r="E19" s="0" t="s">
        <v>93</v>
      </c>
      <c r="I19" s="0" t="n">
        <v>4</v>
      </c>
      <c r="J19" s="0" t="s">
        <v>94</v>
      </c>
      <c r="K19" s="0" t="s">
        <v>77</v>
      </c>
      <c r="O19" s="0" t="s">
        <v>95</v>
      </c>
      <c r="P19" s="0" t="s">
        <v>90</v>
      </c>
    </row>
    <row r="20" customFormat="false" ht="15" hidden="false" customHeight="false" outlineLevel="0" collapsed="false">
      <c r="A20" s="0" t="s">
        <v>96</v>
      </c>
      <c r="C20" s="0" t="n">
        <v>1</v>
      </c>
      <c r="D20" s="0" t="s">
        <v>97</v>
      </c>
      <c r="E20" s="0" t="s">
        <v>87</v>
      </c>
      <c r="I20" s="0" t="n">
        <v>0</v>
      </c>
      <c r="O20" s="0" t="s">
        <v>98</v>
      </c>
      <c r="P20" s="0" t="s">
        <v>90</v>
      </c>
    </row>
    <row r="21" customFormat="false" ht="15" hidden="false" customHeight="false" outlineLevel="0" collapsed="false">
      <c r="A21" s="0" t="s">
        <v>99</v>
      </c>
      <c r="C21" s="0" t="n">
        <v>1</v>
      </c>
      <c r="D21" s="0" t="s">
        <v>100</v>
      </c>
      <c r="E21" s="0" t="s">
        <v>101</v>
      </c>
      <c r="I21" s="0" t="n">
        <v>3</v>
      </c>
      <c r="J21" s="0" t="s">
        <v>102</v>
      </c>
      <c r="K21" s="0" t="s">
        <v>72</v>
      </c>
      <c r="O21" s="0" t="s">
        <v>73</v>
      </c>
      <c r="P21" s="0" t="s">
        <v>74</v>
      </c>
    </row>
    <row r="22" customFormat="false" ht="15" hidden="false" customHeight="false" outlineLevel="0" collapsed="false">
      <c r="A22" s="0" t="s">
        <v>103</v>
      </c>
      <c r="C22" s="0" t="n">
        <v>2</v>
      </c>
      <c r="D22" s="0" t="s">
        <v>77</v>
      </c>
      <c r="E22" s="0" t="s">
        <v>104</v>
      </c>
      <c r="I22" s="0" t="n">
        <v>4</v>
      </c>
      <c r="J22" s="0" t="s">
        <v>105</v>
      </c>
      <c r="K22" s="0" t="s">
        <v>77</v>
      </c>
      <c r="O22" s="0" t="s">
        <v>106</v>
      </c>
      <c r="P22" s="0" t="s">
        <v>90</v>
      </c>
    </row>
    <row r="24" customFormat="false" ht="15" hidden="false" customHeight="false" outlineLevel="0" collapsed="false">
      <c r="A24" s="6" t="s">
        <v>107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3"/>
      <c r="B25" s="3" t="s">
        <v>108</v>
      </c>
      <c r="C25" s="3" t="s">
        <v>109</v>
      </c>
    </row>
    <row r="26" customFormat="false" ht="15" hidden="false" customHeight="false" outlineLevel="0" collapsed="false">
      <c r="A26" s="3" t="s">
        <v>110</v>
      </c>
      <c r="B26" s="4" t="s">
        <v>111</v>
      </c>
      <c r="C26" s="4" t="s">
        <v>112</v>
      </c>
    </row>
    <row r="27" customFormat="false" ht="15" hidden="false" customHeight="false" outlineLevel="0" collapsed="false">
      <c r="A27" s="3" t="s">
        <v>113</v>
      </c>
      <c r="B27" s="4" t="s">
        <v>114</v>
      </c>
      <c r="C27" s="4" t="s">
        <v>115</v>
      </c>
    </row>
    <row r="28" customFormat="false" ht="15" hidden="false" customHeight="false" outlineLevel="0" collapsed="false">
      <c r="A28" s="3" t="s">
        <v>116</v>
      </c>
      <c r="B28" s="4" t="s">
        <v>117</v>
      </c>
      <c r="C28" s="4" t="s">
        <v>118</v>
      </c>
    </row>
    <row r="29" customFormat="false" ht="15" hidden="false" customHeight="false" outlineLevel="0" collapsed="false">
      <c r="A29" s="3" t="s">
        <v>119</v>
      </c>
      <c r="B29" s="4" t="s">
        <v>120</v>
      </c>
      <c r="C29" s="4" t="s">
        <v>121</v>
      </c>
    </row>
    <row r="30" customFormat="false" ht="15" hidden="false" customHeight="false" outlineLevel="0" collapsed="false">
      <c r="A30" s="3" t="s">
        <v>41</v>
      </c>
      <c r="B30" s="4" t="s">
        <v>122</v>
      </c>
      <c r="C30" s="4" t="s">
        <v>123</v>
      </c>
    </row>
    <row r="31" customFormat="false" ht="15" hidden="false" customHeight="false" outlineLevel="0" collapsed="false">
      <c r="A31" s="3" t="s">
        <v>44</v>
      </c>
      <c r="B31" s="4" t="s">
        <v>124</v>
      </c>
      <c r="C31" s="4" t="s">
        <v>125</v>
      </c>
    </row>
    <row r="32" customFormat="false" ht="15" hidden="false" customHeight="false" outlineLevel="0" collapsed="false">
      <c r="A32" s="3" t="s">
        <v>126</v>
      </c>
      <c r="B32" s="4" t="s">
        <v>127</v>
      </c>
      <c r="C32" s="4" t="s">
        <v>127</v>
      </c>
    </row>
    <row r="33" customFormat="false" ht="105" hidden="false" customHeight="true" outlineLevel="0" collapsed="false">
      <c r="A33" s="3" t="s">
        <v>128</v>
      </c>
      <c r="B33" s="4" t="s">
        <v>129</v>
      </c>
      <c r="C33" s="4" t="s">
        <v>130</v>
      </c>
    </row>
    <row r="34" customFormat="false" ht="68.65" hidden="false" customHeight="false" outlineLevel="0" collapsed="false">
      <c r="A34" s="3" t="s">
        <v>52</v>
      </c>
      <c r="B34" s="4" t="s">
        <v>131</v>
      </c>
      <c r="C34" s="4" t="s">
        <v>132</v>
      </c>
    </row>
    <row r="35" customFormat="false" ht="150" hidden="false" customHeight="true" outlineLevel="0" collapsed="false">
      <c r="A35" s="3" t="s">
        <v>55</v>
      </c>
      <c r="B35" s="4" t="s">
        <v>133</v>
      </c>
      <c r="C35" s="4" t="s">
        <v>134</v>
      </c>
    </row>
    <row r="36" customFormat="false" ht="15" hidden="false" customHeight="false" outlineLevel="0" collapsed="false">
      <c r="A36" s="7" t="s">
        <v>58</v>
      </c>
      <c r="B36" s="7" t="s">
        <v>59</v>
      </c>
      <c r="C36" s="7" t="s">
        <v>135</v>
      </c>
      <c r="D36" s="7" t="s">
        <v>136</v>
      </c>
      <c r="E36" s="7" t="s">
        <v>137</v>
      </c>
      <c r="F36" s="7" t="s">
        <v>138</v>
      </c>
      <c r="G36" s="7" t="s">
        <v>139</v>
      </c>
      <c r="H36" s="7" t="s">
        <v>140</v>
      </c>
      <c r="I36" s="7" t="s">
        <v>141</v>
      </c>
      <c r="J36" s="7" t="s">
        <v>142</v>
      </c>
      <c r="K36" s="7" t="s">
        <v>143</v>
      </c>
      <c r="L36" s="7" t="s">
        <v>144</v>
      </c>
      <c r="M36" s="7" t="s">
        <v>145</v>
      </c>
      <c r="N36" s="7" t="s">
        <v>146</v>
      </c>
      <c r="O36" s="7" t="s">
        <v>66</v>
      </c>
      <c r="P36" s="7" t="s">
        <v>67</v>
      </c>
    </row>
    <row r="37" customFormat="false" ht="15" hidden="false" customHeight="false" outlineLevel="0" collapsed="false">
      <c r="A37" s="0" t="s">
        <v>147</v>
      </c>
      <c r="B37" s="0" t="s">
        <v>148</v>
      </c>
      <c r="C37" s="0" t="n">
        <v>8</v>
      </c>
      <c r="D37" s="0" t="s">
        <v>149</v>
      </c>
      <c r="E37" s="0" t="s">
        <v>150</v>
      </c>
      <c r="F37" s="0" t="s">
        <v>151</v>
      </c>
      <c r="G37" s="0" t="s">
        <v>152</v>
      </c>
      <c r="H37" s="0" t="s">
        <v>153</v>
      </c>
      <c r="I37" s="0" t="n">
        <v>8</v>
      </c>
      <c r="J37" s="0" t="s">
        <v>154</v>
      </c>
      <c r="K37" s="0" t="s">
        <v>155</v>
      </c>
      <c r="L37" s="0" t="s">
        <v>156</v>
      </c>
      <c r="M37" s="0" t="s">
        <v>157</v>
      </c>
      <c r="N37" s="0" t="s">
        <v>158</v>
      </c>
      <c r="O37" s="0" t="s">
        <v>159</v>
      </c>
      <c r="P37" s="0" t="s">
        <v>160</v>
      </c>
    </row>
    <row r="38" customFormat="false" ht="15" hidden="false" customHeight="false" outlineLevel="0" collapsed="false">
      <c r="A38" s="0" t="s">
        <v>161</v>
      </c>
      <c r="B38" s="0" t="s">
        <v>162</v>
      </c>
      <c r="C38" s="0" t="n">
        <v>13</v>
      </c>
      <c r="D38" s="0" t="s">
        <v>163</v>
      </c>
      <c r="E38" s="0" t="s">
        <v>164</v>
      </c>
      <c r="F38" s="0" t="s">
        <v>165</v>
      </c>
      <c r="G38" s="0" t="s">
        <v>166</v>
      </c>
      <c r="H38" s="0" t="s">
        <v>167</v>
      </c>
      <c r="I38" s="0" t="n">
        <v>2</v>
      </c>
      <c r="J38" s="0" t="s">
        <v>168</v>
      </c>
      <c r="K38" s="0" t="s">
        <v>169</v>
      </c>
      <c r="L38" s="0" t="s">
        <v>170</v>
      </c>
      <c r="M38" s="0" t="s">
        <v>171</v>
      </c>
      <c r="N38" s="0" t="s">
        <v>172</v>
      </c>
      <c r="O38" s="0" t="s">
        <v>173</v>
      </c>
      <c r="P38" s="0" t="s">
        <v>160</v>
      </c>
    </row>
    <row r="39" customFormat="false" ht="15" hidden="false" customHeight="false" outlineLevel="0" collapsed="false">
      <c r="A39" s="0" t="s">
        <v>174</v>
      </c>
      <c r="B39" s="0" t="s">
        <v>175</v>
      </c>
      <c r="C39" s="0" t="n">
        <v>10</v>
      </c>
      <c r="D39" s="0" t="s">
        <v>176</v>
      </c>
      <c r="E39" s="0" t="s">
        <v>155</v>
      </c>
      <c r="F39" s="0" t="s">
        <v>177</v>
      </c>
      <c r="G39" s="0" t="s">
        <v>178</v>
      </c>
      <c r="H39" s="0" t="s">
        <v>179</v>
      </c>
      <c r="I39" s="0" t="n">
        <v>6</v>
      </c>
      <c r="J39" s="0" t="s">
        <v>180</v>
      </c>
      <c r="K39" s="0" t="s">
        <v>164</v>
      </c>
      <c r="L39" s="0" t="s">
        <v>181</v>
      </c>
      <c r="M39" s="0" t="s">
        <v>182</v>
      </c>
      <c r="N39" s="0" t="s">
        <v>183</v>
      </c>
      <c r="O39" s="0" t="s">
        <v>89</v>
      </c>
      <c r="P39" s="0" t="s">
        <v>160</v>
      </c>
    </row>
    <row r="40" customFormat="false" ht="15" hidden="false" customHeight="false" outlineLevel="0" collapsed="false">
      <c r="A40" s="0" t="s">
        <v>184</v>
      </c>
      <c r="B40" s="0" t="s">
        <v>185</v>
      </c>
      <c r="C40" s="0" t="n">
        <v>4</v>
      </c>
      <c r="D40" s="0" t="s">
        <v>186</v>
      </c>
      <c r="E40" s="0" t="s">
        <v>169</v>
      </c>
      <c r="F40" s="0" t="s">
        <v>187</v>
      </c>
      <c r="G40" s="0" t="s">
        <v>188</v>
      </c>
      <c r="H40" s="0" t="s">
        <v>189</v>
      </c>
      <c r="I40" s="0" t="n">
        <v>4</v>
      </c>
      <c r="J40" s="0" t="s">
        <v>190</v>
      </c>
      <c r="K40" s="0" t="s">
        <v>191</v>
      </c>
      <c r="L40" s="0" t="s">
        <v>192</v>
      </c>
      <c r="M40" s="0" t="s">
        <v>193</v>
      </c>
      <c r="N40" s="0" t="s">
        <v>194</v>
      </c>
      <c r="O40" s="0" t="s">
        <v>89</v>
      </c>
      <c r="P40" s="0" t="s">
        <v>160</v>
      </c>
    </row>
    <row r="41" customFormat="false" ht="15" hidden="false" customHeight="false" outlineLevel="0" collapsed="false">
      <c r="A41" s="0" t="s">
        <v>195</v>
      </c>
      <c r="B41" s="0" t="s">
        <v>196</v>
      </c>
      <c r="C41" s="0" t="n">
        <v>7</v>
      </c>
      <c r="D41" s="0" t="s">
        <v>197</v>
      </c>
      <c r="E41" s="0" t="s">
        <v>198</v>
      </c>
      <c r="F41" s="0" t="s">
        <v>199</v>
      </c>
      <c r="G41" s="0" t="s">
        <v>200</v>
      </c>
      <c r="H41" s="0" t="s">
        <v>201</v>
      </c>
      <c r="I41" s="0" t="n">
        <v>5</v>
      </c>
      <c r="J41" s="0" t="s">
        <v>202</v>
      </c>
      <c r="K41" s="0" t="s">
        <v>203</v>
      </c>
      <c r="L41" s="0" t="s">
        <v>204</v>
      </c>
      <c r="M41" s="0" t="s">
        <v>205</v>
      </c>
      <c r="N41" s="0" t="s">
        <v>206</v>
      </c>
      <c r="O41" s="0" t="s">
        <v>207</v>
      </c>
      <c r="P41" s="0" t="s">
        <v>160</v>
      </c>
    </row>
    <row r="42" customFormat="false" ht="15" hidden="false" customHeight="false" outlineLevel="0" collapsed="false">
      <c r="A42" s="0" t="s">
        <v>208</v>
      </c>
      <c r="B42" s="0" t="s">
        <v>196</v>
      </c>
      <c r="C42" s="0" t="n">
        <v>3</v>
      </c>
      <c r="D42" s="0" t="s">
        <v>209</v>
      </c>
      <c r="E42" s="0" t="s">
        <v>210</v>
      </c>
      <c r="F42" s="0" t="s">
        <v>211</v>
      </c>
      <c r="G42" s="0" t="s">
        <v>212</v>
      </c>
      <c r="H42" s="0" t="s">
        <v>213</v>
      </c>
      <c r="I42" s="0" t="n">
        <v>4</v>
      </c>
      <c r="J42" s="0" t="s">
        <v>214</v>
      </c>
      <c r="K42" s="0" t="s">
        <v>215</v>
      </c>
      <c r="L42" s="0" t="s">
        <v>216</v>
      </c>
      <c r="M42" s="0" t="s">
        <v>217</v>
      </c>
      <c r="N42" s="0" t="s">
        <v>194</v>
      </c>
      <c r="O42" s="0" t="s">
        <v>218</v>
      </c>
      <c r="P42" s="0" t="s">
        <v>219</v>
      </c>
    </row>
    <row r="44" customFormat="false" ht="15" hidden="false" customHeight="false" outlineLevel="0" collapsed="false">
      <c r="A44" s="6" t="s">
        <v>220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customFormat="false" ht="15" hidden="false" customHeight="false" outlineLevel="0" collapsed="false">
      <c r="A45" s="3"/>
      <c r="B45" s="3" t="s">
        <v>221</v>
      </c>
      <c r="C45" s="3" t="s">
        <v>222</v>
      </c>
    </row>
    <row r="46" customFormat="false" ht="15" hidden="false" customHeight="false" outlineLevel="0" collapsed="false">
      <c r="A46" s="3" t="s">
        <v>35</v>
      </c>
      <c r="B46" s="4" t="s">
        <v>223</v>
      </c>
      <c r="C46" s="4" t="s">
        <v>224</v>
      </c>
    </row>
    <row r="47" customFormat="false" ht="15" hidden="false" customHeight="false" outlineLevel="0" collapsed="false">
      <c r="A47" s="3" t="s">
        <v>38</v>
      </c>
      <c r="B47" s="4" t="s">
        <v>225</v>
      </c>
      <c r="C47" s="4" t="s">
        <v>226</v>
      </c>
    </row>
    <row r="48" customFormat="false" ht="15" hidden="false" customHeight="false" outlineLevel="0" collapsed="false">
      <c r="A48" s="3" t="s">
        <v>41</v>
      </c>
      <c r="B48" s="4" t="s">
        <v>227</v>
      </c>
      <c r="C48" s="4" t="s">
        <v>228</v>
      </c>
    </row>
    <row r="49" customFormat="false" ht="15" hidden="false" customHeight="false" outlineLevel="0" collapsed="false">
      <c r="A49" s="3" t="s">
        <v>44</v>
      </c>
      <c r="B49" s="4" t="s">
        <v>229</v>
      </c>
      <c r="C49" s="4" t="s">
        <v>230</v>
      </c>
    </row>
    <row r="50" customFormat="false" ht="15" hidden="false" customHeight="false" outlineLevel="0" collapsed="false">
      <c r="A50" s="3" t="s">
        <v>47</v>
      </c>
      <c r="B50" s="4" t="s">
        <v>48</v>
      </c>
      <c r="C50" s="4" t="s">
        <v>48</v>
      </c>
    </row>
    <row r="51" customFormat="false" ht="105" hidden="false" customHeight="true" outlineLevel="0" collapsed="false">
      <c r="A51" s="3" t="s">
        <v>49</v>
      </c>
      <c r="B51" s="4" t="s">
        <v>231</v>
      </c>
      <c r="C51" s="4" t="s">
        <v>232</v>
      </c>
    </row>
    <row r="52" customFormat="false" ht="75" hidden="false" customHeight="true" outlineLevel="0" collapsed="false">
      <c r="A52" s="3" t="s">
        <v>52</v>
      </c>
      <c r="B52" s="4" t="s">
        <v>233</v>
      </c>
      <c r="C52" s="4" t="s">
        <v>234</v>
      </c>
    </row>
    <row r="53" customFormat="false" ht="120" hidden="false" customHeight="true" outlineLevel="0" collapsed="false">
      <c r="A53" s="3" t="s">
        <v>55</v>
      </c>
      <c r="B53" s="4" t="s">
        <v>235</v>
      </c>
      <c r="C53" s="4" t="s">
        <v>236</v>
      </c>
    </row>
    <row r="54" customFormat="false" ht="15" hidden="false" customHeight="false" outlineLevel="0" collapsed="false">
      <c r="A54" s="7" t="s">
        <v>58</v>
      </c>
      <c r="B54" s="7" t="s">
        <v>59</v>
      </c>
      <c r="C54" s="7" t="s">
        <v>60</v>
      </c>
      <c r="D54" s="7" t="s">
        <v>61</v>
      </c>
      <c r="E54" s="7" t="s">
        <v>62</v>
      </c>
      <c r="F54" s="7"/>
      <c r="G54" s="7"/>
      <c r="H54" s="7"/>
      <c r="I54" s="7" t="s">
        <v>63</v>
      </c>
      <c r="J54" s="7" t="s">
        <v>64</v>
      </c>
      <c r="K54" s="7" t="s">
        <v>65</v>
      </c>
      <c r="L54" s="7"/>
      <c r="M54" s="7"/>
      <c r="N54" s="7"/>
      <c r="O54" s="7" t="s">
        <v>66</v>
      </c>
      <c r="P54" s="7" t="s">
        <v>67</v>
      </c>
    </row>
    <row r="55" customFormat="false" ht="15" hidden="false" customHeight="false" outlineLevel="0" collapsed="false">
      <c r="A55" s="0" t="s">
        <v>81</v>
      </c>
      <c r="B55" s="0" t="s">
        <v>237</v>
      </c>
      <c r="C55" s="0" t="n">
        <v>3</v>
      </c>
      <c r="D55" s="0" t="s">
        <v>84</v>
      </c>
      <c r="E55" s="0" t="s">
        <v>238</v>
      </c>
      <c r="I55" s="0" t="n">
        <v>2</v>
      </c>
      <c r="J55" s="0" t="s">
        <v>239</v>
      </c>
      <c r="K55" s="0" t="s">
        <v>79</v>
      </c>
      <c r="O55" s="0" t="s">
        <v>240</v>
      </c>
      <c r="P55" s="0" t="s">
        <v>74</v>
      </c>
    </row>
    <row r="56" customFormat="false" ht="15" hidden="false" customHeight="false" outlineLevel="0" collapsed="false">
      <c r="A56" s="0" t="s">
        <v>91</v>
      </c>
      <c r="B56" s="0" t="s">
        <v>76</v>
      </c>
      <c r="C56" s="0" t="n">
        <v>3</v>
      </c>
      <c r="D56" s="0" t="s">
        <v>79</v>
      </c>
      <c r="E56" s="0" t="s">
        <v>83</v>
      </c>
      <c r="I56" s="0" t="n">
        <v>2</v>
      </c>
      <c r="J56" s="0" t="s">
        <v>84</v>
      </c>
      <c r="K56" s="0" t="s">
        <v>77</v>
      </c>
      <c r="O56" s="0" t="s">
        <v>241</v>
      </c>
      <c r="P56" s="0" t="s">
        <v>90</v>
      </c>
    </row>
    <row r="57" customFormat="false" ht="15" hidden="false" customHeight="false" outlineLevel="0" collapsed="false">
      <c r="A57" s="0" t="s">
        <v>86</v>
      </c>
      <c r="C57" s="0" t="n">
        <v>0</v>
      </c>
      <c r="I57" s="0" t="n">
        <v>1</v>
      </c>
      <c r="J57" s="0" t="s">
        <v>242</v>
      </c>
      <c r="K57" s="0" t="s">
        <v>243</v>
      </c>
      <c r="O57" s="0" t="s">
        <v>244</v>
      </c>
      <c r="P57" s="0" t="s">
        <v>90</v>
      </c>
    </row>
    <row r="58" customFormat="false" ht="15" hidden="false" customHeight="false" outlineLevel="0" collapsed="false">
      <c r="A58" s="0" t="s">
        <v>96</v>
      </c>
      <c r="C58" s="0" t="n">
        <v>2</v>
      </c>
      <c r="D58" s="0" t="s">
        <v>100</v>
      </c>
      <c r="E58" s="0" t="s">
        <v>245</v>
      </c>
      <c r="I58" s="0" t="n">
        <v>0</v>
      </c>
      <c r="O58" s="0" t="s">
        <v>218</v>
      </c>
      <c r="P58" s="0" t="s">
        <v>74</v>
      </c>
    </row>
    <row r="59" customFormat="false" ht="15" hidden="false" customHeight="false" outlineLevel="0" collapsed="false">
      <c r="A59" s="0" t="s">
        <v>99</v>
      </c>
      <c r="C59" s="0" t="n">
        <v>1</v>
      </c>
      <c r="D59" s="0" t="s">
        <v>87</v>
      </c>
      <c r="E59" s="0" t="s">
        <v>246</v>
      </c>
      <c r="I59" s="0" t="n">
        <v>1</v>
      </c>
      <c r="J59" s="0" t="s">
        <v>247</v>
      </c>
      <c r="K59" s="0" t="s">
        <v>248</v>
      </c>
      <c r="O59" s="0" t="s">
        <v>249</v>
      </c>
      <c r="P59" s="0" t="s">
        <v>74</v>
      </c>
    </row>
    <row r="60" customFormat="false" ht="15" hidden="false" customHeight="false" outlineLevel="0" collapsed="false">
      <c r="A60" s="0" t="s">
        <v>68</v>
      </c>
      <c r="C60" s="0" t="n">
        <v>3</v>
      </c>
      <c r="D60" s="0" t="s">
        <v>101</v>
      </c>
      <c r="E60" s="0" t="s">
        <v>250</v>
      </c>
      <c r="I60" s="0" t="n">
        <v>2</v>
      </c>
      <c r="J60" s="0" t="s">
        <v>251</v>
      </c>
      <c r="K60" s="0" t="s">
        <v>252</v>
      </c>
      <c r="O60" s="0" t="s">
        <v>253</v>
      </c>
      <c r="P60" s="0" t="s">
        <v>90</v>
      </c>
    </row>
    <row r="61" customFormat="false" ht="15" hidden="false" customHeight="false" outlineLevel="0" collapsed="false">
      <c r="A61" s="0" t="s">
        <v>103</v>
      </c>
      <c r="C61" s="0" t="n">
        <v>4</v>
      </c>
      <c r="D61" s="0" t="s">
        <v>254</v>
      </c>
      <c r="E61" s="0" t="s">
        <v>255</v>
      </c>
      <c r="I61" s="0" t="n">
        <v>0</v>
      </c>
      <c r="O61" s="0" t="s">
        <v>256</v>
      </c>
      <c r="P61" s="0" t="s">
        <v>90</v>
      </c>
    </row>
    <row r="62" customFormat="false" ht="15" hidden="false" customHeight="false" outlineLevel="0" collapsed="false">
      <c r="A62" s="0" t="s">
        <v>75</v>
      </c>
      <c r="C62" s="0" t="n">
        <v>2</v>
      </c>
      <c r="D62" s="0" t="s">
        <v>257</v>
      </c>
      <c r="E62" s="0" t="s">
        <v>258</v>
      </c>
      <c r="I62" s="0" t="n">
        <v>2</v>
      </c>
      <c r="J62" s="0" t="s">
        <v>259</v>
      </c>
      <c r="K62" s="0" t="s">
        <v>260</v>
      </c>
      <c r="O62" s="0" t="s">
        <v>261</v>
      </c>
      <c r="P62" s="0" t="s">
        <v>74</v>
      </c>
    </row>
    <row r="64" customFormat="false" ht="15" hidden="false" customHeight="false" outlineLevel="0" collapsed="false">
      <c r="A64" s="6" t="s">
        <v>262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customFormat="false" ht="15" hidden="false" customHeight="false" outlineLevel="0" collapsed="false">
      <c r="A65" s="3"/>
      <c r="B65" s="3" t="s">
        <v>263</v>
      </c>
      <c r="C65" s="3" t="s">
        <v>264</v>
      </c>
    </row>
    <row r="66" customFormat="false" ht="15" hidden="false" customHeight="false" outlineLevel="0" collapsed="false">
      <c r="A66" s="3" t="s">
        <v>110</v>
      </c>
      <c r="B66" s="4" t="s">
        <v>265</v>
      </c>
      <c r="C66" s="4" t="s">
        <v>266</v>
      </c>
    </row>
    <row r="67" customFormat="false" ht="15" hidden="false" customHeight="false" outlineLevel="0" collapsed="false">
      <c r="A67" s="3" t="s">
        <v>113</v>
      </c>
      <c r="B67" s="4" t="s">
        <v>267</v>
      </c>
      <c r="C67" s="4" t="s">
        <v>268</v>
      </c>
    </row>
    <row r="68" customFormat="false" ht="15" hidden="false" customHeight="false" outlineLevel="0" collapsed="false">
      <c r="A68" s="3" t="s">
        <v>116</v>
      </c>
      <c r="B68" s="4" t="s">
        <v>269</v>
      </c>
      <c r="C68" s="4" t="s">
        <v>270</v>
      </c>
    </row>
    <row r="69" customFormat="false" ht="15" hidden="false" customHeight="false" outlineLevel="0" collapsed="false">
      <c r="A69" s="3" t="s">
        <v>119</v>
      </c>
      <c r="B69" s="4" t="s">
        <v>271</v>
      </c>
      <c r="C69" s="4" t="s">
        <v>272</v>
      </c>
    </row>
    <row r="70" customFormat="false" ht="15" hidden="false" customHeight="false" outlineLevel="0" collapsed="false">
      <c r="A70" s="3" t="s">
        <v>41</v>
      </c>
      <c r="B70" s="4" t="s">
        <v>273</v>
      </c>
      <c r="C70" s="4" t="s">
        <v>274</v>
      </c>
    </row>
    <row r="71" customFormat="false" ht="15" hidden="false" customHeight="false" outlineLevel="0" collapsed="false">
      <c r="A71" s="3" t="s">
        <v>44</v>
      </c>
      <c r="B71" s="4" t="s">
        <v>275</v>
      </c>
      <c r="C71" s="4" t="s">
        <v>276</v>
      </c>
    </row>
    <row r="72" customFormat="false" ht="15" hidden="false" customHeight="false" outlineLevel="0" collapsed="false">
      <c r="A72" s="3" t="s">
        <v>126</v>
      </c>
      <c r="B72" s="4" t="s">
        <v>127</v>
      </c>
      <c r="C72" s="4" t="s">
        <v>127</v>
      </c>
    </row>
    <row r="73" customFormat="false" ht="105" hidden="false" customHeight="true" outlineLevel="0" collapsed="false">
      <c r="A73" s="3" t="s">
        <v>128</v>
      </c>
      <c r="B73" s="4" t="s">
        <v>277</v>
      </c>
      <c r="C73" s="4" t="s">
        <v>278</v>
      </c>
    </row>
    <row r="74" customFormat="false" ht="68.65" hidden="false" customHeight="false" outlineLevel="0" collapsed="false">
      <c r="A74" s="3" t="s">
        <v>52</v>
      </c>
      <c r="B74" s="4" t="s">
        <v>279</v>
      </c>
      <c r="C74" s="4" t="s">
        <v>280</v>
      </c>
    </row>
    <row r="75" customFormat="false" ht="150" hidden="false" customHeight="true" outlineLevel="0" collapsed="false">
      <c r="A75" s="3" t="s">
        <v>55</v>
      </c>
      <c r="B75" s="4" t="s">
        <v>281</v>
      </c>
      <c r="C75" s="4" t="s">
        <v>282</v>
      </c>
    </row>
    <row r="76" customFormat="false" ht="15" hidden="false" customHeight="false" outlineLevel="0" collapsed="false">
      <c r="A76" s="7" t="s">
        <v>58</v>
      </c>
      <c r="B76" s="7" t="s">
        <v>59</v>
      </c>
      <c r="C76" s="7" t="s">
        <v>135</v>
      </c>
      <c r="D76" s="7" t="s">
        <v>136</v>
      </c>
      <c r="E76" s="7" t="s">
        <v>137</v>
      </c>
      <c r="F76" s="7" t="s">
        <v>138</v>
      </c>
      <c r="G76" s="7" t="s">
        <v>139</v>
      </c>
      <c r="H76" s="7" t="s">
        <v>140</v>
      </c>
      <c r="I76" s="7" t="s">
        <v>141</v>
      </c>
      <c r="J76" s="7" t="s">
        <v>142</v>
      </c>
      <c r="K76" s="7" t="s">
        <v>143</v>
      </c>
      <c r="L76" s="7" t="s">
        <v>144</v>
      </c>
      <c r="M76" s="7" t="s">
        <v>145</v>
      </c>
      <c r="N76" s="7" t="s">
        <v>146</v>
      </c>
      <c r="O76" s="7" t="s">
        <v>66</v>
      </c>
      <c r="P76" s="7" t="s">
        <v>67</v>
      </c>
    </row>
    <row r="77" customFormat="false" ht="15" hidden="false" customHeight="false" outlineLevel="0" collapsed="false">
      <c r="A77" s="0" t="s">
        <v>174</v>
      </c>
      <c r="B77" s="0" t="s">
        <v>283</v>
      </c>
      <c r="C77" s="0" t="n">
        <v>9</v>
      </c>
      <c r="D77" s="0" t="s">
        <v>284</v>
      </c>
      <c r="E77" s="0" t="s">
        <v>285</v>
      </c>
      <c r="F77" s="0" t="s">
        <v>286</v>
      </c>
      <c r="G77" s="0" t="s">
        <v>287</v>
      </c>
      <c r="H77" s="0" t="s">
        <v>288</v>
      </c>
      <c r="I77" s="0" t="n">
        <v>9</v>
      </c>
      <c r="J77" s="0" t="s">
        <v>289</v>
      </c>
      <c r="K77" s="0" t="s">
        <v>191</v>
      </c>
      <c r="L77" s="0" t="s">
        <v>170</v>
      </c>
      <c r="M77" s="0" t="s">
        <v>290</v>
      </c>
      <c r="N77" s="0" t="s">
        <v>291</v>
      </c>
      <c r="O77" s="0" t="s">
        <v>292</v>
      </c>
      <c r="P77" s="0" t="s">
        <v>160</v>
      </c>
    </row>
    <row r="78" customFormat="false" ht="15" hidden="false" customHeight="false" outlineLevel="0" collapsed="false">
      <c r="A78" s="0" t="s">
        <v>161</v>
      </c>
      <c r="B78" s="0" t="s">
        <v>175</v>
      </c>
      <c r="C78" s="0" t="n">
        <v>11</v>
      </c>
      <c r="D78" s="0" t="s">
        <v>293</v>
      </c>
      <c r="E78" s="0" t="s">
        <v>294</v>
      </c>
      <c r="F78" s="0" t="s">
        <v>295</v>
      </c>
      <c r="G78" s="0" t="s">
        <v>296</v>
      </c>
      <c r="H78" s="0" t="s">
        <v>297</v>
      </c>
      <c r="I78" s="0" t="n">
        <v>8</v>
      </c>
      <c r="J78" s="0" t="s">
        <v>298</v>
      </c>
      <c r="K78" s="0" t="s">
        <v>299</v>
      </c>
      <c r="L78" s="0" t="s">
        <v>300</v>
      </c>
      <c r="M78" s="0" t="s">
        <v>301</v>
      </c>
      <c r="N78" s="0" t="s">
        <v>302</v>
      </c>
      <c r="O78" s="0" t="s">
        <v>80</v>
      </c>
      <c r="P78" s="0" t="s">
        <v>160</v>
      </c>
    </row>
    <row r="79" customFormat="false" ht="15" hidden="false" customHeight="false" outlineLevel="0" collapsed="false">
      <c r="A79" s="0" t="s">
        <v>184</v>
      </c>
      <c r="B79" s="0" t="s">
        <v>237</v>
      </c>
      <c r="C79" s="0" t="n">
        <v>6</v>
      </c>
      <c r="D79" s="0" t="s">
        <v>303</v>
      </c>
      <c r="E79" s="0" t="s">
        <v>304</v>
      </c>
      <c r="F79" s="0" t="s">
        <v>305</v>
      </c>
      <c r="G79" s="0" t="s">
        <v>306</v>
      </c>
      <c r="H79" s="0" t="s">
        <v>307</v>
      </c>
      <c r="I79" s="0" t="n">
        <v>8</v>
      </c>
      <c r="J79" s="0" t="s">
        <v>308</v>
      </c>
      <c r="K79" s="0" t="s">
        <v>309</v>
      </c>
      <c r="L79" s="0" t="s">
        <v>310</v>
      </c>
      <c r="M79" s="0" t="s">
        <v>311</v>
      </c>
      <c r="N79" s="0" t="s">
        <v>312</v>
      </c>
      <c r="O79" s="0" t="s">
        <v>313</v>
      </c>
      <c r="P79" s="0" t="s">
        <v>90</v>
      </c>
    </row>
    <row r="80" customFormat="false" ht="15" hidden="false" customHeight="false" outlineLevel="0" collapsed="false">
      <c r="A80" s="0" t="s">
        <v>208</v>
      </c>
      <c r="B80" s="0" t="s">
        <v>314</v>
      </c>
      <c r="C80" s="0" t="n">
        <v>10</v>
      </c>
      <c r="D80" s="0" t="s">
        <v>176</v>
      </c>
      <c r="E80" s="0" t="s">
        <v>315</v>
      </c>
      <c r="F80" s="0" t="s">
        <v>316</v>
      </c>
      <c r="G80" s="0" t="s">
        <v>317</v>
      </c>
      <c r="H80" s="0" t="s">
        <v>318</v>
      </c>
      <c r="I80" s="0" t="n">
        <v>9</v>
      </c>
      <c r="J80" s="0" t="s">
        <v>319</v>
      </c>
      <c r="K80" s="0" t="s">
        <v>320</v>
      </c>
      <c r="L80" s="0" t="s">
        <v>321</v>
      </c>
      <c r="M80" s="0" t="s">
        <v>322</v>
      </c>
      <c r="N80" s="0" t="s">
        <v>323</v>
      </c>
      <c r="O80" s="0" t="s">
        <v>324</v>
      </c>
      <c r="P80" s="0" t="s">
        <v>219</v>
      </c>
    </row>
    <row r="81" customFormat="false" ht="15" hidden="false" customHeight="false" outlineLevel="0" collapsed="false">
      <c r="A81" s="0" t="s">
        <v>195</v>
      </c>
      <c r="B81" s="0" t="s">
        <v>325</v>
      </c>
      <c r="C81" s="0" t="n">
        <v>5</v>
      </c>
      <c r="D81" s="0" t="s">
        <v>326</v>
      </c>
      <c r="E81" s="0" t="s">
        <v>198</v>
      </c>
      <c r="F81" s="0" t="s">
        <v>204</v>
      </c>
      <c r="G81" s="0" t="s">
        <v>327</v>
      </c>
      <c r="H81" s="0" t="s">
        <v>206</v>
      </c>
      <c r="I81" s="0" t="n">
        <v>9</v>
      </c>
      <c r="J81" s="0" t="s">
        <v>328</v>
      </c>
      <c r="K81" s="0" t="s">
        <v>329</v>
      </c>
      <c r="L81" s="0" t="s">
        <v>322</v>
      </c>
      <c r="M81" s="0" t="s">
        <v>330</v>
      </c>
      <c r="N81" s="0" t="s">
        <v>331</v>
      </c>
      <c r="O81" s="0" t="s">
        <v>332</v>
      </c>
      <c r="P81" s="0" t="s">
        <v>160</v>
      </c>
    </row>
    <row r="82" customFormat="false" ht="15" hidden="false" customHeight="false" outlineLevel="0" collapsed="false">
      <c r="A82" s="0" t="s">
        <v>147</v>
      </c>
      <c r="B82" s="0" t="s">
        <v>185</v>
      </c>
      <c r="C82" s="0" t="n">
        <v>5</v>
      </c>
      <c r="D82" s="0" t="s">
        <v>333</v>
      </c>
      <c r="E82" s="0" t="s">
        <v>150</v>
      </c>
      <c r="F82" s="0" t="s">
        <v>334</v>
      </c>
      <c r="G82" s="0" t="s">
        <v>335</v>
      </c>
      <c r="H82" s="0" t="s">
        <v>336</v>
      </c>
      <c r="I82" s="0" t="n">
        <v>0</v>
      </c>
      <c r="O82" s="0" t="s">
        <v>337</v>
      </c>
      <c r="P82" s="0" t="s">
        <v>160</v>
      </c>
    </row>
    <row r="83" customFormat="false" ht="15" hidden="false" customHeight="false" outlineLevel="0" collapsed="false">
      <c r="A83" s="0" t="s">
        <v>338</v>
      </c>
      <c r="C83" s="0" t="n">
        <v>1</v>
      </c>
      <c r="D83" s="0" t="s">
        <v>339</v>
      </c>
      <c r="E83" s="0" t="s">
        <v>340</v>
      </c>
      <c r="F83" s="0" t="s">
        <v>212</v>
      </c>
      <c r="G83" s="0" t="s">
        <v>322</v>
      </c>
      <c r="H83" s="0" t="s">
        <v>341</v>
      </c>
      <c r="I83" s="0" t="n">
        <v>5</v>
      </c>
      <c r="J83" s="0" t="s">
        <v>326</v>
      </c>
      <c r="K83" s="0" t="s">
        <v>342</v>
      </c>
      <c r="L83" s="0" t="s">
        <v>322</v>
      </c>
      <c r="M83" s="0" t="s">
        <v>343</v>
      </c>
      <c r="N83" s="0" t="s">
        <v>336</v>
      </c>
      <c r="O83" s="0" t="s">
        <v>89</v>
      </c>
      <c r="P83" s="0" t="s">
        <v>160</v>
      </c>
    </row>
    <row r="85" customFormat="false" ht="15" hidden="false" customHeight="false" outlineLevel="0" collapsed="false">
      <c r="A85" s="6" t="s">
        <v>344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customFormat="false" ht="15" hidden="false" customHeight="false" outlineLevel="0" collapsed="false">
      <c r="A86" s="3"/>
      <c r="B86" s="3" t="s">
        <v>345</v>
      </c>
      <c r="C86" s="3" t="s">
        <v>346</v>
      </c>
    </row>
    <row r="87" customFormat="false" ht="15" hidden="false" customHeight="false" outlineLevel="0" collapsed="false">
      <c r="A87" s="3" t="s">
        <v>110</v>
      </c>
      <c r="B87" s="4" t="s">
        <v>347</v>
      </c>
      <c r="C87" s="4" t="s">
        <v>348</v>
      </c>
    </row>
    <row r="88" customFormat="false" ht="15" hidden="false" customHeight="false" outlineLevel="0" collapsed="false">
      <c r="A88" s="3" t="s">
        <v>113</v>
      </c>
      <c r="B88" s="4" t="s">
        <v>349</v>
      </c>
      <c r="C88" s="4" t="s">
        <v>350</v>
      </c>
    </row>
    <row r="89" customFormat="false" ht="15" hidden="false" customHeight="false" outlineLevel="0" collapsed="false">
      <c r="A89" s="3" t="s">
        <v>116</v>
      </c>
      <c r="B89" s="4" t="s">
        <v>351</v>
      </c>
      <c r="C89" s="4" t="s">
        <v>352</v>
      </c>
    </row>
    <row r="90" customFormat="false" ht="15" hidden="false" customHeight="false" outlineLevel="0" collapsed="false">
      <c r="A90" s="3" t="s">
        <v>119</v>
      </c>
      <c r="B90" s="4" t="s">
        <v>353</v>
      </c>
      <c r="C90" s="4" t="s">
        <v>354</v>
      </c>
    </row>
    <row r="91" customFormat="false" ht="15" hidden="false" customHeight="false" outlineLevel="0" collapsed="false">
      <c r="A91" s="3" t="s">
        <v>41</v>
      </c>
      <c r="B91" s="4" t="s">
        <v>355</v>
      </c>
      <c r="C91" s="4" t="s">
        <v>356</v>
      </c>
    </row>
    <row r="92" customFormat="false" ht="15" hidden="false" customHeight="false" outlineLevel="0" collapsed="false">
      <c r="A92" s="3" t="s">
        <v>44</v>
      </c>
      <c r="B92" s="4" t="s">
        <v>357</v>
      </c>
      <c r="C92" s="4" t="s">
        <v>358</v>
      </c>
    </row>
    <row r="93" customFormat="false" ht="15" hidden="false" customHeight="false" outlineLevel="0" collapsed="false">
      <c r="A93" s="3" t="s">
        <v>126</v>
      </c>
      <c r="B93" s="4" t="s">
        <v>127</v>
      </c>
      <c r="C93" s="4" t="s">
        <v>127</v>
      </c>
    </row>
    <row r="94" customFormat="false" ht="105" hidden="false" customHeight="true" outlineLevel="0" collapsed="false">
      <c r="A94" s="3" t="s">
        <v>128</v>
      </c>
      <c r="B94" s="4" t="s">
        <v>359</v>
      </c>
      <c r="C94" s="4" t="s">
        <v>360</v>
      </c>
    </row>
    <row r="95" customFormat="false" ht="68.65" hidden="false" customHeight="false" outlineLevel="0" collapsed="false">
      <c r="A95" s="3" t="s">
        <v>52</v>
      </c>
      <c r="B95" s="4" t="s">
        <v>361</v>
      </c>
      <c r="C95" s="4" t="s">
        <v>362</v>
      </c>
    </row>
    <row r="96" customFormat="false" ht="150" hidden="false" customHeight="true" outlineLevel="0" collapsed="false">
      <c r="A96" s="3" t="s">
        <v>55</v>
      </c>
      <c r="B96" s="4" t="s">
        <v>363</v>
      </c>
      <c r="C96" s="4" t="s">
        <v>364</v>
      </c>
    </row>
    <row r="97" customFormat="false" ht="15" hidden="false" customHeight="false" outlineLevel="0" collapsed="false">
      <c r="A97" s="7" t="s">
        <v>58</v>
      </c>
      <c r="B97" s="7" t="s">
        <v>59</v>
      </c>
      <c r="C97" s="7" t="s">
        <v>135</v>
      </c>
      <c r="D97" s="7" t="s">
        <v>136</v>
      </c>
      <c r="E97" s="7" t="s">
        <v>137</v>
      </c>
      <c r="F97" s="7" t="s">
        <v>138</v>
      </c>
      <c r="G97" s="7" t="s">
        <v>139</v>
      </c>
      <c r="H97" s="7" t="s">
        <v>140</v>
      </c>
      <c r="I97" s="7" t="s">
        <v>141</v>
      </c>
      <c r="J97" s="7" t="s">
        <v>142</v>
      </c>
      <c r="K97" s="7" t="s">
        <v>143</v>
      </c>
      <c r="L97" s="7" t="s">
        <v>144</v>
      </c>
      <c r="M97" s="7" t="s">
        <v>145</v>
      </c>
      <c r="N97" s="7" t="s">
        <v>146</v>
      </c>
      <c r="O97" s="7" t="s">
        <v>66</v>
      </c>
      <c r="P97" s="7" t="s">
        <v>67</v>
      </c>
    </row>
    <row r="98" customFormat="false" ht="15" hidden="false" customHeight="false" outlineLevel="0" collapsed="false">
      <c r="A98" s="0" t="s">
        <v>338</v>
      </c>
      <c r="B98" s="0" t="s">
        <v>175</v>
      </c>
      <c r="C98" s="0" t="n">
        <v>11</v>
      </c>
      <c r="D98" s="0" t="s">
        <v>365</v>
      </c>
      <c r="E98" s="0" t="s">
        <v>366</v>
      </c>
      <c r="F98" s="0" t="s">
        <v>367</v>
      </c>
      <c r="G98" s="0" t="s">
        <v>368</v>
      </c>
      <c r="H98" s="0" t="s">
        <v>297</v>
      </c>
      <c r="I98" s="0" t="n">
        <v>16</v>
      </c>
      <c r="J98" s="0" t="s">
        <v>39</v>
      </c>
      <c r="K98" s="0" t="s">
        <v>369</v>
      </c>
      <c r="L98" s="0" t="s">
        <v>330</v>
      </c>
      <c r="M98" s="0" t="s">
        <v>370</v>
      </c>
      <c r="N98" s="0" t="s">
        <v>371</v>
      </c>
      <c r="O98" s="0" t="s">
        <v>372</v>
      </c>
      <c r="P98" s="0" t="s">
        <v>160</v>
      </c>
    </row>
    <row r="99" customFormat="false" ht="15" hidden="false" customHeight="false" outlineLevel="0" collapsed="false">
      <c r="A99" s="0" t="s">
        <v>184</v>
      </c>
      <c r="B99" s="0" t="s">
        <v>69</v>
      </c>
      <c r="C99" s="0" t="n">
        <v>11</v>
      </c>
      <c r="D99" s="0" t="s">
        <v>373</v>
      </c>
      <c r="E99" s="0" t="s">
        <v>374</v>
      </c>
      <c r="F99" s="0" t="s">
        <v>287</v>
      </c>
      <c r="G99" s="0" t="s">
        <v>375</v>
      </c>
      <c r="H99" s="0" t="s">
        <v>297</v>
      </c>
      <c r="I99" s="0" t="n">
        <v>15</v>
      </c>
      <c r="J99" s="0" t="s">
        <v>376</v>
      </c>
      <c r="K99" s="0" t="s">
        <v>377</v>
      </c>
      <c r="L99" s="0" t="s">
        <v>378</v>
      </c>
      <c r="M99" s="0" t="s">
        <v>379</v>
      </c>
      <c r="N99" s="0" t="s">
        <v>380</v>
      </c>
      <c r="O99" s="0" t="s">
        <v>381</v>
      </c>
      <c r="P99" s="0" t="s">
        <v>160</v>
      </c>
    </row>
    <row r="100" customFormat="false" ht="15" hidden="false" customHeight="false" outlineLevel="0" collapsed="false">
      <c r="A100" s="0" t="s">
        <v>174</v>
      </c>
      <c r="B100" s="0" t="s">
        <v>76</v>
      </c>
      <c r="C100" s="0" t="n">
        <v>15</v>
      </c>
      <c r="D100" s="0" t="s">
        <v>382</v>
      </c>
      <c r="E100" s="0" t="s">
        <v>383</v>
      </c>
      <c r="F100" s="0" t="s">
        <v>384</v>
      </c>
      <c r="G100" s="0" t="s">
        <v>385</v>
      </c>
      <c r="H100" s="0" t="s">
        <v>386</v>
      </c>
      <c r="I100" s="0" t="n">
        <v>7</v>
      </c>
      <c r="J100" s="0" t="s">
        <v>387</v>
      </c>
      <c r="K100" s="0" t="s">
        <v>388</v>
      </c>
      <c r="L100" s="0" t="s">
        <v>389</v>
      </c>
      <c r="M100" s="0" t="s">
        <v>390</v>
      </c>
      <c r="N100" s="0" t="s">
        <v>391</v>
      </c>
      <c r="O100" s="0" t="s">
        <v>80</v>
      </c>
      <c r="P100" s="0" t="s">
        <v>160</v>
      </c>
    </row>
    <row r="101" customFormat="false" ht="15" hidden="false" customHeight="false" outlineLevel="0" collapsed="false">
      <c r="A101" s="0" t="s">
        <v>195</v>
      </c>
      <c r="C101" s="0" t="n">
        <v>8</v>
      </c>
      <c r="D101" s="0" t="s">
        <v>298</v>
      </c>
      <c r="E101" s="0" t="s">
        <v>270</v>
      </c>
      <c r="F101" s="0" t="s">
        <v>392</v>
      </c>
      <c r="G101" s="0" t="s">
        <v>290</v>
      </c>
      <c r="H101" s="0" t="s">
        <v>393</v>
      </c>
      <c r="I101" s="0" t="n">
        <v>10</v>
      </c>
      <c r="J101" s="0" t="s">
        <v>394</v>
      </c>
      <c r="K101" s="0" t="s">
        <v>210</v>
      </c>
      <c r="L101" s="0" t="s">
        <v>389</v>
      </c>
      <c r="M101" s="0" t="s">
        <v>385</v>
      </c>
      <c r="N101" s="0" t="s">
        <v>395</v>
      </c>
      <c r="O101" s="0" t="s">
        <v>396</v>
      </c>
      <c r="P101" s="0" t="s">
        <v>160</v>
      </c>
    </row>
    <row r="102" customFormat="false" ht="15" hidden="false" customHeight="false" outlineLevel="0" collapsed="false">
      <c r="A102" s="0" t="s">
        <v>161</v>
      </c>
      <c r="C102" s="0" t="n">
        <v>10</v>
      </c>
      <c r="D102" s="0" t="s">
        <v>397</v>
      </c>
      <c r="E102" s="0" t="s">
        <v>398</v>
      </c>
      <c r="F102" s="0" t="s">
        <v>287</v>
      </c>
      <c r="G102" s="0" t="s">
        <v>399</v>
      </c>
      <c r="H102" s="0" t="s">
        <v>400</v>
      </c>
      <c r="I102" s="0" t="n">
        <v>11</v>
      </c>
      <c r="J102" s="0" t="s">
        <v>401</v>
      </c>
      <c r="K102" s="0" t="s">
        <v>402</v>
      </c>
      <c r="L102" s="0" t="s">
        <v>156</v>
      </c>
      <c r="M102" s="0" t="s">
        <v>390</v>
      </c>
      <c r="N102" s="0" t="s">
        <v>403</v>
      </c>
      <c r="O102" s="0" t="s">
        <v>404</v>
      </c>
      <c r="P102" s="0" t="s">
        <v>219</v>
      </c>
    </row>
    <row r="103" customFormat="false" ht="15" hidden="false" customHeight="false" outlineLevel="0" collapsed="false">
      <c r="A103" s="0" t="s">
        <v>147</v>
      </c>
      <c r="C103" s="0" t="n">
        <v>8</v>
      </c>
      <c r="D103" s="0" t="s">
        <v>308</v>
      </c>
      <c r="E103" s="0" t="s">
        <v>352</v>
      </c>
      <c r="F103" s="0" t="s">
        <v>405</v>
      </c>
      <c r="G103" s="0" t="s">
        <v>165</v>
      </c>
      <c r="H103" s="0" t="s">
        <v>406</v>
      </c>
      <c r="I103" s="0" t="n">
        <v>7</v>
      </c>
      <c r="J103" s="0" t="s">
        <v>197</v>
      </c>
      <c r="K103" s="0" t="s">
        <v>351</v>
      </c>
      <c r="L103" s="0" t="s">
        <v>407</v>
      </c>
      <c r="M103" s="0" t="s">
        <v>408</v>
      </c>
      <c r="N103" s="0" t="s">
        <v>409</v>
      </c>
      <c r="O103" s="0" t="s">
        <v>332</v>
      </c>
      <c r="P103" s="0" t="s">
        <v>160</v>
      </c>
    </row>
    <row r="104" customFormat="false" ht="15" hidden="false" customHeight="false" outlineLevel="0" collapsed="false">
      <c r="A104" s="0" t="s">
        <v>208</v>
      </c>
      <c r="C104" s="0" t="n">
        <v>0</v>
      </c>
      <c r="I104" s="0" t="n">
        <v>1</v>
      </c>
      <c r="J104" s="0" t="s">
        <v>339</v>
      </c>
      <c r="K104" s="0" t="s">
        <v>410</v>
      </c>
      <c r="L104" s="0" t="s">
        <v>212</v>
      </c>
      <c r="M104" s="0" t="s">
        <v>411</v>
      </c>
      <c r="N104" s="0" t="s">
        <v>412</v>
      </c>
      <c r="O104" s="0" t="s">
        <v>332</v>
      </c>
      <c r="P104" s="0" t="s">
        <v>160</v>
      </c>
    </row>
    <row r="106" customFormat="false" ht="15" hidden="false" customHeight="false" outlineLevel="0" collapsed="false">
      <c r="A106" s="6" t="s">
        <v>413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customFormat="false" ht="15" hidden="false" customHeight="false" outlineLevel="0" collapsed="false">
      <c r="A107" s="3"/>
      <c r="B107" s="3" t="s">
        <v>414</v>
      </c>
      <c r="C107" s="3" t="s">
        <v>415</v>
      </c>
    </row>
    <row r="108" customFormat="false" ht="15" hidden="false" customHeight="false" outlineLevel="0" collapsed="false">
      <c r="A108" s="3" t="s">
        <v>110</v>
      </c>
      <c r="B108" s="4" t="s">
        <v>416</v>
      </c>
      <c r="C108" s="4" t="s">
        <v>417</v>
      </c>
    </row>
    <row r="109" customFormat="false" ht="15" hidden="false" customHeight="false" outlineLevel="0" collapsed="false">
      <c r="A109" s="3" t="s">
        <v>113</v>
      </c>
      <c r="B109" s="4" t="s">
        <v>418</v>
      </c>
      <c r="C109" s="4" t="s">
        <v>419</v>
      </c>
    </row>
    <row r="110" customFormat="false" ht="15" hidden="false" customHeight="false" outlineLevel="0" collapsed="false">
      <c r="A110" s="3" t="s">
        <v>116</v>
      </c>
      <c r="B110" s="4" t="s">
        <v>150</v>
      </c>
      <c r="C110" s="4" t="s">
        <v>342</v>
      </c>
    </row>
    <row r="111" customFormat="false" ht="15" hidden="false" customHeight="false" outlineLevel="0" collapsed="false">
      <c r="A111" s="3" t="s">
        <v>119</v>
      </c>
      <c r="B111" s="4" t="s">
        <v>420</v>
      </c>
      <c r="C111" s="4" t="s">
        <v>421</v>
      </c>
    </row>
    <row r="112" customFormat="false" ht="15" hidden="false" customHeight="false" outlineLevel="0" collapsed="false">
      <c r="A112" s="3" t="s">
        <v>41</v>
      </c>
      <c r="B112" s="4" t="s">
        <v>422</v>
      </c>
      <c r="C112" s="4" t="s">
        <v>423</v>
      </c>
    </row>
    <row r="113" customFormat="false" ht="15" hidden="false" customHeight="false" outlineLevel="0" collapsed="false">
      <c r="A113" s="3" t="s">
        <v>44</v>
      </c>
      <c r="B113" s="4" t="s">
        <v>424</v>
      </c>
      <c r="C113" s="4" t="s">
        <v>425</v>
      </c>
    </row>
    <row r="114" customFormat="false" ht="15" hidden="false" customHeight="false" outlineLevel="0" collapsed="false">
      <c r="A114" s="3" t="s">
        <v>126</v>
      </c>
      <c r="B114" s="4" t="s">
        <v>426</v>
      </c>
      <c r="C114" s="4" t="s">
        <v>427</v>
      </c>
    </row>
    <row r="115" customFormat="false" ht="105" hidden="false" customHeight="true" outlineLevel="0" collapsed="false">
      <c r="A115" s="3" t="s">
        <v>128</v>
      </c>
      <c r="B115" s="4" t="s">
        <v>428</v>
      </c>
      <c r="C115" s="4" t="s">
        <v>429</v>
      </c>
    </row>
    <row r="116" customFormat="false" ht="68.65" hidden="false" customHeight="false" outlineLevel="0" collapsed="false">
      <c r="A116" s="3" t="s">
        <v>52</v>
      </c>
      <c r="B116" s="4" t="s">
        <v>430</v>
      </c>
      <c r="C116" s="4" t="s">
        <v>431</v>
      </c>
    </row>
    <row r="117" customFormat="false" ht="150" hidden="false" customHeight="true" outlineLevel="0" collapsed="false">
      <c r="A117" s="3" t="s">
        <v>55</v>
      </c>
      <c r="B117" s="4" t="s">
        <v>432</v>
      </c>
      <c r="C117" s="4" t="s">
        <v>433</v>
      </c>
    </row>
    <row r="118" customFormat="false" ht="15" hidden="false" customHeight="false" outlineLevel="0" collapsed="false">
      <c r="A118" s="7" t="s">
        <v>58</v>
      </c>
      <c r="B118" s="7" t="s">
        <v>59</v>
      </c>
      <c r="C118" s="7" t="s">
        <v>135</v>
      </c>
      <c r="D118" s="7" t="s">
        <v>136</v>
      </c>
      <c r="E118" s="7" t="s">
        <v>137</v>
      </c>
      <c r="F118" s="7" t="s">
        <v>138</v>
      </c>
      <c r="G118" s="7" t="s">
        <v>139</v>
      </c>
      <c r="H118" s="7" t="s">
        <v>140</v>
      </c>
      <c r="I118" s="7" t="s">
        <v>141</v>
      </c>
      <c r="J118" s="7" t="s">
        <v>142</v>
      </c>
      <c r="K118" s="7" t="s">
        <v>143</v>
      </c>
      <c r="L118" s="7" t="s">
        <v>144</v>
      </c>
      <c r="M118" s="7" t="s">
        <v>145</v>
      </c>
      <c r="N118" s="7" t="s">
        <v>146</v>
      </c>
      <c r="O118" s="7" t="s">
        <v>66</v>
      </c>
      <c r="P118" s="7" t="s">
        <v>67</v>
      </c>
    </row>
    <row r="119" customFormat="false" ht="15" hidden="false" customHeight="false" outlineLevel="0" collapsed="false">
      <c r="A119" s="0" t="s">
        <v>184</v>
      </c>
      <c r="B119" s="0" t="s">
        <v>250</v>
      </c>
      <c r="C119" s="0" t="n">
        <v>24</v>
      </c>
      <c r="D119" s="0" t="s">
        <v>434</v>
      </c>
      <c r="E119" s="0" t="s">
        <v>294</v>
      </c>
      <c r="F119" s="0" t="s">
        <v>435</v>
      </c>
      <c r="G119" s="0" t="s">
        <v>436</v>
      </c>
      <c r="H119" s="0" t="s">
        <v>437</v>
      </c>
      <c r="I119" s="0" t="n">
        <v>18</v>
      </c>
      <c r="J119" s="0" t="s">
        <v>438</v>
      </c>
      <c r="K119" s="0" t="s">
        <v>439</v>
      </c>
      <c r="L119" s="0" t="s">
        <v>440</v>
      </c>
      <c r="M119" s="0" t="s">
        <v>441</v>
      </c>
      <c r="N119" s="0" t="s">
        <v>442</v>
      </c>
      <c r="O119" s="0" t="s">
        <v>443</v>
      </c>
      <c r="P119" s="0" t="s">
        <v>160</v>
      </c>
    </row>
    <row r="120" customFormat="false" ht="15" hidden="false" customHeight="false" outlineLevel="0" collapsed="false">
      <c r="A120" s="0" t="s">
        <v>195</v>
      </c>
      <c r="B120" s="0" t="s">
        <v>76</v>
      </c>
      <c r="C120" s="0" t="n">
        <v>16</v>
      </c>
      <c r="D120" s="0" t="s">
        <v>444</v>
      </c>
      <c r="E120" s="0" t="s">
        <v>150</v>
      </c>
      <c r="F120" s="0" t="s">
        <v>316</v>
      </c>
      <c r="G120" s="0" t="s">
        <v>445</v>
      </c>
      <c r="H120" s="0" t="s">
        <v>446</v>
      </c>
      <c r="I120" s="0" t="n">
        <v>19</v>
      </c>
      <c r="J120" s="0" t="s">
        <v>447</v>
      </c>
      <c r="K120" s="0" t="s">
        <v>448</v>
      </c>
      <c r="L120" s="0" t="s">
        <v>449</v>
      </c>
      <c r="M120" s="0" t="s">
        <v>405</v>
      </c>
      <c r="N120" s="0" t="s">
        <v>450</v>
      </c>
      <c r="O120" s="0" t="s">
        <v>207</v>
      </c>
      <c r="P120" s="0" t="s">
        <v>160</v>
      </c>
    </row>
    <row r="121" customFormat="false" ht="15" hidden="false" customHeight="false" outlineLevel="0" collapsed="false">
      <c r="A121" s="0" t="s">
        <v>174</v>
      </c>
      <c r="B121" s="0" t="s">
        <v>451</v>
      </c>
      <c r="C121" s="0" t="n">
        <v>22</v>
      </c>
      <c r="D121" s="0" t="s">
        <v>452</v>
      </c>
      <c r="E121" s="0" t="s">
        <v>453</v>
      </c>
      <c r="F121" s="0" t="s">
        <v>454</v>
      </c>
      <c r="G121" s="0" t="s">
        <v>455</v>
      </c>
      <c r="H121" s="0" t="s">
        <v>456</v>
      </c>
      <c r="I121" s="0" t="n">
        <v>17</v>
      </c>
      <c r="J121" s="0" t="s">
        <v>457</v>
      </c>
      <c r="K121" s="0" t="s">
        <v>458</v>
      </c>
      <c r="L121" s="0" t="s">
        <v>459</v>
      </c>
      <c r="M121" s="0" t="s">
        <v>460</v>
      </c>
      <c r="N121" s="0" t="s">
        <v>461</v>
      </c>
      <c r="O121" s="0" t="s">
        <v>462</v>
      </c>
      <c r="P121" s="0" t="s">
        <v>463</v>
      </c>
    </row>
    <row r="122" customFormat="false" ht="15" hidden="false" customHeight="false" outlineLevel="0" collapsed="false">
      <c r="A122" s="0" t="s">
        <v>161</v>
      </c>
      <c r="B122" s="0" t="s">
        <v>325</v>
      </c>
      <c r="C122" s="0" t="n">
        <v>17</v>
      </c>
      <c r="D122" s="0" t="s">
        <v>457</v>
      </c>
      <c r="E122" s="0" t="s">
        <v>464</v>
      </c>
      <c r="F122" s="0" t="s">
        <v>465</v>
      </c>
      <c r="G122" s="0" t="s">
        <v>178</v>
      </c>
      <c r="H122" s="0" t="s">
        <v>466</v>
      </c>
      <c r="I122" s="0" t="n">
        <v>20</v>
      </c>
      <c r="J122" s="0" t="s">
        <v>467</v>
      </c>
      <c r="K122" s="0" t="s">
        <v>191</v>
      </c>
      <c r="L122" s="0" t="s">
        <v>468</v>
      </c>
      <c r="M122" s="0" t="s">
        <v>177</v>
      </c>
      <c r="N122" s="0" t="s">
        <v>469</v>
      </c>
      <c r="O122" s="0" t="s">
        <v>470</v>
      </c>
      <c r="P122" s="0" t="s">
        <v>219</v>
      </c>
    </row>
    <row r="123" customFormat="false" ht="15" hidden="false" customHeight="false" outlineLevel="0" collapsed="false">
      <c r="A123" s="0" t="s">
        <v>147</v>
      </c>
      <c r="B123" s="0" t="s">
        <v>471</v>
      </c>
      <c r="C123" s="0" t="n">
        <v>13</v>
      </c>
      <c r="D123" s="0" t="s">
        <v>472</v>
      </c>
      <c r="E123" s="0" t="s">
        <v>155</v>
      </c>
      <c r="F123" s="0" t="s">
        <v>473</v>
      </c>
      <c r="G123" s="0" t="s">
        <v>474</v>
      </c>
      <c r="H123" s="0" t="s">
        <v>475</v>
      </c>
      <c r="I123" s="0" t="n">
        <v>11</v>
      </c>
      <c r="J123" s="0" t="s">
        <v>401</v>
      </c>
      <c r="K123" s="0" t="s">
        <v>439</v>
      </c>
      <c r="L123" s="0" t="s">
        <v>296</v>
      </c>
      <c r="M123" s="0" t="s">
        <v>378</v>
      </c>
      <c r="N123" s="0" t="s">
        <v>476</v>
      </c>
      <c r="O123" s="0" t="s">
        <v>404</v>
      </c>
      <c r="P123" s="0" t="s">
        <v>219</v>
      </c>
    </row>
    <row r="124" customFormat="false" ht="15" hidden="false" customHeight="false" outlineLevel="0" collapsed="false">
      <c r="A124" s="0" t="s">
        <v>208</v>
      </c>
      <c r="B124" s="0" t="s">
        <v>471</v>
      </c>
      <c r="C124" s="0" t="n">
        <v>11</v>
      </c>
      <c r="D124" s="0" t="s">
        <v>373</v>
      </c>
      <c r="E124" s="0" t="s">
        <v>329</v>
      </c>
      <c r="F124" s="0" t="s">
        <v>477</v>
      </c>
      <c r="G124" s="0" t="s">
        <v>478</v>
      </c>
      <c r="H124" s="0" t="s">
        <v>479</v>
      </c>
      <c r="I124" s="0" t="n">
        <v>0</v>
      </c>
      <c r="O124" s="0" t="s">
        <v>89</v>
      </c>
      <c r="P124" s="0" t="s">
        <v>160</v>
      </c>
    </row>
    <row r="125" customFormat="false" ht="15" hidden="false" customHeight="false" outlineLevel="0" collapsed="false">
      <c r="A125" s="0" t="s">
        <v>338</v>
      </c>
      <c r="C125" s="0" t="n">
        <v>0</v>
      </c>
      <c r="I125" s="0" t="n">
        <v>12</v>
      </c>
      <c r="J125" s="0" t="s">
        <v>480</v>
      </c>
      <c r="K125" s="0" t="s">
        <v>366</v>
      </c>
      <c r="L125" s="0" t="s">
        <v>411</v>
      </c>
      <c r="M125" s="0" t="s">
        <v>481</v>
      </c>
      <c r="N125" s="0" t="s">
        <v>482</v>
      </c>
      <c r="O125" s="0" t="s">
        <v>244</v>
      </c>
      <c r="P125" s="0" t="s">
        <v>160</v>
      </c>
    </row>
  </sheetData>
  <mergeCells count="7">
    <mergeCell ref="A2:L2"/>
    <mergeCell ref="A4:P4"/>
    <mergeCell ref="A24:P24"/>
    <mergeCell ref="A44:P44"/>
    <mergeCell ref="A64:P64"/>
    <mergeCell ref="A85:P85"/>
    <mergeCell ref="A106:P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483</v>
      </c>
    </row>
    <row r="2" customFormat="false" ht="15" hidden="false" customHeight="false" outlineLevel="0" collapsed="false">
      <c r="A2" s="3" t="s">
        <v>484</v>
      </c>
      <c r="B2" s="8" t="s">
        <v>485</v>
      </c>
    </row>
    <row r="4" customFormat="false" ht="15" hidden="false" customHeight="false" outlineLevel="0" collapsed="false">
      <c r="A4" s="3" t="s">
        <v>486</v>
      </c>
      <c r="B4" s="0" t="str">
        <f aca="false">IFERROR(IF(INDEX(Matches!$E$5:$E$10,MATCH($B$2,Matches!$A$5:$A$10,0))="","",INDEX(Matches!$E$5:$E$10,MATCH($B$2,Matches!$A$5:$A$10,0))),"")&amp;"  vs  "&amp;IFERROR(IF(INDEX(Matches!$F$5:$F$10,MATCH($B$2,Matches!$A$5:$A$10,0))="","",INDEX(Matches!$F$5:$F$10,MATCH($B$2,Matches!$A$5:$A$10,0))),"")</f>
        <v>BIG (BIG)  vs  MongolZ (MGLZ)</v>
      </c>
      <c r="D4" s="3" t="s">
        <v>487</v>
      </c>
      <c r="E4" s="0" t="str">
        <f aca="false">IFERROR(IF(INDEX(Matches!$C$5:$C$10,MATCH($B$2,Matches!$A$5:$A$10,0))="","",INDEX(Matches!$C$5:$C$10,MATCH($B$2,Matches!$A$5:$A$10,0))),"")</f>
        <v>Thu 06:00</v>
      </c>
      <c r="G4" s="3" t="s">
        <v>488</v>
      </c>
      <c r="H4" s="9" t="n">
        <f aca="false">IFERROR(IF(INDEX(Matches!$D$5:$D$10,MATCH($B$2,Matches!$A$5:$A$10,0))="","",INDEX(Matches!$D$5:$D$10,MATCH($B$2,Matches!$A$5:$A$10,0))),"")</f>
        <v>3</v>
      </c>
    </row>
    <row r="5" customFormat="false" ht="15" hidden="false" customHeight="false" outlineLevel="0" collapsed="false">
      <c r="A5" s="3" t="s">
        <v>489</v>
      </c>
      <c r="B5" s="10" t="n">
        <f aca="false">IFERROR(IF(INDEX(Matches!$G$5:$G$10,MATCH($B$2,Matches!$A$5:$A$10,0))="","",INDEX(Matches!$G$5:$G$10,MATCH($B$2,Matches!$A$5:$A$10,0))),"")</f>
        <v>0.481081081081081</v>
      </c>
      <c r="D5" s="3" t="s">
        <v>490</v>
      </c>
      <c r="E5" s="10" t="n">
        <f aca="false">IFERROR(IF(INDEX(Matches!$H$5:$H$10,MATCH($B$2,Matches!$A$5:$A$10,0))="","",INDEX(Matches!$H$5:$H$10,MATCH($B$2,Matches!$A$5:$A$10,0))),"")</f>
        <v>0.226002519292152</v>
      </c>
      <c r="G5" s="3" t="s">
        <v>491</v>
      </c>
      <c r="H5" s="10" t="n">
        <f aca="false">IFERROR(IF(INDEX(Matches!$I$5:$I$10,MATCH($B$2,Matches!$A$5:$A$10,0))="","",INDEX(Matches!$I$5:$I$10,MATCH($B$2,Matches!$A$5:$A$10,0))),"")</f>
        <v>0.268377991659431</v>
      </c>
    </row>
    <row r="6" customFormat="false" ht="15" hidden="false" customHeight="false" outlineLevel="0" collapsed="false">
      <c r="A6" s="3" t="s">
        <v>492</v>
      </c>
      <c r="B6" s="10" t="n">
        <f aca="false">IFERROR(IF(INDEX(Matches!$J$5:$J$10,MATCH($B$2,Matches!$A$5:$A$10,0))="","",INDEX(Matches!$J$5:$J$10,MATCH($B$2,Matches!$A$5:$A$10,0))),"")</f>
        <v>0.505619489048417</v>
      </c>
      <c r="D6" s="3" t="s">
        <v>493</v>
      </c>
      <c r="E6" s="0" t="str">
        <f aca="false">IFERROR(IF(INDEX(Matches!$K$5:$K$10,MATCH($B$2,Matches!$A$5:$A$10,0))="","",INDEX(Matches!$K$5:$K$10,MATCH($B$2,Matches!$A$5:$A$10,0))),"")</f>
        <v>Inferno 32%</v>
      </c>
      <c r="G6" s="3" t="s">
        <v>494</v>
      </c>
      <c r="H6" s="0" t="str">
        <f aca="false">IFERROR(IF(INDEX(Matches!$L$5:$L$10,MATCH($B$2,Matches!$A$5:$A$10,0))="","",INDEX(Matches!$L$5:$L$10,MATCH($B$2,Matches!$A$5:$A$10,0))),"")</f>
        <v>Cache 26%</v>
      </c>
    </row>
    <row r="7" customFormat="false" ht="15" hidden="false" customHeight="false" outlineLevel="0" collapsed="false">
      <c r="A7" s="3" t="s">
        <v>495</v>
      </c>
      <c r="B7" s="11" t="n">
        <f aca="false">IFERROR(IF(INDEX(Matches!$O$5:$O$10,MATCH($B$2,Matches!$A$5:$A$10,0))="","",INDEX(Matches!$O$5:$O$10,MATCH($B$2,Matches!$A$5:$A$10,0))),"")</f>
        <v>21.5</v>
      </c>
      <c r="D7" s="3" t="s">
        <v>496</v>
      </c>
      <c r="E7" s="11" t="n">
        <f aca="false">IFERROR(IF(INDEX(Matches!$P$5:$P$10,MATCH($B$2,Matches!$A$5:$A$10,0))="","",INDEX(Matches!$P$5:$P$10,MATCH($B$2,Matches!$A$5:$A$10,0))),"")</f>
        <v>21.5</v>
      </c>
      <c r="G7" s="3" t="s">
        <v>497</v>
      </c>
      <c r="H7" s="10" t="n">
        <f aca="false">IFERROR(IF(INDEX(Matches!$R$5:$R$10,MATCH($B$2,Matches!$A$5:$A$10,0))="","",INDEX(Matches!$R$5:$R$10,MATCH($B$2,Matches!$A$5:$A$10,0))),"")</f>
        <v>0.159420289855073</v>
      </c>
    </row>
    <row r="8" customFormat="false" ht="15" hidden="false" customHeight="false" outlineLevel="0" collapsed="false">
      <c r="A8" s="3" t="s">
        <v>498</v>
      </c>
      <c r="B8" s="11" t="n">
        <f aca="false">IFERROR(IF(INDEX(Matches!$S$5:$S$10,MATCH($B$2,Matches!$A$5:$A$10,0))="","",INDEX(Matches!$S$5:$S$10,MATCH($B$2,Matches!$A$5:$A$10,0))),"")</f>
        <v>-0.996875000000002</v>
      </c>
      <c r="D8" s="3" t="s">
        <v>499</v>
      </c>
      <c r="E8" s="11" t="n">
        <f aca="false">IFERROR(IF(INDEX(Matches!$T$5:$T$10,MATCH($B$2,Matches!$A$5:$A$10,0))="","",INDEX(Matches!$T$5:$T$10,MATCH($B$2,Matches!$A$5:$A$10,0))),"")</f>
        <v>12.5</v>
      </c>
      <c r="G8" s="3" t="s">
        <v>500</v>
      </c>
      <c r="H8" s="11" t="str">
        <f aca="false">IFERROR(IF(INDEX(Matches!$U$5:$U$10,MATCH($B$2,Matches!$A$5:$A$10,0))="","",INDEX(Matches!$U$5:$U$10,MATCH($B$2,Matches!$A$5:$A$10,0))),"")</f>
        <v/>
      </c>
    </row>
    <row r="9" customFormat="false" ht="15" hidden="false" customHeight="false" outlineLevel="0" collapsed="false">
      <c r="A9" s="3" t="s">
        <v>501</v>
      </c>
      <c r="B9" s="11" t="n">
        <f aca="false">IFERROR(IF(INDEX(Matches!$AN$5:$AN$10,MATCH($B$2,Matches!$A$5:$A$10,0))="","",INDEX(Matches!$AN$5:$AN$10,MATCH($B$2,Matches!$A$5:$A$10,0))),"")</f>
        <v>19.925104</v>
      </c>
      <c r="D9" s="3" t="s">
        <v>502</v>
      </c>
      <c r="E9" s="11" t="n">
        <f aca="false">IFERROR(IF(INDEX(Matches!$AO$5:$AO$10,MATCH($B$2,Matches!$A$5:$A$10,0))="","",INDEX(Matches!$AO$5:$AO$10,MATCH($B$2,Matches!$A$5:$A$10,0))),"")</f>
        <v>-1.182704</v>
      </c>
      <c r="G9" s="3" t="s">
        <v>503</v>
      </c>
      <c r="H9" s="0" t="str">
        <f aca="false">IF(IFERROR(IF(INDEX(Matches!$AI$5:$AI$10,MATCH($B$2,Matches!$A$5:$A$10,0))="","",INDEX(Matches!$AI$5:$AI$10,MATCH($B$2,Matches!$A$5:$A$10,0))),"")="","",TEXT(IFERROR(IF(INDEX(Matches!$AI$5:$AI$10,MATCH($B$2,Matches!$A$5:$A$10,0))="","",INDEX(Matches!$AI$5:$AI$10,MATCH($B$2,Matches!$A$5:$A$10,0))),""),"0%")&amp;" / "&amp;TEXT(IFERROR(IF(INDEX(Matches!$AJ$5:$AJ$10,MATCH($B$2,Matches!$A$5:$A$10,0))="","",INDEX(Matches!$AJ$5:$AJ$10,MATCH($B$2,Matches!$A$5:$A$10,0))),""),"0%"))</f>
        <v>52% / 50%</v>
      </c>
    </row>
    <row r="10" customFormat="false" ht="15" hidden="false" customHeight="false" outlineLevel="0" collapsed="false">
      <c r="A10" s="3" t="s">
        <v>504</v>
      </c>
      <c r="B10" s="0" t="str">
        <f aca="false">"Map 1: "&amp;IFERROR(IF(INDEX(Matches!$W$5:$W$10,MATCH($B$2,Matches!$A$5:$A$10,0))="","",INDEX(Matches!$W$5:$W$10,MATCH($B$2,Matches!$A$5:$A$10,0))),"")&amp;"   ·   Map 2: "&amp;IFERROR(IF(INDEX(Matches!$X$5:$X$10,MATCH($B$2,Matches!$A$5:$A$10,0))="","",INDEX(Matches!$X$5:$X$10,MATCH($B$2,Matches!$A$5:$A$10,0))),"")&amp;IF(IFERROR(IF(INDEX(Matches!$Y$5:$Y$10,MATCH($B$2,Matches!$A$5:$A$10,0))="","",INDEX(Matches!$Y$5:$Y$10,MATCH($B$2,Matches!$A$5:$A$10,0))),"")="","","   ·   Map 3: "&amp;IFERROR(IF(INDEX(Matches!$Y$5:$Y$10,MATCH($B$2,Matches!$A$5:$A$10,0))="","",INDEX(Matches!$Y$5:$Y$10,MATCH($B$2,Matches!$A$5:$A$10,0))),""))</f>
        <v>Map 1: Inferno   ·   Map 2: Cache   ·   Map 3: Mirage</v>
      </c>
    </row>
    <row r="11" customFormat="false" ht="15" hidden="false" customHeight="false" outlineLevel="0" collapsed="false">
      <c r="B11" s="0" t="str">
        <f aca="false">"Rounds: "&amp;TEXT(IFERROR(IF(INDEX(Matches!$Z$5:$Z$10,MATCH($B$2,Matches!$A$5:$A$10,0))="","",INDEX(Matches!$Z$5:$Z$10,MATCH($B$2,Matches!$A$5:$A$10,0))),""),"0.0")&amp;" / "&amp;TEXT(IFERROR(IF(INDEX(Matches!$AA$5:$AA$10,MATCH($B$2,Matches!$A$5:$A$10,0))="","",INDEX(Matches!$AA$5:$AA$10,MATCH($B$2,Matches!$A$5:$A$10,0))),""),"0.0")&amp;IF(IFERROR(IF(INDEX(Matches!$AB$5:$AB$10,MATCH($B$2,Matches!$A$5:$A$10,0))="","",INDEX(Matches!$AB$5:$AB$10,MATCH($B$2,Matches!$A$5:$A$10,0))),"")="",""," / "&amp;TEXT(IFERROR(IF(INDEX(Matches!$AB$5:$AB$10,MATCH($B$2,Matches!$A$5:$A$10,0))="","",INDEX(Matches!$AB$5:$AB$10,MATCH($B$2,Matches!$A$5:$A$10,0))),""),"0.0"))&amp;"   ·   P(map 3) "&amp;TEXT(IFERROR(IF(INDEX(Matches!$AC$5:$AC$10,MATCH($B$2,Matches!$A$5:$A$10,0))="","",INDEX(Matches!$AC$5:$AC$10,MATCH($B$2,Matches!$A$5:$A$10,0))),""),"0%")</f>
        <v>Rounds: 21.5 / 21.5 / 21.5   ·   P(map 3) 51%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"&amp;(MATCH($B$2,Matches!$A$5:$A$10,0)+4)&amp;"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505</v>
      </c>
      <c r="B14" s="12" t="s">
        <v>506</v>
      </c>
      <c r="C14" s="12" t="s">
        <v>507</v>
      </c>
      <c r="D14" s="12" t="s">
        <v>508</v>
      </c>
      <c r="E14" s="12" t="s">
        <v>509</v>
      </c>
      <c r="F14" s="12" t="s">
        <v>510</v>
      </c>
      <c r="G14" s="12" t="s">
        <v>511</v>
      </c>
      <c r="H14" s="12" t="s">
        <v>512</v>
      </c>
      <c r="I14" s="12" t="s">
        <v>513</v>
      </c>
      <c r="J14" s="12" t="s">
        <v>514</v>
      </c>
      <c r="K14" s="12" t="s">
        <v>515</v>
      </c>
      <c r="L14" s="12" t="s">
        <v>516</v>
      </c>
      <c r="M14" s="12" t="s">
        <v>517</v>
      </c>
      <c r="N14" s="12" t="s">
        <v>518</v>
      </c>
      <c r="O14" s="12" t="s">
        <v>519</v>
      </c>
      <c r="P14" s="12" t="s">
        <v>520</v>
      </c>
      <c r="Q14" s="12" t="s">
        <v>521</v>
      </c>
      <c r="R14" s="12" t="s">
        <v>522</v>
      </c>
      <c r="S14" s="12" t="s">
        <v>523</v>
      </c>
      <c r="T14" s="12" t="s">
        <v>524</v>
      </c>
      <c r="U14" s="12"/>
      <c r="V14" s="12" t="s">
        <v>525</v>
      </c>
    </row>
    <row r="15" customFormat="false" ht="15" hidden="false" customHeight="false" outlineLevel="0" collapsed="false">
      <c r="A15" s="0" t="str">
        <f aca="false">IF($V15="","",INDEX(Calc!$D$2:$D$42,$V15))</f>
        <v>MGLZ</v>
      </c>
      <c r="B15" s="0" t="str">
        <f aca="false">IF($V15="","",INDEX(Calc!$E$2:$E$42,$V15))</f>
        <v>910</v>
      </c>
      <c r="C15" s="13" t="n">
        <f aca="false">IF($V15="","",INDEX(Calc!$T$2:$T$42,$V15))</f>
        <v>0.786666666666667</v>
      </c>
      <c r="D15" s="13" t="n">
        <f aca="false">IF($V15="","",INDEX(Calc!$AA$2:$AA$42,$V15))</f>
        <v>0.802857142857143</v>
      </c>
      <c r="E15" s="11" t="n">
        <f aca="false">IF($V15="","",INDEX(Calc!$V$2:$V$42,$V15))</f>
        <v>16.9133333333333</v>
      </c>
      <c r="F15" s="11" t="n">
        <f aca="false">IF($V15="","",INDEX(Calc!$AC$2:$AC$42,$V15))</f>
        <v>17.2614285714286</v>
      </c>
      <c r="G15" s="11" t="n">
        <f aca="false">IF($V15="","",INDEX(Calc!$AL$2:$AL$42,$V15))</f>
        <v>34.1747619047619</v>
      </c>
      <c r="H15" s="13" t="n">
        <f aca="false">IF($V15="","",INDEX(Calc!$BK$2:$BK$42,$V15))</f>
        <v>1.00586377530041</v>
      </c>
      <c r="I15" s="11" t="n">
        <f aca="false">IF($V15="","",INDEX(Calc!$BD$2:$BD$42,$V15))</f>
        <v>34.3751550295163</v>
      </c>
      <c r="J15" s="9" t="n">
        <f aca="false">IF($V15="","",IFERROR(INDEX(Projections!$F$2:$F$73,MATCH(INDEX(Calc!$A$2:$A$42,$V15)&amp;"|K12",Projections!$Y$2:$Y$73,0)),""))</f>
        <v>32.5</v>
      </c>
      <c r="K15" s="10" t="n">
        <f aca="false">IF($V15="","",IFERROR(INDEX(Projections!$I$2:$I$73,MATCH(INDEX(Calc!$A$2:$A$42,$V15)&amp;"|K12",Projections!$Y$2:$Y$73,0)),""))</f>
        <v>0.595657627837363</v>
      </c>
      <c r="L15" s="10" t="n">
        <f aca="false">IF($V15="","",IFERROR(INDEX(Projections!$AB$2:$AB$73,MATCH(INDEX(Calc!$A$2:$A$42,$V15)&amp;"|K12",Projections!$Y$2:$Y$73,0)),""))</f>
        <v>0.606536412286651</v>
      </c>
      <c r="M15" s="9" t="n">
        <f aca="false">IF($V15="","",IFERROR(INDEX(Projections!$M$2:$M$73,MATCH(INDEX(Calc!$A$2:$A$42,$V15)&amp;"|K12",Projections!$Y$2:$Y$73,0)),""))</f>
        <v>0</v>
      </c>
      <c r="N15" s="10" t="n">
        <f aca="false">IF($V15="","",IFERROR(INDEX(Projections!$P$2:$P$73,MATCH(INDEX(Calc!$A$2:$A$42,$V15)&amp;"|K12",Projections!$Y$2:$Y$73,0)),""))</f>
        <v>0.7</v>
      </c>
      <c r="O15" s="10" t="n">
        <f aca="false">IF($V15="","",INDEX(Calc!$AP$2:$AP$42,$V15))</f>
        <v>0.346819994864333</v>
      </c>
      <c r="P15" s="11" t="n">
        <f aca="false">IF($V15="","",INDEX(Calc!$AN$2:$AN$42,$V15))</f>
        <v>11.8524907482993</v>
      </c>
      <c r="Q15" s="9" t="n">
        <f aca="false">IF($V15="","",IFERROR(INDEX(Projections!$F$2:$F$73,MATCH(INDEX(Calc!$A$2:$A$42,$V15)&amp;"|H12",Projections!$Y$2:$Y$73,0)),""))</f>
        <v>11.5</v>
      </c>
      <c r="R15" s="10" t="n">
        <f aca="false">IF($V15="","",IFERROR(INDEX(Projections!$I$2:$I$73,MATCH(INDEX(Calc!$A$2:$A$42,$V15)&amp;"|H12",Projections!$Y$2:$Y$73,0)),""))</f>
        <v>0.538218799469979</v>
      </c>
      <c r="S15" s="9" t="n">
        <f aca="false">IF($V15="","",INDEX(Calc!$N$2:$N$42,$V15))</f>
        <v>34</v>
      </c>
      <c r="T15" s="0" t="str">
        <f aca="false">IF($V15="","",INDEX(Calc!$AQ$2:$AQ$42,$V15))</f>
        <v/>
      </c>
      <c r="V15" s="9" t="n">
        <f aca="false">IFERROR(MATCH(1,Calc!$AR$2:$AR$42,0),"")</f>
        <v>16</v>
      </c>
    </row>
    <row r="16" customFormat="false" ht="15" hidden="false" customHeight="false" outlineLevel="0" collapsed="false">
      <c r="A16" s="0" t="str">
        <f aca="false">IF($V16="","",INDEX(Calc!$D$2:$D$42,$V16))</f>
        <v>BIG</v>
      </c>
      <c r="B16" s="0" t="str">
        <f aca="false">IF($V16="","",INDEX(Calc!$E$2:$E$42,$V16))</f>
        <v>blameF</v>
      </c>
      <c r="C16" s="13" t="n">
        <f aca="false">IF($V16="","",INDEX(Calc!$T$2:$T$42,$V16))</f>
        <v>0.695</v>
      </c>
      <c r="D16" s="13" t="n">
        <f aca="false">IF($V16="","",INDEX(Calc!$AA$2:$AA$42,$V16))</f>
        <v>0.75</v>
      </c>
      <c r="E16" s="11" t="n">
        <f aca="false">IF($V16="","",INDEX(Calc!$V$2:$V$42,$V16))</f>
        <v>14.9425</v>
      </c>
      <c r="F16" s="11" t="n">
        <f aca="false">IF($V16="","",INDEX(Calc!$AC$2:$AC$42,$V16))</f>
        <v>16.125</v>
      </c>
      <c r="G16" s="11" t="n">
        <f aca="false">IF($V16="","",INDEX(Calc!$AL$2:$AL$42,$V16))</f>
        <v>31.0675</v>
      </c>
      <c r="H16" s="13" t="n">
        <f aca="false">IF($V16="","",INDEX(Calc!$BK$2:$BK$42,$V16))</f>
        <v>0.97690373740627</v>
      </c>
      <c r="I16" s="11" t="n">
        <f aca="false">IF($V16="","",INDEX(Calc!$BD$2:$BD$42,$V16))</f>
        <v>30.3499568618693</v>
      </c>
      <c r="J16" s="9" t="n">
        <f aca="false">IF($V16="","",IFERROR(INDEX(Projections!$F$2:$F$73,MATCH(INDEX(Calc!$A$2:$A$42,$V16)&amp;"|K12",Projections!$Y$2:$Y$73,0)),""))</f>
        <v>32.5</v>
      </c>
      <c r="K16" s="10" t="n">
        <f aca="false">IF($V16="","",IFERROR(INDEX(Projections!$I$2:$I$73,MATCH(INDEX(Calc!$A$2:$A$42,$V16)&amp;"|K12",Projections!$Y$2:$Y$73,0)),""))</f>
        <v>0.414022805112235</v>
      </c>
      <c r="L16" s="10" t="n">
        <f aca="false">IF($V16="","",IFERROR(INDEX(Projections!$AB$2:$AB$73,MATCH(INDEX(Calc!$A$2:$A$42,$V16)&amp;"|K12",Projections!$Y$2:$Y$73,0)),""))</f>
        <v>0.370760202659982</v>
      </c>
      <c r="M16" s="9" t="n">
        <f aca="false">IF($V16="","",IFERROR(INDEX(Projections!$M$2:$M$73,MATCH(INDEX(Calc!$A$2:$A$42,$V16)&amp;"|K12",Projections!$Y$2:$Y$73,0)),""))</f>
        <v>0</v>
      </c>
      <c r="N16" s="10" t="n">
        <f aca="false">IF($V16="","",IFERROR(INDEX(Projections!$P$2:$P$73,MATCH(INDEX(Calc!$A$2:$A$42,$V16)&amp;"|K12",Projections!$Y$2:$Y$73,0)),""))</f>
        <v>0.6</v>
      </c>
      <c r="O16" s="10" t="n">
        <f aca="false">IF($V16="","",INDEX(Calc!$AP$2:$AP$42,$V16))</f>
        <v>0.467468281430219</v>
      </c>
      <c r="P16" s="11" t="n">
        <f aca="false">IF($V16="","",INDEX(Calc!$AN$2:$AN$42,$V16))</f>
        <v>14.5230708333333</v>
      </c>
      <c r="Q16" s="9" t="n">
        <f aca="false">IF($V16="","",IFERROR(INDEX(Projections!$F$2:$F$73,MATCH(INDEX(Calc!$A$2:$A$42,$V16)&amp;"|H12",Projections!$Y$2:$Y$73,0)),""))</f>
        <v>15.5</v>
      </c>
      <c r="R16" s="10" t="n">
        <f aca="false">IF($V16="","",IFERROR(INDEX(Projections!$I$2:$I$73,MATCH(INDEX(Calc!$A$2:$A$42,$V16)&amp;"|H12",Projections!$Y$2:$Y$73,0)),""))</f>
        <v>0.40699028493831</v>
      </c>
      <c r="S16" s="9" t="n">
        <f aca="false">IF($V16="","",INDEX(Calc!$N$2:$N$42,$V16))</f>
        <v>37</v>
      </c>
      <c r="T16" s="0" t="str">
        <f aca="false">IF($V16="","",INDEX(Calc!$AQ$2:$AQ$42,$V16))</f>
        <v/>
      </c>
      <c r="V16" s="9" t="n">
        <f aca="false">IFERROR(MATCH(2,Calc!$AR$2:$AR$42,0),"")</f>
        <v>11</v>
      </c>
    </row>
    <row r="17" customFormat="false" ht="15" hidden="false" customHeight="false" outlineLevel="0" collapsed="false">
      <c r="A17" s="0" t="str">
        <f aca="false">IF($V17="","",INDEX(Calc!$D$2:$D$42,$V17))</f>
        <v>MGLZ</v>
      </c>
      <c r="B17" s="0" t="str">
        <f aca="false">IF($V17="","",INDEX(Calc!$E$2:$E$42,$V17))</f>
        <v>cobrazera</v>
      </c>
      <c r="C17" s="13" t="n">
        <f aca="false">IF($V17="","",INDEX(Calc!$T$2:$T$42,$V17))</f>
        <v>0.734615384615385</v>
      </c>
      <c r="D17" s="13" t="n">
        <f aca="false">IF($V17="","",INDEX(Calc!$AA$2:$AA$42,$V17))</f>
        <v>0.703333333333333</v>
      </c>
      <c r="E17" s="11" t="n">
        <f aca="false">IF($V17="","",INDEX(Calc!$V$2:$V$42,$V17))</f>
        <v>15.7942307692308</v>
      </c>
      <c r="F17" s="11" t="n">
        <f aca="false">IF($V17="","",INDEX(Calc!$AC$2:$AC$42,$V17))</f>
        <v>15.1216666666667</v>
      </c>
      <c r="G17" s="11" t="n">
        <f aca="false">IF($V17="","",INDEX(Calc!$AL$2:$AL$42,$V17))</f>
        <v>30.9158974358974</v>
      </c>
      <c r="H17" s="13" t="n">
        <f aca="false">IF($V17="","",INDEX(Calc!$BK$2:$BK$42,$V17))</f>
        <v>1.00641907273744</v>
      </c>
      <c r="I17" s="11" t="n">
        <f aca="false">IF($V17="","",INDEX(Calc!$BD$2:$BD$42,$V17))</f>
        <v>31.1143488302817</v>
      </c>
      <c r="J17" s="9" t="n">
        <f aca="false">IF($V17="","",IFERROR(INDEX(Projections!$F$2:$F$73,MATCH(INDEX(Calc!$A$2:$A$42,$V17)&amp;"|K12",Projections!$Y$2:$Y$73,0)),""))</f>
        <v>30.5</v>
      </c>
      <c r="K17" s="10" t="n">
        <f aca="false">IF($V17="","",IFERROR(INDEX(Projections!$I$2:$I$73,MATCH(INDEX(Calc!$A$2:$A$42,$V17)&amp;"|K12",Projections!$Y$2:$Y$73,0)),""))</f>
        <v>0.525202996210056</v>
      </c>
      <c r="L17" s="10" t="n">
        <f aca="false">IF($V17="","",IFERROR(INDEX(Projections!$AB$2:$AB$73,MATCH(INDEX(Calc!$A$2:$A$42,$V17)&amp;"|K12",Projections!$Y$2:$Y$73,0)),""))</f>
        <v>0.537081213091097</v>
      </c>
      <c r="M17" s="9" t="n">
        <f aca="false">IF($V17="","",IFERROR(INDEX(Projections!$M$2:$M$73,MATCH(INDEX(Calc!$A$2:$A$42,$V17)&amp;"|K12",Projections!$Y$2:$Y$73,0)),""))</f>
        <v>0</v>
      </c>
      <c r="N17" s="10" t="n">
        <f aca="false">IF($V17="","",IFERROR(INDEX(Projections!$P$2:$P$73,MATCH(INDEX(Calc!$A$2:$A$42,$V17)&amp;"|K12",Projections!$Y$2:$Y$73,0)),""))</f>
        <v>0.6</v>
      </c>
      <c r="O17" s="10" t="n">
        <f aca="false">IF($V17="","",INDEX(Calc!$AP$2:$AP$42,$V17))</f>
        <v>0.585998475163686</v>
      </c>
      <c r="P17" s="11" t="n">
        <f aca="false">IF($V17="","",INDEX(Calc!$AN$2:$AN$42,$V17))</f>
        <v>18.1166687557528</v>
      </c>
      <c r="Q17" s="9" t="n">
        <f aca="false">IF($V17="","",IFERROR(INDEX(Projections!$F$2:$F$73,MATCH(INDEX(Calc!$A$2:$A$42,$V17)&amp;"|H12",Projections!$Y$2:$Y$73,0)),""))</f>
        <v>18</v>
      </c>
      <c r="R17" s="10" t="n">
        <f aca="false">IF($V17="","",IFERROR(INDEX(Projections!$I$2:$I$73,MATCH(INDEX(Calc!$A$2:$A$42,$V17)&amp;"|H12",Projections!$Y$2:$Y$73,0)),""))</f>
        <v>0.467697073766212</v>
      </c>
      <c r="S17" s="9" t="n">
        <f aca="false">IF($V17="","",INDEX(Calc!$N$2:$N$42,$V17))</f>
        <v>37</v>
      </c>
      <c r="T17" s="0" t="str">
        <f aca="false">IF($V17="","",INDEX(Calc!$AQ$2:$AQ$42,$V17))</f>
        <v/>
      </c>
      <c r="V17" s="9" t="n">
        <f aca="false">IFERROR(MATCH(3,Calc!$AR$2:$AR$42,0),"")</f>
        <v>18</v>
      </c>
    </row>
    <row r="18" customFormat="false" ht="15" hidden="false" customHeight="false" outlineLevel="0" collapsed="false">
      <c r="A18" s="0" t="str">
        <f aca="false">IF($V18="","",INDEX(Calc!$D$2:$D$42,$V18))</f>
        <v>BIG</v>
      </c>
      <c r="B18" s="0" t="str">
        <f aca="false">IF($V18="","",INDEX(Calc!$E$2:$E$42,$V18))</f>
        <v>faveN</v>
      </c>
      <c r="C18" s="13" t="n">
        <f aca="false">IF($V18="","",INDEX(Calc!$T$2:$T$42,$V18))</f>
        <v>0.675</v>
      </c>
      <c r="D18" s="13" t="n">
        <f aca="false">IF($V18="","",INDEX(Calc!$AA$2:$AA$42,$V18))</f>
        <v>0.65</v>
      </c>
      <c r="E18" s="11" t="n">
        <f aca="false">IF($V18="","",INDEX(Calc!$V$2:$V$42,$V18))</f>
        <v>14.5125</v>
      </c>
      <c r="F18" s="11" t="n">
        <f aca="false">IF($V18="","",INDEX(Calc!$AC$2:$AC$42,$V18))</f>
        <v>13.975</v>
      </c>
      <c r="G18" s="11" t="n">
        <f aca="false">IF($V18="","",INDEX(Calc!$AL$2:$AL$42,$V18))</f>
        <v>28.4875</v>
      </c>
      <c r="H18" s="13" t="n">
        <f aca="false">IF($V18="","",INDEX(Calc!$BK$2:$BK$42,$V18))</f>
        <v>0.975925681376893</v>
      </c>
      <c r="I18" s="11" t="n">
        <f aca="false">IF($V18="","",INDEX(Calc!$BD$2:$BD$42,$V18))</f>
        <v>27.8016828482242</v>
      </c>
      <c r="J18" s="9" t="n">
        <f aca="false">IF($V18="","",IFERROR(INDEX(Projections!$F$2:$F$73,MATCH(INDEX(Calc!$A$2:$A$42,$V18)&amp;"|K12",Projections!$Y$2:$Y$73,0)),""))</f>
        <v>27.5</v>
      </c>
      <c r="K18" s="10" t="n">
        <f aca="false">IF($V18="","",IFERROR(INDEX(Projections!$I$2:$I$73,MATCH(INDEX(Calc!$A$2:$A$42,$V18)&amp;"|K12",Projections!$Y$2:$Y$73,0)),""))</f>
        <v>0.562128241725451</v>
      </c>
      <c r="L18" s="10" t="n">
        <f aca="false">IF($V18="","",IFERROR(INDEX(Projections!$AB$2:$AB$73,MATCH(INDEX(Calc!$A$2:$A$42,$V18)&amp;"|K12",Projections!$Y$2:$Y$73,0)),""))</f>
        <v>0.519283768052593</v>
      </c>
      <c r="M18" s="9" t="n">
        <f aca="false">IF($V18="","",IFERROR(INDEX(Projections!$M$2:$M$73,MATCH(INDEX(Calc!$A$2:$A$42,$V18)&amp;"|K12",Projections!$Y$2:$Y$73,0)),""))</f>
        <v>0</v>
      </c>
      <c r="N18" s="10" t="n">
        <f aca="false">IF($V18="","",IFERROR(INDEX(Projections!$P$2:$P$73,MATCH(INDEX(Calc!$A$2:$A$42,$V18)&amp;"|K12",Projections!$Y$2:$Y$73,0)),""))</f>
        <v>0.7</v>
      </c>
      <c r="O18" s="10" t="n">
        <f aca="false">IF($V18="","",INDEX(Calc!$AP$2:$AP$42,$V18))</f>
        <v>0.578107966457023</v>
      </c>
      <c r="P18" s="11" t="n">
        <f aca="false">IF($V18="","",INDEX(Calc!$AN$2:$AN$42,$V18))</f>
        <v>16.4688506944444</v>
      </c>
      <c r="Q18" s="0" t="str">
        <f aca="false">IF($V18="","",IFERROR(INDEX(Projections!$F$2:$F$73,MATCH(INDEX(Calc!$A$2:$A$42,$V18)&amp;"|H12",Projections!$Y$2:$Y$73,0)),""))</f>
        <v/>
      </c>
      <c r="R18" s="10" t="str">
        <f aca="false">IF($V18="","",IFERROR(INDEX(Projections!$I$2:$I$73,MATCH(INDEX(Calc!$A$2:$A$42,$V18)&amp;"|H12",Projections!$Y$2:$Y$73,0)),""))</f>
        <v/>
      </c>
      <c r="S18" s="9" t="n">
        <f aca="false">IF($V18="","",INDEX(Calc!$N$2:$N$42,$V18))</f>
        <v>37</v>
      </c>
      <c r="T18" s="0" t="str">
        <f aca="false">IF($V18="","",INDEX(Calc!$AQ$2:$AQ$42,$V18))</f>
        <v/>
      </c>
      <c r="V18" s="9" t="n">
        <f aca="false">IFERROR(MATCH(4,Calc!$AR$2:$AR$42,0),"")</f>
        <v>12</v>
      </c>
    </row>
    <row r="19" customFormat="false" ht="15" hidden="false" customHeight="false" outlineLevel="0" collapsed="false">
      <c r="A19" s="0" t="str">
        <f aca="false">IF($V19="","",INDEX(Calc!$D$2:$D$42,$V19))</f>
        <v>MGLZ</v>
      </c>
      <c r="B19" s="0" t="str">
        <f aca="false">IF($V19="","",INDEX(Calc!$E$2:$E$42,$V19))</f>
        <v>bLitz</v>
      </c>
      <c r="C19" s="13" t="n">
        <f aca="false">IF($V19="","",INDEX(Calc!$T$2:$T$42,$V19))</f>
        <v>0.64</v>
      </c>
      <c r="D19" s="13" t="n">
        <f aca="false">IF($V19="","",INDEX(Calc!$AA$2:$AA$42,$V19))</f>
        <v>0.668571428571429</v>
      </c>
      <c r="E19" s="11" t="n">
        <f aca="false">IF($V19="","",INDEX(Calc!$V$2:$V$42,$V19))</f>
        <v>13.76</v>
      </c>
      <c r="F19" s="11" t="n">
        <f aca="false">IF($V19="","",INDEX(Calc!$AC$2:$AC$42,$V19))</f>
        <v>14.3742857142857</v>
      </c>
      <c r="G19" s="11" t="n">
        <f aca="false">IF($V19="","",INDEX(Calc!$AL$2:$AL$42,$V19))</f>
        <v>28.1342857142857</v>
      </c>
      <c r="H19" s="13" t="n">
        <f aca="false">IF($V19="","",INDEX(Calc!$BK$2:$BK$42,$V19))</f>
        <v>1.00566126413234</v>
      </c>
      <c r="I19" s="11" t="n">
        <f aca="false">IF($V19="","",INDEX(Calc!$BD$2:$BD$42,$V19))</f>
        <v>28.2935613368891</v>
      </c>
      <c r="J19" s="9" t="n">
        <f aca="false">IF($V19="","",IFERROR(INDEX(Projections!$F$2:$F$73,MATCH(INDEX(Calc!$A$2:$A$42,$V19)&amp;"|K12",Projections!$Y$2:$Y$73,0)),""))</f>
        <v>28.5</v>
      </c>
      <c r="K19" s="10" t="n">
        <f aca="false">IF($V19="","",IFERROR(INDEX(Projections!$I$2:$I$73,MATCH(INDEX(Calc!$A$2:$A$42,$V19)&amp;"|K12",Projections!$Y$2:$Y$73,0)),""))</f>
        <v>0.476765983230374</v>
      </c>
      <c r="L19" s="10" t="n">
        <f aca="false">IF($V19="","",IFERROR(INDEX(Projections!$AB$2:$AB$73,MATCH(INDEX(Calc!$A$2:$A$42,$V19)&amp;"|K12",Projections!$Y$2:$Y$73,0)),""))</f>
        <v>0.486916756985338</v>
      </c>
      <c r="M19" s="9" t="n">
        <f aca="false">IF($V19="","",IFERROR(INDEX(Projections!$M$2:$M$73,MATCH(INDEX(Calc!$A$2:$A$42,$V19)&amp;"|K12",Projections!$Y$2:$Y$73,0)),""))</f>
        <v>0</v>
      </c>
      <c r="N19" s="10" t="n">
        <f aca="false">IF($V19="","",IFERROR(INDEX(Projections!$P$2:$P$73,MATCH(INDEX(Calc!$A$2:$A$42,$V19)&amp;"|K12",Projections!$Y$2:$Y$73,0)),""))</f>
        <v>0.6</v>
      </c>
      <c r="O19" s="10" t="n">
        <f aca="false">IF($V19="","",INDEX(Calc!$AP$2:$AP$42,$V19))</f>
        <v>0.43809128716989</v>
      </c>
      <c r="P19" s="11" t="n">
        <f aca="false">IF($V19="","",INDEX(Calc!$AN$2:$AN$42,$V19))</f>
        <v>12.3253854421769</v>
      </c>
      <c r="Q19" s="9" t="n">
        <f aca="false">IF($V19="","",IFERROR(INDEX(Projections!$F$2:$F$73,MATCH(INDEX(Calc!$A$2:$A$42,$V19)&amp;"|H12",Projections!$Y$2:$Y$73,0)),""))</f>
        <v>13.5</v>
      </c>
      <c r="R19" s="10" t="n">
        <f aca="false">IF($V19="","",IFERROR(INDEX(Projections!$I$2:$I$73,MATCH(INDEX(Calc!$A$2:$A$42,$V19)&amp;"|H12",Projections!$Y$2:$Y$73,0)),""))</f>
        <v>0.37880302682844</v>
      </c>
      <c r="S19" s="9" t="n">
        <f aca="false">IF($V19="","",INDEX(Calc!$N$2:$N$42,$V19))</f>
        <v>34</v>
      </c>
      <c r="T19" s="0" t="str">
        <f aca="false">IF($V19="","",INDEX(Calc!$AQ$2:$AQ$42,$V19))</f>
        <v/>
      </c>
      <c r="V19" s="9" t="n">
        <f aca="false">IFERROR(MATCH(5,Calc!$AR$2:$AR$42,0),"")</f>
        <v>17</v>
      </c>
    </row>
    <row r="20" customFormat="false" ht="15" hidden="false" customHeight="false" outlineLevel="0" collapsed="false">
      <c r="A20" s="0" t="str">
        <f aca="false">IF($V20="","",INDEX(Calc!$D$2:$D$42,$V20))</f>
        <v>BIG</v>
      </c>
      <c r="B20" s="0" t="str">
        <f aca="false">IF($V20="","",INDEX(Calc!$E$2:$E$42,$V20))</f>
        <v>tabseN</v>
      </c>
      <c r="C20" s="13" t="n">
        <f aca="false">IF($V20="","",INDEX(Calc!$T$2:$T$42,$V20))</f>
        <v>0.645</v>
      </c>
      <c r="D20" s="13" t="n">
        <f aca="false">IF($V20="","",INDEX(Calc!$AA$2:$AA$42,$V20))</f>
        <v>0.624444444444444</v>
      </c>
      <c r="E20" s="11" t="n">
        <f aca="false">IF($V20="","",INDEX(Calc!$V$2:$V$42,$V20))</f>
        <v>13.8675</v>
      </c>
      <c r="F20" s="11" t="n">
        <f aca="false">IF($V20="","",INDEX(Calc!$AC$2:$AC$42,$V20))</f>
        <v>13.4255555555556</v>
      </c>
      <c r="G20" s="11" t="n">
        <f aca="false">IF($V20="","",INDEX(Calc!$AL$2:$AL$42,$V20))</f>
        <v>27.2930555555556</v>
      </c>
      <c r="H20" s="13" t="n">
        <f aca="false">IF($V20="","",INDEX(Calc!$BK$2:$BK$42,$V20))</f>
        <v>0.975971643903927</v>
      </c>
      <c r="I20" s="11" t="n">
        <f aca="false">IF($V20="","",INDEX(Calc!$BD$2:$BD$42,$V20))</f>
        <v>26.6372482977168</v>
      </c>
      <c r="J20" s="9" t="n">
        <f aca="false">IF($V20="","",IFERROR(INDEX(Projections!$F$2:$F$73,MATCH(INDEX(Calc!$A$2:$A$42,$V20)&amp;"|K12",Projections!$Y$2:$Y$73,0)),""))</f>
        <v>25</v>
      </c>
      <c r="K20" s="10" t="n">
        <f aca="false">IF($V20="","",IFERROR(INDEX(Projections!$I$2:$I$73,MATCH(INDEX(Calc!$A$2:$A$42,$V20)&amp;"|K12",Projections!$Y$2:$Y$73,0)),""))</f>
        <v>0.614118869873635</v>
      </c>
      <c r="L20" s="10" t="n">
        <f aca="false">IF($V20="","",IFERROR(INDEX(Projections!$AB$2:$AB$73,MATCH(INDEX(Calc!$A$2:$A$42,$V20)&amp;"|K12",Projections!$Y$2:$Y$73,0)),""))</f>
        <v>0.573867288590688</v>
      </c>
      <c r="M20" s="9" t="n">
        <f aca="false">IF($V20="","",IFERROR(INDEX(Projections!$M$2:$M$73,MATCH(INDEX(Calc!$A$2:$A$42,$V20)&amp;"|K12",Projections!$Y$2:$Y$73,0)),""))</f>
        <v>0</v>
      </c>
      <c r="N20" s="10" t="n">
        <f aca="false">IF($V20="","",IFERROR(INDEX(Projections!$P$2:$P$73,MATCH(INDEX(Calc!$A$2:$A$42,$V20)&amp;"|K12",Projections!$Y$2:$Y$73,0)),""))</f>
        <v>0.5</v>
      </c>
      <c r="O20" s="10" t="n">
        <f aca="false">IF($V20="","",INDEX(Calc!$AP$2:$AP$42,$V20))</f>
        <v>0.46293622659859</v>
      </c>
      <c r="P20" s="11" t="n">
        <f aca="false">IF($V20="","",INDEX(Calc!$AN$2:$AN$42,$V20))</f>
        <v>12.6349441512346</v>
      </c>
      <c r="Q20" s="9" t="n">
        <f aca="false">IF($V20="","",IFERROR(INDEX(Projections!$F$2:$F$73,MATCH(INDEX(Calc!$A$2:$A$42,$V20)&amp;"|H12",Projections!$Y$2:$Y$73,0)),""))</f>
        <v>12</v>
      </c>
      <c r="R20" s="10" t="n">
        <f aca="false">IF($V20="","",IFERROR(INDEX(Projections!$I$2:$I$73,MATCH(INDEX(Calc!$A$2:$A$42,$V20)&amp;"|H12",Projections!$Y$2:$Y$73,0)),""))</f>
        <v>0.513909076867364</v>
      </c>
      <c r="S20" s="9" t="n">
        <f aca="false">IF($V20="","",INDEX(Calc!$N$2:$N$42,$V20))</f>
        <v>37</v>
      </c>
      <c r="T20" s="0" t="str">
        <f aca="false">IF($V20="","",INDEX(Calc!$AQ$2:$AQ$42,$V20))</f>
        <v/>
      </c>
      <c r="V20" s="9" t="n">
        <f aca="false">IFERROR(MATCH(6,Calc!$AR$2:$AR$42,0),"")</f>
        <v>15</v>
      </c>
    </row>
    <row r="21" customFormat="false" ht="15" hidden="false" customHeight="false" outlineLevel="0" collapsed="false">
      <c r="A21" s="0" t="str">
        <f aca="false">IF($V21="","",INDEX(Calc!$D$2:$D$42,$V21))</f>
        <v>BIG</v>
      </c>
      <c r="B21" s="0" t="str">
        <f aca="false">IF($V21="","",INDEX(Calc!$E$2:$E$42,$V21))</f>
        <v>gr1ks</v>
      </c>
      <c r="C21" s="13" t="n">
        <f aca="false">IF($V21="","",INDEX(Calc!$T$2:$T$42,$V21))</f>
        <v>0.615</v>
      </c>
      <c r="D21" s="13" t="n">
        <f aca="false">IF($V21="","",INDEX(Calc!$AA$2:$AA$42,$V21))</f>
        <v>0.648333333333333</v>
      </c>
      <c r="E21" s="11" t="n">
        <f aca="false">IF($V21="","",INDEX(Calc!$V$2:$V$42,$V21))</f>
        <v>13.2225</v>
      </c>
      <c r="F21" s="11" t="n">
        <f aca="false">IF($V21="","",INDEX(Calc!$AC$2:$AC$42,$V21))</f>
        <v>13.9391666666667</v>
      </c>
      <c r="G21" s="11" t="n">
        <f aca="false">IF($V21="","",INDEX(Calc!$AL$2:$AL$42,$V21))</f>
        <v>27.1616666666667</v>
      </c>
      <c r="H21" s="13" t="n">
        <f aca="false">IF($V21="","",INDEX(Calc!$BK$2:$BK$42,$V21))</f>
        <v>0.976703126539723</v>
      </c>
      <c r="I21" s="11" t="n">
        <f aca="false">IF($V21="","",INDEX(Calc!$BD$2:$BD$42,$V21))</f>
        <v>26.5288847553631</v>
      </c>
      <c r="J21" s="9" t="n">
        <f aca="false">IF($V21="","",IFERROR(INDEX(Projections!$F$2:$F$73,MATCH(INDEX(Calc!$A$2:$A$42,$V21)&amp;"|K12",Projections!$Y$2:$Y$73,0)),""))</f>
        <v>30.5</v>
      </c>
      <c r="K21" s="10" t="n">
        <f aca="false">IF($V21="","",IFERROR(INDEX(Projections!$I$2:$I$73,MATCH(INDEX(Calc!$A$2:$A$42,$V21)&amp;"|K12",Projections!$Y$2:$Y$73,0)),""))</f>
        <v>0.29412917337207</v>
      </c>
      <c r="L21" s="10" t="n">
        <f aca="false">IF($V21="","",IFERROR(INDEX(Projections!$AB$2:$AB$73,MATCH(INDEX(Calc!$A$2:$A$42,$V21)&amp;"|K12",Projections!$Y$2:$Y$73,0)),""))</f>
        <v>0.257325799316738</v>
      </c>
      <c r="M21" s="9" t="n">
        <f aca="false">IF($V21="","",IFERROR(INDEX(Projections!$M$2:$M$73,MATCH(INDEX(Calc!$A$2:$A$42,$V21)&amp;"|K12",Projections!$Y$2:$Y$73,0)),""))</f>
        <v>0</v>
      </c>
      <c r="N21" s="10" t="n">
        <f aca="false">IF($V21="","",IFERROR(INDEX(Projections!$P$2:$P$73,MATCH(INDEX(Calc!$A$2:$A$42,$V21)&amp;"|K12",Projections!$Y$2:$Y$73,0)),""))</f>
        <v>0.3</v>
      </c>
      <c r="O21" s="10" t="n">
        <f aca="false">IF($V21="","",INDEX(Calc!$AP$2:$AP$42,$V21))</f>
        <v>0.29317231017297</v>
      </c>
      <c r="P21" s="11" t="n">
        <f aca="false">IF($V21="","",INDEX(Calc!$AN$2:$AN$42,$V21))</f>
        <v>7.96304856481482</v>
      </c>
      <c r="Q21" s="0" t="str">
        <f aca="false">IF($V21="","",IFERROR(INDEX(Projections!$F$2:$F$73,MATCH(INDEX(Calc!$A$2:$A$42,$V21)&amp;"|H12",Projections!$Y$2:$Y$73,0)),""))</f>
        <v/>
      </c>
      <c r="R21" s="10" t="str">
        <f aca="false">IF($V21="","",IFERROR(INDEX(Projections!$I$2:$I$73,MATCH(INDEX(Calc!$A$2:$A$42,$V21)&amp;"|H12",Projections!$Y$2:$Y$73,0)),""))</f>
        <v/>
      </c>
      <c r="S21" s="9" t="n">
        <f aca="false">IF($V21="","",INDEX(Calc!$N$2:$N$42,$V21))</f>
        <v>37</v>
      </c>
      <c r="T21" s="0" t="str">
        <f aca="false">IF($V21="","",INDEX(Calc!$AQ$2:$AQ$42,$V21))</f>
        <v/>
      </c>
      <c r="V21" s="9" t="n">
        <f aca="false">IFERROR(MATCH(7,Calc!$AR$2:$AR$42,0),"")</f>
        <v>13</v>
      </c>
    </row>
    <row r="22" customFormat="false" ht="15" hidden="false" customHeight="false" outlineLevel="0" collapsed="false">
      <c r="A22" s="0" t="str">
        <f aca="false">IF($V22="","",INDEX(Calc!$D$2:$D$42,$V22))</f>
        <v>BIG</v>
      </c>
      <c r="B22" s="0" t="str">
        <f aca="false">IF($V22="","",INDEX(Calc!$E$2:$E$42,$V22))</f>
        <v>JDC</v>
      </c>
      <c r="C22" s="13" t="n">
        <f aca="false">IF($V22="","",INDEX(Calc!$T$2:$T$42,$V22))</f>
        <v>0.61</v>
      </c>
      <c r="D22" s="13" t="n">
        <f aca="false">IF($V22="","",INDEX(Calc!$AA$2:$AA$42,$V22))</f>
        <v>0.646111111111111</v>
      </c>
      <c r="E22" s="11" t="n">
        <f aca="false">IF($V22="","",INDEX(Calc!$V$2:$V$42,$V22))</f>
        <v>13.115</v>
      </c>
      <c r="F22" s="11" t="n">
        <f aca="false">IF($V22="","",INDEX(Calc!$AC$2:$AC$42,$V22))</f>
        <v>13.8913888888889</v>
      </c>
      <c r="G22" s="11" t="n">
        <f aca="false">IF($V22="","",INDEX(Calc!$AL$2:$AL$42,$V22))</f>
        <v>27.0063888888889</v>
      </c>
      <c r="H22" s="13" t="n">
        <f aca="false">IF($V22="","",INDEX(Calc!$BK$2:$BK$42,$V22))</f>
        <v>0.976743724687247</v>
      </c>
      <c r="I22" s="11" t="n">
        <f aca="false">IF($V22="","",INDEX(Calc!$BD$2:$BD$42,$V22))</f>
        <v>26.3783208736856</v>
      </c>
      <c r="J22" s="9" t="n">
        <f aca="false">IF($V22="","",IFERROR(INDEX(Projections!$F$2:$F$73,MATCH(INDEX(Calc!$A$2:$A$42,$V22)&amp;"|K12",Projections!$Y$2:$Y$73,0)),""))</f>
        <v>28.5</v>
      </c>
      <c r="K22" s="10" t="n">
        <f aca="false">IF($V22="","",IFERROR(INDEX(Projections!$I$2:$I$73,MATCH(INDEX(Calc!$A$2:$A$42,$V22)&amp;"|K12",Projections!$Y$2:$Y$73,0)),""))</f>
        <v>0.404038671763239</v>
      </c>
      <c r="L22" s="10" t="n">
        <f aca="false">IF($V22="","",IFERROR(INDEX(Projections!$AB$2:$AB$73,MATCH(INDEX(Calc!$A$2:$A$42,$V22)&amp;"|K12",Projections!$Y$2:$Y$73,0)),""))</f>
        <v>0.363494365740649</v>
      </c>
      <c r="M22" s="9" t="n">
        <f aca="false">IF($V22="","",IFERROR(INDEX(Projections!$M$2:$M$73,MATCH(INDEX(Calc!$A$2:$A$42,$V22)&amp;"|K12",Projections!$Y$2:$Y$73,0)),""))</f>
        <v>0</v>
      </c>
      <c r="N22" s="10" t="n">
        <f aca="false">IF($V22="","",IFERROR(INDEX(Projections!$P$2:$P$73,MATCH(INDEX(Calc!$A$2:$A$42,$V22)&amp;"|K12",Projections!$Y$2:$Y$73,0)),""))</f>
        <v>0.4</v>
      </c>
      <c r="O22" s="10" t="n">
        <f aca="false">IF($V22="","",INDEX(Calc!$AP$2:$AP$42,$V22))</f>
        <v>0.546541746523171</v>
      </c>
      <c r="P22" s="11" t="n">
        <f aca="false">IF($V22="","",INDEX(Calc!$AN$2:$AN$42,$V22))</f>
        <v>14.7601189506173</v>
      </c>
      <c r="Q22" s="9" t="n">
        <f aca="false">IF($V22="","",IFERROR(INDEX(Projections!$F$2:$F$73,MATCH(INDEX(Calc!$A$2:$A$42,$V22)&amp;"|H12",Projections!$Y$2:$Y$73,0)),""))</f>
        <v>15.5</v>
      </c>
      <c r="R22" s="10" t="n">
        <f aca="false">IF($V22="","",IFERROR(INDEX(Projections!$I$2:$I$73,MATCH(INDEX(Calc!$A$2:$A$42,$V22)&amp;"|H12",Projections!$Y$2:$Y$73,0)),""))</f>
        <v>0.430753947935772</v>
      </c>
      <c r="S22" s="9" t="n">
        <f aca="false">IF($V22="","",INDEX(Calc!$N$2:$N$42,$V22))</f>
        <v>37</v>
      </c>
      <c r="T22" s="0" t="str">
        <f aca="false">IF($V22="","",INDEX(Calc!$AQ$2:$AQ$42,$V22))</f>
        <v/>
      </c>
      <c r="V22" s="9" t="n">
        <f aca="false">IFERROR(MATCH(8,Calc!$AR$2:$AR$42,0),"")</f>
        <v>14</v>
      </c>
    </row>
    <row r="23" customFormat="false" ht="15" hidden="false" customHeight="false" outlineLevel="0" collapsed="false">
      <c r="A23" s="0" t="str">
        <f aca="false">IF($V23="","",INDEX(Calc!$D$2:$D$42,$V23))</f>
        <v>MGLZ</v>
      </c>
      <c r="B23" s="0" t="str">
        <f aca="false">IF($V23="","",INDEX(Calc!$E$2:$E$42,$V23))</f>
        <v>nin9</v>
      </c>
      <c r="C23" s="13" t="n">
        <f aca="false">IF($V23="","",INDEX(Calc!$T$2:$T$42,$V23))</f>
        <v>0.608571428571429</v>
      </c>
      <c r="D23" s="13" t="n">
        <f aca="false">IF($V23="","",INDEX(Calc!$AA$2:$AA$42,$V23))</f>
        <v>0.621666666666667</v>
      </c>
      <c r="E23" s="11" t="n">
        <f aca="false">IF($V23="","",INDEX(Calc!$V$2:$V$42,$V23))</f>
        <v>13.0842857142857</v>
      </c>
      <c r="F23" s="11" t="n">
        <f aca="false">IF($V23="","",INDEX(Calc!$AC$2:$AC$42,$V23))</f>
        <v>13.3658333333333</v>
      </c>
      <c r="G23" s="11" t="n">
        <f aca="false">IF($V23="","",INDEX(Calc!$AL$2:$AL$42,$V23))</f>
        <v>26.450119047619</v>
      </c>
      <c r="H23" s="13" t="n">
        <f aca="false">IF($V23="","",INDEX(Calc!$BK$2:$BK$42,$V23))</f>
        <v>1.0058557999986</v>
      </c>
      <c r="I23" s="11" t="n">
        <f aca="false">IF($V23="","",INDEX(Calc!$BD$2:$BD$42,$V23))</f>
        <v>26.6050056547012</v>
      </c>
      <c r="J23" s="9" t="n">
        <f aca="false">IF($V23="","",IFERROR(INDEX(Projections!$F$2:$F$73,MATCH(INDEX(Calc!$A$2:$A$42,$V23)&amp;"|K12",Projections!$Y$2:$Y$73,0)),""))</f>
        <v>28.5</v>
      </c>
      <c r="K23" s="10" t="n">
        <f aca="false">IF($V23="","",IFERROR(INDEX(Projections!$I$2:$I$73,MATCH(INDEX(Calc!$A$2:$A$42,$V23)&amp;"|K12",Projections!$Y$2:$Y$73,0)),""))</f>
        <v>0.368110821764436</v>
      </c>
      <c r="L23" s="10" t="n">
        <f aca="false">IF($V23="","",IFERROR(INDEX(Projections!$AB$2:$AB$73,MATCH(INDEX(Calc!$A$2:$A$42,$V23)&amp;"|K12",Projections!$Y$2:$Y$73,0)),""))</f>
        <v>0.378090211706178</v>
      </c>
      <c r="M23" s="9" t="n">
        <f aca="false">IF($V23="","",IFERROR(INDEX(Projections!$M$2:$M$73,MATCH(INDEX(Calc!$A$2:$A$42,$V23)&amp;"|K12",Projections!$Y$2:$Y$73,0)),""))</f>
        <v>0</v>
      </c>
      <c r="N23" s="10" t="n">
        <f aca="false">IF($V23="","",IFERROR(INDEX(Projections!$P$2:$P$73,MATCH(INDEX(Calc!$A$2:$A$42,$V23)&amp;"|K12",Projections!$Y$2:$Y$73,0)),""))</f>
        <v>0.5</v>
      </c>
      <c r="O23" s="10" t="n">
        <f aca="false">IF($V23="","",INDEX(Calc!$AP$2:$AP$42,$V23))</f>
        <v>0.564698895002166</v>
      </c>
      <c r="P23" s="11" t="n">
        <f aca="false">IF($V23="","",INDEX(Calc!$AN$2:$AN$42,$V23))</f>
        <v>14.9363529988662</v>
      </c>
      <c r="Q23" s="0" t="str">
        <f aca="false">IF($V23="","",IFERROR(INDEX(Projections!$F$2:$F$73,MATCH(INDEX(Calc!$A$2:$A$42,$V23)&amp;"|H12",Projections!$Y$2:$Y$73,0)),""))</f>
        <v/>
      </c>
      <c r="R23" s="10" t="str">
        <f aca="false">IF($V23="","",IFERROR(INDEX(Projections!$I$2:$I$73,MATCH(INDEX(Calc!$A$2:$A$42,$V23)&amp;"|H12",Projections!$Y$2:$Y$73,0)),""))</f>
        <v/>
      </c>
      <c r="S23" s="9" t="n">
        <f aca="false">IF($V23="","",INDEX(Calc!$N$2:$N$42,$V23))</f>
        <v>35</v>
      </c>
      <c r="T23" s="0" t="str">
        <f aca="false">IF($V23="","",INDEX(Calc!$AQ$2:$AQ$42,$V23))</f>
        <v/>
      </c>
      <c r="V23" s="9" t="n">
        <f aca="false">IFERROR(MATCH(9,Calc!$AR$2:$AR$42,0),"")</f>
        <v>19</v>
      </c>
    </row>
    <row r="24" customFormat="false" ht="15" hidden="false" customHeight="false" outlineLevel="0" collapsed="false">
      <c r="A24" s="0" t="str">
        <f aca="false">IF($V24="","",INDEX(Calc!$D$2:$D$42,$V24))</f>
        <v>MGLZ</v>
      </c>
      <c r="B24" s="0" t="str">
        <f aca="false">IF($V24="","",INDEX(Calc!$E$2:$E$42,$V24))</f>
        <v>Techno</v>
      </c>
      <c r="C24" s="13" t="n">
        <f aca="false">IF($V24="","",INDEX(Calc!$T$2:$T$42,$V24))</f>
        <v>0.593076923076923</v>
      </c>
      <c r="D24" s="13" t="n">
        <f aca="false">IF($V24="","",INDEX(Calc!$AA$2:$AA$42,$V24))</f>
        <v>0.507142857142857</v>
      </c>
      <c r="E24" s="11" t="n">
        <f aca="false">IF($V24="","",INDEX(Calc!$V$2:$V$42,$V24))</f>
        <v>12.7511538461538</v>
      </c>
      <c r="F24" s="11" t="n">
        <f aca="false">IF($V24="","",INDEX(Calc!$AC$2:$AC$42,$V24))</f>
        <v>10.9035714285714</v>
      </c>
      <c r="G24" s="11" t="n">
        <f aca="false">IF($V24="","",INDEX(Calc!$AL$2:$AL$42,$V24))</f>
        <v>23.6547252747253</v>
      </c>
      <c r="H24" s="13" t="n">
        <f aca="false">IF($V24="","",INDEX(Calc!$BK$2:$BK$42,$V24))</f>
        <v>1.00739877062773</v>
      </c>
      <c r="I24" s="11" t="n">
        <f aca="false">IF($V24="","",INDEX(Calc!$BD$2:$BD$42,$V24))</f>
        <v>23.829741161295</v>
      </c>
      <c r="J24" s="9" t="n">
        <f aca="false">IF($V24="","",IFERROR(INDEX(Projections!$F$2:$F$73,MATCH(INDEX(Calc!$A$2:$A$42,$V24)&amp;"|K12",Projections!$Y$2:$Y$73,0)),""))</f>
        <v>25.5</v>
      </c>
      <c r="K24" s="10" t="n">
        <f aca="false">IF($V24="","",IFERROR(INDEX(Projections!$I$2:$I$73,MATCH(INDEX(Calc!$A$2:$A$42,$V24)&amp;"|K12",Projections!$Y$2:$Y$73,0)),""))</f>
        <v>0.374235913766637</v>
      </c>
      <c r="L24" s="10" t="n">
        <f aca="false">IF($V24="","",IFERROR(INDEX(Projections!$AB$2:$AB$73,MATCH(INDEX(Calc!$A$2:$A$42,$V24)&amp;"|K12",Projections!$Y$2:$Y$73,0)),""))</f>
        <v>0.386223895609942</v>
      </c>
      <c r="M24" s="9" t="n">
        <f aca="false">IF($V24="","",IFERROR(INDEX(Projections!$M$2:$M$73,MATCH(INDEX(Calc!$A$2:$A$42,$V24)&amp;"|K12",Projections!$Y$2:$Y$73,0)),""))</f>
        <v>0</v>
      </c>
      <c r="N24" s="10" t="n">
        <f aca="false">IF($V24="","",IFERROR(INDEX(Projections!$P$2:$P$73,MATCH(INDEX(Calc!$A$2:$A$42,$V24)&amp;"|K12",Projections!$Y$2:$Y$73,0)),""))</f>
        <v>0.3</v>
      </c>
      <c r="O24" s="10" t="n">
        <f aca="false">IF($V24="","",INDEX(Calc!$AP$2:$AP$42,$V24))</f>
        <v>0.575708429006072</v>
      </c>
      <c r="P24" s="11" t="n">
        <f aca="false">IF($V24="","",INDEX(Calc!$AN$2:$AN$42,$V24))</f>
        <v>13.6182247264823</v>
      </c>
      <c r="Q24" s="9" t="n">
        <f aca="false">IF($V24="","",IFERROR(INDEX(Projections!$F$2:$F$73,MATCH(INDEX(Calc!$A$2:$A$42,$V24)&amp;"|H12",Projections!$Y$2:$Y$73,0)),""))</f>
        <v>15.5</v>
      </c>
      <c r="R24" s="10" t="n">
        <f aca="false">IF($V24="","",IFERROR(INDEX(Projections!$I$2:$I$73,MATCH(INDEX(Calc!$A$2:$A$42,$V24)&amp;"|H12",Projections!$Y$2:$Y$73,0)),""))</f>
        <v>0.322854223529954</v>
      </c>
      <c r="S24" s="9" t="n">
        <f aca="false">IF($V24="","",INDEX(Calc!$N$2:$N$42,$V24))</f>
        <v>34</v>
      </c>
      <c r="T24" s="0" t="str">
        <f aca="false">IF($V24="","",INDEX(Calc!$AQ$2:$AQ$42,$V24))</f>
        <v/>
      </c>
      <c r="V24" s="9" t="n">
        <f aca="false">IFERROR(MATCH(10,Calc!$AR$2:$AR$42,0),"")</f>
        <v>20</v>
      </c>
    </row>
    <row r="25" customFormat="false" ht="15" hidden="false" customHeight="false" outlineLevel="0" collapsed="false">
      <c r="A25" s="0" t="str">
        <f aca="false">IF($V25="","",INDEX(Calc!$D$2:$D$42,$V25))</f>
        <v/>
      </c>
      <c r="B25" s="0" t="str">
        <f aca="false">IF($V25="","",INDEX(Calc!$E$2:$E$42,$V25))</f>
        <v/>
      </c>
      <c r="C25" s="13" t="str">
        <f aca="false">IF($V25="","",INDEX(Calc!$T$2:$T$42,$V25))</f>
        <v/>
      </c>
      <c r="D25" s="13" t="str">
        <f aca="false">IF($V25="","",INDEX(Calc!$AA$2:$AA$42,$V25))</f>
        <v/>
      </c>
      <c r="E25" s="11" t="str">
        <f aca="false">IF($V25="","",INDEX(Calc!$V$2:$V$42,$V25))</f>
        <v/>
      </c>
      <c r="F25" s="11" t="str">
        <f aca="false">IF($V25="","",INDEX(Calc!$AC$2:$AC$42,$V25))</f>
        <v/>
      </c>
      <c r="G25" s="11" t="str">
        <f aca="false">IF($V25="","",INDEX(Calc!$AL$2:$AL$42,$V25))</f>
        <v/>
      </c>
      <c r="H25" s="13" t="str">
        <f aca="false">IF($V25="","",INDEX(Calc!$BK$2:$BK$42,$V25))</f>
        <v/>
      </c>
      <c r="I25" s="11" t="str">
        <f aca="false">IF($V25="","",INDEX(Calc!$BD$2:$BD$42,$V25))</f>
        <v/>
      </c>
      <c r="J25" s="0" t="str">
        <f aca="false">IF($V25="","",IFERROR(INDEX(Projections!$F$2:$F$73,MATCH(INDEX(Calc!$A$2:$A$42,$V25)&amp;"|K12",Projections!$Y$2:$Y$73,0)),""))</f>
        <v/>
      </c>
      <c r="K25" s="10" t="str">
        <f aca="false">IF($V25="","",IFERROR(INDEX(Projections!$I$2:$I$73,MATCH(INDEX(Calc!$A$2:$A$42,$V25)&amp;"|K12",Projections!$Y$2:$Y$73,0)),""))</f>
        <v/>
      </c>
      <c r="L25" s="10" t="str">
        <f aca="false">IF($V25="","",IFERROR(INDEX(Projections!$AB$2:$AB$73,MATCH(INDEX(Calc!$A$2:$A$42,$V25)&amp;"|K12",Projections!$Y$2:$Y$73,0)),""))</f>
        <v/>
      </c>
      <c r="M25" s="0" t="str">
        <f aca="false">IF($V25="","",IFERROR(INDEX(Projections!$M$2:$M$73,MATCH(INDEX(Calc!$A$2:$A$42,$V25)&amp;"|K12",Projections!$Y$2:$Y$73,0)),""))</f>
        <v/>
      </c>
      <c r="N25" s="10" t="str">
        <f aca="false">IF($V25="","",IFERROR(INDEX(Projections!$P$2:$P$73,MATCH(INDEX(Calc!$A$2:$A$42,$V25)&amp;"|K12",Projections!$Y$2:$Y$73,0)),""))</f>
        <v/>
      </c>
      <c r="O25" s="10" t="str">
        <f aca="false">IF($V25="","",INDEX(Calc!$AP$2:$AP$42,$V25))</f>
        <v/>
      </c>
      <c r="P25" s="11" t="str">
        <f aca="false">IF($V25="","",INDEX(Calc!$AN$2:$AN$42,$V25))</f>
        <v/>
      </c>
      <c r="Q25" s="0" t="str">
        <f aca="false">IF($V25="","",IFERROR(INDEX(Projections!$F$2:$F$73,MATCH(INDEX(Calc!$A$2:$A$42,$V25)&amp;"|H12",Projections!$Y$2:$Y$73,0)),""))</f>
        <v/>
      </c>
      <c r="R25" s="10" t="str">
        <f aca="false">IF($V25="","",IFERROR(INDEX(Projections!$I$2:$I$73,MATCH(INDEX(Calc!$A$2:$A$42,$V25)&amp;"|H12",Projections!$Y$2:$Y$73,0)),""))</f>
        <v/>
      </c>
      <c r="S25" s="0" t="str">
        <f aca="false">IF($V25="","",INDEX(Calc!$N$2:$N$42,$V25))</f>
        <v/>
      </c>
      <c r="T25" s="0" t="str">
        <f aca="false">IF($V25="","",INDEX(Calc!$AQ$2:$AQ$42,$V25))</f>
        <v/>
      </c>
      <c r="V25" s="0" t="str">
        <f aca="false">IFERROR(MATCH(11,Calc!$AR$2:$AR$42,0),"")</f>
        <v/>
      </c>
    </row>
    <row r="26" customFormat="false" ht="15" hidden="false" customHeight="false" outlineLevel="0" collapsed="false">
      <c r="A26" s="0" t="str">
        <f aca="false">IF($V26="","",INDEX(Calc!$D$2:$D$42,$V26))</f>
        <v/>
      </c>
      <c r="B26" s="0" t="str">
        <f aca="false">IF($V26="","",INDEX(Calc!$E$2:$E$42,$V26))</f>
        <v/>
      </c>
      <c r="C26" s="13" t="str">
        <f aca="false">IF($V26="","",INDEX(Calc!$T$2:$T$42,$V26))</f>
        <v/>
      </c>
      <c r="D26" s="13" t="str">
        <f aca="false">IF($V26="","",INDEX(Calc!$AA$2:$AA$42,$V26))</f>
        <v/>
      </c>
      <c r="E26" s="11" t="str">
        <f aca="false">IF($V26="","",INDEX(Calc!$V$2:$V$42,$V26))</f>
        <v/>
      </c>
      <c r="F26" s="11" t="str">
        <f aca="false">IF($V26="","",INDEX(Calc!$AC$2:$AC$42,$V26))</f>
        <v/>
      </c>
      <c r="G26" s="11" t="str">
        <f aca="false">IF($V26="","",INDEX(Calc!$AL$2:$AL$42,$V26))</f>
        <v/>
      </c>
      <c r="H26" s="13" t="str">
        <f aca="false">IF($V26="","",INDEX(Calc!$BK$2:$BK$42,$V26))</f>
        <v/>
      </c>
      <c r="I26" s="11" t="str">
        <f aca="false">IF($V26="","",INDEX(Calc!$BD$2:$BD$42,$V26))</f>
        <v/>
      </c>
      <c r="J26" s="0" t="str">
        <f aca="false">IF($V26="","",IFERROR(INDEX(Projections!$F$2:$F$73,MATCH(INDEX(Calc!$A$2:$A$42,$V26)&amp;"|K12",Projections!$Y$2:$Y$73,0)),""))</f>
        <v/>
      </c>
      <c r="K26" s="10" t="str">
        <f aca="false">IF($V26="","",IFERROR(INDEX(Projections!$I$2:$I$73,MATCH(INDEX(Calc!$A$2:$A$42,$V26)&amp;"|K12",Projections!$Y$2:$Y$73,0)),""))</f>
        <v/>
      </c>
      <c r="L26" s="10" t="str">
        <f aca="false">IF($V26="","",IFERROR(INDEX(Projections!$AB$2:$AB$73,MATCH(INDEX(Calc!$A$2:$A$42,$V26)&amp;"|K12",Projections!$Y$2:$Y$73,0)),""))</f>
        <v/>
      </c>
      <c r="M26" s="0" t="str">
        <f aca="false">IF($V26="","",IFERROR(INDEX(Projections!$M$2:$M$73,MATCH(INDEX(Calc!$A$2:$A$42,$V26)&amp;"|K12",Projections!$Y$2:$Y$73,0)),""))</f>
        <v/>
      </c>
      <c r="N26" s="10" t="str">
        <f aca="false">IF($V26="","",IFERROR(INDEX(Projections!$P$2:$P$73,MATCH(INDEX(Calc!$A$2:$A$42,$V26)&amp;"|K12",Projections!$Y$2:$Y$73,0)),""))</f>
        <v/>
      </c>
      <c r="O26" s="10" t="str">
        <f aca="false">IF($V26="","",INDEX(Calc!$AP$2:$AP$42,$V26))</f>
        <v/>
      </c>
      <c r="P26" s="11" t="str">
        <f aca="false">IF($V26="","",INDEX(Calc!$AN$2:$AN$42,$V26))</f>
        <v/>
      </c>
      <c r="Q26" s="0" t="str">
        <f aca="false">IF($V26="","",IFERROR(INDEX(Projections!$F$2:$F$73,MATCH(INDEX(Calc!$A$2:$A$42,$V26)&amp;"|H12",Projections!$Y$2:$Y$73,0)),""))</f>
        <v/>
      </c>
      <c r="R26" s="10" t="str">
        <f aca="false">IF($V26="","",IFERROR(INDEX(Projections!$I$2:$I$73,MATCH(INDEX(Calc!$A$2:$A$42,$V26)&amp;"|H12",Projections!$Y$2:$Y$73,0)),""))</f>
        <v/>
      </c>
      <c r="S26" s="0" t="str">
        <f aca="false">IF($V26="","",INDEX(Calc!$N$2:$N$42,$V26))</f>
        <v/>
      </c>
      <c r="T26" s="0" t="str">
        <f aca="false">IF($V26="","",INDEX(Calc!$AQ$2:$AQ$42,$V26))</f>
        <v/>
      </c>
      <c r="V26" s="0" t="str">
        <f aca="false">IFERROR(MATCH(12,Calc!$AR$2:$AR$42,0),"")</f>
        <v/>
      </c>
    </row>
    <row r="28" customFormat="false" ht="15" hidden="false" customHeight="false" outlineLevel="0" collapsed="false">
      <c r="A28" s="2" t="s">
        <v>526</v>
      </c>
    </row>
    <row r="29" customFormat="false" ht="15" hidden="false" customHeight="false" outlineLevel="0" collapsed="false">
      <c r="A29" s="2" t="s">
        <v>527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528</v>
      </c>
    </row>
    <row r="2" customFormat="false" ht="15" hidden="false" customHeight="false" outlineLevel="0" collapsed="false">
      <c r="A2" s="2" t="s">
        <v>529</v>
      </c>
    </row>
    <row r="4" customFormat="false" ht="41.75" hidden="false" customHeight="false" outlineLevel="0" collapsed="false">
      <c r="A4" s="12" t="s">
        <v>530</v>
      </c>
      <c r="B4" s="12" t="s">
        <v>531</v>
      </c>
      <c r="C4" s="12" t="s">
        <v>487</v>
      </c>
      <c r="D4" s="12" t="s">
        <v>488</v>
      </c>
      <c r="E4" s="12" t="s">
        <v>532</v>
      </c>
      <c r="F4" s="12" t="s">
        <v>533</v>
      </c>
      <c r="G4" s="12" t="s">
        <v>489</v>
      </c>
      <c r="H4" s="12" t="s">
        <v>490</v>
      </c>
      <c r="I4" s="12" t="s">
        <v>491</v>
      </c>
      <c r="J4" s="12" t="s">
        <v>492</v>
      </c>
      <c r="K4" s="12" t="s">
        <v>493</v>
      </c>
      <c r="L4" s="12" t="s">
        <v>494</v>
      </c>
      <c r="M4" s="12" t="s">
        <v>534</v>
      </c>
      <c r="N4" s="12" t="s">
        <v>535</v>
      </c>
      <c r="O4" s="12" t="s">
        <v>495</v>
      </c>
      <c r="P4" s="12" t="s">
        <v>496</v>
      </c>
      <c r="Q4" s="12" t="s">
        <v>536</v>
      </c>
      <c r="R4" s="12" t="s">
        <v>497</v>
      </c>
      <c r="S4" s="12" t="s">
        <v>498</v>
      </c>
      <c r="T4" s="12" t="s">
        <v>499</v>
      </c>
      <c r="U4" s="12" t="s">
        <v>500</v>
      </c>
      <c r="V4" s="12" t="s">
        <v>537</v>
      </c>
      <c r="W4" s="12" t="s">
        <v>538</v>
      </c>
      <c r="X4" s="12" t="s">
        <v>539</v>
      </c>
      <c r="Y4" s="12" t="s">
        <v>540</v>
      </c>
      <c r="Z4" s="12" t="s">
        <v>541</v>
      </c>
      <c r="AA4" s="12" t="s">
        <v>542</v>
      </c>
      <c r="AB4" s="12" t="s">
        <v>543</v>
      </c>
      <c r="AC4" s="12" t="s">
        <v>544</v>
      </c>
      <c r="AD4" s="12" t="s">
        <v>545</v>
      </c>
      <c r="AE4" s="12" t="s">
        <v>546</v>
      </c>
      <c r="AF4" s="12" t="s">
        <v>547</v>
      </c>
      <c r="AG4" s="12" t="s">
        <v>548</v>
      </c>
      <c r="AH4" s="12" t="s">
        <v>549</v>
      </c>
      <c r="AI4" s="12" t="s">
        <v>550</v>
      </c>
      <c r="AJ4" s="12" t="s">
        <v>551</v>
      </c>
      <c r="AK4" s="12" t="s">
        <v>552</v>
      </c>
      <c r="AL4" s="12" t="s">
        <v>553</v>
      </c>
      <c r="AM4" s="12" t="s">
        <v>554</v>
      </c>
      <c r="AN4" s="12" t="s">
        <v>501</v>
      </c>
      <c r="AO4" s="12" t="s">
        <v>502</v>
      </c>
      <c r="AP4" s="12" t="s">
        <v>555</v>
      </c>
      <c r="AQ4" s="12" t="s">
        <v>556</v>
      </c>
      <c r="AR4" s="12" t="s">
        <v>557</v>
      </c>
      <c r="AS4" s="12" t="s">
        <v>558</v>
      </c>
      <c r="AT4" s="12" t="s">
        <v>559</v>
      </c>
      <c r="AU4" s="12" t="s">
        <v>560</v>
      </c>
      <c r="AV4" s="12" t="s">
        <v>561</v>
      </c>
      <c r="AW4" s="12" t="s">
        <v>562</v>
      </c>
      <c r="AX4" s="12" t="s">
        <v>563</v>
      </c>
      <c r="AY4" s="12" t="s">
        <v>564</v>
      </c>
      <c r="AZ4" s="12" t="s">
        <v>565</v>
      </c>
      <c r="BA4" s="12" t="s">
        <v>566</v>
      </c>
      <c r="BB4" s="12" t="s">
        <v>567</v>
      </c>
    </row>
    <row r="5" customFormat="false" ht="15" hidden="false" customHeight="false" outlineLevel="0" collapsed="false">
      <c r="A5" s="0" t="s">
        <v>485</v>
      </c>
      <c r="B5" s="0" t="s">
        <v>568</v>
      </c>
      <c r="C5" s="0" t="s">
        <v>569</v>
      </c>
      <c r="D5" s="0" t="n">
        <v>3</v>
      </c>
      <c r="E5" s="0" t="s">
        <v>108</v>
      </c>
      <c r="F5" s="0" t="s">
        <v>109</v>
      </c>
      <c r="G5" s="10" t="n">
        <v>0.481081081081081</v>
      </c>
      <c r="H5" s="10" t="n">
        <v>0.226002519292152</v>
      </c>
      <c r="I5" s="10" t="n">
        <v>0.268377991659431</v>
      </c>
      <c r="J5" s="10" t="n">
        <v>0.505619489048417</v>
      </c>
      <c r="K5" s="9" t="s">
        <v>570</v>
      </c>
      <c r="L5" s="9" t="s">
        <v>571</v>
      </c>
      <c r="M5" s="9" t="s">
        <v>572</v>
      </c>
      <c r="N5" s="9" t="s">
        <v>573</v>
      </c>
      <c r="O5" s="11" t="n">
        <v>21.5</v>
      </c>
      <c r="P5" s="11" t="n">
        <v>21.5</v>
      </c>
      <c r="Q5" s="11" t="n">
        <v>21.5</v>
      </c>
      <c r="R5" s="10" t="n">
        <v>0.159420289855073</v>
      </c>
      <c r="S5" s="11" t="n">
        <v>-0.996875000000002</v>
      </c>
      <c r="T5" s="11" t="n">
        <v>12.5</v>
      </c>
      <c r="U5" s="11"/>
      <c r="V5" s="0" t="n">
        <v>229</v>
      </c>
      <c r="W5" s="14" t="s">
        <v>147</v>
      </c>
      <c r="X5" s="14" t="s">
        <v>161</v>
      </c>
      <c r="Y5" s="14" t="s">
        <v>174</v>
      </c>
      <c r="Z5" s="15" t="n">
        <v>21.5</v>
      </c>
      <c r="AA5" s="15" t="n">
        <v>21.5</v>
      </c>
      <c r="AB5" s="15" t="n">
        <v>21.5</v>
      </c>
      <c r="AC5" s="16" t="n">
        <v>0.5056</v>
      </c>
      <c r="AD5" s="9" t="s">
        <v>574</v>
      </c>
      <c r="AE5" s="9" t="s">
        <v>575</v>
      </c>
      <c r="AF5" s="10" t="n">
        <v>0.4624</v>
      </c>
      <c r="AG5" s="10" t="n">
        <v>0.5135</v>
      </c>
      <c r="AH5" s="10" t="n">
        <v>0.4865</v>
      </c>
      <c r="AI5" s="10" t="n">
        <f aca="false">IFERROR(INDEX(HLTV_Teams!$N$2:$N$9,MATCH($A5&amp;"|A",HLTV_Teams!$A$2:$A$9,0)),"")</f>
        <v>0.516812090554577</v>
      </c>
      <c r="AJ5" s="10" t="n">
        <f aca="false">IFERROR(INDEX(HLTV_Teams!$N$2:$N$9,MATCH($A5&amp;"|B",HLTV_Teams!$A$2:$A$9,0)),"")</f>
        <v>0.503384316974118</v>
      </c>
      <c r="AK5" s="17" t="n">
        <f aca="false">IF($W5="","",IFERROR((SUMIFS(HLTV_Long!$B$2:$B$114,HLTV_Long!$A$2:$A$114,$A5&amp;"|A|"&amp;$W5&amp;"|lw")+SUMIFS(HLTV_Long!$B$2:$B$114,HLTV_Long!$A$2:$A$114,$A5&amp;"|B|"&amp;$W5&amp;"|wl"))/(COUNTIFS(HLTV_Long!$A$2:$A$114,$A5&amp;"|A|"&amp;$W5&amp;"|lw")+COUNTIFS(HLTV_Long!$A$2:$A$114,$A5&amp;"|B|"&amp;$W5&amp;"|wl")),IFERROR((SUMIFS(HLTV_Long!$B$2:$B$114,HLTV_Long!$A$2:$A$114,$A5&amp;"|A|"&amp;"ALL"&amp;"|lw")+SUMIFS(HLTV_Long!$B$2:$B$114,HLTV_Long!$A$2:$A$114,$A5&amp;"|B|"&amp;"ALL"&amp;"|wl"))/(COUNTIFS(HLTV_Long!$A$2:$A$114,$A5&amp;"|A|"&amp;"ALL"&amp;"|lw")+COUNTIFS(HLTV_Long!$A$2:$A$114,$A5&amp;"|B|"&amp;"ALL"&amp;"|wl")),"")))</f>
        <v>7.71</v>
      </c>
      <c r="AL5" s="17" t="n">
        <f aca="false">IF($W5="","",IFERROR((SUMIFS(HLTV_Long!$B$2:$B$114,HLTV_Long!$A$2:$A$114,$A5&amp;"|B|"&amp;$W5&amp;"|lw")+SUMIFS(HLTV_Long!$B$2:$B$114,HLTV_Long!$A$2:$A$114,$A5&amp;"|A|"&amp;$W5&amp;"|wl"))/(COUNTIFS(HLTV_Long!$A$2:$A$114,$A5&amp;"|B|"&amp;$W5&amp;"|lw")+COUNTIFS(HLTV_Long!$A$2:$A$114,$A5&amp;"|A|"&amp;$W5&amp;"|wl")),IFERROR((SUMIFS(HLTV_Long!$B$2:$B$114,HLTV_Long!$A$2:$A$114,$A5&amp;"|B|"&amp;"ALL"&amp;"|lw")+SUMIFS(HLTV_Long!$B$2:$B$114,HLTV_Long!$A$2:$A$114,$A5&amp;"|A|"&amp;"ALL"&amp;"|wl"))/(COUNTIFS(HLTV_Long!$A$2:$A$114,$A5&amp;"|B|"&amp;"ALL"&amp;"|lw")+COUNTIFS(HLTV_Long!$A$2:$A$114,$A5&amp;"|A|"&amp;"ALL"&amp;"|wl")),"")))</f>
        <v>6.25</v>
      </c>
      <c r="AM5" s="9" t="n">
        <f aca="false">IF($W5="","",COUNTIFS(HLTV_Long!$A$2:$A$114,$A5&amp;"|A|"&amp;$W5&amp;"|lw")+COUNTIFS(HLTV_Long!$A$2:$A$114,$A5&amp;"|B|"&amp;$W5&amp;"|wl")+COUNTIFS(HLTV_Long!$A$2:$A$114,$A5&amp;"|B|"&amp;$W5&amp;"|lw")+COUNTIFS(HLTV_Long!$A$2:$A$114,$A5&amp;"|A|"&amp;$W5&amp;"|wl"))</f>
        <v>4</v>
      </c>
      <c r="AN5" s="17" t="n">
        <f aca="false">IF(OR($AK5="",$AL5="",$AF5=""),"",13+$AF5*$AK5+(1-$AF5)*$AL5)</f>
        <v>19.925104</v>
      </c>
      <c r="AO5" s="17" t="n">
        <f aca="false">IF($AN5="","",$AF5*(13-$AK5)-(1-$AF5)*(13-$AL5))</f>
        <v>-1.182704</v>
      </c>
      <c r="AP5" s="10" t="n">
        <f aca="false">IF($AN5="","",($AF5*13+(1-$AF5)*$AL5)/$AN5)</f>
        <v>0.470321259050894</v>
      </c>
      <c r="AQ5" s="17" t="n">
        <f aca="false">IF($X5="","",IFERROR((SUMIFS(HLTV_Long!$B$2:$B$114,HLTV_Long!$A$2:$A$114,$A5&amp;"|A|"&amp;$X5&amp;"|lw")+SUMIFS(HLTV_Long!$B$2:$B$114,HLTV_Long!$A$2:$A$114,$A5&amp;"|B|"&amp;$X5&amp;"|wl"))/(COUNTIFS(HLTV_Long!$A$2:$A$114,$A5&amp;"|A|"&amp;$X5&amp;"|lw")+COUNTIFS(HLTV_Long!$A$2:$A$114,$A5&amp;"|B|"&amp;$X5&amp;"|wl")),IFERROR((SUMIFS(HLTV_Long!$B$2:$B$114,HLTV_Long!$A$2:$A$114,$A5&amp;"|A|"&amp;"ALL"&amp;"|lw")+SUMIFS(HLTV_Long!$B$2:$B$114,HLTV_Long!$A$2:$A$114,$A5&amp;"|B|"&amp;"ALL"&amp;"|wl"))/(COUNTIFS(HLTV_Long!$A$2:$A$114,$A5&amp;"|A|"&amp;"ALL"&amp;"|lw")+COUNTIFS(HLTV_Long!$A$2:$A$114,$A5&amp;"|B|"&amp;"ALL"&amp;"|wl")),"")))</f>
        <v>7.585</v>
      </c>
      <c r="AR5" s="17" t="n">
        <f aca="false">IF($X5="","",IFERROR((SUMIFS(HLTV_Long!$B$2:$B$114,HLTV_Long!$A$2:$A$114,$A5&amp;"|B|"&amp;$X5&amp;"|lw")+SUMIFS(HLTV_Long!$B$2:$B$114,HLTV_Long!$A$2:$A$114,$A5&amp;"|A|"&amp;$X5&amp;"|wl"))/(COUNTIFS(HLTV_Long!$A$2:$A$114,$A5&amp;"|B|"&amp;$X5&amp;"|lw")+COUNTIFS(HLTV_Long!$A$2:$A$114,$A5&amp;"|A|"&amp;$X5&amp;"|wl")),IFERROR((SUMIFS(HLTV_Long!$B$2:$B$114,HLTV_Long!$A$2:$A$114,$A5&amp;"|B|"&amp;"ALL"&amp;"|lw")+SUMIFS(HLTV_Long!$B$2:$B$114,HLTV_Long!$A$2:$A$114,$A5&amp;"|A|"&amp;"ALL"&amp;"|wl"))/(COUNTIFS(HLTV_Long!$A$2:$A$114,$A5&amp;"|B|"&amp;"ALL"&amp;"|lw")+COUNTIFS(HLTV_Long!$A$2:$A$114,$A5&amp;"|A|"&amp;"ALL"&amp;"|wl")),"")))</f>
        <v>8.085</v>
      </c>
      <c r="AS5" s="9" t="n">
        <f aca="false">IF($X5="","",COUNTIFS(HLTV_Long!$A$2:$A$114,$A5&amp;"|A|"&amp;$X5&amp;"|lw")+COUNTIFS(HLTV_Long!$A$2:$A$114,$A5&amp;"|B|"&amp;$X5&amp;"|wl")+COUNTIFS(HLTV_Long!$A$2:$A$114,$A5&amp;"|B|"&amp;$X5&amp;"|lw")+COUNTIFS(HLTV_Long!$A$2:$A$114,$A5&amp;"|A|"&amp;$X5&amp;"|wl"))</f>
        <v>4</v>
      </c>
      <c r="AT5" s="17" t="n">
        <f aca="false">IF(OR($AQ5="",$AR5="",$AG5=""),"",13+$AG5*$AQ5+(1-$AG5)*$AR5)</f>
        <v>20.82825</v>
      </c>
      <c r="AU5" s="17" t="n">
        <f aca="false">IF($AT5="","",$AG5*(13-$AQ5)-(1-$AG5)*(13-$AR5))</f>
        <v>0.389455</v>
      </c>
      <c r="AV5" s="10" t="n">
        <f aca="false">IF($AT5="","",($AG5*13+(1-$AG5)*$AR5)/$AT5)</f>
        <v>0.509349201205094</v>
      </c>
      <c r="AW5" s="17" t="n">
        <f aca="false">IF($Y5="","",IFERROR((SUMIFS(HLTV_Long!$B$2:$B$114,HLTV_Long!$A$2:$A$114,$A5&amp;"|A|"&amp;$Y5&amp;"|lw")+SUMIFS(HLTV_Long!$B$2:$B$114,HLTV_Long!$A$2:$A$114,$A5&amp;"|B|"&amp;$Y5&amp;"|wl"))/(COUNTIFS(HLTV_Long!$A$2:$A$114,$A5&amp;"|A|"&amp;$Y5&amp;"|lw")+COUNTIFS(HLTV_Long!$A$2:$A$114,$A5&amp;"|B|"&amp;$Y5&amp;"|wl")),IFERROR((SUMIFS(HLTV_Long!$B$2:$B$114,HLTV_Long!$A$2:$A$114,$A5&amp;"|A|"&amp;"ALL"&amp;"|lw")+SUMIFS(HLTV_Long!$B$2:$B$114,HLTV_Long!$A$2:$A$114,$A5&amp;"|B|"&amp;"ALL"&amp;"|wl"))/(COUNTIFS(HLTV_Long!$A$2:$A$114,$A5&amp;"|A|"&amp;"ALL"&amp;"|lw")+COUNTIFS(HLTV_Long!$A$2:$A$114,$A5&amp;"|B|"&amp;"ALL"&amp;"|wl")),"")))</f>
        <v>7.765</v>
      </c>
      <c r="AX5" s="17" t="n">
        <f aca="false">IF($Y5="","",IFERROR((SUMIFS(HLTV_Long!$B$2:$B$114,HLTV_Long!$A$2:$A$114,$A5&amp;"|B|"&amp;$Y5&amp;"|lw")+SUMIFS(HLTV_Long!$B$2:$B$114,HLTV_Long!$A$2:$A$114,$A5&amp;"|A|"&amp;$Y5&amp;"|wl"))/(COUNTIFS(HLTV_Long!$A$2:$A$114,$A5&amp;"|B|"&amp;$Y5&amp;"|lw")+COUNTIFS(HLTV_Long!$A$2:$A$114,$A5&amp;"|A|"&amp;$Y5&amp;"|wl")),IFERROR((SUMIFS(HLTV_Long!$B$2:$B$114,HLTV_Long!$A$2:$A$114,$A5&amp;"|B|"&amp;"ALL"&amp;"|lw")+SUMIFS(HLTV_Long!$B$2:$B$114,HLTV_Long!$A$2:$A$114,$A5&amp;"|A|"&amp;"ALL"&amp;"|wl"))/(COUNTIFS(HLTV_Long!$A$2:$A$114,$A5&amp;"|B|"&amp;"ALL"&amp;"|lw")+COUNTIFS(HLTV_Long!$A$2:$A$114,$A5&amp;"|A|"&amp;"ALL"&amp;"|wl")),"")))</f>
        <v>7.15</v>
      </c>
      <c r="AY5" s="9" t="n">
        <f aca="false">IF($Y5="","",COUNTIFS(HLTV_Long!$A$2:$A$114,$A5&amp;"|A|"&amp;$Y5&amp;"|lw")+COUNTIFS(HLTV_Long!$A$2:$A$114,$A5&amp;"|B|"&amp;$Y5&amp;"|wl")+COUNTIFS(HLTV_Long!$A$2:$A$114,$A5&amp;"|B|"&amp;$Y5&amp;"|lw")+COUNTIFS(HLTV_Long!$A$2:$A$114,$A5&amp;"|A|"&amp;$Y5&amp;"|wl"))</f>
        <v>4</v>
      </c>
      <c r="AZ5" s="17" t="n">
        <f aca="false">IF(OR($AW5="",$AX5="",$AH5=""),"",13+$AH5*$AW5+(1-$AH5)*$AX5)</f>
        <v>20.4491975</v>
      </c>
      <c r="BA5" s="17" t="n">
        <f aca="false">IF($AZ5="","",$AH5*(13-$AW5)-(1-$AH5)*(13-$AX5))</f>
        <v>-0.4571475</v>
      </c>
      <c r="BB5" s="10" t="n">
        <f aca="false">IF($AZ5="","",($AH5*13+(1-$AH5)*$AX5)/$AZ5)</f>
        <v>0.488822360877487</v>
      </c>
    </row>
    <row r="6" customFormat="false" ht="15" hidden="false" customHeight="false" outlineLevel="0" collapsed="false">
      <c r="A6" s="0" t="s">
        <v>576</v>
      </c>
      <c r="B6" s="0" t="s">
        <v>568</v>
      </c>
      <c r="C6" s="0" t="s">
        <v>577</v>
      </c>
      <c r="D6" s="0" t="n">
        <v>3</v>
      </c>
      <c r="E6" s="0" t="s">
        <v>263</v>
      </c>
      <c r="F6" s="0" t="s">
        <v>264</v>
      </c>
      <c r="G6" s="10" t="n">
        <v>0.46070460704607</v>
      </c>
      <c r="H6" s="10" t="n">
        <v>0.250820715544604</v>
      </c>
      <c r="I6" s="10" t="n">
        <v>0.27273708874753</v>
      </c>
      <c r="J6" s="10" t="n">
        <v>0.476442195707866</v>
      </c>
      <c r="K6" s="9" t="s">
        <v>578</v>
      </c>
      <c r="L6" s="9" t="s">
        <v>579</v>
      </c>
      <c r="M6" s="9" t="s">
        <v>580</v>
      </c>
      <c r="N6" s="9" t="s">
        <v>573</v>
      </c>
      <c r="O6" s="11" t="n">
        <v>21.2602222538823</v>
      </c>
      <c r="P6" s="11" t="n">
        <v>21.2537673738113</v>
      </c>
      <c r="Q6" s="11"/>
      <c r="R6" s="10" t="n">
        <v>0.155937052932761</v>
      </c>
      <c r="S6" s="11" t="n">
        <v>-0.346895417371041</v>
      </c>
      <c r="T6" s="11"/>
      <c r="U6" s="11"/>
      <c r="V6" s="0" t="n">
        <v>428</v>
      </c>
      <c r="W6" s="14" t="s">
        <v>174</v>
      </c>
      <c r="X6" s="14" t="s">
        <v>161</v>
      </c>
      <c r="Y6" s="14" t="s">
        <v>184</v>
      </c>
      <c r="Z6" s="15" t="n">
        <v>21.26</v>
      </c>
      <c r="AA6" s="15" t="n">
        <v>21.25</v>
      </c>
      <c r="AB6" s="15" t="n">
        <f aca="false">Config!$B$7</f>
        <v>21.5</v>
      </c>
      <c r="AC6" s="16" t="n">
        <v>0.4764</v>
      </c>
      <c r="AD6" s="9" t="s">
        <v>581</v>
      </c>
      <c r="AE6" s="9" t="s">
        <v>582</v>
      </c>
      <c r="AF6" s="10" t="n">
        <v>0.4891</v>
      </c>
      <c r="AG6" s="10" t="n">
        <v>0.4891</v>
      </c>
      <c r="AH6" s="10" t="n">
        <v>0.4607</v>
      </c>
      <c r="AI6" s="10" t="n">
        <f aca="false">IFERROR(INDEX(HLTV_Teams!$N$2:$N$9,MATCH($A6&amp;"|A",HLTV_Teams!$A$2:$A$9,0)),"")</f>
        <v>0.552983084096429</v>
      </c>
      <c r="AJ6" s="10" t="n">
        <f aca="false">IFERROR(INDEX(HLTV_Teams!$N$2:$N$9,MATCH($A6&amp;"|B",HLTV_Teams!$A$2:$A$9,0)),"")</f>
        <v>0.524404588360737</v>
      </c>
      <c r="AK6" s="17" t="n">
        <f aca="false">IF($W6="","",IFERROR((SUMIFS(HLTV_Long!$B$2:$B$114,HLTV_Long!$A$2:$A$114,$A6&amp;"|A|"&amp;$W6&amp;"|lw")+SUMIFS(HLTV_Long!$B$2:$B$114,HLTV_Long!$A$2:$A$114,$A6&amp;"|B|"&amp;$W6&amp;"|wl"))/(COUNTIFS(HLTV_Long!$A$2:$A$114,$A6&amp;"|A|"&amp;$W6&amp;"|lw")+COUNTIFS(HLTV_Long!$A$2:$A$114,$A6&amp;"|B|"&amp;$W6&amp;"|wl")),IFERROR((SUMIFS(HLTV_Long!$B$2:$B$114,HLTV_Long!$A$2:$A$114,$A6&amp;"|A|"&amp;"ALL"&amp;"|lw")+SUMIFS(HLTV_Long!$B$2:$B$114,HLTV_Long!$A$2:$A$114,$A6&amp;"|B|"&amp;"ALL"&amp;"|wl"))/(COUNTIFS(HLTV_Long!$A$2:$A$114,$A6&amp;"|A|"&amp;"ALL"&amp;"|lw")+COUNTIFS(HLTV_Long!$A$2:$A$114,$A6&amp;"|B|"&amp;"ALL"&amp;"|wl")),"")))</f>
        <v>8.335</v>
      </c>
      <c r="AL6" s="17" t="n">
        <f aca="false">IF($W6="","",IFERROR((SUMIFS(HLTV_Long!$B$2:$B$114,HLTV_Long!$A$2:$A$114,$A6&amp;"|B|"&amp;$W6&amp;"|lw")+SUMIFS(HLTV_Long!$B$2:$B$114,HLTV_Long!$A$2:$A$114,$A6&amp;"|A|"&amp;$W6&amp;"|wl"))/(COUNTIFS(HLTV_Long!$A$2:$A$114,$A6&amp;"|B|"&amp;$W6&amp;"|lw")+COUNTIFS(HLTV_Long!$A$2:$A$114,$A6&amp;"|A|"&amp;$W6&amp;"|wl")),IFERROR((SUMIFS(HLTV_Long!$B$2:$B$114,HLTV_Long!$A$2:$A$114,$A6&amp;"|B|"&amp;"ALL"&amp;"|lw")+SUMIFS(HLTV_Long!$B$2:$B$114,HLTV_Long!$A$2:$A$114,$A6&amp;"|A|"&amp;"ALL"&amp;"|wl"))/(COUNTIFS(HLTV_Long!$A$2:$A$114,$A6&amp;"|B|"&amp;"ALL"&amp;"|lw")+COUNTIFS(HLTV_Long!$A$2:$A$114,$A6&amp;"|A|"&amp;"ALL"&amp;"|wl")),"")))</f>
        <v>9.335</v>
      </c>
      <c r="AM6" s="9" t="n">
        <f aca="false">IF($W6="","",COUNTIFS(HLTV_Long!$A$2:$A$114,$A6&amp;"|A|"&amp;$W6&amp;"|lw")+COUNTIFS(HLTV_Long!$A$2:$A$114,$A6&amp;"|B|"&amp;$W6&amp;"|wl")+COUNTIFS(HLTV_Long!$A$2:$A$114,$A6&amp;"|B|"&amp;$W6&amp;"|lw")+COUNTIFS(HLTV_Long!$A$2:$A$114,$A6&amp;"|A|"&amp;$W6&amp;"|wl"))</f>
        <v>4</v>
      </c>
      <c r="AN6" s="17" t="n">
        <f aca="false">IF(OR($AK6="",$AL6="",$AF6=""),"",13+$AF6*$AK6+(1-$AF6)*$AL6)</f>
        <v>21.8459</v>
      </c>
      <c r="AO6" s="17" t="n">
        <f aca="false">IF($AN6="","",$AF6*(13-$AK6)-(1-$AF6)*(13-$AL6))</f>
        <v>0.409203</v>
      </c>
      <c r="AP6" s="10" t="n">
        <f aca="false">IF($AN6="","",($AF6*13+(1-$AF6)*$AL6)/$AN6)</f>
        <v>0.509365670446171</v>
      </c>
      <c r="AQ6" s="17" t="n">
        <f aca="false">IF($X6="","",IFERROR((SUMIFS(HLTV_Long!$B$2:$B$114,HLTV_Long!$A$2:$A$114,$A6&amp;"|A|"&amp;$X6&amp;"|lw")+SUMIFS(HLTV_Long!$B$2:$B$114,HLTV_Long!$A$2:$A$114,$A6&amp;"|B|"&amp;$X6&amp;"|wl"))/(COUNTIFS(HLTV_Long!$A$2:$A$114,$A6&amp;"|A|"&amp;$X6&amp;"|lw")+COUNTIFS(HLTV_Long!$A$2:$A$114,$A6&amp;"|B|"&amp;$X6&amp;"|wl")),IFERROR((SUMIFS(HLTV_Long!$B$2:$B$114,HLTV_Long!$A$2:$A$114,$A6&amp;"|A|"&amp;"ALL"&amp;"|lw")+SUMIFS(HLTV_Long!$B$2:$B$114,HLTV_Long!$A$2:$A$114,$A6&amp;"|B|"&amp;"ALL"&amp;"|wl"))/(COUNTIFS(HLTV_Long!$A$2:$A$114,$A6&amp;"|A|"&amp;"ALL"&amp;"|lw")+COUNTIFS(HLTV_Long!$A$2:$A$114,$A6&amp;"|B|"&amp;"ALL"&amp;"|wl")),"")))</f>
        <v>9.565</v>
      </c>
      <c r="AR6" s="17" t="n">
        <f aca="false">IF($X6="","",IFERROR((SUMIFS(HLTV_Long!$B$2:$B$114,HLTV_Long!$A$2:$A$114,$A6&amp;"|B|"&amp;$X6&amp;"|lw")+SUMIFS(HLTV_Long!$B$2:$B$114,HLTV_Long!$A$2:$A$114,$A6&amp;"|A|"&amp;$X6&amp;"|wl"))/(COUNTIFS(HLTV_Long!$A$2:$A$114,$A6&amp;"|B|"&amp;$X6&amp;"|lw")+COUNTIFS(HLTV_Long!$A$2:$A$114,$A6&amp;"|A|"&amp;$X6&amp;"|wl")),IFERROR((SUMIFS(HLTV_Long!$B$2:$B$114,HLTV_Long!$A$2:$A$114,$A6&amp;"|B|"&amp;"ALL"&amp;"|lw")+SUMIFS(HLTV_Long!$B$2:$B$114,HLTV_Long!$A$2:$A$114,$A6&amp;"|A|"&amp;"ALL"&amp;"|wl"))/(COUNTIFS(HLTV_Long!$A$2:$A$114,$A6&amp;"|B|"&amp;"ALL"&amp;"|lw")+COUNTIFS(HLTV_Long!$A$2:$A$114,$A6&amp;"|A|"&amp;"ALL"&amp;"|wl")),"")))</f>
        <v>10.4</v>
      </c>
      <c r="AS6" s="9" t="n">
        <f aca="false">IF($X6="","",COUNTIFS(HLTV_Long!$A$2:$A$114,$A6&amp;"|A|"&amp;$X6&amp;"|lw")+COUNTIFS(HLTV_Long!$A$2:$A$114,$A6&amp;"|B|"&amp;$X6&amp;"|wl")+COUNTIFS(HLTV_Long!$A$2:$A$114,$A6&amp;"|B|"&amp;$X6&amp;"|lw")+COUNTIFS(HLTV_Long!$A$2:$A$114,$A6&amp;"|A|"&amp;$X6&amp;"|wl"))</f>
        <v>4</v>
      </c>
      <c r="AT6" s="17" t="n">
        <f aca="false">IF(OR($AQ6="",$AR6="",$AG6=""),"",13+$AG6*$AQ6+(1-$AG6)*$AR6)</f>
        <v>22.9916015</v>
      </c>
      <c r="AU6" s="17" t="n">
        <f aca="false">IF($AT6="","",$AG6*(13-$AQ6)-(1-$AG6)*(13-$AR6))</f>
        <v>0.351718499999999</v>
      </c>
      <c r="AV6" s="10" t="n">
        <f aca="false">IF($AT6="","",($AG6*13+(1-$AG6)*$AR6)/$AT6)</f>
        <v>0.507648847341061</v>
      </c>
      <c r="AW6" s="17" t="n">
        <f aca="false">IF($Y6="","",IFERROR((SUMIFS(HLTV_Long!$B$2:$B$114,HLTV_Long!$A$2:$A$114,$A6&amp;"|A|"&amp;$Y6&amp;"|lw")+SUMIFS(HLTV_Long!$B$2:$B$114,HLTV_Long!$A$2:$A$114,$A6&amp;"|B|"&amp;$Y6&amp;"|wl"))/(COUNTIFS(HLTV_Long!$A$2:$A$114,$A6&amp;"|A|"&amp;$Y6&amp;"|lw")+COUNTIFS(HLTV_Long!$A$2:$A$114,$A6&amp;"|B|"&amp;$Y6&amp;"|wl")),IFERROR((SUMIFS(HLTV_Long!$B$2:$B$114,HLTV_Long!$A$2:$A$114,$A6&amp;"|A|"&amp;"ALL"&amp;"|lw")+SUMIFS(HLTV_Long!$B$2:$B$114,HLTV_Long!$A$2:$A$114,$A6&amp;"|B|"&amp;"ALL"&amp;"|wl"))/(COUNTIFS(HLTV_Long!$A$2:$A$114,$A6&amp;"|A|"&amp;"ALL"&amp;"|lw")+COUNTIFS(HLTV_Long!$A$2:$A$114,$A6&amp;"|B|"&amp;"ALL"&amp;"|wl")),"")))</f>
        <v>7.8</v>
      </c>
      <c r="AX6" s="17" t="n">
        <f aca="false">IF($Y6="","",IFERROR((SUMIFS(HLTV_Long!$B$2:$B$114,HLTV_Long!$A$2:$A$114,$A6&amp;"|B|"&amp;$Y6&amp;"|lw")+SUMIFS(HLTV_Long!$B$2:$B$114,HLTV_Long!$A$2:$A$114,$A6&amp;"|A|"&amp;$Y6&amp;"|wl"))/(COUNTIFS(HLTV_Long!$A$2:$A$114,$A6&amp;"|B|"&amp;$Y6&amp;"|lw")+COUNTIFS(HLTV_Long!$A$2:$A$114,$A6&amp;"|A|"&amp;$Y6&amp;"|wl")),IFERROR((SUMIFS(HLTV_Long!$B$2:$B$114,HLTV_Long!$A$2:$A$114,$A6&amp;"|B|"&amp;"ALL"&amp;"|lw")+SUMIFS(HLTV_Long!$B$2:$B$114,HLTV_Long!$A$2:$A$114,$A6&amp;"|A|"&amp;"ALL"&amp;"|wl"))/(COUNTIFS(HLTV_Long!$A$2:$A$114,$A6&amp;"|B|"&amp;"ALL"&amp;"|lw")+COUNTIFS(HLTV_Long!$A$2:$A$114,$A6&amp;"|A|"&amp;"ALL"&amp;"|wl")),"")))</f>
        <v>11</v>
      </c>
      <c r="AY6" s="9" t="n">
        <f aca="false">IF($Y6="","",COUNTIFS(HLTV_Long!$A$2:$A$114,$A6&amp;"|A|"&amp;$Y6&amp;"|lw")+COUNTIFS(HLTV_Long!$A$2:$A$114,$A6&amp;"|B|"&amp;$Y6&amp;"|wl")+COUNTIFS(HLTV_Long!$A$2:$A$114,$A6&amp;"|B|"&amp;$Y6&amp;"|lw")+COUNTIFS(HLTV_Long!$A$2:$A$114,$A6&amp;"|A|"&amp;$Y6&amp;"|wl"))</f>
        <v>3</v>
      </c>
      <c r="AZ6" s="17" t="n">
        <f aca="false">IF(OR($AW6="",$AX6="",$AH6=""),"",13+$AH6*$AW6+(1-$AH6)*$AX6)</f>
        <v>22.52576</v>
      </c>
      <c r="BA6" s="17" t="n">
        <f aca="false">IF($AZ6="","",$AH6*(13-$AW6)-(1-$AH6)*(13-$AX6))</f>
        <v>1.31704</v>
      </c>
      <c r="BB6" s="10" t="n">
        <f aca="false">IF($AZ6="","",($AH6*13+(1-$AH6)*$AX6)/$AZ6)</f>
        <v>0.529234085775574</v>
      </c>
    </row>
    <row r="7" customFormat="false" ht="15" hidden="false" customHeight="false" outlineLevel="0" collapsed="false">
      <c r="A7" s="0" t="s">
        <v>583</v>
      </c>
      <c r="B7" s="0" t="s">
        <v>568</v>
      </c>
      <c r="C7" s="0" t="s">
        <v>577</v>
      </c>
      <c r="D7" s="0" t="n">
        <v>3</v>
      </c>
      <c r="E7" s="0" t="s">
        <v>345</v>
      </c>
      <c r="F7" s="0" t="s">
        <v>346</v>
      </c>
      <c r="G7" s="10" t="n">
        <v>0.644278606965174</v>
      </c>
      <c r="H7" s="10" t="n">
        <v>0.380732943050208</v>
      </c>
      <c r="I7" s="10" t="n">
        <v>0.184172334707584</v>
      </c>
      <c r="J7" s="10" t="n">
        <v>0.435094722242208</v>
      </c>
      <c r="K7" s="9" t="s">
        <v>584</v>
      </c>
      <c r="L7" s="9" t="s">
        <v>585</v>
      </c>
      <c r="M7" s="9" t="s">
        <v>586</v>
      </c>
      <c r="N7" s="9" t="s">
        <v>587</v>
      </c>
      <c r="O7" s="11" t="n">
        <v>21.027027027027</v>
      </c>
      <c r="P7" s="11" t="n">
        <v>20.9938253346151</v>
      </c>
      <c r="Q7" s="11"/>
      <c r="R7" s="10"/>
      <c r="S7" s="11" t="n">
        <v>2.84080470328863</v>
      </c>
      <c r="T7" s="11"/>
      <c r="U7" s="11"/>
      <c r="V7" s="0" t="n">
        <v>59</v>
      </c>
      <c r="W7" s="14" t="s">
        <v>338</v>
      </c>
      <c r="X7" s="14" t="s">
        <v>184</v>
      </c>
      <c r="Y7" s="14" t="s">
        <v>174</v>
      </c>
      <c r="Z7" s="15" t="n">
        <v>21.03</v>
      </c>
      <c r="AA7" s="15" t="n">
        <v>20.99</v>
      </c>
      <c r="AB7" s="15" t="n">
        <f aca="false">Config!$B$7</f>
        <v>21.5</v>
      </c>
      <c r="AC7" s="16" t="n">
        <v>0.4351</v>
      </c>
      <c r="AD7" s="9" t="s">
        <v>588</v>
      </c>
      <c r="AE7" s="9" t="s">
        <v>589</v>
      </c>
      <c r="AF7" s="10" t="n">
        <v>0.6082</v>
      </c>
      <c r="AG7" s="10" t="n">
        <v>0.6072</v>
      </c>
      <c r="AH7" s="10" t="n">
        <v>0.6443</v>
      </c>
      <c r="AI7" s="10" t="n">
        <f aca="false">IFERROR(INDEX(HLTV_Teams!$N$2:$N$9,MATCH($A7&amp;"|A",HLTV_Teams!$A$2:$A$9,0)),"")</f>
        <v>0.497097913925394</v>
      </c>
      <c r="AJ7" s="10" t="n">
        <f aca="false">IFERROR(INDEX(HLTV_Teams!$N$2:$N$9,MATCH($A7&amp;"|B",HLTV_Teams!$A$2:$A$9,0)),"")</f>
        <v>0.531558393390882</v>
      </c>
      <c r="AK7" s="17" t="n">
        <f aca="false">IF($W7="","",IFERROR((SUMIFS(HLTV_Long!$B$2:$B$114,HLTV_Long!$A$2:$A$114,$A7&amp;"|A|"&amp;$W7&amp;"|lw")+SUMIFS(HLTV_Long!$B$2:$B$114,HLTV_Long!$A$2:$A$114,$A7&amp;"|B|"&amp;$W7&amp;"|wl"))/(COUNTIFS(HLTV_Long!$A$2:$A$114,$A7&amp;"|A|"&amp;$W7&amp;"|lw")+COUNTIFS(HLTV_Long!$A$2:$A$114,$A7&amp;"|B|"&amp;$W7&amp;"|wl")),IFERROR((SUMIFS(HLTV_Long!$B$2:$B$114,HLTV_Long!$A$2:$A$114,$A7&amp;"|A|"&amp;"ALL"&amp;"|lw")+SUMIFS(HLTV_Long!$B$2:$B$114,HLTV_Long!$A$2:$A$114,$A7&amp;"|B|"&amp;"ALL"&amp;"|wl"))/(COUNTIFS(HLTV_Long!$A$2:$A$114,$A7&amp;"|A|"&amp;"ALL"&amp;"|lw")+COUNTIFS(HLTV_Long!$A$2:$A$114,$A7&amp;"|B|"&amp;"ALL"&amp;"|wl")),"")))</f>
        <v>9.185</v>
      </c>
      <c r="AL7" s="17" t="n">
        <f aca="false">IF($W7="","",IFERROR((SUMIFS(HLTV_Long!$B$2:$B$114,HLTV_Long!$A$2:$A$114,$A7&amp;"|B|"&amp;$W7&amp;"|lw")+SUMIFS(HLTV_Long!$B$2:$B$114,HLTV_Long!$A$2:$A$114,$A7&amp;"|A|"&amp;$W7&amp;"|wl"))/(COUNTIFS(HLTV_Long!$A$2:$A$114,$A7&amp;"|B|"&amp;$W7&amp;"|lw")+COUNTIFS(HLTV_Long!$A$2:$A$114,$A7&amp;"|A|"&amp;$W7&amp;"|wl")),IFERROR((SUMIFS(HLTV_Long!$B$2:$B$114,HLTV_Long!$A$2:$A$114,$A7&amp;"|B|"&amp;"ALL"&amp;"|lw")+SUMIFS(HLTV_Long!$B$2:$B$114,HLTV_Long!$A$2:$A$114,$A7&amp;"|A|"&amp;"ALL"&amp;"|wl"))/(COUNTIFS(HLTV_Long!$A$2:$A$114,$A7&amp;"|B|"&amp;"ALL"&amp;"|lw")+COUNTIFS(HLTV_Long!$A$2:$A$114,$A7&amp;"|A|"&amp;"ALL"&amp;"|wl")),"")))</f>
        <v>7.945</v>
      </c>
      <c r="AM7" s="9" t="n">
        <f aca="false">IF($W7="","",COUNTIFS(HLTV_Long!$A$2:$A$114,$A7&amp;"|A|"&amp;$W7&amp;"|lw")+COUNTIFS(HLTV_Long!$A$2:$A$114,$A7&amp;"|B|"&amp;$W7&amp;"|wl")+COUNTIFS(HLTV_Long!$A$2:$A$114,$A7&amp;"|B|"&amp;$W7&amp;"|lw")+COUNTIFS(HLTV_Long!$A$2:$A$114,$A7&amp;"|A|"&amp;$W7&amp;"|wl"))</f>
        <v>4</v>
      </c>
      <c r="AN7" s="17" t="n">
        <f aca="false">IF(OR($AK7="",$AL7="",$AF7=""),"",13+$AF7*$AK7+(1-$AF7)*$AL7)</f>
        <v>21.699168</v>
      </c>
      <c r="AO7" s="17" t="n">
        <f aca="false">IF($AN7="","",$AF7*(13-$AK7)-(1-$AF7)*(13-$AL7))</f>
        <v>0.339734000000001</v>
      </c>
      <c r="AP7" s="10" t="n">
        <f aca="false">IF($AN7="","",($AF7*13+(1-$AF7)*$AL7)/$AN7)</f>
        <v>0.507828272494134</v>
      </c>
      <c r="AQ7" s="17" t="n">
        <f aca="false">IF($X7="","",IFERROR((SUMIFS(HLTV_Long!$B$2:$B$114,HLTV_Long!$A$2:$A$114,$A7&amp;"|A|"&amp;$X7&amp;"|lw")+SUMIFS(HLTV_Long!$B$2:$B$114,HLTV_Long!$A$2:$A$114,$A7&amp;"|B|"&amp;$X7&amp;"|wl"))/(COUNTIFS(HLTV_Long!$A$2:$A$114,$A7&amp;"|A|"&amp;$X7&amp;"|lw")+COUNTIFS(HLTV_Long!$A$2:$A$114,$A7&amp;"|B|"&amp;$X7&amp;"|wl")),IFERROR((SUMIFS(HLTV_Long!$B$2:$B$114,HLTV_Long!$A$2:$A$114,$A7&amp;"|A|"&amp;"ALL"&amp;"|lw")+SUMIFS(HLTV_Long!$B$2:$B$114,HLTV_Long!$A$2:$A$114,$A7&amp;"|B|"&amp;"ALL"&amp;"|wl"))/(COUNTIFS(HLTV_Long!$A$2:$A$114,$A7&amp;"|A|"&amp;"ALL"&amp;"|lw")+COUNTIFS(HLTV_Long!$A$2:$A$114,$A7&amp;"|B|"&amp;"ALL"&amp;"|wl")),"")))</f>
        <v>7.105</v>
      </c>
      <c r="AR7" s="17" t="n">
        <f aca="false">IF($X7="","",IFERROR((SUMIFS(HLTV_Long!$B$2:$B$114,HLTV_Long!$A$2:$A$114,$A7&amp;"|B|"&amp;$X7&amp;"|lw")+SUMIFS(HLTV_Long!$B$2:$B$114,HLTV_Long!$A$2:$A$114,$A7&amp;"|A|"&amp;$X7&amp;"|wl"))/(COUNTIFS(HLTV_Long!$A$2:$A$114,$A7&amp;"|B|"&amp;$X7&amp;"|lw")+COUNTIFS(HLTV_Long!$A$2:$A$114,$A7&amp;"|A|"&amp;$X7&amp;"|wl")),IFERROR((SUMIFS(HLTV_Long!$B$2:$B$114,HLTV_Long!$A$2:$A$114,$A7&amp;"|B|"&amp;"ALL"&amp;"|lw")+SUMIFS(HLTV_Long!$B$2:$B$114,HLTV_Long!$A$2:$A$114,$A7&amp;"|A|"&amp;"ALL"&amp;"|wl"))/(COUNTIFS(HLTV_Long!$A$2:$A$114,$A7&amp;"|B|"&amp;"ALL"&amp;"|lw")+COUNTIFS(HLTV_Long!$A$2:$A$114,$A7&amp;"|A|"&amp;"ALL"&amp;"|wl")),"")))</f>
        <v>8.375</v>
      </c>
      <c r="AS7" s="9" t="n">
        <f aca="false">IF($X7="","",COUNTIFS(HLTV_Long!$A$2:$A$114,$A7&amp;"|A|"&amp;$X7&amp;"|lw")+COUNTIFS(HLTV_Long!$A$2:$A$114,$A7&amp;"|B|"&amp;$X7&amp;"|wl")+COUNTIFS(HLTV_Long!$A$2:$A$114,$A7&amp;"|B|"&amp;$X7&amp;"|lw")+COUNTIFS(HLTV_Long!$A$2:$A$114,$A7&amp;"|A|"&amp;$X7&amp;"|wl"))</f>
        <v>4</v>
      </c>
      <c r="AT7" s="17" t="n">
        <f aca="false">IF(OR($AQ7="",$AR7="",$AG7=""),"",13+$AG7*$AQ7+(1-$AG7)*$AR7)</f>
        <v>20.603856</v>
      </c>
      <c r="AU7" s="17" t="n">
        <f aca="false">IF($AT7="","",$AG7*(13-$AQ7)-(1-$AG7)*(13-$AR7))</f>
        <v>1.762744</v>
      </c>
      <c r="AV7" s="10" t="n">
        <f aca="false">IF($AT7="","",($AG7*13+(1-$AG7)*$AR7)/$AT7)</f>
        <v>0.542777041346047</v>
      </c>
      <c r="AW7" s="17" t="n">
        <f aca="false">IF($Y7="","",IFERROR((SUMIFS(HLTV_Long!$B$2:$B$114,HLTV_Long!$A$2:$A$114,$A7&amp;"|A|"&amp;$Y7&amp;"|lw")+SUMIFS(HLTV_Long!$B$2:$B$114,HLTV_Long!$A$2:$A$114,$A7&amp;"|B|"&amp;$Y7&amp;"|wl"))/(COUNTIFS(HLTV_Long!$A$2:$A$114,$A7&amp;"|A|"&amp;$Y7&amp;"|lw")+COUNTIFS(HLTV_Long!$A$2:$A$114,$A7&amp;"|B|"&amp;$Y7&amp;"|wl")),IFERROR((SUMIFS(HLTV_Long!$B$2:$B$114,HLTV_Long!$A$2:$A$114,$A7&amp;"|A|"&amp;"ALL"&amp;"|lw")+SUMIFS(HLTV_Long!$B$2:$B$114,HLTV_Long!$A$2:$A$114,$A7&amp;"|B|"&amp;"ALL"&amp;"|wl"))/(COUNTIFS(HLTV_Long!$A$2:$A$114,$A7&amp;"|A|"&amp;"ALL"&amp;"|lw")+COUNTIFS(HLTV_Long!$A$2:$A$114,$A7&amp;"|B|"&amp;"ALL"&amp;"|wl")),"")))</f>
        <v>7.69</v>
      </c>
      <c r="AX7" s="17" t="n">
        <f aca="false">IF($Y7="","",IFERROR((SUMIFS(HLTV_Long!$B$2:$B$114,HLTV_Long!$A$2:$A$114,$A7&amp;"|B|"&amp;$Y7&amp;"|lw")+SUMIFS(HLTV_Long!$B$2:$B$114,HLTV_Long!$A$2:$A$114,$A7&amp;"|A|"&amp;$Y7&amp;"|wl"))/(COUNTIFS(HLTV_Long!$A$2:$A$114,$A7&amp;"|B|"&amp;$Y7&amp;"|lw")+COUNTIFS(HLTV_Long!$A$2:$A$114,$A7&amp;"|A|"&amp;$Y7&amp;"|wl")),IFERROR((SUMIFS(HLTV_Long!$B$2:$B$114,HLTV_Long!$A$2:$A$114,$A7&amp;"|B|"&amp;"ALL"&amp;"|lw")+SUMIFS(HLTV_Long!$B$2:$B$114,HLTV_Long!$A$2:$A$114,$A7&amp;"|A|"&amp;"ALL"&amp;"|wl"))/(COUNTIFS(HLTV_Long!$A$2:$A$114,$A7&amp;"|B|"&amp;"ALL"&amp;"|lw")+COUNTIFS(HLTV_Long!$A$2:$A$114,$A7&amp;"|A|"&amp;"ALL"&amp;"|wl")),"")))</f>
        <v>8.15</v>
      </c>
      <c r="AY7" s="9" t="n">
        <f aca="false">IF($Y7="","",COUNTIFS(HLTV_Long!$A$2:$A$114,$A7&amp;"|A|"&amp;$Y7&amp;"|lw")+COUNTIFS(HLTV_Long!$A$2:$A$114,$A7&amp;"|B|"&amp;$Y7&amp;"|wl")+COUNTIFS(HLTV_Long!$A$2:$A$114,$A7&amp;"|B|"&amp;$Y7&amp;"|lw")+COUNTIFS(HLTV_Long!$A$2:$A$114,$A7&amp;"|A|"&amp;$Y7&amp;"|wl"))</f>
        <v>4</v>
      </c>
      <c r="AZ7" s="17" t="n">
        <f aca="false">IF(OR($AW7="",$AX7="",$AH7=""),"",13+$AH7*$AW7+(1-$AH7)*$AX7)</f>
        <v>20.853622</v>
      </c>
      <c r="BA7" s="17" t="n">
        <f aca="false">IF($AZ7="","",$AH7*(13-$AW7)-(1-$AH7)*(13-$AX7))</f>
        <v>1.696088</v>
      </c>
      <c r="BB7" s="10" t="n">
        <f aca="false">IF($AZ7="","",($AH7*13+(1-$AH7)*$AX7)/$AZ7)</f>
        <v>0.540666508676526</v>
      </c>
    </row>
    <row r="8" customFormat="false" ht="15" hidden="false" customHeight="false" outlineLevel="0" collapsed="false">
      <c r="A8" s="0" t="s">
        <v>590</v>
      </c>
      <c r="B8" s="0" t="s">
        <v>568</v>
      </c>
      <c r="C8" s="0" t="s">
        <v>591</v>
      </c>
      <c r="D8" s="0" t="n">
        <v>3</v>
      </c>
      <c r="E8" s="0" t="s">
        <v>414</v>
      </c>
      <c r="F8" s="0" t="s">
        <v>415</v>
      </c>
      <c r="G8" s="10" t="n">
        <v>0.501347708894879</v>
      </c>
      <c r="H8" s="10" t="n">
        <v>0.260757024238676</v>
      </c>
      <c r="I8" s="10" t="n">
        <v>0.263149290516095</v>
      </c>
      <c r="J8" s="10" t="n">
        <v>0.47609368524523</v>
      </c>
      <c r="K8" s="9" t="s">
        <v>592</v>
      </c>
      <c r="L8" s="9" t="s">
        <v>593</v>
      </c>
      <c r="M8" s="9" t="s">
        <v>594</v>
      </c>
      <c r="N8" s="9" t="s">
        <v>573</v>
      </c>
      <c r="O8" s="11" t="n">
        <v>21.2602380614992</v>
      </c>
      <c r="P8" s="11" t="n">
        <v>21.2602380614992</v>
      </c>
      <c r="Q8" s="11"/>
      <c r="R8" s="10" t="n">
        <v>0.153737658674189</v>
      </c>
      <c r="S8" s="11" t="n">
        <v>-0.103523428986559</v>
      </c>
      <c r="T8" s="11"/>
      <c r="U8" s="11"/>
      <c r="V8" s="0" t="n">
        <v>307</v>
      </c>
      <c r="W8" s="14" t="s">
        <v>184</v>
      </c>
      <c r="X8" s="14" t="s">
        <v>195</v>
      </c>
      <c r="Y8" s="14" t="s">
        <v>174</v>
      </c>
      <c r="Z8" s="15" t="n">
        <v>21.26</v>
      </c>
      <c r="AA8" s="15" t="n">
        <v>21.26</v>
      </c>
      <c r="AB8" s="15" t="n">
        <f aca="false">Config!$B$7</f>
        <v>21.5</v>
      </c>
      <c r="AC8" s="16" t="n">
        <v>0.4761</v>
      </c>
      <c r="AD8" s="9" t="s">
        <v>595</v>
      </c>
      <c r="AE8" s="9" t="s">
        <v>596</v>
      </c>
      <c r="AF8" s="10" t="n">
        <v>0.4973</v>
      </c>
      <c r="AG8" s="10" t="n">
        <v>0.504</v>
      </c>
      <c r="AH8" s="10" t="n">
        <v>0.5013</v>
      </c>
      <c r="AI8" s="10" t="n">
        <f aca="false">IFERROR(INDEX(HLTV_Teams!$N$2:$N$9,MATCH($A8&amp;"|A",HLTV_Teams!$A$2:$A$9,0)),"")</f>
        <v>0.519388000817192</v>
      </c>
      <c r="AJ8" s="10" t="n">
        <f aca="false">IFERROR(INDEX(HLTV_Teams!$N$2:$N$9,MATCH($A8&amp;"|B",HLTV_Teams!$A$2:$A$9,0)),"")</f>
        <v>0.522349462248242</v>
      </c>
      <c r="AK8" s="17" t="n">
        <f aca="false">IF($W8="","",IFERROR((SUMIFS(HLTV_Long!$B$2:$B$114,HLTV_Long!$A$2:$A$114,$A8&amp;"|A|"&amp;$W8&amp;"|lw")+SUMIFS(HLTV_Long!$B$2:$B$114,HLTV_Long!$A$2:$A$114,$A8&amp;"|B|"&amp;$W8&amp;"|wl"))/(COUNTIFS(HLTV_Long!$A$2:$A$114,$A8&amp;"|A|"&amp;$W8&amp;"|lw")+COUNTIFS(HLTV_Long!$A$2:$A$114,$A8&amp;"|B|"&amp;$W8&amp;"|wl")),IFERROR((SUMIFS(HLTV_Long!$B$2:$B$114,HLTV_Long!$A$2:$A$114,$A8&amp;"|A|"&amp;"ALL"&amp;"|lw")+SUMIFS(HLTV_Long!$B$2:$B$114,HLTV_Long!$A$2:$A$114,$A8&amp;"|B|"&amp;"ALL"&amp;"|wl"))/(COUNTIFS(HLTV_Long!$A$2:$A$114,$A8&amp;"|A|"&amp;"ALL"&amp;"|lw")+COUNTIFS(HLTV_Long!$A$2:$A$114,$A8&amp;"|B|"&amp;"ALL"&amp;"|wl")),"")))</f>
        <v>8.4</v>
      </c>
      <c r="AL8" s="17" t="n">
        <f aca="false">IF($W8="","",IFERROR((SUMIFS(HLTV_Long!$B$2:$B$114,HLTV_Long!$A$2:$A$114,$A8&amp;"|B|"&amp;$W8&amp;"|lw")+SUMIFS(HLTV_Long!$B$2:$B$114,HLTV_Long!$A$2:$A$114,$A8&amp;"|A|"&amp;$W8&amp;"|wl"))/(COUNTIFS(HLTV_Long!$A$2:$A$114,$A8&amp;"|B|"&amp;$W8&amp;"|lw")+COUNTIFS(HLTV_Long!$A$2:$A$114,$A8&amp;"|A|"&amp;$W8&amp;"|wl")),IFERROR((SUMIFS(HLTV_Long!$B$2:$B$114,HLTV_Long!$A$2:$A$114,$A8&amp;"|B|"&amp;"ALL"&amp;"|lw")+SUMIFS(HLTV_Long!$B$2:$B$114,HLTV_Long!$A$2:$A$114,$A8&amp;"|A|"&amp;"ALL"&amp;"|wl"))/(COUNTIFS(HLTV_Long!$A$2:$A$114,$A8&amp;"|B|"&amp;"ALL"&amp;"|lw")+COUNTIFS(HLTV_Long!$A$2:$A$114,$A8&amp;"|A|"&amp;"ALL"&amp;"|wl")),"")))</f>
        <v>7.59</v>
      </c>
      <c r="AM8" s="9" t="n">
        <f aca="false">IF($W8="","",COUNTIFS(HLTV_Long!$A$2:$A$114,$A8&amp;"|A|"&amp;$W8&amp;"|lw")+COUNTIFS(HLTV_Long!$A$2:$A$114,$A8&amp;"|B|"&amp;$W8&amp;"|wl")+COUNTIFS(HLTV_Long!$A$2:$A$114,$A8&amp;"|B|"&amp;$W8&amp;"|lw")+COUNTIFS(HLTV_Long!$A$2:$A$114,$A8&amp;"|A|"&amp;$W8&amp;"|wl"))</f>
        <v>4</v>
      </c>
      <c r="AN8" s="17" t="n">
        <f aca="false">IF(OR($AK8="",$AL8="",$AF8=""),"",13+$AF8*$AK8+(1-$AF8)*$AL8)</f>
        <v>20.992813</v>
      </c>
      <c r="AO8" s="17" t="n">
        <f aca="false">IF($AN8="","",$AF8*(13-$AK8)-(1-$AF8)*(13-$AL8))</f>
        <v>-0.432027</v>
      </c>
      <c r="AP8" s="10" t="n">
        <f aca="false">IF($AN8="","",($AF8*13+(1-$AF8)*$AL8)/$AN8)</f>
        <v>0.489710121268646</v>
      </c>
      <c r="AQ8" s="17" t="n">
        <f aca="false">IF($X8="","",IFERROR((SUMIFS(HLTV_Long!$B$2:$B$114,HLTV_Long!$A$2:$A$114,$A8&amp;"|A|"&amp;$X8&amp;"|lw")+SUMIFS(HLTV_Long!$B$2:$B$114,HLTV_Long!$A$2:$A$114,$A8&amp;"|B|"&amp;$X8&amp;"|wl"))/(COUNTIFS(HLTV_Long!$A$2:$A$114,$A8&amp;"|A|"&amp;$X8&amp;"|lw")+COUNTIFS(HLTV_Long!$A$2:$A$114,$A8&amp;"|B|"&amp;$X8&amp;"|wl")),IFERROR((SUMIFS(HLTV_Long!$B$2:$B$114,HLTV_Long!$A$2:$A$114,$A8&amp;"|A|"&amp;"ALL"&amp;"|lw")+SUMIFS(HLTV_Long!$B$2:$B$114,HLTV_Long!$A$2:$A$114,$A8&amp;"|B|"&amp;"ALL"&amp;"|wl"))/(COUNTIFS(HLTV_Long!$A$2:$A$114,$A8&amp;"|A|"&amp;"ALL"&amp;"|lw")+COUNTIFS(HLTV_Long!$A$2:$A$114,$A8&amp;"|B|"&amp;"ALL"&amp;"|wl")),"")))</f>
        <v>8.265</v>
      </c>
      <c r="AR8" s="17" t="n">
        <f aca="false">IF($X8="","",IFERROR((SUMIFS(HLTV_Long!$B$2:$B$114,HLTV_Long!$A$2:$A$114,$A8&amp;"|B|"&amp;$X8&amp;"|lw")+SUMIFS(HLTV_Long!$B$2:$B$114,HLTV_Long!$A$2:$A$114,$A8&amp;"|A|"&amp;$X8&amp;"|wl"))/(COUNTIFS(HLTV_Long!$A$2:$A$114,$A8&amp;"|B|"&amp;$X8&amp;"|lw")+COUNTIFS(HLTV_Long!$A$2:$A$114,$A8&amp;"|A|"&amp;$X8&amp;"|wl")),IFERROR((SUMIFS(HLTV_Long!$B$2:$B$114,HLTV_Long!$A$2:$A$114,$A8&amp;"|B|"&amp;"ALL"&amp;"|lw")+SUMIFS(HLTV_Long!$B$2:$B$114,HLTV_Long!$A$2:$A$114,$A8&amp;"|A|"&amp;"ALL"&amp;"|wl"))/(COUNTIFS(HLTV_Long!$A$2:$A$114,$A8&amp;"|B|"&amp;"ALL"&amp;"|lw")+COUNTIFS(HLTV_Long!$A$2:$A$114,$A8&amp;"|A|"&amp;"ALL"&amp;"|wl")),"")))</f>
        <v>7.69</v>
      </c>
      <c r="AS8" s="9" t="n">
        <f aca="false">IF($X8="","",COUNTIFS(HLTV_Long!$A$2:$A$114,$A8&amp;"|A|"&amp;$X8&amp;"|lw")+COUNTIFS(HLTV_Long!$A$2:$A$114,$A8&amp;"|B|"&amp;$X8&amp;"|wl")+COUNTIFS(HLTV_Long!$A$2:$A$114,$A8&amp;"|B|"&amp;$X8&amp;"|lw")+COUNTIFS(HLTV_Long!$A$2:$A$114,$A8&amp;"|A|"&amp;$X8&amp;"|wl"))</f>
        <v>4</v>
      </c>
      <c r="AT8" s="17" t="n">
        <f aca="false">IF(OR($AQ8="",$AR8="",$AG8=""),"",13+$AG8*$AQ8+(1-$AG8)*$AR8)</f>
        <v>20.9798</v>
      </c>
      <c r="AU8" s="17" t="n">
        <f aca="false">IF($AT8="","",$AG8*(13-$AQ8)-(1-$AG8)*(13-$AR8))</f>
        <v>-0.24732</v>
      </c>
      <c r="AV8" s="10" t="n">
        <f aca="false">IF($AT8="","",($AG8*13+(1-$AG8)*$AR8)/$AT8)</f>
        <v>0.494105758872821</v>
      </c>
      <c r="AW8" s="17" t="n">
        <f aca="false">IF($Y8="","",IFERROR((SUMIFS(HLTV_Long!$B$2:$B$114,HLTV_Long!$A$2:$A$114,$A8&amp;"|A|"&amp;$Y8&amp;"|lw")+SUMIFS(HLTV_Long!$B$2:$B$114,HLTV_Long!$A$2:$A$114,$A8&amp;"|B|"&amp;$Y8&amp;"|wl"))/(COUNTIFS(HLTV_Long!$A$2:$A$114,$A8&amp;"|A|"&amp;$Y8&amp;"|lw")+COUNTIFS(HLTV_Long!$A$2:$A$114,$A8&amp;"|B|"&amp;$Y8&amp;"|wl")),IFERROR((SUMIFS(HLTV_Long!$B$2:$B$114,HLTV_Long!$A$2:$A$114,$A8&amp;"|A|"&amp;"ALL"&amp;"|lw")+SUMIFS(HLTV_Long!$B$2:$B$114,HLTV_Long!$A$2:$A$114,$A8&amp;"|B|"&amp;"ALL"&amp;"|wl"))/(COUNTIFS(HLTV_Long!$A$2:$A$114,$A8&amp;"|A|"&amp;"ALL"&amp;"|lw")+COUNTIFS(HLTV_Long!$A$2:$A$114,$A8&amp;"|B|"&amp;"ALL"&amp;"|wl")),"")))</f>
        <v>8.3</v>
      </c>
      <c r="AX8" s="17" t="n">
        <f aca="false">IF($Y8="","",IFERROR((SUMIFS(HLTV_Long!$B$2:$B$114,HLTV_Long!$A$2:$A$114,$A8&amp;"|B|"&amp;$Y8&amp;"|lw")+SUMIFS(HLTV_Long!$B$2:$B$114,HLTV_Long!$A$2:$A$114,$A8&amp;"|A|"&amp;$Y8&amp;"|wl"))/(COUNTIFS(HLTV_Long!$A$2:$A$114,$A8&amp;"|B|"&amp;$Y8&amp;"|lw")+COUNTIFS(HLTV_Long!$A$2:$A$114,$A8&amp;"|A|"&amp;$Y8&amp;"|wl")),IFERROR((SUMIFS(HLTV_Long!$B$2:$B$114,HLTV_Long!$A$2:$A$114,$A8&amp;"|B|"&amp;"ALL"&amp;"|lw")+SUMIFS(HLTV_Long!$B$2:$B$114,HLTV_Long!$A$2:$A$114,$A8&amp;"|A|"&amp;"ALL"&amp;"|wl"))/(COUNTIFS(HLTV_Long!$A$2:$A$114,$A8&amp;"|B|"&amp;"ALL"&amp;"|lw")+COUNTIFS(HLTV_Long!$A$2:$A$114,$A8&amp;"|A|"&amp;"ALL"&amp;"|wl")),"")))</f>
        <v>8.405</v>
      </c>
      <c r="AY8" s="9" t="n">
        <f aca="false">IF($Y8="","",COUNTIFS(HLTV_Long!$A$2:$A$114,$A8&amp;"|A|"&amp;$Y8&amp;"|lw")+COUNTIFS(HLTV_Long!$A$2:$A$114,$A8&amp;"|B|"&amp;$Y8&amp;"|wl")+COUNTIFS(HLTV_Long!$A$2:$A$114,$A8&amp;"|B|"&amp;$Y8&amp;"|lw")+COUNTIFS(HLTV_Long!$A$2:$A$114,$A8&amp;"|A|"&amp;$Y8&amp;"|wl"))</f>
        <v>4</v>
      </c>
      <c r="AZ8" s="17" t="n">
        <f aca="false">IF(OR($AW8="",$AX8="",$AH8=""),"",13+$AH8*$AW8+(1-$AH8)*$AX8)</f>
        <v>21.3523635</v>
      </c>
      <c r="BA8" s="17" t="n">
        <f aca="false">IF($AZ8="","",$AH8*(13-$AW8)-(1-$AH8)*(13-$AX8))</f>
        <v>0.064583499999999</v>
      </c>
      <c r="BB8" s="10" t="n">
        <f aca="false">IF($AZ8="","",($AH8*13+(1-$AH8)*$AX8)/$AZ8)</f>
        <v>0.501512326726735</v>
      </c>
    </row>
    <row r="9" customFormat="false" ht="15" hidden="false" customHeight="false" outlineLevel="0" collapsed="false">
      <c r="A9" s="0" t="s">
        <v>597</v>
      </c>
      <c r="B9" s="0" t="s">
        <v>598</v>
      </c>
      <c r="C9" s="0" t="s">
        <v>599</v>
      </c>
      <c r="D9" s="0" t="n">
        <v>3</v>
      </c>
      <c r="E9" s="0" t="s">
        <v>33</v>
      </c>
      <c r="F9" s="0" t="s">
        <v>34</v>
      </c>
      <c r="G9" s="10" t="n">
        <v>0.451871657754011</v>
      </c>
      <c r="H9" s="10" t="n">
        <v>0.244997062362774</v>
      </c>
      <c r="I9" s="10" t="n">
        <v>0.313201372764132</v>
      </c>
      <c r="J9" s="10" t="n">
        <v>0.441801564873094</v>
      </c>
      <c r="K9" s="9" t="s">
        <v>600</v>
      </c>
      <c r="L9" s="9" t="s">
        <v>601</v>
      </c>
      <c r="M9" s="9" t="s">
        <v>602</v>
      </c>
      <c r="N9" s="9" t="s">
        <v>603</v>
      </c>
      <c r="O9" s="11" t="n">
        <v>21.3313647845975</v>
      </c>
      <c r="P9" s="11" t="n">
        <v>21.2935589296657</v>
      </c>
      <c r="Q9" s="11"/>
      <c r="R9" s="10" t="n">
        <v>0.151599443671766</v>
      </c>
      <c r="S9" s="11" t="n">
        <v>-0.757253326939216</v>
      </c>
      <c r="T9" s="11" t="n">
        <v>12.1660649819495</v>
      </c>
      <c r="U9" s="11"/>
      <c r="V9" s="0" t="n">
        <v>123</v>
      </c>
      <c r="W9" s="14" t="s">
        <v>68</v>
      </c>
      <c r="X9" s="14" t="s">
        <v>75</v>
      </c>
      <c r="Y9" s="14" t="s">
        <v>81</v>
      </c>
      <c r="Z9" s="15" t="n">
        <v>21.33</v>
      </c>
      <c r="AA9" s="15" t="n">
        <v>21.29</v>
      </c>
      <c r="AB9" s="15" t="n">
        <f aca="false">Config!$B$8</f>
        <v>22.5</v>
      </c>
      <c r="AC9" s="16" t="n">
        <v>0.4418</v>
      </c>
      <c r="AD9" s="9" t="s">
        <v>604</v>
      </c>
      <c r="AE9" s="9" t="s">
        <v>605</v>
      </c>
      <c r="AF9" s="10" t="n">
        <v>0.4624</v>
      </c>
      <c r="AG9" s="10" t="n">
        <v>0.4638</v>
      </c>
      <c r="AH9" s="10" t="n">
        <v>0.4519</v>
      </c>
      <c r="AI9" s="10"/>
      <c r="AJ9" s="10"/>
      <c r="AK9" s="17"/>
      <c r="AL9" s="17"/>
      <c r="AN9" s="17"/>
      <c r="AO9" s="17"/>
      <c r="AP9" s="10"/>
      <c r="AQ9" s="17"/>
      <c r="AR9" s="17"/>
      <c r="AT9" s="17"/>
      <c r="AU9" s="17"/>
      <c r="AV9" s="10"/>
      <c r="AW9" s="17"/>
      <c r="AX9" s="17"/>
      <c r="AZ9" s="17"/>
      <c r="BA9" s="17"/>
      <c r="BB9" s="10"/>
    </row>
    <row r="10" customFormat="false" ht="15" hidden="false" customHeight="false" outlineLevel="0" collapsed="false">
      <c r="A10" s="0" t="s">
        <v>606</v>
      </c>
      <c r="B10" s="0" t="s">
        <v>598</v>
      </c>
      <c r="C10" s="0" t="s">
        <v>569</v>
      </c>
      <c r="D10" s="0" t="n">
        <v>3</v>
      </c>
      <c r="E10" s="0" t="s">
        <v>221</v>
      </c>
      <c r="F10" s="0" t="s">
        <v>222</v>
      </c>
      <c r="G10" s="10" t="n">
        <v>0.715859030837004</v>
      </c>
      <c r="H10" s="10" t="n">
        <v>0.45400579451014</v>
      </c>
      <c r="I10" s="10" t="n">
        <v>0.148945760655081</v>
      </c>
      <c r="J10" s="10" t="n">
        <v>0.397048444834779</v>
      </c>
      <c r="K10" s="9" t="s">
        <v>607</v>
      </c>
      <c r="L10" s="9" t="s">
        <v>608</v>
      </c>
      <c r="M10" s="9" t="s">
        <v>609</v>
      </c>
      <c r="N10" s="9" t="s">
        <v>603</v>
      </c>
      <c r="O10" s="11" t="n">
        <v>21.0193298969072</v>
      </c>
      <c r="P10" s="11" t="n">
        <v>20.9868421052632</v>
      </c>
      <c r="Q10" s="11"/>
      <c r="R10" s="10" t="n">
        <v>0.144385026737968</v>
      </c>
      <c r="S10" s="11" t="n">
        <v>3.31085192697769</v>
      </c>
      <c r="T10" s="11"/>
      <c r="U10" s="11" t="n">
        <v>9.68914807302231</v>
      </c>
      <c r="V10" s="0" t="n">
        <v>122</v>
      </c>
      <c r="W10" s="14" t="s">
        <v>81</v>
      </c>
      <c r="X10" s="14" t="s">
        <v>91</v>
      </c>
      <c r="Y10" s="14" t="s">
        <v>610</v>
      </c>
      <c r="Z10" s="15" t="n">
        <v>21.02</v>
      </c>
      <c r="AA10" s="15" t="n">
        <v>20.99</v>
      </c>
      <c r="AB10" s="15" t="n">
        <f aca="false">Config!$B$8</f>
        <v>22.5</v>
      </c>
      <c r="AC10" s="16" t="n">
        <v>0.397</v>
      </c>
      <c r="AD10" s="9" t="s">
        <v>611</v>
      </c>
      <c r="AE10" s="9" t="s">
        <v>612</v>
      </c>
      <c r="AF10" s="10" t="n">
        <v>0.6699</v>
      </c>
      <c r="AG10" s="10" t="n">
        <v>0.6667</v>
      </c>
      <c r="AH10" s="10" t="n">
        <v>0.7159</v>
      </c>
      <c r="AI10" s="10"/>
      <c r="AJ10" s="10"/>
      <c r="AK10" s="17"/>
      <c r="AL10" s="17"/>
      <c r="AN10" s="17"/>
      <c r="AO10" s="17"/>
      <c r="AP10" s="10"/>
      <c r="AQ10" s="17"/>
      <c r="AR10" s="17"/>
      <c r="AT10" s="17"/>
      <c r="AU10" s="17"/>
      <c r="AV10" s="10"/>
      <c r="AW10" s="17"/>
      <c r="AX10" s="17"/>
      <c r="AZ10" s="17"/>
      <c r="BA10" s="17"/>
      <c r="BB10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8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9:Y10" type="list">
      <formula1>Config!$F$4:$F$14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531</v>
      </c>
      <c r="B1" s="12" t="s">
        <v>530</v>
      </c>
      <c r="C1" s="12" t="s">
        <v>506</v>
      </c>
      <c r="D1" s="12" t="s">
        <v>505</v>
      </c>
      <c r="E1" s="12" t="s">
        <v>613</v>
      </c>
      <c r="F1" s="12" t="s">
        <v>614</v>
      </c>
      <c r="G1" s="12" t="s">
        <v>615</v>
      </c>
      <c r="H1" s="12" t="s">
        <v>616</v>
      </c>
      <c r="I1" s="12" t="s">
        <v>515</v>
      </c>
      <c r="J1" s="12" t="s">
        <v>617</v>
      </c>
      <c r="K1" s="12" t="s">
        <v>618</v>
      </c>
      <c r="L1" s="12" t="s">
        <v>619</v>
      </c>
      <c r="M1" s="12" t="s">
        <v>620</v>
      </c>
      <c r="N1" s="12" t="s">
        <v>621</v>
      </c>
      <c r="O1" s="12" t="s">
        <v>622</v>
      </c>
      <c r="P1" s="12" t="s">
        <v>518</v>
      </c>
      <c r="Q1" s="12" t="s">
        <v>623</v>
      </c>
      <c r="R1" s="12" t="s">
        <v>624</v>
      </c>
      <c r="S1" s="12" t="s">
        <v>625</v>
      </c>
      <c r="T1" s="12" t="s">
        <v>626</v>
      </c>
      <c r="U1" s="12" t="s">
        <v>627</v>
      </c>
      <c r="V1" s="12" t="s">
        <v>524</v>
      </c>
      <c r="W1" s="12" t="s">
        <v>628</v>
      </c>
      <c r="X1" s="12" t="s">
        <v>629</v>
      </c>
      <c r="Y1" s="12" t="s">
        <v>630</v>
      </c>
      <c r="Z1" s="12" t="s">
        <v>631</v>
      </c>
      <c r="AA1" s="12" t="s">
        <v>632</v>
      </c>
      <c r="AB1" s="12" t="s">
        <v>633</v>
      </c>
      <c r="AC1" s="12" t="s">
        <v>634</v>
      </c>
      <c r="AD1" s="12" t="s">
        <v>635</v>
      </c>
      <c r="AE1" s="12" t="s">
        <v>512</v>
      </c>
    </row>
    <row r="2" customFormat="false" ht="15" hidden="false" customHeight="false" outlineLevel="0" collapsed="false">
      <c r="A2" s="0" t="s">
        <v>568</v>
      </c>
      <c r="B2" s="0" t="s">
        <v>576</v>
      </c>
      <c r="C2" s="0" t="s">
        <v>636</v>
      </c>
      <c r="D2" s="0" t="s">
        <v>581</v>
      </c>
      <c r="E2" s="0" t="s">
        <v>637</v>
      </c>
      <c r="F2" s="0" t="n">
        <v>16</v>
      </c>
      <c r="G2" s="11" t="n">
        <f aca="false">IFERROR(INDEX(CHOOSE(MATCH($X2,{"K1","K2","K3","K12","K13","H1","H2","H3","H12","H13"},0),Calc!$V$2:$V$42,Calc!$AC$2:$AC$42,Calc!$AJ$2:$AJ$42,Calc!$AL$2:$AL$42,Calc!$AM$2:$AM$42,Calc!$W$2:$W$42,Calc!$AD$2:$AD$42,Calc!$AK$2:$AK$42,Calc!$AN$2:$AN$42,Calc!$AO$2:$AO$42),MATCH($W2,Calc!$A$2:$A$42,0)),"")</f>
        <v>12.7162765506944</v>
      </c>
      <c r="H2" s="11" t="n">
        <f aca="false">IF(G2="","",IF(LEFT($X2,1)="H",SQRT(G2*(IFERROR(INDEX(Calc!$AP$2:$AP$42,MATCH($W2,Calc!$A$2:$A$42,0)),0.5)*Config!$B$5+1-IFERROR(INDEX(Calc!$AP$2:$AP$42,MATCH($W2,Calc!$A$2:$A$42,0)),0.5))),SQRT(G2*Config!$B$5)))</f>
        <v>3.90699541030618</v>
      </c>
      <c r="I2" s="10" t="n">
        <f aca="false">IF(OR(F2="",G2="",N(H2)&lt;=0),"",1-NORMDIST(FLOOR(F2,1)+0.5,G2,H2,TRUE()))</f>
        <v>0.166410238977554</v>
      </c>
      <c r="J2" s="10" t="n">
        <f aca="false">IF(I2="","",NORMDIST(CEILING(F2,1)-0.5,G2,H2,TRUE()))</f>
        <v>0.761921540248819</v>
      </c>
      <c r="K2" s="10" t="n">
        <f aca="false">IF(I2="","",MAX(0,1-I2-J2))</f>
        <v>0.0716682207736274</v>
      </c>
      <c r="L2" s="0" t="str">
        <f aca="false">IF(I2="","",IF(I2&gt;=0.5+Config!$B$6,"OVER",IF(J2&gt;=0.5+Config!$B$6,"UNDER","—")))</f>
        <v>UNDER</v>
      </c>
      <c r="N2" s="0" t="n">
        <v>13.4</v>
      </c>
      <c r="O2" s="10" t="n">
        <v>0.2</v>
      </c>
      <c r="P2" s="10" t="n">
        <v>0.3</v>
      </c>
      <c r="Q2" s="10" t="n">
        <v>0.33</v>
      </c>
      <c r="R2" s="9" t="s">
        <v>638</v>
      </c>
      <c r="S2" s="0" t="n">
        <v>-1</v>
      </c>
      <c r="T2" s="0" t="str">
        <f aca="false">INDEX(Calc!$G$2:$G$42,MATCH($W2,Calc!$A$2:$A$42,0))&amp;" / "&amp;INDEX(Calc!$H$2:$H$42,MATCH($W2,Calc!$A$2:$A$42,0))</f>
        <v>Mirage / Cache</v>
      </c>
      <c r="U2" s="0" t="str">
        <f aca="false">TEXT(INDEX(Calc!$J$2:$J$42,MATCH($W2,Calc!$A$2:$A$42,0)),"0.0")&amp;" / "&amp;TEXT(INDEX(Calc!$K$2:$K$42,MATCH($W2,Calc!$A$2:$A$42,0)),"0.0")</f>
        <v>21.3 / 21.3</v>
      </c>
      <c r="V2" s="0" t="str">
        <f aca="false">IFERROR(INDEX(Calc!$AQ$2:$AQ$42,MATCH($W2,Calc!$A$2:$A$42,0)),"")</f>
        <v/>
      </c>
      <c r="W2" s="9" t="s">
        <v>639</v>
      </c>
      <c r="X2" s="9" t="s">
        <v>640</v>
      </c>
      <c r="Y2" s="0" t="str">
        <f aca="false">W2&amp;"|"&amp;X2</f>
        <v>sr5c0xeb12zshv5|CS2 · BCG vs FaZe|H12</v>
      </c>
      <c r="Z2" s="11" t="n">
        <f aca="false">IFERROR(INDEX(CHOOSE(MATCH($X2,{"K1","K2","K3","K12","K13","H1","H2","H3","H12","H13"},0),Calc!$BA$2:$BA$42,Calc!$BB$2:$BB$42,Calc!$BC$2:$BC$42,Calc!$BD$2:$BD$42,Calc!$BE$2:$BE$42,Calc!$BF$2:$BF$42,Calc!$BG$2:$BG$42,Calc!$BH$2:$BH$42,Calc!$BI$2:$BI$42,Calc!$BJ$2:$BJ$42),MATCH($W2,Calc!$A$2:$A$42,0)),"")</f>
        <v>12.233814547047</v>
      </c>
      <c r="AA2" s="11" t="n">
        <f aca="false">IF(Z2="","",IF(LEFT($X2,1)="H",SQRT(Z2*(IFERROR(INDEX(Calc!$AP$2:$AP$42,MATCH($W2,Calc!$A$2:$A$42,0)),0.5)*Config!$B$5+1-IFERROR(INDEX(Calc!$AP$2:$AP$42,MATCH($W2,Calc!$A$2:$A$42,0)),0.5))),SQRT(Z2*Config!$B$5)))</f>
        <v>3.83216204584371</v>
      </c>
      <c r="AB2" s="10" t="n">
        <f aca="false">IF(OR(F2="",Z2="",N(AA2)&lt;=0),"",1-NORMDIST(FLOOR(F2,1)+0.5,Z2,AA2,TRUE()))</f>
        <v>0.132798797240501</v>
      </c>
      <c r="AC2" s="10" t="n">
        <f aca="false">IF(AB2="","",NORMDIST(CEILING(F2,1)-0.5,Z2,AA2,TRUE()))</f>
        <v>0.802978639775267</v>
      </c>
      <c r="AD2" s="0" t="str">
        <f aca="false">IF(AB2="","",IF(AB2&gt;=0.5+Config!$B$6,"OVER",IF(AC2&gt;=0.5+Config!$B$6,"UNDER","—")))</f>
        <v>UNDER</v>
      </c>
      <c r="AE2" s="13" t="n">
        <f aca="false">IFERROR(Z2/G2,"")</f>
        <v>0.962059491099923</v>
      </c>
    </row>
    <row r="3" customFormat="false" ht="15" hidden="false" customHeight="false" outlineLevel="0" collapsed="false">
      <c r="A3" s="0" t="s">
        <v>568</v>
      </c>
      <c r="B3" s="0" t="s">
        <v>576</v>
      </c>
      <c r="C3" s="0" t="s">
        <v>636</v>
      </c>
      <c r="D3" s="0" t="s">
        <v>581</v>
      </c>
      <c r="E3" s="0" t="s">
        <v>641</v>
      </c>
      <c r="F3" s="0" t="n">
        <v>28.5</v>
      </c>
      <c r="G3" s="11" t="n">
        <f aca="false">IFERROR(INDEX(CHOOSE(MATCH($X3,{"K1","K2","K3","K12","K13","H1","H2","H3","H12","H13"},0),Calc!$V$2:$V$42,Calc!$AC$2:$AC$42,Calc!$AJ$2:$AJ$42,Calc!$AL$2:$AL$42,Calc!$AM$2:$AM$42,Calc!$W$2:$W$42,Calc!$AD$2:$AD$42,Calc!$AK$2:$AK$42,Calc!$AN$2:$AN$42,Calc!$AO$2:$AO$42),MATCH($W3,Calc!$A$2:$A$42,0)),"")</f>
        <v>25.3818416666667</v>
      </c>
      <c r="H3" s="11" t="n">
        <f aca="false">IF(G3="","",IF(LEFT($X3,1)="H",SQRT(G3*(IFERROR(INDEX(Calc!$AP$2:$AP$42,MATCH($W3,Calc!$A$2:$A$42,0)),0.5)*Config!$B$5+1-IFERROR(INDEX(Calc!$AP$2:$AP$42,MATCH($W3,Calc!$A$2:$A$42,0)),0.5))),SQRT(G3*Config!$B$5)))</f>
        <v>5.96108868692065</v>
      </c>
      <c r="I3" s="10" t="n">
        <f aca="false">IF(OR(F3="",G3="",N(H3)&lt;=0),"",1-NORMDIST(FLOOR(F3,1)+0.5,G3,H3,TRUE()))</f>
        <v>0.300457419958589</v>
      </c>
      <c r="J3" s="10" t="n">
        <f aca="false">IF(I3="","",NORMDIST(CEILING(F3,1)-0.5,G3,H3,TRUE()))</f>
        <v>0.699542580041411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UNDER</v>
      </c>
      <c r="M3" s="0" t="n">
        <v>28.27</v>
      </c>
      <c r="N3" s="0" t="n">
        <v>26.6</v>
      </c>
      <c r="O3" s="10" t="n">
        <v>0.2</v>
      </c>
      <c r="P3" s="10" t="n">
        <v>0.3</v>
      </c>
      <c r="Q3" s="10" t="n">
        <v>0.27</v>
      </c>
      <c r="R3" s="9" t="s">
        <v>638</v>
      </c>
      <c r="S3" s="0" t="n">
        <v>-1</v>
      </c>
      <c r="T3" s="0" t="str">
        <f aca="false">INDEX(Calc!$G$2:$G$42,MATCH($W3,Calc!$A$2:$A$42,0))&amp;" / "&amp;INDEX(Calc!$H$2:$H$42,MATCH($W3,Calc!$A$2:$A$42,0))</f>
        <v>Mirage / Cache</v>
      </c>
      <c r="U3" s="0" t="str">
        <f aca="false">TEXT(INDEX(Calc!$J$2:$J$42,MATCH($W3,Calc!$A$2:$A$42,0)),"0.0")&amp;" / "&amp;TEXT(INDEX(Calc!$K$2:$K$42,MATCH($W3,Calc!$A$2:$A$42,0)),"0.0")</f>
        <v>21.3 / 21.3</v>
      </c>
      <c r="V3" s="0" t="str">
        <f aca="false">IFERROR(INDEX(Calc!$AQ$2:$AQ$42,MATCH($W3,Calc!$A$2:$A$42,0)),"")</f>
        <v/>
      </c>
      <c r="W3" s="9" t="s">
        <v>639</v>
      </c>
      <c r="X3" s="9" t="s">
        <v>642</v>
      </c>
      <c r="Y3" s="0" t="str">
        <f aca="false">W3&amp;"|"&amp;X3</f>
        <v>sr5c0xeb12zshv5|CS2 · BCG vs FaZe|K12</v>
      </c>
      <c r="Z3" s="11" t="n">
        <f aca="false">IFERROR(INDEX(CHOOSE(MATCH($X3,{"K1","K2","K3","K12","K13","H1","H2","H3","H12","H13"},0),Calc!$BA$2:$BA$42,Calc!$BB$2:$BB$42,Calc!$BC$2:$BC$42,Calc!$BD$2:$BD$42,Calc!$BE$2:$BE$42,Calc!$BF$2:$BF$42,Calc!$BG$2:$BG$42,Calc!$BH$2:$BH$42,Calc!$BI$2:$BI$42,Calc!$BJ$2:$BJ$42),MATCH($W3,Calc!$A$2:$A$42,0)),"")</f>
        <v>24.4181325982698</v>
      </c>
      <c r="AA3" s="11" t="n">
        <f aca="false">IF(Z3="","",IF(LEFT($X3,1)="H",SQRT(Z3*(IFERROR(INDEX(Calc!$AP$2:$AP$42,MATCH($W3,Calc!$A$2:$A$42,0)),0.5)*Config!$B$5+1-IFERROR(INDEX(Calc!$AP$2:$AP$42,MATCH($W3,Calc!$A$2:$A$42,0)),0.5))),SQRT(Z3*Config!$B$5)))</f>
        <v>5.84682697174953</v>
      </c>
      <c r="AB3" s="10" t="n">
        <f aca="false">IF(OR(F3="",Z3="",N(AA3)&lt;=0),"",1-NORMDIST(FLOOR(F3,1)+0.5,Z3,AA3,TRUE()))</f>
        <v>0.242546767913173</v>
      </c>
      <c r="AC3" s="10" t="n">
        <f aca="false">IF(AB3="","",NORMDIST(CEILING(F3,1)-0.5,Z3,AA3,TRUE()))</f>
        <v>0.757453232086827</v>
      </c>
      <c r="AD3" s="0" t="str">
        <f aca="false">IF(AB3="","",IF(AB3&gt;=0.5+Config!$B$6,"OVER",IF(AC3&gt;=0.5+Config!$B$6,"UNDER","—")))</f>
        <v>UNDER</v>
      </c>
      <c r="AE3" s="13" t="n">
        <f aca="false">IFERROR(Z3/G3,"")</f>
        <v>0.96203155464237</v>
      </c>
    </row>
    <row r="4" customFormat="false" ht="15" hidden="false" customHeight="false" outlineLevel="0" collapsed="false">
      <c r="A4" s="0" t="s">
        <v>568</v>
      </c>
      <c r="B4" s="0" t="s">
        <v>576</v>
      </c>
      <c r="C4" s="0" t="s">
        <v>643</v>
      </c>
      <c r="D4" s="0" t="s">
        <v>581</v>
      </c>
      <c r="E4" s="0" t="s">
        <v>637</v>
      </c>
      <c r="F4" s="0" t="n">
        <v>14.5</v>
      </c>
      <c r="G4" s="11" t="n">
        <f aca="false">IFERROR(INDEX(CHOOSE(MATCH($X4,{"K1","K2","K3","K12","K13","H1","H2","H3","H12","H13"},0),Calc!$V$2:$V$42,Calc!$AC$2:$AC$42,Calc!$AJ$2:$AJ$42,Calc!$AL$2:$AL$42,Calc!$AM$2:$AM$42,Calc!$W$2:$W$42,Calc!$AD$2:$AD$42,Calc!$AK$2:$AK$42,Calc!$AN$2:$AN$42,Calc!$AO$2:$AO$42),MATCH($W4,Calc!$A$2:$A$42,0)),"")</f>
        <v>13.584565375</v>
      </c>
      <c r="H4" s="11" t="n">
        <f aca="false">IF(G4="","",IF(LEFT($X4,1)="H",SQRT(G4*(IFERROR(INDEX(Calc!$AP$2:$AP$42,MATCH($W4,Calc!$A$2:$A$42,0)),0.5)*Config!$B$5+1-IFERROR(INDEX(Calc!$AP$2:$AP$42,MATCH($W4,Calc!$A$2:$A$42,0)),0.5))),SQRT(G4*Config!$B$5)))</f>
        <v>4.05987935893985</v>
      </c>
      <c r="I4" s="10" t="n">
        <f aca="false">IF(OR(F4="",G4="",N(H4)&lt;=0),"",1-NORMDIST(FLOOR(F4,1)+0.5,G4,H4,TRUE()))</f>
        <v>0.410801693266509</v>
      </c>
      <c r="J4" s="10" t="n">
        <f aca="false">IF(I4="","",NORMDIST(CEILING(F4,1)-0.5,G4,H4,TRUE()))</f>
        <v>0.589198306733491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UNDER</v>
      </c>
      <c r="N4" s="0" t="n">
        <v>13.5</v>
      </c>
      <c r="O4" s="10" t="n">
        <v>0.2</v>
      </c>
      <c r="P4" s="10" t="n">
        <v>0.5</v>
      </c>
      <c r="Q4" s="10" t="n">
        <v>0.53</v>
      </c>
      <c r="R4" s="9" t="s">
        <v>644</v>
      </c>
      <c r="S4" s="0" t="n">
        <v>1</v>
      </c>
      <c r="T4" s="0" t="str">
        <f aca="false">INDEX(Calc!$G$2:$G$42,MATCH($W4,Calc!$A$2:$A$42,0))&amp;" / "&amp;INDEX(Calc!$H$2:$H$42,MATCH($W4,Calc!$A$2:$A$42,0))</f>
        <v>Mirage / Cache</v>
      </c>
      <c r="U4" s="0" t="str">
        <f aca="false">TEXT(INDEX(Calc!$J$2:$J$42,MATCH($W4,Calc!$A$2:$A$42,0)),"0.0")&amp;" / "&amp;TEXT(INDEX(Calc!$K$2:$K$42,MATCH($W4,Calc!$A$2:$A$42,0)),"0.0")</f>
        <v>21.3 / 21.3</v>
      </c>
      <c r="V4" s="0" t="str">
        <f aca="false">IFERROR(INDEX(Calc!$AQ$2:$AQ$42,MATCH($W4,Calc!$A$2:$A$42,0)),"")</f>
        <v/>
      </c>
      <c r="W4" s="9" t="s">
        <v>645</v>
      </c>
      <c r="X4" s="9" t="s">
        <v>640</v>
      </c>
      <c r="Y4" s="0" t="str">
        <f aca="false">W4&amp;"|"&amp;X4</f>
        <v>1d7bsesjr3mn3m2|CS2 · BCG vs FaZe|H12</v>
      </c>
      <c r="Z4" s="11" t="n">
        <f aca="false">IFERROR(INDEX(CHOOSE(MATCH($X4,{"K1","K2","K3","K12","K13","H1","H2","H3","H12","H13"},0),Calc!$BA$2:$BA$42,Calc!$BB$2:$BB$42,Calc!$BC$2:$BC$42,Calc!$BD$2:$BD$42,Calc!$BE$2:$BE$42,Calc!$BF$2:$BF$42,Calc!$BG$2:$BG$42,Calc!$BH$2:$BH$42,Calc!$BI$2:$BI$42,Calc!$BJ$2:$BJ$42),MATCH($W4,Calc!$A$2:$A$42,0)),"")</f>
        <v>13.068951575194</v>
      </c>
      <c r="AA4" s="11" t="n">
        <f aca="false">IF(Z4="","",IF(LEFT($X4,1)="H",SQRT(Z4*(IFERROR(INDEX(Calc!$AP$2:$AP$42,MATCH($W4,Calc!$A$2:$A$42,0)),0.5)*Config!$B$5+1-IFERROR(INDEX(Calc!$AP$2:$AP$42,MATCH($W4,Calc!$A$2:$A$42,0)),0.5))),SQRT(Z4*Config!$B$5)))</f>
        <v>3.98208594223684</v>
      </c>
      <c r="AB4" s="10" t="n">
        <f aca="false">IF(OR(F4="",Z4="",N(AA4)&lt;=0),"",1-NORMDIST(FLOOR(F4,1)+0.5,Z4,AA4,TRUE()))</f>
        <v>0.359658574886301</v>
      </c>
      <c r="AC4" s="10" t="n">
        <f aca="false">IF(AB4="","",NORMDIST(CEILING(F4,1)-0.5,Z4,AA4,TRUE()))</f>
        <v>0.640341425113699</v>
      </c>
      <c r="AD4" s="0" t="str">
        <f aca="false">IF(AB4="","",IF(AB4&gt;=0.5+Config!$B$6,"OVER",IF(AC4&gt;=0.5+Config!$B$6,"UNDER","—")))</f>
        <v>UNDER</v>
      </c>
      <c r="AE4" s="13" t="n">
        <f aca="false">IFERROR(Z4/G4,"")</f>
        <v>0.962044144544007</v>
      </c>
    </row>
    <row r="5" customFormat="false" ht="15" hidden="false" customHeight="false" outlineLevel="0" collapsed="false">
      <c r="A5" s="0" t="s">
        <v>568</v>
      </c>
      <c r="B5" s="0" t="s">
        <v>576</v>
      </c>
      <c r="C5" s="0" t="s">
        <v>643</v>
      </c>
      <c r="D5" s="0" t="s">
        <v>581</v>
      </c>
      <c r="E5" s="0" t="s">
        <v>641</v>
      </c>
      <c r="F5" s="0" t="n">
        <v>27.5</v>
      </c>
      <c r="G5" s="11" t="n">
        <f aca="false">IFERROR(INDEX(CHOOSE(MATCH($X5,{"K1","K2","K3","K12","K13","H1","H2","H3","H12","H13"},0),Calc!$V$2:$V$42,Calc!$AC$2:$AC$42,Calc!$AJ$2:$AJ$42,Calc!$AL$2:$AL$42,Calc!$AM$2:$AM$42,Calc!$W$2:$W$42,Calc!$AD$2:$AD$42,Calc!$AK$2:$AK$42,Calc!$AN$2:$AN$42,Calc!$AO$2:$AO$42),MATCH($W5,Calc!$A$2:$A$42,0)),"")</f>
        <v>25.4709333333333</v>
      </c>
      <c r="H5" s="11" t="n">
        <f aca="false">IF(G5="","",IF(LEFT($X5,1)="H",SQRT(G5*(IFERROR(INDEX(Calc!$AP$2:$AP$42,MATCH($W5,Calc!$A$2:$A$42,0)),0.5)*Config!$B$5+1-IFERROR(INDEX(Calc!$AP$2:$AP$42,MATCH($W5,Calc!$A$2:$A$42,0)),0.5))),SQRT(G5*Config!$B$5)))</f>
        <v>5.97154139788603</v>
      </c>
      <c r="I5" s="10" t="n">
        <f aca="false">IF(OR(F5="",G5="",N(H5)&lt;=0),"",1-NORMDIST(FLOOR(F5,1)+0.5,G5,H5,TRUE()))</f>
        <v>0.367007553042711</v>
      </c>
      <c r="J5" s="10" t="n">
        <f aca="false">IF(I5="","",NORMDIST(CEILING(F5,1)-0.5,G5,H5,TRUE()))</f>
        <v>0.632992446957289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UNDER</v>
      </c>
      <c r="M5" s="0" t="n">
        <v>25.09</v>
      </c>
      <c r="N5" s="0" t="n">
        <v>27</v>
      </c>
      <c r="O5" s="10" t="n">
        <v>0.2</v>
      </c>
      <c r="P5" s="10" t="n">
        <v>0.4</v>
      </c>
      <c r="Q5" s="10" t="n">
        <v>0.4</v>
      </c>
      <c r="R5" s="9" t="s">
        <v>646</v>
      </c>
      <c r="S5" s="0" t="n">
        <v>1</v>
      </c>
      <c r="T5" s="0" t="str">
        <f aca="false">INDEX(Calc!$G$2:$G$42,MATCH($W5,Calc!$A$2:$A$42,0))&amp;" / "&amp;INDEX(Calc!$H$2:$H$42,MATCH($W5,Calc!$A$2:$A$42,0))</f>
        <v>Mirage / Cache</v>
      </c>
      <c r="U5" s="0" t="str">
        <f aca="false">TEXT(INDEX(Calc!$J$2:$J$42,MATCH($W5,Calc!$A$2:$A$42,0)),"0.0")&amp;" / "&amp;TEXT(INDEX(Calc!$K$2:$K$42,MATCH($W5,Calc!$A$2:$A$42,0)),"0.0")</f>
        <v>21.3 / 21.3</v>
      </c>
      <c r="V5" s="0" t="str">
        <f aca="false">IFERROR(INDEX(Calc!$AQ$2:$AQ$42,MATCH($W5,Calc!$A$2:$A$42,0)),"")</f>
        <v/>
      </c>
      <c r="W5" s="9" t="s">
        <v>645</v>
      </c>
      <c r="X5" s="9" t="s">
        <v>642</v>
      </c>
      <c r="Y5" s="0" t="str">
        <f aca="false">W5&amp;"|"&amp;X5</f>
        <v>1d7bsesjr3mn3m2|CS2 · BCG vs FaZe|K12</v>
      </c>
      <c r="Z5" s="11" t="n">
        <f aca="false">IFERROR(INDEX(CHOOSE(MATCH($X5,{"K1","K2","K3","K12","K13","H1","H2","H3","H12","H13"},0),Calc!$BA$2:$BA$42,Calc!$BB$2:$BB$42,Calc!$BC$2:$BC$42,Calc!$BD$2:$BD$42,Calc!$BE$2:$BE$42,Calc!$BF$2:$BF$42,Calc!$BG$2:$BG$42,Calc!$BH$2:$BH$42,Calc!$BI$2:$BI$42,Calc!$BJ$2:$BJ$42),MATCH($W5,Calc!$A$2:$A$42,0)),"")</f>
        <v>24.5054910155879</v>
      </c>
      <c r="AA5" s="11" t="n">
        <f aca="false">IF(Z5="","",IF(LEFT($X5,1)="H",SQRT(Z5*(IFERROR(INDEX(Calc!$AP$2:$AP$42,MATCH($W5,Calc!$A$2:$A$42,0)),0.5)*Config!$B$5+1-IFERROR(INDEX(Calc!$AP$2:$AP$42,MATCH($W5,Calc!$A$2:$A$42,0)),0.5))),SQRT(Z5*Config!$B$5)))</f>
        <v>5.85727645086204</v>
      </c>
      <c r="AB5" s="10" t="n">
        <f aca="false">IF(OR(F5="",Z5="",N(AA5)&lt;=0),"",1-NORMDIST(FLOOR(F5,1)+0.5,Z5,AA5,TRUE()))</f>
        <v>0.304589416256878</v>
      </c>
      <c r="AC5" s="10" t="n">
        <f aca="false">IF(AB5="","",NORMDIST(CEILING(F5,1)-0.5,Z5,AA5,TRUE()))</f>
        <v>0.695410583743122</v>
      </c>
      <c r="AD5" s="0" t="str">
        <f aca="false">IF(AB5="","",IF(AB5&gt;=0.5+Config!$B$6,"OVER",IF(AC5&gt;=0.5+Config!$B$6,"UNDER","—")))</f>
        <v>UNDER</v>
      </c>
      <c r="AE5" s="13" t="n">
        <f aca="false">IFERROR(Z5/G5,"")</f>
        <v>0.962096311701228</v>
      </c>
    </row>
    <row r="6" customFormat="false" ht="15" hidden="false" customHeight="false" outlineLevel="0" collapsed="false">
      <c r="A6" s="0" t="s">
        <v>568</v>
      </c>
      <c r="B6" s="0" t="s">
        <v>576</v>
      </c>
      <c r="C6" s="0" t="s">
        <v>647</v>
      </c>
      <c r="D6" s="0" t="s">
        <v>581</v>
      </c>
      <c r="E6" s="0" t="s">
        <v>637</v>
      </c>
      <c r="F6" s="0" t="n">
        <v>18.5</v>
      </c>
      <c r="G6" s="11" t="n">
        <f aca="false">IFERROR(INDEX(CHOOSE(MATCH($X6,{"K1","K2","K3","K12","K13","H1","H2","H3","H12","H13"},0),Calc!$V$2:$V$42,Calc!$AC$2:$AC$42,Calc!$AJ$2:$AJ$42,Calc!$AL$2:$AL$42,Calc!$AM$2:$AM$42,Calc!$W$2:$W$42,Calc!$AD$2:$AD$42,Calc!$AK$2:$AK$42,Calc!$AN$2:$AN$42,Calc!$AO$2:$AO$42),MATCH($W6,Calc!$A$2:$A$42,0)),"")</f>
        <v>21.5204512430556</v>
      </c>
      <c r="H6" s="11" t="n">
        <f aca="false">IF(G6="","",IF(LEFT($X6,1)="H",SQRT(G6*(IFERROR(INDEX(Calc!$AP$2:$AP$42,MATCH($W6,Calc!$A$2:$A$42,0)),0.5)*Config!$B$5+1-IFERROR(INDEX(Calc!$AP$2:$AP$42,MATCH($W6,Calc!$A$2:$A$42,0)),0.5))),SQRT(G6*Config!$B$5)))</f>
        <v>5.2734726244714</v>
      </c>
      <c r="I6" s="10" t="n">
        <f aca="false">IF(OR(F6="",G6="",N(H6)&lt;=0),"",1-NORMDIST(FLOOR(F6,1)+0.5,G6,H6,TRUE()))</f>
        <v>0.716597492541534</v>
      </c>
      <c r="J6" s="10" t="n">
        <f aca="false">IF(I6="","",NORMDIST(CEILING(F6,1)-0.5,G6,H6,TRUE()))</f>
        <v>0.283402507458466</v>
      </c>
      <c r="K6" s="10" t="n">
        <f aca="false">IF(I6="","",MAX(0,1-I6-J6))</f>
        <v>0</v>
      </c>
      <c r="L6" s="0" t="str">
        <f aca="false">IF(I6="","",IF(I6&gt;=0.5+Config!$B$6,"OVER",IF(J6&gt;=0.5+Config!$B$6,"UNDER","—")))</f>
        <v>OVER</v>
      </c>
      <c r="N6" s="0" t="n">
        <v>21</v>
      </c>
      <c r="O6" s="10" t="n">
        <v>0.8</v>
      </c>
      <c r="P6" s="10" t="n">
        <v>0.7</v>
      </c>
      <c r="Q6" s="10" t="n">
        <v>0.67</v>
      </c>
      <c r="R6" s="9" t="s">
        <v>648</v>
      </c>
      <c r="S6" s="0" t="n">
        <v>4</v>
      </c>
      <c r="T6" s="0" t="str">
        <f aca="false">INDEX(Calc!$G$2:$G$42,MATCH($W6,Calc!$A$2:$A$42,0))&amp;" / "&amp;INDEX(Calc!$H$2:$H$42,MATCH($W6,Calc!$A$2:$A$42,0))</f>
        <v>Mirage / Cache</v>
      </c>
      <c r="U6" s="0" t="str">
        <f aca="false">TEXT(INDEX(Calc!$J$2:$J$42,MATCH($W6,Calc!$A$2:$A$42,0)),"0.0")&amp;" / "&amp;TEXT(INDEX(Calc!$K$2:$K$42,MATCH($W6,Calc!$A$2:$A$42,0)),"0.0")</f>
        <v>21.3 / 21.3</v>
      </c>
      <c r="V6" s="0" t="str">
        <f aca="false">IFERROR(INDEX(Calc!$AQ$2:$AQ$42,MATCH($W6,Calc!$A$2:$A$42,0)),"")</f>
        <v/>
      </c>
      <c r="W6" s="9" t="s">
        <v>649</v>
      </c>
      <c r="X6" s="9" t="s">
        <v>640</v>
      </c>
      <c r="Y6" s="0" t="str">
        <f aca="false">W6&amp;"|"&amp;X6</f>
        <v>d5pdwo5hc84he1g|CS2 · BCG vs FaZe|H12</v>
      </c>
      <c r="Z6" s="11" t="n">
        <f aca="false">IFERROR(INDEX(CHOOSE(MATCH($X6,{"K1","K2","K3","K12","K13","H1","H2","H3","H12","H13"},0),Calc!$BA$2:$BA$42,Calc!$BB$2:$BB$42,Calc!$BC$2:$BC$42,Calc!$BD$2:$BD$42,Calc!$BE$2:$BE$42,Calc!$BF$2:$BF$42,Calc!$BG$2:$BG$42,Calc!$BH$2:$BH$42,Calc!$BI$2:$BI$42,Calc!$BJ$2:$BJ$42),MATCH($W6,Calc!$A$2:$A$42,0)),"")</f>
        <v>20.7047689407499</v>
      </c>
      <c r="AA6" s="11" t="n">
        <f aca="false">IF(Z6="","",IF(LEFT($X6,1)="H",SQRT(Z6*(IFERROR(INDEX(Calc!$AP$2:$AP$42,MATCH($W6,Calc!$A$2:$A$42,0)),0.5)*Config!$B$5+1-IFERROR(INDEX(Calc!$AP$2:$AP$42,MATCH($W6,Calc!$A$2:$A$42,0)),0.5))),SQRT(Z6*Config!$B$5)))</f>
        <v>5.17256793502229</v>
      </c>
      <c r="AB6" s="10" t="n">
        <f aca="false">IF(OR(F6="",Z6="",N(AA6)&lt;=0),"",1-NORMDIST(FLOOR(F6,1)+0.5,Z6,AA6,TRUE()))</f>
        <v>0.665034470077177</v>
      </c>
      <c r="AC6" s="10" t="n">
        <f aca="false">IF(AB6="","",NORMDIST(CEILING(F6,1)-0.5,Z6,AA6,TRUE()))</f>
        <v>0.334965529922823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0.96209734205416</v>
      </c>
    </row>
    <row r="7" customFormat="false" ht="15" hidden="false" customHeight="false" outlineLevel="0" collapsed="false">
      <c r="A7" s="0" t="s">
        <v>568</v>
      </c>
      <c r="B7" s="0" t="s">
        <v>576</v>
      </c>
      <c r="C7" s="0" t="s">
        <v>647</v>
      </c>
      <c r="D7" s="0" t="s">
        <v>581</v>
      </c>
      <c r="E7" s="0" t="s">
        <v>641</v>
      </c>
      <c r="F7" s="0" t="n">
        <v>29.5</v>
      </c>
      <c r="G7" s="11" t="n">
        <f aca="false">IFERROR(INDEX(CHOOSE(MATCH($X7,{"K1","K2","K3","K12","K13","H1","H2","H3","H12","H13"},0),Calc!$V$2:$V$42,Calc!$AC$2:$AC$42,Calc!$AJ$2:$AJ$42,Calc!$AL$2:$AL$42,Calc!$AM$2:$AM$42,Calc!$W$2:$W$42,Calc!$AD$2:$AD$42,Calc!$AK$2:$AK$42,Calc!$AN$2:$AN$42,Calc!$AO$2:$AO$42),MATCH($W7,Calc!$A$2:$A$42,0)),"")</f>
        <v>29.4562083333333</v>
      </c>
      <c r="H7" s="11" t="n">
        <f aca="false">IF(G7="","",IF(LEFT($X7,1)="H",SQRT(G7*(IFERROR(INDEX(Calc!$AP$2:$AP$42,MATCH($W7,Calc!$A$2:$A$42,0)),0.5)*Config!$B$5+1-IFERROR(INDEX(Calc!$AP$2:$AP$42,MATCH($W7,Calc!$A$2:$A$42,0)),0.5))),SQRT(G7*Config!$B$5)))</f>
        <v>6.421735876433</v>
      </c>
      <c r="I7" s="10" t="n">
        <f aca="false">IF(OR(F7="",G7="",N(H7)&lt;=0),"",1-NORMDIST(FLOOR(F7,1)+0.5,G7,H7,TRUE()))</f>
        <v>0.497279518763047</v>
      </c>
      <c r="J7" s="10" t="n">
        <f aca="false">IF(I7="","",NORMDIST(CEILING(F7,1)-0.5,G7,H7,TRUE()))</f>
        <v>0.502720481236953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—</v>
      </c>
      <c r="M7" s="0" t="n">
        <v>26.51</v>
      </c>
      <c r="N7" s="0" t="n">
        <v>28.9</v>
      </c>
      <c r="O7" s="10" t="n">
        <v>0.6</v>
      </c>
      <c r="P7" s="10" t="n">
        <v>0.5</v>
      </c>
      <c r="Q7" s="10" t="n">
        <v>0.47</v>
      </c>
      <c r="R7" s="9" t="s">
        <v>650</v>
      </c>
      <c r="S7" s="0" t="n">
        <v>3</v>
      </c>
      <c r="T7" s="0" t="str">
        <f aca="false">INDEX(Calc!$G$2:$G$42,MATCH($W7,Calc!$A$2:$A$42,0))&amp;" / "&amp;INDEX(Calc!$H$2:$H$42,MATCH($W7,Calc!$A$2:$A$42,0))</f>
        <v>Mirage / Cache</v>
      </c>
      <c r="U7" s="0" t="str">
        <f aca="false">TEXT(INDEX(Calc!$J$2:$J$42,MATCH($W7,Calc!$A$2:$A$42,0)),"0.0")&amp;" / "&amp;TEXT(INDEX(Calc!$K$2:$K$42,MATCH($W7,Calc!$A$2:$A$42,0)),"0.0")</f>
        <v>21.3 / 21.3</v>
      </c>
      <c r="V7" s="0" t="str">
        <f aca="false">IFERROR(INDEX(Calc!$AQ$2:$AQ$42,MATCH($W7,Calc!$A$2:$A$42,0)),"")</f>
        <v/>
      </c>
      <c r="W7" s="9" t="s">
        <v>649</v>
      </c>
      <c r="X7" s="9" t="s">
        <v>642</v>
      </c>
      <c r="Y7" s="0" t="str">
        <f aca="false">W7&amp;"|"&amp;X7</f>
        <v>d5pdwo5hc84he1g|CS2 · BCG vs FaZe|K12</v>
      </c>
      <c r="Z7" s="11" t="n">
        <f aca="false">IFERROR(INDEX(CHOOSE(MATCH($X7,{"K1","K2","K3","K12","K13","H1","H2","H3","H12","H13"},0),Calc!$BA$2:$BA$42,Calc!$BB$2:$BB$42,Calc!$BC$2:$BC$42,Calc!$BD$2:$BD$42,Calc!$BE$2:$BE$42,Calc!$BF$2:$BF$42,Calc!$BG$2:$BG$42,Calc!$BH$2:$BH$42,Calc!$BI$2:$BI$42,Calc!$BJ$2:$BJ$42),MATCH($W7,Calc!$A$2:$A$42,0)),"")</f>
        <v>28.3394180768521</v>
      </c>
      <c r="AA7" s="11" t="n">
        <f aca="false">IF(Z7="","",IF(LEFT($X7,1)="H",SQRT(Z7*(IFERROR(INDEX(Calc!$AP$2:$AP$42,MATCH($W7,Calc!$A$2:$A$42,0)),0.5)*Config!$B$5+1-IFERROR(INDEX(Calc!$AP$2:$AP$42,MATCH($W7,Calc!$A$2:$A$42,0)),0.5))),SQRT(Z7*Config!$B$5)))</f>
        <v>6.29882412102393</v>
      </c>
      <c r="AB7" s="10" t="n">
        <f aca="false">IF(OR(F7="",Z7="",N(AA7)&lt;=0),"",1-NORMDIST(FLOOR(F7,1)+0.5,Z7,AA7,TRUE()))</f>
        <v>0.426907200006998</v>
      </c>
      <c r="AC7" s="10" t="n">
        <f aca="false">IF(AB7="","",NORMDIST(CEILING(F7,1)-0.5,Z7,AA7,TRUE()))</f>
        <v>0.573092799993002</v>
      </c>
      <c r="AD7" s="0" t="str">
        <f aca="false">IF(AB7="","",IF(AB7&gt;=0.5+Config!$B$6,"OVER",IF(AC7&gt;=0.5+Config!$B$6,"UNDER","—")))</f>
        <v>UNDER</v>
      </c>
      <c r="AE7" s="13" t="n">
        <f aca="false">IFERROR(Z7/G7,"")</f>
        <v>0.962086421855678</v>
      </c>
    </row>
    <row r="8" customFormat="false" ht="15" hidden="false" customHeight="false" outlineLevel="0" collapsed="false">
      <c r="A8" s="0" t="s">
        <v>568</v>
      </c>
      <c r="B8" s="0" t="s">
        <v>576</v>
      </c>
      <c r="C8" s="0" t="s">
        <v>651</v>
      </c>
      <c r="D8" s="0" t="s">
        <v>581</v>
      </c>
      <c r="E8" s="0" t="s">
        <v>637</v>
      </c>
      <c r="F8" s="0" t="n">
        <v>13.5</v>
      </c>
      <c r="G8" s="11" t="n">
        <f aca="false">IFERROR(INDEX(CHOOSE(MATCH($X8,{"K1","K2","K3","K12","K13","H1","H2","H3","H12","H13"},0),Calc!$V$2:$V$42,Calc!$AC$2:$AC$42,Calc!$AJ$2:$AJ$42,Calc!$AL$2:$AL$42,Calc!$AM$2:$AM$42,Calc!$W$2:$W$42,Calc!$AD$2:$AD$42,Calc!$AK$2:$AK$42,Calc!$AN$2:$AN$42,Calc!$AO$2:$AO$42),MATCH($W8,Calc!$A$2:$A$42,0)),"")</f>
        <v>11.1698144756944</v>
      </c>
      <c r="H8" s="11" t="n">
        <f aca="false">IF(G8="","",IF(LEFT($X8,1)="H",SQRT(G8*(IFERROR(INDEX(Calc!$AP$2:$AP$42,MATCH($W8,Calc!$A$2:$A$42,0)),0.5)*Config!$B$5+1-IFERROR(INDEX(Calc!$AP$2:$AP$42,MATCH($W8,Calc!$A$2:$A$42,0)),0.5))),SQRT(G8*Config!$B$5)))</f>
        <v>3.57710152212242</v>
      </c>
      <c r="I8" s="10" t="n">
        <f aca="false">IF(OR(F8="",G8="",N(H8)&lt;=0),"",1-NORMDIST(FLOOR(F8,1)+0.5,G8,H8,TRUE()))</f>
        <v>0.257388599273645</v>
      </c>
      <c r="J8" s="10" t="n">
        <f aca="false">IF(I8="","",NORMDIST(CEILING(F8,1)-0.5,G8,H8,TRUE()))</f>
        <v>0.742611400726355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UNDER</v>
      </c>
      <c r="N8" s="0" t="n">
        <v>12.8</v>
      </c>
      <c r="O8" s="10" t="n">
        <v>0.6</v>
      </c>
      <c r="P8" s="10" t="n">
        <v>0.4</v>
      </c>
      <c r="Q8" s="10" t="n">
        <v>0.47</v>
      </c>
      <c r="R8" s="9" t="s">
        <v>652</v>
      </c>
      <c r="S8" s="0" t="n">
        <v>-1</v>
      </c>
      <c r="T8" s="0" t="str">
        <f aca="false">INDEX(Calc!$G$2:$G$42,MATCH($W8,Calc!$A$2:$A$42,0))&amp;" / "&amp;INDEX(Calc!$H$2:$H$42,MATCH($W8,Calc!$A$2:$A$42,0))</f>
        <v>Mirage / Cache</v>
      </c>
      <c r="U8" s="0" t="str">
        <f aca="false">TEXT(INDEX(Calc!$J$2:$J$42,MATCH($W8,Calc!$A$2:$A$42,0)),"0.0")&amp;" / "&amp;TEXT(INDEX(Calc!$K$2:$K$42,MATCH($W8,Calc!$A$2:$A$42,0)),"0.0")</f>
        <v>21.3 / 21.3</v>
      </c>
      <c r="V8" s="0" t="str">
        <f aca="false">IFERROR(INDEX(Calc!$AQ$2:$AQ$42,MATCH($W8,Calc!$A$2:$A$42,0)),"")</f>
        <v/>
      </c>
      <c r="W8" s="9" t="s">
        <v>653</v>
      </c>
      <c r="X8" s="9" t="s">
        <v>640</v>
      </c>
      <c r="Y8" s="0" t="str">
        <f aca="false">W8&amp;"|"&amp;X8</f>
        <v>wmdnx0gqjw734wn|CS2 · BCG vs FaZe|H12</v>
      </c>
      <c r="Z8" s="11" t="n">
        <f aca="false">IFERROR(INDEX(CHOOSE(MATCH($X8,{"K1","K2","K3","K12","K13","H1","H2","H3","H12","H13"},0),Calc!$BA$2:$BA$42,Calc!$BB$2:$BB$42,Calc!$BC$2:$BC$42,Calc!$BD$2:$BD$42,Calc!$BE$2:$BE$42,Calc!$BF$2:$BF$42,Calc!$BG$2:$BG$42,Calc!$BH$2:$BH$42,Calc!$BI$2:$BI$42,Calc!$BJ$2:$BJ$42),MATCH($W8,Calc!$A$2:$A$42,0)),"")</f>
        <v>10.746253019067</v>
      </c>
      <c r="AA8" s="11" t="n">
        <f aca="false">IF(Z8="","",IF(LEFT($X8,1)="H",SQRT(Z8*(IFERROR(INDEX(Calc!$AP$2:$AP$42,MATCH($W8,Calc!$A$2:$A$42,0)),0.5)*Config!$B$5+1-IFERROR(INDEX(Calc!$AP$2:$AP$42,MATCH($W8,Calc!$A$2:$A$42,0)),0.5))),SQRT(Z8*Config!$B$5)))</f>
        <v>3.50862389754724</v>
      </c>
      <c r="AB8" s="10" t="n">
        <f aca="false">IF(OR(F8="",Z8="",N(AA8)&lt;=0),"",1-NORMDIST(FLOOR(F8,1)+0.5,Z8,AA8,TRUE()))</f>
        <v>0.216270466539837</v>
      </c>
      <c r="AC8" s="10" t="n">
        <f aca="false">IF(AB8="","",NORMDIST(CEILING(F8,1)-0.5,Z8,AA8,TRUE()))</f>
        <v>0.783729533460163</v>
      </c>
      <c r="AD8" s="0" t="str">
        <f aca="false">IF(AB8="","",IF(AB8&gt;=0.5+Config!$B$6,"OVER",IF(AC8&gt;=0.5+Config!$B$6,"UNDER","—")))</f>
        <v>UNDER</v>
      </c>
      <c r="AE8" s="13" t="n">
        <f aca="false">IFERROR(Z8/G8,"")</f>
        <v>0.962079812735559</v>
      </c>
    </row>
    <row r="9" customFormat="false" ht="15" hidden="false" customHeight="false" outlineLevel="0" collapsed="false">
      <c r="A9" s="0" t="s">
        <v>568</v>
      </c>
      <c r="B9" s="0" t="s">
        <v>576</v>
      </c>
      <c r="C9" s="0" t="s">
        <v>651</v>
      </c>
      <c r="D9" s="0" t="s">
        <v>581</v>
      </c>
      <c r="E9" s="0" t="s">
        <v>641</v>
      </c>
      <c r="F9" s="0" t="n">
        <v>33</v>
      </c>
      <c r="G9" s="11" t="n">
        <f aca="false">IFERROR(INDEX(CHOOSE(MATCH($X9,{"K1","K2","K3","K12","K13","H1","H2","H3","H12","H13"},0),Calc!$V$2:$V$42,Calc!$AC$2:$AC$42,Calc!$AJ$2:$AJ$42,Calc!$AL$2:$AL$42,Calc!$AM$2:$AM$42,Calc!$W$2:$W$42,Calc!$AD$2:$AD$42,Calc!$AK$2:$AK$42,Calc!$AN$2:$AN$42,Calc!$AO$2:$AO$42),MATCH($W9,Calc!$A$2:$A$42,0)),"")</f>
        <v>30.6954416666667</v>
      </c>
      <c r="H9" s="11" t="n">
        <f aca="false">IF(G9="","",IF(LEFT($X9,1)="H",SQRT(G9*(IFERROR(INDEX(Calc!$AP$2:$AP$42,MATCH($W9,Calc!$A$2:$A$42,0)),0.5)*Config!$B$5+1-IFERROR(INDEX(Calc!$AP$2:$AP$42,MATCH($W9,Calc!$A$2:$A$42,0)),0.5))),SQRT(G9*Config!$B$5)))</f>
        <v>6.55542663244226</v>
      </c>
      <c r="I9" s="10" t="n">
        <f aca="false">IF(OR(F9="",G9="",N(H9)&lt;=0),"",1-NORMDIST(FLOOR(F9,1)+0.5,G9,H9,TRUE()))</f>
        <v>0.334390214831928</v>
      </c>
      <c r="J9" s="10" t="n">
        <f aca="false">IF(I9="","",NORMDIST(CEILING(F9,1)-0.5,G9,H9,TRUE()))</f>
        <v>0.608448292426349</v>
      </c>
      <c r="K9" s="10" t="n">
        <f aca="false">IF(I9="","",MAX(0,1-I9-J9))</f>
        <v>0.0571614927417233</v>
      </c>
      <c r="L9" s="0" t="str">
        <f aca="false">IF(I9="","",IF(I9&gt;=0.5+Config!$B$6,"OVER",IF(J9&gt;=0.5+Config!$B$6,"UNDER","—")))</f>
        <v>UNDER</v>
      </c>
      <c r="M9" s="0" t="n">
        <v>31.13</v>
      </c>
      <c r="N9" s="0" t="n">
        <v>32.2</v>
      </c>
      <c r="O9" s="10" t="n">
        <v>0.4</v>
      </c>
      <c r="P9" s="10" t="n">
        <v>0.5</v>
      </c>
      <c r="Q9" s="10" t="n">
        <v>0.47</v>
      </c>
      <c r="R9" s="9" t="s">
        <v>652</v>
      </c>
      <c r="S9" s="0" t="n">
        <v>-1</v>
      </c>
      <c r="T9" s="0" t="str">
        <f aca="false">INDEX(Calc!$G$2:$G$42,MATCH($W9,Calc!$A$2:$A$42,0))&amp;" / "&amp;INDEX(Calc!$H$2:$H$42,MATCH($W9,Calc!$A$2:$A$42,0))</f>
        <v>Mirage / Cache</v>
      </c>
      <c r="U9" s="0" t="str">
        <f aca="false">TEXT(INDEX(Calc!$J$2:$J$42,MATCH($W9,Calc!$A$2:$A$42,0)),"0.0")&amp;" / "&amp;TEXT(INDEX(Calc!$K$2:$K$42,MATCH($W9,Calc!$A$2:$A$42,0)),"0.0")</f>
        <v>21.3 / 21.3</v>
      </c>
      <c r="V9" s="0" t="str">
        <f aca="false">IFERROR(INDEX(Calc!$AQ$2:$AQ$42,MATCH($W9,Calc!$A$2:$A$42,0)),"")</f>
        <v/>
      </c>
      <c r="W9" s="9" t="s">
        <v>653</v>
      </c>
      <c r="X9" s="9" t="s">
        <v>642</v>
      </c>
      <c r="Y9" s="0" t="str">
        <f aca="false">W9&amp;"|"&amp;X9</f>
        <v>wmdnx0gqjw734wn|CS2 · BCG vs FaZe|K12</v>
      </c>
      <c r="Z9" s="11" t="n">
        <f aca="false">IFERROR(INDEX(CHOOSE(MATCH($X9,{"K1","K2","K3","K12","K13","H1","H2","H3","H12","H13"},0),Calc!$BA$2:$BA$42,Calc!$BB$2:$BB$42,Calc!$BC$2:$BC$42,Calc!$BD$2:$BD$42,Calc!$BE$2:$BE$42,Calc!$BF$2:$BF$42,Calc!$BG$2:$BG$42,Calc!$BH$2:$BH$42,Calc!$BI$2:$BI$42,Calc!$BJ$2:$BJ$42),MATCH($W9,Calc!$A$2:$A$42,0)),"")</f>
        <v>29.5296277922487</v>
      </c>
      <c r="AA9" s="11" t="n">
        <f aca="false">IF(Z9="","",IF(LEFT($X9,1)="H",SQRT(Z9*(IFERROR(INDEX(Calc!$AP$2:$AP$42,MATCH($W9,Calc!$A$2:$A$42,0)),0.5)*Config!$B$5+1-IFERROR(INDEX(Calc!$AP$2:$AP$42,MATCH($W9,Calc!$A$2:$A$42,0)),0.5))),SQRT(Z9*Config!$B$5)))</f>
        <v>6.42973396876949</v>
      </c>
      <c r="AB9" s="10" t="n">
        <f aca="false">IF(OR(F9="",Z9="",N(AA9)&lt;=0),"",1-NORMDIST(FLOOR(F9,1)+0.5,Z9,AA9,TRUE()))</f>
        <v>0.268451901879178</v>
      </c>
      <c r="AC9" s="10" t="n">
        <f aca="false">IF(AB9="","",NORMDIST(CEILING(F9,1)-0.5,Z9,AA9,TRUE()))</f>
        <v>0.677950144724163</v>
      </c>
      <c r="AD9" s="0" t="str">
        <f aca="false">IF(AB9="","",IF(AB9&gt;=0.5+Config!$B$6,"OVER",IF(AC9&gt;=0.5+Config!$B$6,"UNDER","—")))</f>
        <v>UNDER</v>
      </c>
      <c r="AE9" s="13" t="n">
        <f aca="false">IFERROR(Z9/G9,"")</f>
        <v>0.962019967424546</v>
      </c>
    </row>
    <row r="10" customFormat="false" ht="15" hidden="false" customHeight="false" outlineLevel="0" collapsed="false">
      <c r="A10" s="0" t="s">
        <v>568</v>
      </c>
      <c r="B10" s="0" t="s">
        <v>576</v>
      </c>
      <c r="C10" s="0" t="s">
        <v>654</v>
      </c>
      <c r="D10" s="0" t="s">
        <v>581</v>
      </c>
      <c r="E10" s="0" t="s">
        <v>637</v>
      </c>
      <c r="F10" s="0" t="n">
        <v>19</v>
      </c>
      <c r="G10" s="11" t="n">
        <f aca="false">IFERROR(INDEX(CHOOSE(MATCH($X10,{"K1","K2","K3","K12","K13","H1","H2","H3","H12","H13"},0),Calc!$V$2:$V$42,Calc!$AC$2:$AC$42,Calc!$AJ$2:$AJ$42,Calc!$AL$2:$AL$42,Calc!$AM$2:$AM$42,Calc!$W$2:$W$42,Calc!$AD$2:$AD$42,Calc!$AK$2:$AK$42,Calc!$AN$2:$AN$42,Calc!$AO$2:$AO$42),MATCH($W10,Calc!$A$2:$A$42,0)),"")</f>
        <v>19.1896141055556</v>
      </c>
      <c r="H10" s="11" t="n">
        <f aca="false">IF(G10="","",IF(LEFT($X10,1)="H",SQRT(G10*(IFERROR(INDEX(Calc!$AP$2:$AP$42,MATCH($W10,Calc!$A$2:$A$42,0)),0.5)*Config!$B$5+1-IFERROR(INDEX(Calc!$AP$2:$AP$42,MATCH($W10,Calc!$A$2:$A$42,0)),0.5))),SQRT(G10*Config!$B$5)))</f>
        <v>4.87507955916745</v>
      </c>
      <c r="I10" s="10" t="n">
        <f aca="false">IF(OR(F10="",G10="",N(H10)&lt;=0),"",1-NORMDIST(FLOOR(F10,1)+0.5,G10,H10,TRUE()))</f>
        <v>0.474617347458906</v>
      </c>
      <c r="J10" s="10" t="n">
        <f aca="false">IF(I10="","",NORMDIST(CEILING(F10,1)-0.5,G10,H10,TRUE()))</f>
        <v>0.443754465627513</v>
      </c>
      <c r="K10" s="10" t="n">
        <f aca="false">IF(I10="","",MAX(0,1-I10-J10))</f>
        <v>0.0816281869135805</v>
      </c>
      <c r="L10" s="0" t="str">
        <f aca="false">IF(I10="","",IF(I10&gt;=0.5+Config!$B$6,"OVER",IF(J10&gt;=0.5+Config!$B$6,"UNDER","—")))</f>
        <v>—</v>
      </c>
      <c r="N10" s="0" t="n">
        <v>19</v>
      </c>
      <c r="O10" s="10" t="n">
        <v>0.6</v>
      </c>
      <c r="P10" s="10" t="n">
        <v>0.5</v>
      </c>
      <c r="Q10" s="10" t="n">
        <v>0.6</v>
      </c>
      <c r="R10" s="9" t="s">
        <v>655</v>
      </c>
      <c r="S10" s="0" t="n">
        <v>3</v>
      </c>
      <c r="T10" s="0" t="str">
        <f aca="false">INDEX(Calc!$G$2:$G$42,MATCH($W10,Calc!$A$2:$A$42,0))&amp;" / "&amp;INDEX(Calc!$H$2:$H$42,MATCH($W10,Calc!$A$2:$A$42,0))</f>
        <v>Mirage / Cache</v>
      </c>
      <c r="U10" s="0" t="str">
        <f aca="false">TEXT(INDEX(Calc!$J$2:$J$42,MATCH($W10,Calc!$A$2:$A$42,0)),"0.0")&amp;" / "&amp;TEXT(INDEX(Calc!$K$2:$K$42,MATCH($W10,Calc!$A$2:$A$42,0)),"0.0")</f>
        <v>21.3 / 21.3</v>
      </c>
      <c r="V10" s="0" t="str">
        <f aca="false">IFERROR(INDEX(Calc!$AQ$2:$AQ$42,MATCH($W10,Calc!$A$2:$A$42,0)),"")</f>
        <v/>
      </c>
      <c r="W10" s="9" t="s">
        <v>656</v>
      </c>
      <c r="X10" s="9" t="s">
        <v>640</v>
      </c>
      <c r="Y10" s="0" t="str">
        <f aca="false">W10&amp;"|"&amp;X10</f>
        <v>5mlzxv2cg2u3emi|CS2 · BCG vs FaZe|H12</v>
      </c>
      <c r="Z10" s="11" t="n">
        <f aca="false">IFERROR(INDEX(CHOOSE(MATCH($X10,{"K1","K2","K3","K12","K13","H1","H2","H3","H12","H13"},0),Calc!$BA$2:$BA$42,Calc!$BB$2:$BB$42,Calc!$BC$2:$BC$42,Calc!$BD$2:$BD$42,Calc!$BE$2:$BE$42,Calc!$BF$2:$BF$42,Calc!$BG$2:$BG$42,Calc!$BH$2:$BH$42,Calc!$BI$2:$BI$42,Calc!$BJ$2:$BJ$42),MATCH($W10,Calc!$A$2:$A$42,0)),"")</f>
        <v>18.460931872362</v>
      </c>
      <c r="AA10" s="11" t="n">
        <f aca="false">IF(Z10="","",IF(LEFT($X10,1)="H",SQRT(Z10*(IFERROR(INDEX(Calc!$AP$2:$AP$42,MATCH($W10,Calc!$A$2:$A$42,0)),0.5)*Config!$B$5+1-IFERROR(INDEX(Calc!$AP$2:$AP$42,MATCH($W10,Calc!$A$2:$A$42,0)),0.5))),SQRT(Z10*Config!$B$5)))</f>
        <v>4.78162371437512</v>
      </c>
      <c r="AB10" s="10" t="n">
        <f aca="false">IF(OR(F10="",Z10="",N(AA10)&lt;=0),"",1-NORMDIST(FLOOR(F10,1)+0.5,Z10,AA10,TRUE()))</f>
        <v>0.413985543351673</v>
      </c>
      <c r="AC10" s="10" t="n">
        <f aca="false">IF(AB10="","",NORMDIST(CEILING(F10,1)-0.5,Z10,AA10,TRUE()))</f>
        <v>0.50325951088019</v>
      </c>
      <c r="AD10" s="0" t="str">
        <f aca="false">IF(AB10="","",IF(AB10&gt;=0.5+Config!$B$6,"OVER",IF(AC10&gt;=0.5+Config!$B$6,"UNDER","—")))</f>
        <v>—</v>
      </c>
      <c r="AE10" s="13" t="n">
        <f aca="false">IFERROR(Z10/G10,"")</f>
        <v>0.96202725968405</v>
      </c>
    </row>
    <row r="11" customFormat="false" ht="15" hidden="false" customHeight="false" outlineLevel="0" collapsed="false">
      <c r="A11" s="0" t="s">
        <v>568</v>
      </c>
      <c r="B11" s="0" t="s">
        <v>576</v>
      </c>
      <c r="C11" s="0" t="s">
        <v>654</v>
      </c>
      <c r="D11" s="0" t="s">
        <v>581</v>
      </c>
      <c r="E11" s="0" t="s">
        <v>641</v>
      </c>
      <c r="F11" s="0" t="n">
        <v>31.5</v>
      </c>
      <c r="G11" s="11" t="n">
        <f aca="false">IFERROR(INDEX(CHOOSE(MATCH($X11,{"K1","K2","K3","K12","K13","H1","H2","H3","H12","H13"},0),Calc!$V$2:$V$42,Calc!$AC$2:$AC$42,Calc!$AJ$2:$AJ$42,Calc!$AL$2:$AL$42,Calc!$AM$2:$AM$42,Calc!$W$2:$W$42,Calc!$AD$2:$AD$42,Calc!$AK$2:$AK$42,Calc!$AN$2:$AN$42,Calc!$AO$2:$AO$42),MATCH($W11,Calc!$A$2:$A$42,0)),"")</f>
        <v>32.1833916666667</v>
      </c>
      <c r="H11" s="11" t="n">
        <f aca="false">IF(G11="","",IF(LEFT($X11,1)="H",SQRT(G11*(IFERROR(INDEX(Calc!$AP$2:$AP$42,MATCH($W11,Calc!$A$2:$A$42,0)),0.5)*Config!$B$5+1-IFERROR(INDEX(Calc!$AP$2:$AP$42,MATCH($W11,Calc!$A$2:$A$42,0)),0.5))),SQRT(G11*Config!$B$5)))</f>
        <v>6.71243237085733</v>
      </c>
      <c r="I11" s="10" t="n">
        <f aca="false">IF(OR(F11="",G11="",N(H11)&lt;=0),"",1-NORMDIST(FLOOR(F11,1)+0.5,G11,H11,TRUE()))</f>
        <v>0.540546192533889</v>
      </c>
      <c r="J11" s="10" t="n">
        <f aca="false">IF(I11="","",NORMDIST(CEILING(F11,1)-0.5,G11,H11,TRUE()))</f>
        <v>0.459453807466111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OVER</v>
      </c>
      <c r="M11" s="0" t="n">
        <v>31.04</v>
      </c>
      <c r="N11" s="0" t="n">
        <v>32.2</v>
      </c>
      <c r="O11" s="10" t="n">
        <v>0.4</v>
      </c>
      <c r="P11" s="10" t="n">
        <v>0.5</v>
      </c>
      <c r="Q11" s="10" t="n">
        <v>0.53</v>
      </c>
      <c r="R11" s="9" t="s">
        <v>655</v>
      </c>
      <c r="S11" s="0" t="n">
        <v>1</v>
      </c>
      <c r="T11" s="0" t="str">
        <f aca="false">INDEX(Calc!$G$2:$G$42,MATCH($W11,Calc!$A$2:$A$42,0))&amp;" / "&amp;INDEX(Calc!$H$2:$H$42,MATCH($W11,Calc!$A$2:$A$42,0))</f>
        <v>Mirage / Cache</v>
      </c>
      <c r="U11" s="0" t="str">
        <f aca="false">TEXT(INDEX(Calc!$J$2:$J$42,MATCH($W11,Calc!$A$2:$A$42,0)),"0.0")&amp;" / "&amp;TEXT(INDEX(Calc!$K$2:$K$42,MATCH($W11,Calc!$A$2:$A$42,0)),"0.0")</f>
        <v>21.3 / 21.3</v>
      </c>
      <c r="V11" s="0" t="str">
        <f aca="false">IFERROR(INDEX(Calc!$AQ$2:$AQ$42,MATCH($W11,Calc!$A$2:$A$42,0)),"")</f>
        <v/>
      </c>
      <c r="W11" s="9" t="s">
        <v>656</v>
      </c>
      <c r="X11" s="9" t="s">
        <v>642</v>
      </c>
      <c r="Y11" s="0" t="str">
        <f aca="false">W11&amp;"|"&amp;X11</f>
        <v>5mlzxv2cg2u3emi|CS2 · BCG vs FaZe|K12</v>
      </c>
      <c r="Z11" s="11" t="n">
        <f aca="false">IFERROR(INDEX(CHOOSE(MATCH($X11,{"K1","K2","K3","K12","K13","H1","H2","H3","H12","H13"},0),Calc!$BA$2:$BA$42,Calc!$BB$2:$BB$42,Calc!$BC$2:$BC$42,Calc!$BD$2:$BD$42,Calc!$BE$2:$BE$42,Calc!$BF$2:$BF$42,Calc!$BG$2:$BG$42,Calc!$BH$2:$BH$42,Calc!$BI$2:$BI$42,Calc!$BJ$2:$BJ$42),MATCH($W11,Calc!$A$2:$A$42,0)),"")</f>
        <v>30.961425173773</v>
      </c>
      <c r="AA11" s="11" t="n">
        <f aca="false">IF(Z11="","",IF(LEFT($X11,1)="H",SQRT(Z11*(IFERROR(INDEX(Calc!$AP$2:$AP$42,MATCH($W11,Calc!$A$2:$A$42,0)),0.5)*Config!$B$5+1-IFERROR(INDEX(Calc!$AP$2:$AP$42,MATCH($W11,Calc!$A$2:$A$42,0)),0.5))),SQRT(Z11*Config!$B$5)))</f>
        <v>6.58376755689948</v>
      </c>
      <c r="AB11" s="10" t="n">
        <f aca="false">IF(OR(F11="",Z11="",N(AA11)&lt;=0),"",1-NORMDIST(FLOOR(F11,1)+0.5,Z11,AA11,TRUE()))</f>
        <v>0.467401510748759</v>
      </c>
      <c r="AC11" s="10" t="n">
        <f aca="false">IF(AB11="","",NORMDIST(CEILING(F11,1)-0.5,Z11,AA11,TRUE()))</f>
        <v>0.532598489251241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0.962031146202676</v>
      </c>
    </row>
    <row r="12" customFormat="false" ht="15" hidden="false" customHeight="false" outlineLevel="0" collapsed="false">
      <c r="A12" s="0" t="s">
        <v>568</v>
      </c>
      <c r="B12" s="0" t="s">
        <v>576</v>
      </c>
      <c r="C12" s="0" t="s">
        <v>657</v>
      </c>
      <c r="D12" s="0" t="s">
        <v>582</v>
      </c>
      <c r="E12" s="0" t="s">
        <v>637</v>
      </c>
      <c r="F12" s="0" t="n">
        <v>14.5</v>
      </c>
      <c r="G12" s="11" t="n">
        <f aca="false">IFERROR(INDEX(CHOOSE(MATCH($X12,{"K1","K2","K3","K12","K13","H1","H2","H3","H12","H13"},0),Calc!$V$2:$V$42,Calc!$AC$2:$AC$42,Calc!$AJ$2:$AJ$42,Calc!$AL$2:$AL$42,Calc!$AM$2:$AM$42,Calc!$W$2:$W$42,Calc!$AD$2:$AD$42,Calc!$AK$2:$AK$42,Calc!$AN$2:$AN$42,Calc!$AO$2:$AO$42),MATCH($W12,Calc!$A$2:$A$42,0)),"")</f>
        <v>12.3204643140496</v>
      </c>
      <c r="H12" s="11" t="n">
        <f aca="false">IF(G12="","",IF(LEFT($X12,1)="H",SQRT(G12*(IFERROR(INDEX(Calc!$AP$2:$AP$42,MATCH($W12,Calc!$A$2:$A$42,0)),0.5)*Config!$B$5+1-IFERROR(INDEX(Calc!$AP$2:$AP$42,MATCH($W12,Calc!$A$2:$A$42,0)),0.5))),SQRT(G12*Config!$B$5)))</f>
        <v>3.81598703123335</v>
      </c>
      <c r="I12" s="10" t="n">
        <f aca="false">IF(OR(F12="",G12="",N(H12)&lt;=0),"",1-NORMDIST(FLOOR(F12,1)+0.5,G12,H12,TRUE()))</f>
        <v>0.283945902844645</v>
      </c>
      <c r="J12" s="10" t="n">
        <f aca="false">IF(I12="","",NORMDIST(CEILING(F12,1)-0.5,G12,H12,TRUE()))</f>
        <v>0.716054097155355</v>
      </c>
      <c r="K12" s="10" t="n">
        <f aca="false">IF(I12="","",MAX(0,1-I12-J12))</f>
        <v>0</v>
      </c>
      <c r="L12" s="0" t="str">
        <f aca="false">IF(I12="","",IF(I12&gt;=0.5+Config!$B$6,"OVER",IF(J12&gt;=0.5+Config!$B$6,"UNDER","—")))</f>
        <v>UNDER</v>
      </c>
      <c r="N12" s="0" t="n">
        <v>13.7</v>
      </c>
      <c r="O12" s="10" t="n">
        <v>0.4</v>
      </c>
      <c r="P12" s="10" t="n">
        <v>0.4</v>
      </c>
      <c r="Q12" s="10" t="n">
        <v>0.4</v>
      </c>
      <c r="R12" s="9" t="s">
        <v>658</v>
      </c>
      <c r="S12" s="0" t="n">
        <v>-1</v>
      </c>
      <c r="T12" s="0" t="str">
        <f aca="false">INDEX(Calc!$G$2:$G$42,MATCH($W12,Calc!$A$2:$A$42,0))&amp;" / "&amp;INDEX(Calc!$H$2:$H$42,MATCH($W12,Calc!$A$2:$A$42,0))</f>
        <v>Mirage / Cache</v>
      </c>
      <c r="U12" s="0" t="str">
        <f aca="false">TEXT(INDEX(Calc!$J$2:$J$42,MATCH($W12,Calc!$A$2:$A$42,0)),"0.0")&amp;" / "&amp;TEXT(INDEX(Calc!$K$2:$K$42,MATCH($W12,Calc!$A$2:$A$42,0)),"0.0")</f>
        <v>21.3 / 21.3</v>
      </c>
      <c r="V12" s="0" t="str">
        <f aca="false">IFERROR(INDEX(Calc!$AQ$2:$AQ$42,MATCH($W12,Calc!$A$2:$A$42,0)),"")</f>
        <v/>
      </c>
      <c r="W12" s="9" t="s">
        <v>659</v>
      </c>
      <c r="X12" s="9" t="s">
        <v>640</v>
      </c>
      <c r="Y12" s="0" t="str">
        <f aca="false">W12&amp;"|"&amp;X12</f>
        <v>w36zabyloy9xbbl|CS2 · BCG vs FaZe|H12</v>
      </c>
      <c r="Z12" s="11" t="n">
        <f aca="false">IFERROR(INDEX(CHOOSE(MATCH($X12,{"K1","K2","K3","K12","K13","H1","H2","H3","H12","H13"},0),Calc!$BA$2:$BA$42,Calc!$BB$2:$BB$42,Calc!$BC$2:$BC$42,Calc!$BD$2:$BD$42,Calc!$BE$2:$BE$42,Calc!$BF$2:$BF$42,Calc!$BG$2:$BG$42,Calc!$BH$2:$BH$42,Calc!$BI$2:$BI$42,Calc!$BJ$2:$BJ$42),MATCH($W12,Calc!$A$2:$A$42,0)),"")</f>
        <v>11.9665218470279</v>
      </c>
      <c r="AA12" s="11" t="n">
        <f aca="false">IF(Z12="","",IF(LEFT($X12,1)="H",SQRT(Z12*(IFERROR(INDEX(Calc!$AP$2:$AP$42,MATCH($W12,Calc!$A$2:$A$42,0)),0.5)*Config!$B$5+1-IFERROR(INDEX(Calc!$AP$2:$AP$42,MATCH($W12,Calc!$A$2:$A$42,0)),0.5))),SQRT(Z12*Config!$B$5)))</f>
        <v>3.76077474305364</v>
      </c>
      <c r="AB12" s="10" t="n">
        <f aca="false">IF(OR(F12="",Z12="",N(AA12)&lt;=0),"",1-NORMDIST(FLOOR(F12,1)+0.5,Z12,AA12,TRUE()))</f>
        <v>0.250264202138524</v>
      </c>
      <c r="AC12" s="10" t="n">
        <f aca="false">IF(AB12="","",NORMDIST(CEILING(F12,1)-0.5,Z12,AA12,TRUE()))</f>
        <v>0.749735797861477</v>
      </c>
      <c r="AD12" s="0" t="str">
        <f aca="false">IF(AB12="","",IF(AB12&gt;=0.5+Config!$B$6,"OVER",IF(AC12&gt;=0.5+Config!$B$6,"UNDER","—")))</f>
        <v>UNDER</v>
      </c>
      <c r="AE12" s="13" t="n">
        <f aca="false">IFERROR(Z12/G12,"")</f>
        <v>0.971271986347291</v>
      </c>
    </row>
    <row r="13" customFormat="false" ht="15" hidden="false" customHeight="false" outlineLevel="0" collapsed="false">
      <c r="A13" s="0" t="s">
        <v>568</v>
      </c>
      <c r="B13" s="0" t="s">
        <v>576</v>
      </c>
      <c r="C13" s="0" t="s">
        <v>657</v>
      </c>
      <c r="D13" s="0" t="s">
        <v>582</v>
      </c>
      <c r="E13" s="0" t="s">
        <v>641</v>
      </c>
      <c r="F13" s="0" t="n">
        <v>29.5</v>
      </c>
      <c r="G13" s="11" t="n">
        <f aca="false">IFERROR(INDEX(CHOOSE(MATCH($X13,{"K1","K2","K3","K12","K13","H1","H2","H3","H12","H13"},0),Calc!$V$2:$V$42,Calc!$AC$2:$AC$42,Calc!$AJ$2:$AJ$42,Calc!$AL$2:$AL$42,Calc!$AM$2:$AM$42,Calc!$W$2:$W$42,Calc!$AD$2:$AD$42,Calc!$AK$2:$AK$42,Calc!$AN$2:$AN$42,Calc!$AO$2:$AO$42),MATCH($W13,Calc!$A$2:$A$42,0)),"")</f>
        <v>27.0904090909091</v>
      </c>
      <c r="H13" s="11" t="n">
        <f aca="false">IF(G13="","",IF(LEFT($X13,1)="H",SQRT(G13*(IFERROR(INDEX(Calc!$AP$2:$AP$42,MATCH($W13,Calc!$A$2:$A$42,0)),0.5)*Config!$B$5+1-IFERROR(INDEX(Calc!$AP$2:$AP$42,MATCH($W13,Calc!$A$2:$A$42,0)),0.5))),SQRT(G13*Config!$B$5)))</f>
        <v>6.15845538485688</v>
      </c>
      <c r="I13" s="10" t="n">
        <f aca="false">IF(OR(F13="",G13="",N(H13)&lt;=0),"",1-NORMDIST(FLOOR(F13,1)+0.5,G13,H13,TRUE()))</f>
        <v>0.347800511626993</v>
      </c>
      <c r="J13" s="10" t="n">
        <f aca="false">IF(I13="","",NORMDIST(CEILING(F13,1)-0.5,G13,H13,TRUE()))</f>
        <v>0.652199488373007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UNDER</v>
      </c>
      <c r="M13" s="0" t="n">
        <v>27.07</v>
      </c>
      <c r="N13" s="0" t="n">
        <v>28.4</v>
      </c>
      <c r="O13" s="10" t="n">
        <v>0.2</v>
      </c>
      <c r="P13" s="10" t="n">
        <v>0.3</v>
      </c>
      <c r="Q13" s="10" t="n">
        <v>0.33</v>
      </c>
      <c r="R13" s="9" t="s">
        <v>660</v>
      </c>
      <c r="S13" s="0" t="n">
        <v>-1</v>
      </c>
      <c r="T13" s="0" t="str">
        <f aca="false">INDEX(Calc!$G$2:$G$42,MATCH($W13,Calc!$A$2:$A$42,0))&amp;" / "&amp;INDEX(Calc!$H$2:$H$42,MATCH($W13,Calc!$A$2:$A$42,0))</f>
        <v>Mirage / Cache</v>
      </c>
      <c r="U13" s="0" t="str">
        <f aca="false">TEXT(INDEX(Calc!$J$2:$J$42,MATCH($W13,Calc!$A$2:$A$42,0)),"0.0")&amp;" / "&amp;TEXT(INDEX(Calc!$K$2:$K$42,MATCH($W13,Calc!$A$2:$A$42,0)),"0.0")</f>
        <v>21.3 / 21.3</v>
      </c>
      <c r="V13" s="0" t="str">
        <f aca="false">IFERROR(INDEX(Calc!$AQ$2:$AQ$42,MATCH($W13,Calc!$A$2:$A$42,0)),"")</f>
        <v/>
      </c>
      <c r="W13" s="9" t="s">
        <v>659</v>
      </c>
      <c r="X13" s="9" t="s">
        <v>642</v>
      </c>
      <c r="Y13" s="0" t="str">
        <f aca="false">W13&amp;"|"&amp;X13</f>
        <v>w36zabyloy9xbbl|CS2 · BCG vs FaZe|K12</v>
      </c>
      <c r="Z13" s="11" t="n">
        <f aca="false">IFERROR(INDEX(CHOOSE(MATCH($X13,{"K1","K2","K3","K12","K13","H1","H2","H3","H12","H13"},0),Calc!$BA$2:$BA$42,Calc!$BB$2:$BB$42,Calc!$BC$2:$BC$42,Calc!$BD$2:$BD$42,Calc!$BE$2:$BE$42,Calc!$BF$2:$BF$42,Calc!$BG$2:$BG$42,Calc!$BH$2:$BH$42,Calc!$BI$2:$BI$42,Calc!$BJ$2:$BJ$42),MATCH($W13,Calc!$A$2:$A$42,0)),"")</f>
        <v>26.3108383939639</v>
      </c>
      <c r="AA13" s="11" t="n">
        <f aca="false">IF(Z13="","",IF(LEFT($X13,1)="H",SQRT(Z13*(IFERROR(INDEX(Calc!$AP$2:$AP$42,MATCH($W13,Calc!$A$2:$A$42,0)),0.5)*Config!$B$5+1-IFERROR(INDEX(Calc!$AP$2:$AP$42,MATCH($W13,Calc!$A$2:$A$42,0)),0.5))),SQRT(Z13*Config!$B$5)))</f>
        <v>6.06919877344197</v>
      </c>
      <c r="AB13" s="10" t="n">
        <f aca="false">IF(OR(F13="",Z13="",N(AA13)&lt;=0),"",1-NORMDIST(FLOOR(F13,1)+0.5,Z13,AA13,TRUE()))</f>
        <v>0.29962941226932</v>
      </c>
      <c r="AC13" s="10" t="n">
        <f aca="false">IF(AB13="","",NORMDIST(CEILING(F13,1)-0.5,Z13,AA13,TRUE()))</f>
        <v>0.70037058773068</v>
      </c>
      <c r="AD13" s="0" t="str">
        <f aca="false">IF(AB13="","",IF(AB13&gt;=0.5+Config!$B$6,"OVER",IF(AC13&gt;=0.5+Config!$B$6,"UNDER","—")))</f>
        <v>UNDER</v>
      </c>
      <c r="AE13" s="13" t="n">
        <f aca="false">IFERROR(Z13/G13,"")</f>
        <v>0.971223369336022</v>
      </c>
    </row>
    <row r="14" customFormat="false" ht="15" hidden="false" customHeight="false" outlineLevel="0" collapsed="false">
      <c r="A14" s="0" t="s">
        <v>568</v>
      </c>
      <c r="B14" s="0" t="s">
        <v>576</v>
      </c>
      <c r="C14" s="0" t="s">
        <v>661</v>
      </c>
      <c r="D14" s="0" t="s">
        <v>582</v>
      </c>
      <c r="E14" s="0" t="s">
        <v>637</v>
      </c>
      <c r="F14" s="0" t="n">
        <v>11.5</v>
      </c>
      <c r="G14" s="11" t="n">
        <f aca="false">IFERROR(INDEX(CHOOSE(MATCH($X14,{"K1","K2","K3","K12","K13","H1","H2","H3","H12","H13"},0),Calc!$V$2:$V$42,Calc!$AC$2:$AC$42,Calc!$AJ$2:$AJ$42,Calc!$AL$2:$AL$42,Calc!$AM$2:$AM$42,Calc!$W$2:$W$42,Calc!$AD$2:$AD$42,Calc!$AK$2:$AK$42,Calc!$AN$2:$AN$42,Calc!$AO$2:$AO$42),MATCH($W14,Calc!$A$2:$A$42,0)),"")</f>
        <v>10.780306177686</v>
      </c>
      <c r="H14" s="11" t="n">
        <f aca="false">IF(G14="","",IF(LEFT($X14,1)="H",SQRT(G14*(IFERROR(INDEX(Calc!$AP$2:$AP$42,MATCH($W14,Calc!$A$2:$A$42,0)),0.5)*Config!$B$5+1-IFERROR(INDEX(Calc!$AP$2:$AP$42,MATCH($W14,Calc!$A$2:$A$42,0)),0.5))),SQRT(G14*Config!$B$5)))</f>
        <v>3.51911768696085</v>
      </c>
      <c r="I14" s="10" t="n">
        <f aca="false">IF(OR(F14="",G14="",N(H14)&lt;=0),"",1-NORMDIST(FLOOR(F14,1)+0.5,G14,H14,TRUE()))</f>
        <v>0.418977593027296</v>
      </c>
      <c r="J14" s="10" t="n">
        <f aca="false">IF(I14="","",NORMDIST(CEILING(F14,1)-0.5,G14,H14,TRUE()))</f>
        <v>0.581022406972705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UNDER</v>
      </c>
      <c r="N14" s="0" t="n">
        <v>11</v>
      </c>
      <c r="O14" s="10" t="n">
        <v>0.4</v>
      </c>
      <c r="P14" s="10" t="n">
        <v>0.5</v>
      </c>
      <c r="Q14" s="10" t="n">
        <v>0.47</v>
      </c>
      <c r="R14" s="9" t="s">
        <v>638</v>
      </c>
      <c r="S14" s="0" t="n">
        <v>-1</v>
      </c>
      <c r="T14" s="0" t="str">
        <f aca="false">INDEX(Calc!$G$2:$G$42,MATCH($W14,Calc!$A$2:$A$42,0))&amp;" / "&amp;INDEX(Calc!$H$2:$H$42,MATCH($W14,Calc!$A$2:$A$42,0))</f>
        <v>Mirage / Cache</v>
      </c>
      <c r="U14" s="0" t="str">
        <f aca="false">TEXT(INDEX(Calc!$J$2:$J$42,MATCH($W14,Calc!$A$2:$A$42,0)),"0.0")&amp;" / "&amp;TEXT(INDEX(Calc!$K$2:$K$42,MATCH($W14,Calc!$A$2:$A$42,0)),"0.0")</f>
        <v>21.3 / 21.3</v>
      </c>
      <c r="V14" s="0" t="str">
        <f aca="false">IFERROR(INDEX(Calc!$AQ$2:$AQ$42,MATCH($W14,Calc!$A$2:$A$42,0)),"")</f>
        <v/>
      </c>
      <c r="W14" s="9" t="s">
        <v>662</v>
      </c>
      <c r="X14" s="9" t="s">
        <v>640</v>
      </c>
      <c r="Y14" s="0" t="str">
        <f aca="false">W14&amp;"|"&amp;X14</f>
        <v>3i7rtlh9c02jvmx|CS2 · BCG vs FaZe|H12</v>
      </c>
      <c r="Z14" s="11" t="n">
        <f aca="false">IFERROR(INDEX(CHOOSE(MATCH($X14,{"K1","K2","K3","K12","K13","H1","H2","H3","H12","H13"},0),Calc!$BA$2:$BA$42,Calc!$BB$2:$BB$42,Calc!$BC$2:$BC$42,Calc!$BD$2:$BD$42,Calc!$BE$2:$BE$42,Calc!$BF$2:$BF$42,Calc!$BG$2:$BG$42,Calc!$BH$2:$BH$42,Calc!$BI$2:$BI$42,Calc!$BJ$2:$BJ$42),MATCH($W14,Calc!$A$2:$A$42,0)),"")</f>
        <v>10.4706373346307</v>
      </c>
      <c r="AA14" s="11" t="n">
        <f aca="false">IF(Z14="","",IF(LEFT($X14,1)="H",SQRT(Z14*(IFERROR(INDEX(Calc!$AP$2:$AP$42,MATCH($W14,Calc!$A$2:$A$42,0)),0.5)*Config!$B$5+1-IFERROR(INDEX(Calc!$AP$2:$AP$42,MATCH($W14,Calc!$A$2:$A$42,0)),0.5))),SQRT(Z14*Config!$B$5)))</f>
        <v>3.46820533308337</v>
      </c>
      <c r="AB14" s="10" t="n">
        <f aca="false">IF(OR(F14="",Z14="",N(AA14)&lt;=0),"",1-NORMDIST(FLOOR(F14,1)+0.5,Z14,AA14,TRUE()))</f>
        <v>0.383309677307971</v>
      </c>
      <c r="AC14" s="10" t="n">
        <f aca="false">IF(AB14="","",NORMDIST(CEILING(F14,1)-0.5,Z14,AA14,TRUE()))</f>
        <v>0.61669032269203</v>
      </c>
      <c r="AD14" s="0" t="str">
        <f aca="false">IF(AB14="","",IF(AB14&gt;=0.5+Config!$B$6,"OVER",IF(AC14&gt;=0.5+Config!$B$6,"UNDER","—")))</f>
        <v>UNDER</v>
      </c>
      <c r="AE14" s="13" t="n">
        <f aca="false">IFERROR(Z14/G14,"")</f>
        <v>0.971274578110203</v>
      </c>
    </row>
    <row r="15" customFormat="false" ht="15" hidden="false" customHeight="false" outlineLevel="0" collapsed="false">
      <c r="A15" s="0" t="s">
        <v>568</v>
      </c>
      <c r="B15" s="0" t="s">
        <v>576</v>
      </c>
      <c r="C15" s="0" t="s">
        <v>661</v>
      </c>
      <c r="D15" s="0" t="s">
        <v>582</v>
      </c>
      <c r="E15" s="0" t="s">
        <v>641</v>
      </c>
      <c r="F15" s="0" t="n">
        <v>30.5</v>
      </c>
      <c r="G15" s="11" t="n">
        <f aca="false">IFERROR(INDEX(CHOOSE(MATCH($X15,{"K1","K2","K3","K12","K13","H1","H2","H3","H12","H13"},0),Calc!$V$2:$V$42,Calc!$AC$2:$AC$42,Calc!$AJ$2:$AJ$42,Calc!$AL$2:$AL$42,Calc!$AM$2:$AM$42,Calc!$W$2:$W$42,Calc!$AD$2:$AD$42,Calc!$AK$2:$AK$42,Calc!$AN$2:$AN$42,Calc!$AO$2:$AO$42),MATCH($W15,Calc!$A$2:$A$42,0)),"")</f>
        <v>28.9834090909091</v>
      </c>
      <c r="H15" s="11" t="n">
        <f aca="false">IF(G15="","",IF(LEFT($X15,1)="H",SQRT(G15*(IFERROR(INDEX(Calc!$AP$2:$AP$42,MATCH($W15,Calc!$A$2:$A$42,0)),0.5)*Config!$B$5+1-IFERROR(INDEX(Calc!$AP$2:$AP$42,MATCH($W15,Calc!$A$2:$A$42,0)),0.5))),SQRT(G15*Config!$B$5)))</f>
        <v>6.36999000998218</v>
      </c>
      <c r="I15" s="10" t="n">
        <f aca="false">IF(OR(F15="",G15="",N(H15)&lt;=0),"",1-NORMDIST(FLOOR(F15,1)+0.5,G15,H15,TRUE()))</f>
        <v>0.405908081184937</v>
      </c>
      <c r="J15" s="10" t="n">
        <f aca="false">IF(I15="","",NORMDIST(CEILING(F15,1)-0.5,G15,H15,TRUE()))</f>
        <v>0.594091918815063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UNDER</v>
      </c>
      <c r="M15" s="0" t="n">
        <v>28.36</v>
      </c>
      <c r="N15" s="0" t="n">
        <v>28.4</v>
      </c>
      <c r="O15" s="10" t="n">
        <v>0.2</v>
      </c>
      <c r="P15" s="10" t="n">
        <v>0.4</v>
      </c>
      <c r="Q15" s="10" t="n">
        <v>0.27</v>
      </c>
      <c r="R15" s="9" t="s">
        <v>638</v>
      </c>
      <c r="S15" s="0" t="n">
        <v>-1</v>
      </c>
      <c r="T15" s="0" t="str">
        <f aca="false">INDEX(Calc!$G$2:$G$42,MATCH($W15,Calc!$A$2:$A$42,0))&amp;" / "&amp;INDEX(Calc!$H$2:$H$42,MATCH($W15,Calc!$A$2:$A$42,0))</f>
        <v>Mirage / Cache</v>
      </c>
      <c r="U15" s="0" t="str">
        <f aca="false">TEXT(INDEX(Calc!$J$2:$J$42,MATCH($W15,Calc!$A$2:$A$42,0)),"0.0")&amp;" / "&amp;TEXT(INDEX(Calc!$K$2:$K$42,MATCH($W15,Calc!$A$2:$A$42,0)),"0.0")</f>
        <v>21.3 / 21.3</v>
      </c>
      <c r="V15" s="0" t="str">
        <f aca="false">IFERROR(INDEX(Calc!$AQ$2:$AQ$42,MATCH($W15,Calc!$A$2:$A$42,0)),"")</f>
        <v/>
      </c>
      <c r="W15" s="9" t="s">
        <v>662</v>
      </c>
      <c r="X15" s="9" t="s">
        <v>642</v>
      </c>
      <c r="Y15" s="0" t="str">
        <f aca="false">W15&amp;"|"&amp;X15</f>
        <v>3i7rtlh9c02jvmx|CS2 · BCG vs FaZe|K12</v>
      </c>
      <c r="Z15" s="11" t="n">
        <f aca="false">IFERROR(INDEX(CHOOSE(MATCH($X15,{"K1","K2","K3","K12","K13","H1","H2","H3","H12","H13"},0),Calc!$BA$2:$BA$42,Calc!$BB$2:$BB$42,Calc!$BC$2:$BC$42,Calc!$BD$2:$BD$42,Calc!$BE$2:$BE$42,Calc!$BF$2:$BF$42,Calc!$BG$2:$BG$42,Calc!$BH$2:$BH$42,Calc!$BI$2:$BI$42,Calc!$BJ$2:$BJ$42),MATCH($W15,Calc!$A$2:$A$42,0)),"")</f>
        <v>28.1513538885101</v>
      </c>
      <c r="AA15" s="11" t="n">
        <f aca="false">IF(Z15="","",IF(LEFT($X15,1)="H",SQRT(Z15*(IFERROR(INDEX(Calc!$AP$2:$AP$42,MATCH($W15,Calc!$A$2:$A$42,0)),0.5)*Config!$B$5+1-IFERROR(INDEX(Calc!$AP$2:$AP$42,MATCH($W15,Calc!$A$2:$A$42,0)),0.5))),SQRT(Z15*Config!$B$5)))</f>
        <v>6.27788940997801</v>
      </c>
      <c r="AB15" s="10" t="n">
        <f aca="false">IF(OR(F15="",Z15="",N(AA15)&lt;=0),"",1-NORMDIST(FLOOR(F15,1)+0.5,Z15,AA15,TRUE()))</f>
        <v>0.35415976391463</v>
      </c>
      <c r="AC15" s="10" t="n">
        <f aca="false">IF(AB15="","",NORMDIST(CEILING(F15,1)-0.5,Z15,AA15,TRUE()))</f>
        <v>0.64584023608537</v>
      </c>
      <c r="AD15" s="0" t="str">
        <f aca="false">IF(AB15="","",IF(AB15&gt;=0.5+Config!$B$6,"OVER",IF(AC15&gt;=0.5+Config!$B$6,"UNDER","—")))</f>
        <v>UNDER</v>
      </c>
      <c r="AE15" s="13" t="n">
        <f aca="false">IFERROR(Z15/G15,"")</f>
        <v>0.971292017450769</v>
      </c>
    </row>
    <row r="16" customFormat="false" ht="15" hidden="false" customHeight="false" outlineLevel="0" collapsed="false">
      <c r="A16" s="0" t="s">
        <v>568</v>
      </c>
      <c r="B16" s="0" t="s">
        <v>576</v>
      </c>
      <c r="C16" s="0" t="s">
        <v>663</v>
      </c>
      <c r="D16" s="0" t="s">
        <v>582</v>
      </c>
      <c r="E16" s="0" t="s">
        <v>637</v>
      </c>
      <c r="F16" s="0" t="n">
        <v>19.5</v>
      </c>
      <c r="G16" s="11" t="n">
        <f aca="false">IFERROR(INDEX(CHOOSE(MATCH($X16,{"K1","K2","K3","K12","K13","H1","H2","H3","H12","H13"},0),Calc!$V$2:$V$42,Calc!$AC$2:$AC$42,Calc!$AJ$2:$AJ$42,Calc!$AL$2:$AL$42,Calc!$AM$2:$AM$42,Calc!$W$2:$W$42,Calc!$AD$2:$AD$42,Calc!$AK$2:$AK$42,Calc!$AN$2:$AN$42,Calc!$AO$2:$AO$42),MATCH($W16,Calc!$A$2:$A$42,0)),"")</f>
        <v>20.1324920876033</v>
      </c>
      <c r="H16" s="11" t="n">
        <f aca="false">IF(G16="","",IF(LEFT($X16,1)="H",SQRT(G16*(IFERROR(INDEX(Calc!$AP$2:$AP$42,MATCH($W16,Calc!$A$2:$A$42,0)),0.5)*Config!$B$5+1-IFERROR(INDEX(Calc!$AP$2:$AP$42,MATCH($W16,Calc!$A$2:$A$42,0)),0.5))),SQRT(G16*Config!$B$5)))</f>
        <v>5.05083119954231</v>
      </c>
      <c r="I16" s="10" t="n">
        <f aca="false">IF(OR(F16="",G16="",N(H16)&lt;=0),"",1-NORMDIST(FLOOR(F16,1)+0.5,G16,H16,TRUE()))</f>
        <v>0.549827424251723</v>
      </c>
      <c r="J16" s="10" t="n">
        <f aca="false">IF(I16="","",NORMDIST(CEILING(F16,1)-0.5,G16,H16,TRUE()))</f>
        <v>0.450172575748277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OVER</v>
      </c>
      <c r="N16" s="0" t="n">
        <v>21.9</v>
      </c>
      <c r="O16" s="10" t="n">
        <v>0.6</v>
      </c>
      <c r="P16" s="10" t="n">
        <v>0.6</v>
      </c>
      <c r="Q16" s="10" t="n">
        <v>0.47</v>
      </c>
      <c r="R16" s="9" t="s">
        <v>658</v>
      </c>
      <c r="S16" s="0" t="n">
        <v>1</v>
      </c>
      <c r="T16" s="0" t="str">
        <f aca="false">INDEX(Calc!$G$2:$G$42,MATCH($W16,Calc!$A$2:$A$42,0))&amp;" / "&amp;INDEX(Calc!$H$2:$H$42,MATCH($W16,Calc!$A$2:$A$42,0))</f>
        <v>Mirage / Cache</v>
      </c>
      <c r="U16" s="0" t="str">
        <f aca="false">TEXT(INDEX(Calc!$J$2:$J$42,MATCH($W16,Calc!$A$2:$A$42,0)),"0.0")&amp;" / "&amp;TEXT(INDEX(Calc!$K$2:$K$42,MATCH($W16,Calc!$A$2:$A$42,0)),"0.0")</f>
        <v>21.3 / 21.3</v>
      </c>
      <c r="V16" s="0" t="str">
        <f aca="false">IFERROR(INDEX(Calc!$AQ$2:$AQ$42,MATCH($W16,Calc!$A$2:$A$42,0)),"")</f>
        <v/>
      </c>
      <c r="W16" s="9" t="s">
        <v>664</v>
      </c>
      <c r="X16" s="9" t="s">
        <v>640</v>
      </c>
      <c r="Y16" s="0" t="str">
        <f aca="false">W16&amp;"|"&amp;X16</f>
        <v>vdo0jykqczuyswb|CS2 · BCG vs FaZe|H12</v>
      </c>
      <c r="Z16" s="11" t="n">
        <f aca="false">IFERROR(INDEX(CHOOSE(MATCH($X16,{"K1","K2","K3","K12","K13","H1","H2","H3","H12","H13"},0),Calc!$BA$2:$BA$42,Calc!$BB$2:$BB$42,Calc!$BC$2:$BC$42,Calc!$BD$2:$BD$42,Calc!$BE$2:$BE$42,Calc!$BF$2:$BF$42,Calc!$BG$2:$BG$42,Calc!$BH$2:$BH$42,Calc!$BI$2:$BI$42,Calc!$BJ$2:$BJ$42),MATCH($W16,Calc!$A$2:$A$42,0)),"")</f>
        <v>19.5508807737697</v>
      </c>
      <c r="AA16" s="11" t="n">
        <f aca="false">IF(Z16="","",IF(LEFT($X16,1)="H",SQRT(Z16*(IFERROR(INDEX(Calc!$AP$2:$AP$42,MATCH($W16,Calc!$A$2:$A$42,0)),0.5)*Config!$B$5+1-IFERROR(INDEX(Calc!$AP$2:$AP$42,MATCH($W16,Calc!$A$2:$A$42,0)),0.5))),SQRT(Z16*Config!$B$5)))</f>
        <v>4.9773393279559</v>
      </c>
      <c r="AB16" s="10" t="n">
        <f aca="false">IF(OR(F16="",Z16="",N(AA16)&lt;=0),"",1-NORMDIST(FLOOR(F16,1)+0.5,Z16,AA16,TRUE()))</f>
        <v>0.504078110222158</v>
      </c>
      <c r="AC16" s="10" t="n">
        <f aca="false">IF(AB16="","",NORMDIST(CEILING(F16,1)-0.5,Z16,AA16,TRUE()))</f>
        <v>0.495921889777842</v>
      </c>
      <c r="AD16" s="0" t="str">
        <f aca="false">IF(AB16="","",IF(AB16&gt;=0.5+Config!$B$6,"OVER",IF(AC16&gt;=0.5+Config!$B$6,"UNDER","—")))</f>
        <v>—</v>
      </c>
      <c r="AE16" s="13" t="n">
        <f aca="false">IFERROR(Z16/G16,"")</f>
        <v>0.971110813738168</v>
      </c>
    </row>
    <row r="17" customFormat="false" ht="15" hidden="false" customHeight="false" outlineLevel="0" collapsed="false">
      <c r="A17" s="0" t="s">
        <v>568</v>
      </c>
      <c r="B17" s="0" t="s">
        <v>576</v>
      </c>
      <c r="C17" s="0" t="s">
        <v>663</v>
      </c>
      <c r="D17" s="0" t="s">
        <v>582</v>
      </c>
      <c r="E17" s="0" t="s">
        <v>641</v>
      </c>
      <c r="F17" s="0" t="n">
        <v>29.5</v>
      </c>
      <c r="G17" s="11" t="n">
        <f aca="false">IFERROR(INDEX(CHOOSE(MATCH($X17,{"K1","K2","K3","K12","K13","H1","H2","H3","H12","H13"},0),Calc!$V$2:$V$42,Calc!$AC$2:$AC$42,Calc!$AJ$2:$AJ$42,Calc!$AL$2:$AL$42,Calc!$AM$2:$AM$42,Calc!$W$2:$W$42,Calc!$AD$2:$AD$42,Calc!$AK$2:$AK$42,Calc!$AN$2:$AN$42,Calc!$AO$2:$AO$42),MATCH($W17,Calc!$A$2:$A$42,0)),"")</f>
        <v>30.1440545454546</v>
      </c>
      <c r="H17" s="11" t="n">
        <f aca="false">IF(G17="","",IF(LEFT($X17,1)="H",SQRT(G17*(IFERROR(INDEX(Calc!$AP$2:$AP$42,MATCH($W17,Calc!$A$2:$A$42,0)),0.5)*Config!$B$5+1-IFERROR(INDEX(Calc!$AP$2:$AP$42,MATCH($W17,Calc!$A$2:$A$42,0)),0.5))),SQRT(G17*Config!$B$5)))</f>
        <v>6.49628173370247</v>
      </c>
      <c r="I17" s="10" t="n">
        <f aca="false">IF(OR(F17="",G17="",N(H17)&lt;=0),"",1-NORMDIST(FLOOR(F17,1)+0.5,G17,H17,TRUE()))</f>
        <v>0.539487248532041</v>
      </c>
      <c r="J17" s="10" t="n">
        <f aca="false">IF(I17="","",NORMDIST(CEILING(F17,1)-0.5,G17,H17,TRUE()))</f>
        <v>0.460512751467959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—</v>
      </c>
      <c r="M17" s="0" t="n">
        <v>29.22</v>
      </c>
      <c r="N17" s="0" t="n">
        <v>30.3</v>
      </c>
      <c r="O17" s="10" t="n">
        <v>0.2</v>
      </c>
      <c r="P17" s="10" t="n">
        <v>0.5</v>
      </c>
      <c r="Q17" s="10" t="n">
        <v>0.47</v>
      </c>
      <c r="R17" s="9" t="s">
        <v>658</v>
      </c>
      <c r="S17" s="0" t="n">
        <v>-4</v>
      </c>
      <c r="T17" s="0" t="str">
        <f aca="false">INDEX(Calc!$G$2:$G$42,MATCH($W17,Calc!$A$2:$A$42,0))&amp;" / "&amp;INDEX(Calc!$H$2:$H$42,MATCH($W17,Calc!$A$2:$A$42,0))</f>
        <v>Mirage / Cache</v>
      </c>
      <c r="U17" s="0" t="str">
        <f aca="false">TEXT(INDEX(Calc!$J$2:$J$42,MATCH($W17,Calc!$A$2:$A$42,0)),"0.0")&amp;" / "&amp;TEXT(INDEX(Calc!$K$2:$K$42,MATCH($W17,Calc!$A$2:$A$42,0)),"0.0")</f>
        <v>21.3 / 21.3</v>
      </c>
      <c r="V17" s="0" t="str">
        <f aca="false">IFERROR(INDEX(Calc!$AQ$2:$AQ$42,MATCH($W17,Calc!$A$2:$A$42,0)),"")</f>
        <v/>
      </c>
      <c r="W17" s="9" t="s">
        <v>664</v>
      </c>
      <c r="X17" s="9" t="s">
        <v>642</v>
      </c>
      <c r="Y17" s="0" t="str">
        <f aca="false">W17&amp;"|"&amp;X17</f>
        <v>vdo0jykqczuyswb|CS2 · BCG vs FaZe|K12</v>
      </c>
      <c r="Z17" s="11" t="n">
        <f aca="false">IFERROR(INDEX(CHOOSE(MATCH($X17,{"K1","K2","K3","K12","K13","H1","H2","H3","H12","H13"},0),Calc!$BA$2:$BA$42,Calc!$BB$2:$BB$42,Calc!$BC$2:$BC$42,Calc!$BD$2:$BD$42,Calc!$BE$2:$BE$42,Calc!$BF$2:$BF$42,Calc!$BG$2:$BG$42,Calc!$BH$2:$BH$42,Calc!$BI$2:$BI$42,Calc!$BJ$2:$BJ$42),MATCH($W17,Calc!$A$2:$A$42,0)),"")</f>
        <v>29.2745017440264</v>
      </c>
      <c r="AA17" s="11" t="n">
        <f aca="false">IF(Z17="","",IF(LEFT($X17,1)="H",SQRT(Z17*(IFERROR(INDEX(Calc!$AP$2:$AP$42,MATCH($W17,Calc!$A$2:$A$42,0)),0.5)*Config!$B$5+1-IFERROR(INDEX(Calc!$AP$2:$AP$42,MATCH($W17,Calc!$A$2:$A$42,0)),0.5))),SQRT(Z17*Config!$B$5)))</f>
        <v>6.40189834671225</v>
      </c>
      <c r="AB17" s="10" t="n">
        <f aca="false">IF(OR(F17="",Z17="",N(AA17)&lt;=0),"",1-NORMDIST(FLOOR(F17,1)+0.5,Z17,AA17,TRUE()))</f>
        <v>0.485950700155516</v>
      </c>
      <c r="AC17" s="10" t="n">
        <f aca="false">IF(AB17="","",NORMDIST(CEILING(F17,1)-0.5,Z17,AA17,TRUE()))</f>
        <v>0.514049299844484</v>
      </c>
      <c r="AD17" s="0" t="str">
        <f aca="false">IF(AB17="","",IF(AB17&gt;=0.5+Config!$B$6,"OVER",IF(AC17&gt;=0.5+Config!$B$6,"UNDER","—")))</f>
        <v>—</v>
      </c>
      <c r="AE17" s="13" t="n">
        <f aca="false">IFERROR(Z17/G17,"")</f>
        <v>0.971153422638719</v>
      </c>
    </row>
    <row r="18" customFormat="false" ht="15" hidden="false" customHeight="false" outlineLevel="0" collapsed="false">
      <c r="A18" s="0" t="s">
        <v>568</v>
      </c>
      <c r="B18" s="0" t="s">
        <v>576</v>
      </c>
      <c r="C18" s="0" t="s">
        <v>665</v>
      </c>
      <c r="D18" s="0" t="s">
        <v>582</v>
      </c>
      <c r="E18" s="0" t="s">
        <v>637</v>
      </c>
      <c r="F18" s="0" t="n">
        <v>14.5</v>
      </c>
      <c r="G18" s="11" t="n">
        <f aca="false">IFERROR(INDEX(CHOOSE(MATCH($X18,{"K1","K2","K3","K12","K13","H1","H2","H3","H12","H13"},0),Calc!$V$2:$V$42,Calc!$AC$2:$AC$42,Calc!$AJ$2:$AJ$42,Calc!$AL$2:$AL$42,Calc!$AM$2:$AM$42,Calc!$W$2:$W$42,Calc!$AD$2:$AD$42,Calc!$AK$2:$AK$42,Calc!$AN$2:$AN$42,Calc!$AO$2:$AO$42),MATCH($W18,Calc!$A$2:$A$42,0)),"")</f>
        <v>12.4045442280992</v>
      </c>
      <c r="H18" s="11" t="n">
        <f aca="false">IF(G18="","",IF(LEFT($X18,1)="H",SQRT(G18*(IFERROR(INDEX(Calc!$AP$2:$AP$42,MATCH($W18,Calc!$A$2:$A$42,0)),0.5)*Config!$B$5+1-IFERROR(INDEX(Calc!$AP$2:$AP$42,MATCH($W18,Calc!$A$2:$A$42,0)),0.5))),SQRT(G18*Config!$B$5)))</f>
        <v>3.8711539229964</v>
      </c>
      <c r="I18" s="10" t="n">
        <f aca="false">IF(OR(F18="",G18="",N(H18)&lt;=0),"",1-NORMDIST(FLOOR(F18,1)+0.5,G18,H18,TRUE()))</f>
        <v>0.294150396590883</v>
      </c>
      <c r="J18" s="10" t="n">
        <f aca="false">IF(I18="","",NORMDIST(CEILING(F18,1)-0.5,G18,H18,TRUE()))</f>
        <v>0.705849603409117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UNDER</v>
      </c>
      <c r="N18" s="0" t="n">
        <v>13.7</v>
      </c>
      <c r="O18" s="10" t="n">
        <v>0.4</v>
      </c>
      <c r="P18" s="10" t="n">
        <v>0.4</v>
      </c>
      <c r="Q18" s="10" t="n">
        <v>0.4</v>
      </c>
      <c r="R18" s="9" t="s">
        <v>666</v>
      </c>
      <c r="S18" s="0" t="n">
        <v>-1</v>
      </c>
      <c r="T18" s="0" t="str">
        <f aca="false">INDEX(Calc!$G$2:$G$42,MATCH($W18,Calc!$A$2:$A$42,0))&amp;" / "&amp;INDEX(Calc!$H$2:$H$42,MATCH($W18,Calc!$A$2:$A$42,0))</f>
        <v>Mirage / Cache</v>
      </c>
      <c r="U18" s="0" t="str">
        <f aca="false">TEXT(INDEX(Calc!$J$2:$J$42,MATCH($W18,Calc!$A$2:$A$42,0)),"0.0")&amp;" / "&amp;TEXT(INDEX(Calc!$K$2:$K$42,MATCH($W18,Calc!$A$2:$A$42,0)),"0.0")</f>
        <v>21.3 / 21.3</v>
      </c>
      <c r="V18" s="0" t="str">
        <f aca="false">IFERROR(INDEX(Calc!$AQ$2:$AQ$42,MATCH($W18,Calc!$A$2:$A$42,0)),"")</f>
        <v/>
      </c>
      <c r="W18" s="9" t="s">
        <v>667</v>
      </c>
      <c r="X18" s="9" t="s">
        <v>640</v>
      </c>
      <c r="Y18" s="0" t="str">
        <f aca="false">W18&amp;"|"&amp;X18</f>
        <v>42o4a4l388ybjjn|CS2 · BCG vs FaZe|H12</v>
      </c>
      <c r="Z18" s="11" t="n">
        <f aca="false">IFERROR(INDEX(CHOOSE(MATCH($X18,{"K1","K2","K3","K12","K13","H1","H2","H3","H12","H13"},0),Calc!$BA$2:$BA$42,Calc!$BB$2:$BB$42,Calc!$BC$2:$BC$42,Calc!$BD$2:$BD$42,Calc!$BE$2:$BE$42,Calc!$BF$2:$BF$42,Calc!$BG$2:$BG$42,Calc!$BH$2:$BH$42,Calc!$BI$2:$BI$42,Calc!$BJ$2:$BJ$42),MATCH($W18,Calc!$A$2:$A$42,0)),"")</f>
        <v>12.047089489611</v>
      </c>
      <c r="AA18" s="11" t="n">
        <f aca="false">IF(Z18="","",IF(LEFT($X18,1)="H",SQRT(Z18*(IFERROR(INDEX(Calc!$AP$2:$AP$42,MATCH($W18,Calc!$A$2:$A$42,0)),0.5)*Config!$B$5+1-IFERROR(INDEX(Calc!$AP$2:$AP$42,MATCH($W18,Calc!$A$2:$A$42,0)),0.5))),SQRT(Z18*Config!$B$5)))</f>
        <v>3.81496978055259</v>
      </c>
      <c r="AB18" s="10" t="n">
        <f aca="false">IF(OR(F18="",Z18="",N(AA18)&lt;=0),"",1-NORMDIST(FLOOR(F18,1)+0.5,Z18,AA18,TRUE()))</f>
        <v>0.260121834981545</v>
      </c>
      <c r="AC18" s="10" t="n">
        <f aca="false">IF(AB18="","",NORMDIST(CEILING(F18,1)-0.5,Z18,AA18,TRUE()))</f>
        <v>0.739878165018455</v>
      </c>
      <c r="AD18" s="0" t="str">
        <f aca="false">IF(AB18="","",IF(AB18&gt;=0.5+Config!$B$6,"OVER",IF(AC18&gt;=0.5+Config!$B$6,"UNDER","—")))</f>
        <v>UNDER</v>
      </c>
      <c r="AE18" s="13" t="n">
        <f aca="false">IFERROR(Z18/G18,"")</f>
        <v>0.97118356531968</v>
      </c>
    </row>
    <row r="19" customFormat="false" ht="15" hidden="false" customHeight="false" outlineLevel="0" collapsed="false">
      <c r="A19" s="0" t="s">
        <v>568</v>
      </c>
      <c r="B19" s="0" t="s">
        <v>576</v>
      </c>
      <c r="C19" s="0" t="s">
        <v>665</v>
      </c>
      <c r="D19" s="0" t="s">
        <v>582</v>
      </c>
      <c r="E19" s="0" t="s">
        <v>641</v>
      </c>
      <c r="F19" s="0" t="n">
        <v>27.5</v>
      </c>
      <c r="G19" s="11" t="n">
        <f aca="false">IFERROR(INDEX(CHOOSE(MATCH($X19,{"K1","K2","K3","K12","K13","H1","H2","H3","H12","H13"},0),Calc!$V$2:$V$42,Calc!$AC$2:$AC$42,Calc!$AJ$2:$AJ$42,Calc!$AL$2:$AL$42,Calc!$AM$2:$AM$42,Calc!$W$2:$W$42,Calc!$AD$2:$AD$42,Calc!$AK$2:$AK$42,Calc!$AN$2:$AN$42,Calc!$AO$2:$AO$42),MATCH($W19,Calc!$A$2:$A$42,0)),"")</f>
        <v>23.8443272727273</v>
      </c>
      <c r="H19" s="11" t="n">
        <f aca="false">IF(G19="","",IF(LEFT($X19,1)="H",SQRT(G19*(IFERROR(INDEX(Calc!$AP$2:$AP$42,MATCH($W19,Calc!$A$2:$A$42,0)),0.5)*Config!$B$5+1-IFERROR(INDEX(Calc!$AP$2:$AP$42,MATCH($W19,Calc!$A$2:$A$42,0)),0.5))),SQRT(G19*Config!$B$5)))</f>
        <v>5.77772084665036</v>
      </c>
      <c r="I19" s="10" t="n">
        <f aca="false">IF(OR(F19="",G19="",N(H19)&lt;=0),"",1-NORMDIST(FLOOR(F19,1)+0.5,G19,H19,TRUE()))</f>
        <v>0.263458638199923</v>
      </c>
      <c r="J19" s="10" t="n">
        <f aca="false">IF(I19="","",NORMDIST(CEILING(F19,1)-0.5,G19,H19,TRUE()))</f>
        <v>0.736541361800077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UNDER</v>
      </c>
      <c r="M19" s="0" t="n">
        <v>25.8</v>
      </c>
      <c r="N19" s="0" t="n">
        <v>26.4</v>
      </c>
      <c r="O19" s="10" t="n">
        <v>0</v>
      </c>
      <c r="P19" s="10" t="n">
        <v>0.4</v>
      </c>
      <c r="Q19" s="10" t="n">
        <v>0.4</v>
      </c>
      <c r="R19" s="9" t="s">
        <v>666</v>
      </c>
      <c r="S19" s="0" t="n">
        <v>-6</v>
      </c>
      <c r="T19" s="0" t="str">
        <f aca="false">INDEX(Calc!$G$2:$G$42,MATCH($W19,Calc!$A$2:$A$42,0))&amp;" / "&amp;INDEX(Calc!$H$2:$H$42,MATCH($W19,Calc!$A$2:$A$42,0))</f>
        <v>Mirage / Cache</v>
      </c>
      <c r="U19" s="0" t="str">
        <f aca="false">TEXT(INDEX(Calc!$J$2:$J$42,MATCH($W19,Calc!$A$2:$A$42,0)),"0.0")&amp;" / "&amp;TEXT(INDEX(Calc!$K$2:$K$42,MATCH($W19,Calc!$A$2:$A$42,0)),"0.0")</f>
        <v>21.3 / 21.3</v>
      </c>
      <c r="V19" s="0" t="str">
        <f aca="false">IFERROR(INDEX(Calc!$AQ$2:$AQ$42,MATCH($W19,Calc!$A$2:$A$42,0)),"")</f>
        <v/>
      </c>
      <c r="W19" s="9" t="s">
        <v>667</v>
      </c>
      <c r="X19" s="9" t="s">
        <v>642</v>
      </c>
      <c r="Y19" s="0" t="str">
        <f aca="false">W19&amp;"|"&amp;X19</f>
        <v>42o4a4l388ybjjn|CS2 · BCG vs FaZe|K12</v>
      </c>
      <c r="Z19" s="11" t="n">
        <f aca="false">IFERROR(INDEX(CHOOSE(MATCH($X19,{"K1","K2","K3","K12","K13","H1","H2","H3","H12","H13"},0),Calc!$BA$2:$BA$42,Calc!$BB$2:$BB$42,Calc!$BC$2:$BC$42,Calc!$BD$2:$BD$42,Calc!$BE$2:$BE$42,Calc!$BF$2:$BF$42,Calc!$BG$2:$BG$42,Calc!$BH$2:$BH$42,Calc!$BI$2:$BI$42,Calc!$BJ$2:$BJ$42),MATCH($W19,Calc!$A$2:$A$42,0)),"")</f>
        <v>23.157753553033</v>
      </c>
      <c r="AA19" s="11" t="n">
        <f aca="false">IF(Z19="","",IF(LEFT($X19,1)="H",SQRT(Z19*(IFERROR(INDEX(Calc!$AP$2:$AP$42,MATCH($W19,Calc!$A$2:$A$42,0)),0.5)*Config!$B$5+1-IFERROR(INDEX(Calc!$AP$2:$AP$42,MATCH($W19,Calc!$A$2:$A$42,0)),0.5))),SQRT(Z19*Config!$B$5)))</f>
        <v>5.69393141636306</v>
      </c>
      <c r="AB19" s="10" t="n">
        <f aca="false">IF(OR(F19="",Z19="",N(AA19)&lt;=0),"",1-NORMDIST(FLOOR(F19,1)+0.5,Z19,AA19,TRUE()))</f>
        <v>0.222848145194787</v>
      </c>
      <c r="AC19" s="10" t="n">
        <f aca="false">IF(AB19="","",NORMDIST(CEILING(F19,1)-0.5,Z19,AA19,TRUE()))</f>
        <v>0.777151854805213</v>
      </c>
      <c r="AD19" s="0" t="str">
        <f aca="false">IF(AB19="","",IF(AB19&gt;=0.5+Config!$B$6,"OVER",IF(AC19&gt;=0.5+Config!$B$6,"UNDER","—")))</f>
        <v>UNDER</v>
      </c>
      <c r="AE19" s="13" t="n">
        <f aca="false">IFERROR(Z19/G19,"")</f>
        <v>0.971205993281281</v>
      </c>
    </row>
    <row r="20" customFormat="false" ht="15" hidden="false" customHeight="false" outlineLevel="0" collapsed="false">
      <c r="A20" s="0" t="s">
        <v>568</v>
      </c>
      <c r="B20" s="0" t="s">
        <v>576</v>
      </c>
      <c r="C20" s="0" t="s">
        <v>668</v>
      </c>
      <c r="D20" s="0" t="s">
        <v>582</v>
      </c>
      <c r="E20" s="0" t="s">
        <v>637</v>
      </c>
      <c r="F20" s="0" t="n">
        <v>18.5</v>
      </c>
      <c r="G20" s="11" t="n">
        <f aca="false">IFERROR(INDEX(CHOOSE(MATCH($X20,{"K1","K2","K3","K12","K13","H1","H2","H3","H12","H13"},0),Calc!$V$2:$V$42,Calc!$AC$2:$AC$42,Calc!$AJ$2:$AJ$42,Calc!$AL$2:$AL$42,Calc!$AM$2:$AM$42,Calc!$W$2:$W$42,Calc!$AD$2:$AD$42,Calc!$AK$2:$AK$42,Calc!$AN$2:$AN$42,Calc!$AO$2:$AO$42),MATCH($W20,Calc!$A$2:$A$42,0)),"")</f>
        <v>18.2282230041322</v>
      </c>
      <c r="H20" s="11" t="n">
        <f aca="false">IF(G20="","",IF(LEFT($X20,1)="H",SQRT(G20*(IFERROR(INDEX(Calc!$AP$2:$AP$42,MATCH($W20,Calc!$A$2:$A$42,0)),0.5)*Config!$B$5+1-IFERROR(INDEX(Calc!$AP$2:$AP$42,MATCH($W20,Calc!$A$2:$A$42,0)),0.5))),SQRT(G20*Config!$B$5)))</f>
        <v>4.70969350053734</v>
      </c>
      <c r="I20" s="10" t="n">
        <f aca="false">IF(OR(F20="",G20="",N(H20)&lt;=0),"",1-NORMDIST(FLOOR(F20,1)+0.5,G20,H20,TRUE()))</f>
        <v>0.476991455994524</v>
      </c>
      <c r="J20" s="10" t="n">
        <f aca="false">IF(I20="","",NORMDIST(CEILING(F20,1)-0.5,G20,H20,TRUE()))</f>
        <v>0.523008544005477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—</v>
      </c>
      <c r="N20" s="0" t="n">
        <v>19.1</v>
      </c>
      <c r="O20" s="10" t="n">
        <v>0.2</v>
      </c>
      <c r="P20" s="10" t="n">
        <v>0.5</v>
      </c>
      <c r="Q20" s="10" t="n">
        <v>0.6</v>
      </c>
      <c r="R20" s="9" t="s">
        <v>652</v>
      </c>
      <c r="S20" s="0" t="n">
        <v>-4</v>
      </c>
      <c r="T20" s="0" t="str">
        <f aca="false">INDEX(Calc!$G$2:$G$42,MATCH($W20,Calc!$A$2:$A$42,0))&amp;" / "&amp;INDEX(Calc!$H$2:$H$42,MATCH($W20,Calc!$A$2:$A$42,0))</f>
        <v>Mirage / Cache</v>
      </c>
      <c r="U20" s="0" t="str">
        <f aca="false">TEXT(INDEX(Calc!$J$2:$J$42,MATCH($W20,Calc!$A$2:$A$42,0)),"0.0")&amp;" / "&amp;TEXT(INDEX(Calc!$K$2:$K$42,MATCH($W20,Calc!$A$2:$A$42,0)),"0.0")</f>
        <v>21.3 / 21.3</v>
      </c>
      <c r="V20" s="0" t="str">
        <f aca="false">IFERROR(INDEX(Calc!$AQ$2:$AQ$42,MATCH($W20,Calc!$A$2:$A$42,0)),"")</f>
        <v/>
      </c>
      <c r="W20" s="9" t="s">
        <v>669</v>
      </c>
      <c r="X20" s="9" t="s">
        <v>640</v>
      </c>
      <c r="Y20" s="0" t="str">
        <f aca="false">W20&amp;"|"&amp;X20</f>
        <v>fyrdqmky6zw6rl0|CS2 · BCG vs FaZe|H12</v>
      </c>
      <c r="Z20" s="11" t="n">
        <f aca="false">IFERROR(INDEX(CHOOSE(MATCH($X20,{"K1","K2","K3","K12","K13","H1","H2","H3","H12","H13"},0),Calc!$BA$2:$BA$42,Calc!$BB$2:$BB$42,Calc!$BC$2:$BC$42,Calc!$BD$2:$BD$42,Calc!$BE$2:$BE$42,Calc!$BF$2:$BF$42,Calc!$BG$2:$BG$42,Calc!$BH$2:$BH$42,Calc!$BI$2:$BI$42,Calc!$BJ$2:$BJ$42),MATCH($W20,Calc!$A$2:$A$42,0)),"")</f>
        <v>17.7026452807085</v>
      </c>
      <c r="AA20" s="11" t="n">
        <f aca="false">IF(Z20="","",IF(LEFT($X20,1)="H",SQRT(Z20*(IFERROR(INDEX(Calc!$AP$2:$AP$42,MATCH($W20,Calc!$A$2:$A$42,0)),0.5)*Config!$B$5+1-IFERROR(INDEX(Calc!$AP$2:$AP$42,MATCH($W20,Calc!$A$2:$A$42,0)),0.5))),SQRT(Z20*Config!$B$5)))</f>
        <v>4.64129915627977</v>
      </c>
      <c r="AB20" s="10" t="n">
        <f aca="false">IF(OR(F20="",Z20="",N(AA20)&lt;=0),"",1-NORMDIST(FLOOR(F20,1)+0.5,Z20,AA20,TRUE()))</f>
        <v>0.43179911697144</v>
      </c>
      <c r="AC20" s="10" t="n">
        <f aca="false">IF(AB20="","",NORMDIST(CEILING(F20,1)-0.5,Z20,AA20,TRUE()))</f>
        <v>0.56820088302856</v>
      </c>
      <c r="AD20" s="0" t="str">
        <f aca="false">IF(AB20="","",IF(AB20&gt;=0.5+Config!$B$6,"OVER",IF(AC20&gt;=0.5+Config!$B$6,"UNDER","—")))</f>
        <v>UNDER</v>
      </c>
      <c r="AE20" s="13" t="n">
        <f aca="false">IFERROR(Z20/G20,"")</f>
        <v>0.971166815146789</v>
      </c>
    </row>
    <row r="21" customFormat="false" ht="15" hidden="false" customHeight="false" outlineLevel="0" collapsed="false">
      <c r="A21" s="0" t="s">
        <v>568</v>
      </c>
      <c r="B21" s="0" t="s">
        <v>576</v>
      </c>
      <c r="C21" s="0" t="s">
        <v>668</v>
      </c>
      <c r="D21" s="0" t="s">
        <v>582</v>
      </c>
      <c r="E21" s="0" t="s">
        <v>641</v>
      </c>
      <c r="F21" s="0" t="n">
        <v>31.5</v>
      </c>
      <c r="G21" s="11" t="n">
        <f aca="false">IFERROR(INDEX(CHOOSE(MATCH($X21,{"K1","K2","K3","K12","K13","H1","H2","H3","H12","H13"},0),Calc!$V$2:$V$42,Calc!$AC$2:$AC$42,Calc!$AJ$2:$AJ$42,Calc!$AL$2:$AL$42,Calc!$AM$2:$AM$42,Calc!$W$2:$W$42,Calc!$AD$2:$AD$42,Calc!$AK$2:$AK$42,Calc!$AN$2:$AN$42,Calc!$AO$2:$AO$42),MATCH($W21,Calc!$A$2:$A$42,0)),"")</f>
        <v>33.6219545454545</v>
      </c>
      <c r="H21" s="11" t="n">
        <f aca="false">IF(G21="","",IF(LEFT($X21,1)="H",SQRT(G21*(IFERROR(INDEX(Calc!$AP$2:$AP$42,MATCH($W21,Calc!$A$2:$A$42,0)),0.5)*Config!$B$5+1-IFERROR(INDEX(Calc!$AP$2:$AP$42,MATCH($W21,Calc!$A$2:$A$42,0)),0.5))),SQRT(G21*Config!$B$5)))</f>
        <v>6.86081164029711</v>
      </c>
      <c r="I21" s="10" t="n">
        <f aca="false">IF(OR(F21="",G21="",N(H21)&lt;=0),"",1-NORMDIST(FLOOR(F21,1)+0.5,G21,H21,TRUE()))</f>
        <v>0.621448096459587</v>
      </c>
      <c r="J21" s="10" t="n">
        <f aca="false">IF(I21="","",NORMDIST(CEILING(F21,1)-0.5,G21,H21,TRUE()))</f>
        <v>0.378551903540413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OVER</v>
      </c>
      <c r="M21" s="0" t="n">
        <v>31.36</v>
      </c>
      <c r="N21" s="0" t="n">
        <v>33.1</v>
      </c>
      <c r="O21" s="10" t="n">
        <v>0.4</v>
      </c>
      <c r="P21" s="10" t="n">
        <v>0.7</v>
      </c>
      <c r="Q21" s="10" t="n">
        <v>0.67</v>
      </c>
      <c r="R21" s="9" t="s">
        <v>670</v>
      </c>
      <c r="S21" s="0" t="n">
        <v>-2</v>
      </c>
      <c r="T21" s="0" t="str">
        <f aca="false">INDEX(Calc!$G$2:$G$42,MATCH($W21,Calc!$A$2:$A$42,0))&amp;" / "&amp;INDEX(Calc!$H$2:$H$42,MATCH($W21,Calc!$A$2:$A$42,0))</f>
        <v>Mirage / Cache</v>
      </c>
      <c r="U21" s="0" t="str">
        <f aca="false">TEXT(INDEX(Calc!$J$2:$J$42,MATCH($W21,Calc!$A$2:$A$42,0)),"0.0")&amp;" / "&amp;TEXT(INDEX(Calc!$K$2:$K$42,MATCH($W21,Calc!$A$2:$A$42,0)),"0.0")</f>
        <v>21.3 / 21.3</v>
      </c>
      <c r="V21" s="0" t="str">
        <f aca="false">IFERROR(INDEX(Calc!$AQ$2:$AQ$42,MATCH($W21,Calc!$A$2:$A$42,0)),"")</f>
        <v/>
      </c>
      <c r="W21" s="9" t="s">
        <v>669</v>
      </c>
      <c r="X21" s="9" t="s">
        <v>642</v>
      </c>
      <c r="Y21" s="0" t="str">
        <f aca="false">W21&amp;"|"&amp;X21</f>
        <v>fyrdqmky6zw6rl0|CS2 · BCG vs FaZe|K12</v>
      </c>
      <c r="Z21" s="11" t="n">
        <f aca="false">IFERROR(INDEX(CHOOSE(MATCH($X21,{"K1","K2","K3","K12","K13","H1","H2","H3","H12","H13"},0),Calc!$BA$2:$BA$42,Calc!$BB$2:$BB$42,Calc!$BC$2:$BC$42,Calc!$BD$2:$BD$42,Calc!$BE$2:$BE$42,Calc!$BF$2:$BF$42,Calc!$BG$2:$BG$42,Calc!$BH$2:$BH$42,Calc!$BI$2:$BI$42,Calc!$BJ$2:$BJ$42),MATCH($W21,Calc!$A$2:$A$42,0)),"")</f>
        <v>32.6529064023163</v>
      </c>
      <c r="AA21" s="11" t="n">
        <f aca="false">IF(Z21="","",IF(LEFT($X21,1)="H",SQRT(Z21*(IFERROR(INDEX(Calc!$AP$2:$AP$42,MATCH($W21,Calc!$A$2:$A$42,0)),0.5)*Config!$B$5+1-IFERROR(INDEX(Calc!$AP$2:$AP$42,MATCH($W21,Calc!$A$2:$A$42,0)),0.5))),SQRT(Z21*Config!$B$5)))</f>
        <v>6.76121800885335</v>
      </c>
      <c r="AB21" s="10" t="n">
        <f aca="false">IF(OR(F21="",Z21="",N(AA21)&lt;=0),"",1-NORMDIST(FLOOR(F21,1)+0.5,Z21,AA21,TRUE()))</f>
        <v>0.567698437426512</v>
      </c>
      <c r="AC21" s="10" t="n">
        <f aca="false">IF(AB21="","",NORMDIST(CEILING(F21,1)-0.5,Z21,AA21,TRUE()))</f>
        <v>0.432301562573488</v>
      </c>
      <c r="AD21" s="0" t="str">
        <f aca="false">IF(AB21="","",IF(AB21&gt;=0.5+Config!$B$6,"OVER",IF(AC21&gt;=0.5+Config!$B$6,"UNDER","—")))</f>
        <v>OVER</v>
      </c>
      <c r="AE21" s="13" t="n">
        <f aca="false">IFERROR(Z21/G21,"")</f>
        <v>0.97117811393659</v>
      </c>
    </row>
    <row r="22" customFormat="false" ht="15" hidden="false" customHeight="false" outlineLevel="0" collapsed="false">
      <c r="A22" s="0" t="s">
        <v>568</v>
      </c>
      <c r="B22" s="0" t="s">
        <v>485</v>
      </c>
      <c r="C22" s="0" t="s">
        <v>671</v>
      </c>
      <c r="D22" s="0" t="s">
        <v>574</v>
      </c>
      <c r="E22" s="0" t="s">
        <v>637</v>
      </c>
      <c r="F22" s="0" t="n">
        <v>15.5</v>
      </c>
      <c r="G22" s="11" t="n">
        <f aca="false">IFERROR(INDEX(CHOOSE(MATCH($X22,{"K1","K2","K3","K12","K13","H1","H2","H3","H12","H13"},0),Calc!$V$2:$V$42,Calc!$AC$2:$AC$42,Calc!$AJ$2:$AJ$42,Calc!$AL$2:$AL$42,Calc!$AM$2:$AM$42,Calc!$W$2:$W$42,Calc!$AD$2:$AD$42,Calc!$AK$2:$AK$42,Calc!$AN$2:$AN$42,Calc!$AO$2:$AO$42),MATCH($W22,Calc!$A$2:$A$42,0)),"")</f>
        <v>14.5230708333333</v>
      </c>
      <c r="H22" s="11" t="n">
        <f aca="false">IF(G22="","",IF(LEFT($X22,1)="H",SQRT(G22*(IFERROR(INDEX(Calc!$AP$2:$AP$42,MATCH($W22,Calc!$A$2:$A$42,0)),0.5)*Config!$B$5+1-IFERROR(INDEX(Calc!$AP$2:$AP$42,MATCH($W22,Calc!$A$2:$A$42,0)),0.5))),SQRT(G22*Config!$B$5)))</f>
        <v>4.15195144706106</v>
      </c>
      <c r="I22" s="10" t="n">
        <f aca="false">IF(OR(F22="",G22="",N(H22)&lt;=0),"",1-NORMDIST(FLOOR(F22,1)+0.5,G22,H22,TRUE()))</f>
        <v>0.40699028493831</v>
      </c>
      <c r="J22" s="10" t="n">
        <f aca="false">IF(I22="","",NORMDIST(CEILING(F22,1)-0.5,G22,H22,TRUE()))</f>
        <v>0.59300971506169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UNDER</v>
      </c>
      <c r="N22" s="0" t="n">
        <v>15.2</v>
      </c>
      <c r="O22" s="10" t="n">
        <v>0.2</v>
      </c>
      <c r="P22" s="10" t="n">
        <v>0.5</v>
      </c>
      <c r="Q22" s="10" t="n">
        <v>0.53</v>
      </c>
      <c r="R22" s="9" t="s">
        <v>658</v>
      </c>
      <c r="S22" s="0" t="n">
        <v>1</v>
      </c>
      <c r="T22" s="0" t="str">
        <f aca="false">INDEX(Calc!$G$2:$G$42,MATCH($W22,Calc!$A$2:$A$42,0))&amp;" / "&amp;INDEX(Calc!$H$2:$H$42,MATCH($W22,Calc!$A$2:$A$42,0))</f>
        <v>Inferno / Cache</v>
      </c>
      <c r="U22" s="0" t="str">
        <f aca="false">TEXT(INDEX(Calc!$J$2:$J$42,MATCH($W22,Calc!$A$2:$A$42,0)),"0.0")&amp;" / "&amp;TEXT(INDEX(Calc!$K$2:$K$42,MATCH($W22,Calc!$A$2:$A$42,0)),"0.0")</f>
        <v>21.5 / 21.5</v>
      </c>
      <c r="V22" s="0" t="str">
        <f aca="false">IFERROR(INDEX(Calc!$AQ$2:$AQ$42,MATCH($W22,Calc!$A$2:$A$42,0)),"")</f>
        <v/>
      </c>
      <c r="W22" s="9" t="s">
        <v>672</v>
      </c>
      <c r="X22" s="9" t="s">
        <v>640</v>
      </c>
      <c r="Y22" s="0" t="str">
        <f aca="false">W22&amp;"|"&amp;X22</f>
        <v>8trkhn8eds1uu4p|CS2 · BIG vs MGLZ|H12</v>
      </c>
      <c r="Z22" s="11" t="n">
        <f aca="false">IFERROR(INDEX(CHOOSE(MATCH($X22,{"K1","K2","K3","K12","K13","H1","H2","H3","H12","H13"},0),Calc!$BA$2:$BA$42,Calc!$BB$2:$BB$42,Calc!$BC$2:$BC$42,Calc!$BD$2:$BD$42,Calc!$BE$2:$BE$42,Calc!$BF$2:$BF$42,Calc!$BG$2:$BG$42,Calc!$BH$2:$BH$42,Calc!$BI$2:$BI$42,Calc!$BJ$2:$BJ$42),MATCH($W22,Calc!$A$2:$A$42,0)),"")</f>
        <v>14.1786410109076</v>
      </c>
      <c r="AA22" s="11" t="n">
        <f aca="false">IF(Z22="","",IF(LEFT($X22,1)="H",SQRT(Z22*(IFERROR(INDEX(Calc!$AP$2:$AP$42,MATCH($W22,Calc!$A$2:$A$42,0)),0.5)*Config!$B$5+1-IFERROR(INDEX(Calc!$AP$2:$AP$42,MATCH($W22,Calc!$A$2:$A$42,0)),0.5))),SQRT(Z22*Config!$B$5)))</f>
        <v>4.10242208816469</v>
      </c>
      <c r="AB22" s="10" t="n">
        <f aca="false">IF(OR(F22="",Z22="",N(AA22)&lt;=0),"",1-NORMDIST(FLOOR(F22,1)+0.5,Z22,AA22,TRUE()))</f>
        <v>0.373691346643299</v>
      </c>
      <c r="AC22" s="10" t="n">
        <f aca="false">IF(AB22="","",NORMDIST(CEILING(F22,1)-0.5,Z22,AA22,TRUE()))</f>
        <v>0.626308653356701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0.976283953553733</v>
      </c>
    </row>
    <row r="23" customFormat="false" ht="15" hidden="false" customHeight="false" outlineLevel="0" collapsed="false">
      <c r="A23" s="0" t="s">
        <v>568</v>
      </c>
      <c r="B23" s="0" t="s">
        <v>485</v>
      </c>
      <c r="C23" s="0" t="s">
        <v>671</v>
      </c>
      <c r="D23" s="0" t="s">
        <v>574</v>
      </c>
      <c r="E23" s="0" t="s">
        <v>641</v>
      </c>
      <c r="F23" s="0" t="n">
        <v>32.5</v>
      </c>
      <c r="G23" s="11" t="n">
        <f aca="false">IFERROR(INDEX(CHOOSE(MATCH($X23,{"K1","K2","K3","K12","K13","H1","H2","H3","H12","H13"},0),Calc!$V$2:$V$42,Calc!$AC$2:$AC$42,Calc!$AJ$2:$AJ$42,Calc!$AL$2:$AL$42,Calc!$AM$2:$AM$42,Calc!$W$2:$W$42,Calc!$AD$2:$AD$42,Calc!$AK$2:$AK$42,Calc!$AN$2:$AN$42,Calc!$AO$2:$AO$42),MATCH($W23,Calc!$A$2:$A$42,0)),"")</f>
        <v>31.0675</v>
      </c>
      <c r="H23" s="11" t="n">
        <f aca="false">IF(G23="","",IF(LEFT($X23,1)="H",SQRT(G23*(IFERROR(INDEX(Calc!$AP$2:$AP$42,MATCH($W23,Calc!$A$2:$A$42,0)),0.5)*Config!$B$5+1-IFERROR(INDEX(Calc!$AP$2:$AP$42,MATCH($W23,Calc!$A$2:$A$42,0)),0.5))),SQRT(G23*Config!$B$5)))</f>
        <v>6.59503601203208</v>
      </c>
      <c r="I23" s="10" t="n">
        <f aca="false">IF(OR(F23="",G23="",N(H23)&lt;=0),"",1-NORMDIST(FLOOR(F23,1)+0.5,G23,H23,TRUE()))</f>
        <v>0.414022805112235</v>
      </c>
      <c r="J23" s="10" t="n">
        <f aca="false">IF(I23="","",NORMDIST(CEILING(F23,1)-0.5,G23,H23,TRUE()))</f>
        <v>0.585977194887765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UNDER</v>
      </c>
      <c r="N23" s="0" t="n">
        <v>32.1</v>
      </c>
      <c r="O23" s="10" t="n">
        <v>0.6</v>
      </c>
      <c r="P23" s="10" t="n">
        <v>0.6</v>
      </c>
      <c r="Q23" s="10" t="n">
        <v>0.53</v>
      </c>
      <c r="R23" s="9" t="s">
        <v>658</v>
      </c>
      <c r="S23" s="0" t="n">
        <v>1</v>
      </c>
      <c r="T23" s="0" t="str">
        <f aca="false">INDEX(Calc!$G$2:$G$42,MATCH($W23,Calc!$A$2:$A$42,0))&amp;" / "&amp;INDEX(Calc!$H$2:$H$42,MATCH($W23,Calc!$A$2:$A$42,0))</f>
        <v>Inferno / Cache</v>
      </c>
      <c r="U23" s="0" t="str">
        <f aca="false">TEXT(INDEX(Calc!$J$2:$J$42,MATCH($W23,Calc!$A$2:$A$42,0)),"0.0")&amp;" / "&amp;TEXT(INDEX(Calc!$K$2:$K$42,MATCH($W23,Calc!$A$2:$A$42,0)),"0.0")</f>
        <v>21.5 / 21.5</v>
      </c>
      <c r="V23" s="0" t="str">
        <f aca="false">IFERROR(INDEX(Calc!$AQ$2:$AQ$42,MATCH($W23,Calc!$A$2:$A$42,0)),"")</f>
        <v/>
      </c>
      <c r="W23" s="9" t="s">
        <v>672</v>
      </c>
      <c r="X23" s="9" t="s">
        <v>642</v>
      </c>
      <c r="Y23" s="0" t="str">
        <f aca="false">W23&amp;"|"&amp;X23</f>
        <v>8trkhn8eds1uu4p|CS2 · BIG vs MGLZ|K12</v>
      </c>
      <c r="Z23" s="11" t="n">
        <f aca="false">IFERROR(INDEX(CHOOSE(MATCH($X23,{"K1","K2","K3","K12","K13","H1","H2","H3","H12","H13"},0),Calc!$BA$2:$BA$42,Calc!$BB$2:$BB$42,Calc!$BC$2:$BC$42,Calc!$BD$2:$BD$42,Calc!$BE$2:$BE$42,Calc!$BF$2:$BF$42,Calc!$BG$2:$BG$42,Calc!$BH$2:$BH$42,Calc!$BI$2:$BI$42,Calc!$BJ$2:$BJ$42),MATCH($W23,Calc!$A$2:$A$42,0)),"")</f>
        <v>30.3499568618693</v>
      </c>
      <c r="AA23" s="11" t="n">
        <f aca="false">IF(Z23="","",IF(LEFT($X23,1)="H",SQRT(Z23*(IFERROR(INDEX(Calc!$AP$2:$AP$42,MATCH($W23,Calc!$A$2:$A$42,0)),0.5)*Config!$B$5+1-IFERROR(INDEX(Calc!$AP$2:$AP$42,MATCH($W23,Calc!$A$2:$A$42,0)),0.5))),SQRT(Z23*Config!$B$5)))</f>
        <v>6.51843076258519</v>
      </c>
      <c r="AB23" s="10" t="n">
        <f aca="false">IF(OR(F23="",Z23="",N(AA23)&lt;=0),"",1-NORMDIST(FLOOR(F23,1)+0.5,Z23,AA23,TRUE()))</f>
        <v>0.370760202659982</v>
      </c>
      <c r="AC23" s="10" t="n">
        <f aca="false">IF(AB23="","",NORMDIST(CEILING(F23,1)-0.5,Z23,AA23,TRUE()))</f>
        <v>0.629239797340018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0.97690373740627</v>
      </c>
    </row>
    <row r="24" customFormat="false" ht="15" hidden="false" customHeight="false" outlineLevel="0" collapsed="false">
      <c r="A24" s="0" t="s">
        <v>568</v>
      </c>
      <c r="B24" s="0" t="s">
        <v>485</v>
      </c>
      <c r="C24" s="0" t="s">
        <v>673</v>
      </c>
      <c r="D24" s="0" t="s">
        <v>574</v>
      </c>
      <c r="E24" s="0" t="s">
        <v>641</v>
      </c>
      <c r="F24" s="0" t="n">
        <v>27.5</v>
      </c>
      <c r="G24" s="11" t="n">
        <f aca="false">IFERROR(INDEX(CHOOSE(MATCH($X24,{"K1","K2","K3","K12","K13","H1","H2","H3","H12","H13"},0),Calc!$V$2:$V$42,Calc!$AC$2:$AC$42,Calc!$AJ$2:$AJ$42,Calc!$AL$2:$AL$42,Calc!$AM$2:$AM$42,Calc!$W$2:$W$42,Calc!$AD$2:$AD$42,Calc!$AK$2:$AK$42,Calc!$AN$2:$AN$42,Calc!$AO$2:$AO$42),MATCH($W24,Calc!$A$2:$A$42,0)),"")</f>
        <v>28.4875</v>
      </c>
      <c r="H24" s="11" t="n">
        <f aca="false">IF(G24="","",IF(LEFT($X24,1)="H",SQRT(G24*(IFERROR(INDEX(Calc!$AP$2:$AP$42,MATCH($W24,Calc!$A$2:$A$42,0)),0.5)*Config!$B$5+1-IFERROR(INDEX(Calc!$AP$2:$AP$42,MATCH($W24,Calc!$A$2:$A$42,0)),0.5))),SQRT(G24*Config!$B$5)))</f>
        <v>6.31525929792277</v>
      </c>
      <c r="I24" s="10" t="n">
        <f aca="false">IF(OR(F24="",G24="",N(H24)&lt;=0),"",1-NORMDIST(FLOOR(F24,1)+0.5,G24,H24,TRUE()))</f>
        <v>0.562128241725451</v>
      </c>
      <c r="J24" s="10" t="n">
        <f aca="false">IF(I24="","",NORMDIST(CEILING(F24,1)-0.5,G24,H24,TRUE()))</f>
        <v>0.437871758274549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30.9</v>
      </c>
      <c r="O24" s="10" t="n">
        <v>0.8</v>
      </c>
      <c r="P24" s="10" t="n">
        <v>0.7</v>
      </c>
      <c r="Q24" s="10" t="n">
        <v>0.6</v>
      </c>
      <c r="R24" s="9" t="s">
        <v>674</v>
      </c>
      <c r="S24" s="0" t="n">
        <v>4</v>
      </c>
      <c r="T24" s="0" t="str">
        <f aca="false">INDEX(Calc!$G$2:$G$42,MATCH($W24,Calc!$A$2:$A$42,0))&amp;" / "&amp;INDEX(Calc!$H$2:$H$42,MATCH($W24,Calc!$A$2:$A$42,0))</f>
        <v>Inferno / Cache</v>
      </c>
      <c r="U24" s="0" t="str">
        <f aca="false">TEXT(INDEX(Calc!$J$2:$J$42,MATCH($W24,Calc!$A$2:$A$42,0)),"0.0")&amp;" / "&amp;TEXT(INDEX(Calc!$K$2:$K$42,MATCH($W24,Calc!$A$2:$A$42,0)),"0.0")</f>
        <v>21.5 / 21.5</v>
      </c>
      <c r="V24" s="0" t="str">
        <f aca="false">IFERROR(INDEX(Calc!$AQ$2:$AQ$42,MATCH($W24,Calc!$A$2:$A$42,0)),"")</f>
        <v/>
      </c>
      <c r="W24" s="9" t="s">
        <v>675</v>
      </c>
      <c r="X24" s="9" t="s">
        <v>642</v>
      </c>
      <c r="Y24" s="0" t="str">
        <f aca="false">W24&amp;"|"&amp;X24</f>
        <v>8aq8zm8lnarakek|CS2 · BIG vs MGLZ|K12</v>
      </c>
      <c r="Z24" s="11" t="n">
        <f aca="false">IFERROR(INDEX(CHOOSE(MATCH($X24,{"K1","K2","K3","K12","K13","H1","H2","H3","H12","H13"},0),Calc!$BA$2:$BA$42,Calc!$BB$2:$BB$42,Calc!$BC$2:$BC$42,Calc!$BD$2:$BD$42,Calc!$BE$2:$BE$42,Calc!$BF$2:$BF$42,Calc!$BG$2:$BG$42,Calc!$BH$2:$BH$42,Calc!$BI$2:$BI$42,Calc!$BJ$2:$BJ$42),MATCH($W24,Calc!$A$2:$A$42,0)),"")</f>
        <v>27.8016828482242</v>
      </c>
      <c r="AA24" s="11" t="n">
        <f aca="false">IF(Z24="","",IF(LEFT($X24,1)="H",SQRT(Z24*(IFERROR(INDEX(Calc!$AP$2:$AP$42,MATCH($W24,Calc!$A$2:$A$42,0)),0.5)*Config!$B$5+1-IFERROR(INDEX(Calc!$AP$2:$AP$42,MATCH($W24,Calc!$A$2:$A$42,0)),0.5))),SQRT(Z24*Config!$B$5)))</f>
        <v>6.23877840506568</v>
      </c>
      <c r="AB24" s="10" t="n">
        <f aca="false">IF(OR(F24="",Z24="",N(AA24)&lt;=0),"",1-NORMDIST(FLOOR(F24,1)+0.5,Z24,AA24,TRUE()))</f>
        <v>0.519283768052593</v>
      </c>
      <c r="AC24" s="10" t="n">
        <f aca="false">IF(AB24="","",NORMDIST(CEILING(F24,1)-0.5,Z24,AA24,TRUE()))</f>
        <v>0.480716231947407</v>
      </c>
      <c r="AD24" s="0" t="str">
        <f aca="false">IF(AB24="","",IF(AB24&gt;=0.5+Config!$B$6,"OVER",IF(AC24&gt;=0.5+Config!$B$6,"UNDER","—")))</f>
        <v>—</v>
      </c>
      <c r="AE24" s="13" t="n">
        <f aca="false">IFERROR(Z24/G24,"")</f>
        <v>0.975925681376893</v>
      </c>
    </row>
    <row r="25" customFormat="false" ht="15" hidden="false" customHeight="false" outlineLevel="0" collapsed="false">
      <c r="A25" s="0" t="s">
        <v>568</v>
      </c>
      <c r="B25" s="0" t="s">
        <v>485</v>
      </c>
      <c r="C25" s="0" t="s">
        <v>676</v>
      </c>
      <c r="D25" s="0" t="s">
        <v>574</v>
      </c>
      <c r="E25" s="0" t="s">
        <v>641</v>
      </c>
      <c r="F25" s="0" t="n">
        <v>30.5</v>
      </c>
      <c r="G25" s="11" t="n">
        <f aca="false">IFERROR(INDEX(CHOOSE(MATCH($X25,{"K1","K2","K3","K12","K13","H1","H2","H3","H12","H13"},0),Calc!$V$2:$V$42,Calc!$AC$2:$AC$42,Calc!$AJ$2:$AJ$42,Calc!$AL$2:$AL$42,Calc!$AM$2:$AM$42,Calc!$W$2:$W$42,Calc!$AD$2:$AD$42,Calc!$AK$2:$AK$42,Calc!$AN$2:$AN$42,Calc!$AO$2:$AO$42),MATCH($W25,Calc!$A$2:$A$42,0)),"")</f>
        <v>27.1616666666667</v>
      </c>
      <c r="H25" s="11" t="n">
        <f aca="false">IF(G25="","",IF(LEFT($X25,1)="H",SQRT(G25*(IFERROR(INDEX(Calc!$AP$2:$AP$42,MATCH($W25,Calc!$A$2:$A$42,0)),0.5)*Config!$B$5+1-IFERROR(INDEX(Calc!$AP$2:$AP$42,MATCH($W25,Calc!$A$2:$A$42,0)),0.5))),SQRT(G25*Config!$B$5)))</f>
        <v>6.16654954843739</v>
      </c>
      <c r="I25" s="10" t="n">
        <f aca="false">IF(OR(F25="",G25="",N(H25)&lt;=0),"",1-NORMDIST(FLOOR(F25,1)+0.5,G25,H25,TRUE()))</f>
        <v>0.29412917337207</v>
      </c>
      <c r="J25" s="10" t="n">
        <f aca="false">IF(I25="","",NORMDIST(CEILING(F25,1)-0.5,G25,H25,TRUE()))</f>
        <v>0.70587082662793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UNDER</v>
      </c>
      <c r="N25" s="0" t="n">
        <v>27.5</v>
      </c>
      <c r="O25" s="10" t="n">
        <v>0.4</v>
      </c>
      <c r="P25" s="10" t="n">
        <v>0.3</v>
      </c>
      <c r="Q25" s="10" t="n">
        <v>0.4</v>
      </c>
      <c r="R25" s="9" t="s">
        <v>652</v>
      </c>
      <c r="S25" s="0" t="n">
        <v>-1</v>
      </c>
      <c r="T25" s="0" t="str">
        <f aca="false">INDEX(Calc!$G$2:$G$42,MATCH($W25,Calc!$A$2:$A$42,0))&amp;" / "&amp;INDEX(Calc!$H$2:$H$42,MATCH($W25,Calc!$A$2:$A$42,0))</f>
        <v>Inferno / Cache</v>
      </c>
      <c r="U25" s="0" t="str">
        <f aca="false">TEXT(INDEX(Calc!$J$2:$J$42,MATCH($W25,Calc!$A$2:$A$42,0)),"0.0")&amp;" / "&amp;TEXT(INDEX(Calc!$K$2:$K$42,MATCH($W25,Calc!$A$2:$A$42,0)),"0.0")</f>
        <v>21.5 / 21.5</v>
      </c>
      <c r="V25" s="0" t="str">
        <f aca="false">IFERROR(INDEX(Calc!$AQ$2:$AQ$42,MATCH($W25,Calc!$A$2:$A$42,0)),"")</f>
        <v/>
      </c>
      <c r="W25" s="9" t="s">
        <v>677</v>
      </c>
      <c r="X25" s="9" t="s">
        <v>642</v>
      </c>
      <c r="Y25" s="0" t="str">
        <f aca="false">W25&amp;"|"&amp;X25</f>
        <v>3m04868n6ftaamy|CS2 · BIG vs MGLZ|K12</v>
      </c>
      <c r="Z25" s="11" t="n">
        <f aca="false">IFERROR(INDEX(CHOOSE(MATCH($X25,{"K1","K2","K3","K12","K13","H1","H2","H3","H12","H13"},0),Calc!$BA$2:$BA$42,Calc!$BB$2:$BB$42,Calc!$BC$2:$BC$42,Calc!$BD$2:$BD$42,Calc!$BE$2:$BE$42,Calc!$BF$2:$BF$42,Calc!$BG$2:$BG$42,Calc!$BH$2:$BH$42,Calc!$BI$2:$BI$42,Calc!$BJ$2:$BJ$42),MATCH($W25,Calc!$A$2:$A$42,0)),"")</f>
        <v>26.5288847553631</v>
      </c>
      <c r="AA25" s="11" t="n">
        <f aca="false">IF(Z25="","",IF(LEFT($X25,1)="H",SQRT(Z25*(IFERROR(INDEX(Calc!$AP$2:$AP$42,MATCH($W25,Calc!$A$2:$A$42,0)),0.5)*Config!$B$5+1-IFERROR(INDEX(Calc!$AP$2:$AP$42,MATCH($W25,Calc!$A$2:$A$42,0)),0.5))),SQRT(Z25*Config!$B$5)))</f>
        <v>6.09429558337207</v>
      </c>
      <c r="AB25" s="10" t="n">
        <f aca="false">IF(OR(F25="",Z25="",N(AA25)&lt;=0),"",1-NORMDIST(FLOOR(F25,1)+0.5,Z25,AA25,TRUE()))</f>
        <v>0.257325799316738</v>
      </c>
      <c r="AC25" s="10" t="n">
        <f aca="false">IF(AB25="","",NORMDIST(CEILING(F25,1)-0.5,Z25,AA25,TRUE()))</f>
        <v>0.742674200683263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0.976703126539723</v>
      </c>
    </row>
    <row r="26" customFormat="false" ht="15" hidden="false" customHeight="false" outlineLevel="0" collapsed="false">
      <c r="A26" s="0" t="s">
        <v>568</v>
      </c>
      <c r="B26" s="0" t="s">
        <v>485</v>
      </c>
      <c r="C26" s="0" t="s">
        <v>678</v>
      </c>
      <c r="D26" s="0" t="s">
        <v>574</v>
      </c>
      <c r="E26" s="0" t="s">
        <v>637</v>
      </c>
      <c r="F26" s="0" t="n">
        <v>15.5</v>
      </c>
      <c r="G26" s="11" t="n">
        <f aca="false">IFERROR(INDEX(CHOOSE(MATCH($X26,{"K1","K2","K3","K12","K13","H1","H2","H3","H12","H13"},0),Calc!$V$2:$V$42,Calc!$AC$2:$AC$42,Calc!$AJ$2:$AJ$42,Calc!$AL$2:$AL$42,Calc!$AM$2:$AM$42,Calc!$W$2:$W$42,Calc!$AD$2:$AD$42,Calc!$AK$2:$AK$42,Calc!$AN$2:$AN$42,Calc!$AO$2:$AO$42),MATCH($W26,Calc!$A$2:$A$42,0)),"")</f>
        <v>14.7601189506173</v>
      </c>
      <c r="H26" s="11" t="n">
        <f aca="false">IF(G26="","",IF(LEFT($X26,1)="H",SQRT(G26*(IFERROR(INDEX(Calc!$AP$2:$AP$42,MATCH($W26,Calc!$A$2:$A$42,0)),0.5)*Config!$B$5+1-IFERROR(INDEX(Calc!$AP$2:$AP$42,MATCH($W26,Calc!$A$2:$A$42,0)),0.5))),SQRT(G26*Config!$B$5)))</f>
        <v>4.24109978975753</v>
      </c>
      <c r="I26" s="10" t="n">
        <f aca="false">IF(OR(F26="",G26="",N(H26)&lt;=0),"",1-NORMDIST(FLOOR(F26,1)+0.5,G26,H26,TRUE()))</f>
        <v>0.430753947935772</v>
      </c>
      <c r="J26" s="10" t="n">
        <f aca="false">IF(I26="","",NORMDIST(CEILING(F26,1)-0.5,G26,H26,TRUE()))</f>
        <v>0.569246052064228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UNDER</v>
      </c>
      <c r="N26" s="0" t="n">
        <v>13.9</v>
      </c>
      <c r="O26" s="10" t="n">
        <v>0.4</v>
      </c>
      <c r="P26" s="10" t="n">
        <v>0.4</v>
      </c>
      <c r="Q26" s="10" t="n">
        <v>0.53</v>
      </c>
      <c r="R26" s="9" t="s">
        <v>666</v>
      </c>
      <c r="S26" s="0" t="n">
        <v>-1</v>
      </c>
      <c r="T26" s="0" t="str">
        <f aca="false">INDEX(Calc!$G$2:$G$42,MATCH($W26,Calc!$A$2:$A$42,0))&amp;" / "&amp;INDEX(Calc!$H$2:$H$42,MATCH($W26,Calc!$A$2:$A$42,0))</f>
        <v>Inferno / Cache</v>
      </c>
      <c r="U26" s="0" t="str">
        <f aca="false">TEXT(INDEX(Calc!$J$2:$J$42,MATCH($W26,Calc!$A$2:$A$42,0)),"0.0")&amp;" / "&amp;TEXT(INDEX(Calc!$K$2:$K$42,MATCH($W26,Calc!$A$2:$A$42,0)),"0.0")</f>
        <v>21.5 / 21.5</v>
      </c>
      <c r="V26" s="0" t="str">
        <f aca="false">IFERROR(INDEX(Calc!$AQ$2:$AQ$42,MATCH($W26,Calc!$A$2:$A$42,0)),"")</f>
        <v/>
      </c>
      <c r="W26" s="9" t="s">
        <v>679</v>
      </c>
      <c r="X26" s="9" t="s">
        <v>640</v>
      </c>
      <c r="Y26" s="0" t="str">
        <f aca="false">W26&amp;"|"&amp;X26</f>
        <v>cbsjkz3yqg99r06|CS2 · BIG vs MGLZ|H12</v>
      </c>
      <c r="Z26" s="11" t="n">
        <f aca="false">IFERROR(INDEX(CHOOSE(MATCH($X26,{"K1","K2","K3","K12","K13","H1","H2","H3","H12","H13"},0),Calc!$BA$2:$BA$42,Calc!$BB$2:$BB$42,Calc!$BC$2:$BC$42,Calc!$BD$2:$BD$42,Calc!$BE$2:$BE$42,Calc!$BF$2:$BF$42,Calc!$BG$2:$BG$42,Calc!$BH$2:$BH$42,Calc!$BI$2:$BI$42,Calc!$BJ$2:$BJ$42),MATCH($W26,Calc!$A$2:$A$42,0)),"")</f>
        <v>14.4139432835719</v>
      </c>
      <c r="AA26" s="11" t="n">
        <f aca="false">IF(Z26="","",IF(LEFT($X26,1)="H",SQRT(Z26*(IFERROR(INDEX(Calc!$AP$2:$AP$42,MATCH($W26,Calc!$A$2:$A$42,0)),0.5)*Config!$B$5+1-IFERROR(INDEX(Calc!$AP$2:$AP$42,MATCH($W26,Calc!$A$2:$A$42,0)),0.5))),SQRT(Z26*Config!$B$5)))</f>
        <v>4.1910705050342</v>
      </c>
      <c r="AB26" s="10" t="n">
        <f aca="false">IF(OR(F26="",Z26="",N(AA26)&lt;=0),"",1-NORMDIST(FLOOR(F26,1)+0.5,Z26,AA26,TRUE()))</f>
        <v>0.397765203399931</v>
      </c>
      <c r="AC26" s="10" t="n">
        <f aca="false">IF(AB26="","",NORMDIST(CEILING(F26,1)-0.5,Z26,AA26,TRUE()))</f>
        <v>0.602234796600069</v>
      </c>
      <c r="AD26" s="0" t="str">
        <f aca="false">IF(AB26="","",IF(AB26&gt;=0.5+Config!$B$6,"OVER",IF(AC26&gt;=0.5+Config!$B$6,"UNDER","—")))</f>
        <v>UNDER</v>
      </c>
      <c r="AE26" s="13" t="n">
        <f aca="false">IFERROR(Z26/G26,"")</f>
        <v>0.976546553032291</v>
      </c>
    </row>
    <row r="27" customFormat="false" ht="15" hidden="false" customHeight="false" outlineLevel="0" collapsed="false">
      <c r="A27" s="0" t="s">
        <v>568</v>
      </c>
      <c r="B27" s="0" t="s">
        <v>485</v>
      </c>
      <c r="C27" s="0" t="s">
        <v>678</v>
      </c>
      <c r="D27" s="0" t="s">
        <v>574</v>
      </c>
      <c r="E27" s="0" t="s">
        <v>641</v>
      </c>
      <c r="F27" s="0" t="n">
        <v>28.5</v>
      </c>
      <c r="G27" s="11" t="n">
        <f aca="false">IFERROR(INDEX(CHOOSE(MATCH($X27,{"K1","K2","K3","K12","K13","H1","H2","H3","H12","H13"},0),Calc!$V$2:$V$42,Calc!$AC$2:$AC$42,Calc!$AJ$2:$AJ$42,Calc!$AL$2:$AL$42,Calc!$AM$2:$AM$42,Calc!$W$2:$W$42,Calc!$AD$2:$AD$42,Calc!$AK$2:$AK$42,Calc!$AN$2:$AN$42,Calc!$AO$2:$AO$42),MATCH($W27,Calc!$A$2:$A$42,0)),"")</f>
        <v>27.0063888888889</v>
      </c>
      <c r="H27" s="11" t="n">
        <f aca="false">IF(G27="","",IF(LEFT($X27,1)="H",SQRT(G27*(IFERROR(INDEX(Calc!$AP$2:$AP$42,MATCH($W27,Calc!$A$2:$A$42,0)),0.5)*Config!$B$5+1-IFERROR(INDEX(Calc!$AP$2:$AP$42,MATCH($W27,Calc!$A$2:$A$42,0)),0.5))),SQRT(G27*Config!$B$5)))</f>
        <v>6.1488978235489</v>
      </c>
      <c r="I27" s="10" t="n">
        <f aca="false">IF(OR(F27="",G27="",N(H27)&lt;=0),"",1-NORMDIST(FLOOR(F27,1)+0.5,G27,H27,TRUE()))</f>
        <v>0.404038671763239</v>
      </c>
      <c r="J27" s="10" t="n">
        <f aca="false">IF(I27="","",NORMDIST(CEILING(F27,1)-0.5,G27,H27,TRUE()))</f>
        <v>0.595961328236761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UNDER</v>
      </c>
      <c r="N27" s="0" t="n">
        <v>25.6</v>
      </c>
      <c r="O27" s="10" t="n">
        <v>0.4</v>
      </c>
      <c r="P27" s="10" t="n">
        <v>0.4</v>
      </c>
      <c r="Q27" s="10" t="n">
        <v>0.47</v>
      </c>
      <c r="R27" s="9" t="s">
        <v>666</v>
      </c>
      <c r="S27" s="0" t="n">
        <v>-1</v>
      </c>
      <c r="T27" s="0" t="str">
        <f aca="false">INDEX(Calc!$G$2:$G$42,MATCH($W27,Calc!$A$2:$A$42,0))&amp;" / "&amp;INDEX(Calc!$H$2:$H$42,MATCH($W27,Calc!$A$2:$A$42,0))</f>
        <v>Inferno / Cache</v>
      </c>
      <c r="U27" s="0" t="str">
        <f aca="false">TEXT(INDEX(Calc!$J$2:$J$42,MATCH($W27,Calc!$A$2:$A$42,0)),"0.0")&amp;" / "&amp;TEXT(INDEX(Calc!$K$2:$K$42,MATCH($W27,Calc!$A$2:$A$42,0)),"0.0")</f>
        <v>21.5 / 21.5</v>
      </c>
      <c r="V27" s="0" t="str">
        <f aca="false">IFERROR(INDEX(Calc!$AQ$2:$AQ$42,MATCH($W27,Calc!$A$2:$A$42,0)),"")</f>
        <v/>
      </c>
      <c r="W27" s="9" t="s">
        <v>679</v>
      </c>
      <c r="X27" s="9" t="s">
        <v>642</v>
      </c>
      <c r="Y27" s="0" t="str">
        <f aca="false">W27&amp;"|"&amp;X27</f>
        <v>cbsjkz3yqg99r06|CS2 · BIG vs MGLZ|K12</v>
      </c>
      <c r="Z27" s="11" t="n">
        <f aca="false">IFERROR(INDEX(CHOOSE(MATCH($X27,{"K1","K2","K3","K12","K13","H1","H2","H3","H12","H13"},0),Calc!$BA$2:$BA$42,Calc!$BB$2:$BB$42,Calc!$BC$2:$BC$42,Calc!$BD$2:$BD$42,Calc!$BE$2:$BE$42,Calc!$BF$2:$BF$42,Calc!$BG$2:$BG$42,Calc!$BH$2:$BH$42,Calc!$BI$2:$BI$42,Calc!$BJ$2:$BJ$42),MATCH($W27,Calc!$A$2:$A$42,0)),"")</f>
        <v>26.3783208736856</v>
      </c>
      <c r="AA27" s="11" t="n">
        <f aca="false">IF(Z27="","",IF(LEFT($X27,1)="H",SQRT(Z27*(IFERROR(INDEX(Calc!$AP$2:$AP$42,MATCH($W27,Calc!$A$2:$A$42,0)),0.5)*Config!$B$5+1-IFERROR(INDEX(Calc!$AP$2:$AP$42,MATCH($W27,Calc!$A$2:$A$42,0)),0.5))),SQRT(Z27*Config!$B$5)))</f>
        <v>6.07697698063436</v>
      </c>
      <c r="AB27" s="10" t="n">
        <f aca="false">IF(OR(F27="",Z27="",N(AA27)&lt;=0),"",1-NORMDIST(FLOOR(F27,1)+0.5,Z27,AA27,TRUE()))</f>
        <v>0.363494365740649</v>
      </c>
      <c r="AC27" s="10" t="n">
        <f aca="false">IF(AB27="","",NORMDIST(CEILING(F27,1)-0.5,Z27,AA27,TRUE()))</f>
        <v>0.636505634259351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0.976743724687247</v>
      </c>
    </row>
    <row r="28" customFormat="false" ht="15" hidden="false" customHeight="false" outlineLevel="0" collapsed="false">
      <c r="A28" s="0" t="s">
        <v>568</v>
      </c>
      <c r="B28" s="0" t="s">
        <v>485</v>
      </c>
      <c r="C28" s="0" t="s">
        <v>680</v>
      </c>
      <c r="D28" s="0" t="s">
        <v>574</v>
      </c>
      <c r="E28" s="0" t="s">
        <v>637</v>
      </c>
      <c r="F28" s="0" t="n">
        <v>12</v>
      </c>
      <c r="G28" s="11" t="n">
        <f aca="false">IFERROR(INDEX(CHOOSE(MATCH($X28,{"K1","K2","K3","K12","K13","H1","H2","H3","H12","H13"},0),Calc!$V$2:$V$42,Calc!$AC$2:$AC$42,Calc!$AJ$2:$AJ$42,Calc!$AL$2:$AL$42,Calc!$AM$2:$AM$42,Calc!$W$2:$W$42,Calc!$AD$2:$AD$42,Calc!$AK$2:$AK$42,Calc!$AN$2:$AN$42,Calc!$AO$2:$AO$42),MATCH($W28,Calc!$A$2:$A$42,0)),"")</f>
        <v>12.6349441512346</v>
      </c>
      <c r="H28" s="11" t="n">
        <f aca="false">IF(G28="","",IF(LEFT($X28,1)="H",SQRT(G28*(IFERROR(INDEX(Calc!$AP$2:$AP$42,MATCH($W28,Calc!$A$2:$A$42,0)),0.5)*Config!$B$5+1-IFERROR(INDEX(Calc!$AP$2:$AP$42,MATCH($W28,Calc!$A$2:$A$42,0)),0.5))),SQRT(G28*Config!$B$5)))</f>
        <v>3.86970457511903</v>
      </c>
      <c r="I28" s="10" t="n">
        <f aca="false">IF(OR(F28="",G28="",N(H28)&lt;=0),"",1-NORMDIST(FLOOR(F28,1)+0.5,G28,H28,TRUE()))</f>
        <v>0.513909076867364</v>
      </c>
      <c r="J28" s="10" t="n">
        <f aca="false">IF(I28="","",NORMDIST(CEILING(F28,1)-0.5,G28,H28,TRUE()))</f>
        <v>0.384650396782255</v>
      </c>
      <c r="K28" s="10" t="n">
        <f aca="false">IF(I28="","",MAX(0,1-I28-J28))</f>
        <v>0.101440526350381</v>
      </c>
      <c r="L28" s="0" t="str">
        <f aca="false">IF(I28="","",IF(I28&gt;=0.5+Config!$B$6,"OVER",IF(J28&gt;=0.5+Config!$B$6,"UNDER","—")))</f>
        <v>—</v>
      </c>
      <c r="N28" s="0" t="n">
        <v>11.3</v>
      </c>
      <c r="O28" s="10" t="n">
        <v>0</v>
      </c>
      <c r="P28" s="10" t="n">
        <v>0.5</v>
      </c>
      <c r="Q28" s="10" t="n">
        <v>0.67</v>
      </c>
      <c r="R28" s="9" t="s">
        <v>660</v>
      </c>
      <c r="S28" s="0" t="n">
        <v>-5</v>
      </c>
      <c r="T28" s="0" t="str">
        <f aca="false">INDEX(Calc!$G$2:$G$42,MATCH($W28,Calc!$A$2:$A$42,0))&amp;" / "&amp;INDEX(Calc!$H$2:$H$42,MATCH($W28,Calc!$A$2:$A$42,0))</f>
        <v>Inferno / Cache</v>
      </c>
      <c r="U28" s="0" t="str">
        <f aca="false">TEXT(INDEX(Calc!$J$2:$J$42,MATCH($W28,Calc!$A$2:$A$42,0)),"0.0")&amp;" / "&amp;TEXT(INDEX(Calc!$K$2:$K$42,MATCH($W28,Calc!$A$2:$A$42,0)),"0.0")</f>
        <v>21.5 / 21.5</v>
      </c>
      <c r="V28" s="0" t="str">
        <f aca="false">IFERROR(INDEX(Calc!$AQ$2:$AQ$42,MATCH($W28,Calc!$A$2:$A$42,0)),"")</f>
        <v/>
      </c>
      <c r="W28" s="9" t="s">
        <v>681</v>
      </c>
      <c r="X28" s="9" t="s">
        <v>640</v>
      </c>
      <c r="Y28" s="0" t="str">
        <f aca="false">W28&amp;"|"&amp;X28</f>
        <v>ji96h9ot97jiwq9|CS2 · BIG vs MGLZ|H12</v>
      </c>
      <c r="Z28" s="11" t="n">
        <f aca="false">IFERROR(INDEX(CHOOSE(MATCH($X28,{"K1","K2","K3","K12","K13","H1","H2","H3","H12","H13"},0),Calc!$BA$2:$BA$42,Calc!$BB$2:$BB$42,Calc!$BC$2:$BC$42,Calc!$BD$2:$BD$42,Calc!$BE$2:$BE$42,Calc!$BF$2:$BF$42,Calc!$BG$2:$BG$42,Calc!$BH$2:$BH$42,Calc!$BI$2:$BI$42,Calc!$BJ$2:$BJ$42),MATCH($W28,Calc!$A$2:$A$42,0)),"")</f>
        <v>12.3291726448514</v>
      </c>
      <c r="AA28" s="11" t="n">
        <f aca="false">IF(Z28="","",IF(LEFT($X28,1)="H",SQRT(Z28*(IFERROR(INDEX(Calc!$AP$2:$AP$42,MATCH($W28,Calc!$A$2:$A$42,0)),0.5)*Config!$B$5+1-IFERROR(INDEX(Calc!$AP$2:$AP$42,MATCH($W28,Calc!$A$2:$A$42,0)),0.5))),SQRT(Z28*Config!$B$5)))</f>
        <v>3.82259347948058</v>
      </c>
      <c r="AB28" s="10" t="n">
        <f aca="false">IF(OR(F28="",Z28="",N(AA28)&lt;=0),"",1-NORMDIST(FLOOR(F28,1)+0.5,Z28,AA28,TRUE()))</f>
        <v>0.482177655555568</v>
      </c>
      <c r="AC28" s="10" t="n">
        <f aca="false">IF(AB28="","",NORMDIST(CEILING(F28,1)-0.5,Z28,AA28,TRUE()))</f>
        <v>0.414137825887547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0.975799536371257</v>
      </c>
    </row>
    <row r="29" customFormat="false" ht="15" hidden="false" customHeight="false" outlineLevel="0" collapsed="false">
      <c r="A29" s="0" t="s">
        <v>568</v>
      </c>
      <c r="B29" s="0" t="s">
        <v>485</v>
      </c>
      <c r="C29" s="0" t="s">
        <v>680</v>
      </c>
      <c r="D29" s="0" t="s">
        <v>574</v>
      </c>
      <c r="E29" s="0" t="s">
        <v>641</v>
      </c>
      <c r="F29" s="0" t="n">
        <v>25</v>
      </c>
      <c r="G29" s="11" t="n">
        <f aca="false">IFERROR(INDEX(CHOOSE(MATCH($X29,{"K1","K2","K3","K12","K13","H1","H2","H3","H12","H13"},0),Calc!$V$2:$V$42,Calc!$AC$2:$AC$42,Calc!$AJ$2:$AJ$42,Calc!$AL$2:$AL$42,Calc!$AM$2:$AM$42,Calc!$W$2:$W$42,Calc!$AD$2:$AD$42,Calc!$AK$2:$AK$42,Calc!$AN$2:$AN$42,Calc!$AO$2:$AO$42),MATCH($W29,Calc!$A$2:$A$42,0)),"")</f>
        <v>27.2930555555556</v>
      </c>
      <c r="H29" s="11" t="n">
        <f aca="false">IF(G29="","",IF(LEFT($X29,1)="H",SQRT(G29*(IFERROR(INDEX(Calc!$AP$2:$AP$42,MATCH($W29,Calc!$A$2:$A$42,0)),0.5)*Config!$B$5+1-IFERROR(INDEX(Calc!$AP$2:$AP$42,MATCH($W29,Calc!$A$2:$A$42,0)),0.5))),SQRT(G29*Config!$B$5)))</f>
        <v>6.18144625292316</v>
      </c>
      <c r="I29" s="10" t="n">
        <f aca="false">IF(OR(F29="",G29="",N(H29)&lt;=0),"",1-NORMDIST(FLOOR(F29,1)+0.5,G29,H29,TRUE()))</f>
        <v>0.614118869873635</v>
      </c>
      <c r="J29" s="10" t="n">
        <f aca="false">IF(I29="","",NORMDIST(CEILING(F29,1)-0.5,G29,H29,TRUE()))</f>
        <v>0.325690326022472</v>
      </c>
      <c r="K29" s="10" t="n">
        <f aca="false">IF(I29="","",MAX(0,1-I29-J29))</f>
        <v>0.0601908041038926</v>
      </c>
      <c r="L29" s="0" t="str">
        <f aca="false">IF(I29="","",IF(I29&gt;=0.5+Config!$B$6,"OVER",IF(J29&gt;=0.5+Config!$B$6,"UNDER","—")))</f>
        <v>OVER</v>
      </c>
      <c r="N29" s="0" t="n">
        <v>25.7</v>
      </c>
      <c r="O29" s="10" t="n">
        <v>0.2</v>
      </c>
      <c r="P29" s="10" t="n">
        <v>0.5</v>
      </c>
      <c r="Q29" s="10" t="n">
        <v>0.67</v>
      </c>
      <c r="R29" s="9" t="s">
        <v>660</v>
      </c>
      <c r="S29" s="0" t="n">
        <v>-3</v>
      </c>
      <c r="T29" s="0" t="str">
        <f aca="false">INDEX(Calc!$G$2:$G$42,MATCH($W29,Calc!$A$2:$A$42,0))&amp;" / "&amp;INDEX(Calc!$H$2:$H$42,MATCH($W29,Calc!$A$2:$A$42,0))</f>
        <v>Inferno / Cache</v>
      </c>
      <c r="U29" s="0" t="str">
        <f aca="false">TEXT(INDEX(Calc!$J$2:$J$42,MATCH($W29,Calc!$A$2:$A$42,0)),"0.0")&amp;" / "&amp;TEXT(INDEX(Calc!$K$2:$K$42,MATCH($W29,Calc!$A$2:$A$42,0)),"0.0")</f>
        <v>21.5 / 21.5</v>
      </c>
      <c r="V29" s="0" t="str">
        <f aca="false">IFERROR(INDEX(Calc!$AQ$2:$AQ$42,MATCH($W29,Calc!$A$2:$A$42,0)),"")</f>
        <v/>
      </c>
      <c r="W29" s="9" t="s">
        <v>681</v>
      </c>
      <c r="X29" s="9" t="s">
        <v>642</v>
      </c>
      <c r="Y29" s="0" t="str">
        <f aca="false">W29&amp;"|"&amp;X29</f>
        <v>ji96h9ot97jiwq9|CS2 · BIG vs MGLZ|K12</v>
      </c>
      <c r="Z29" s="11" t="n">
        <f aca="false">IFERROR(INDEX(CHOOSE(MATCH($X29,{"K1","K2","K3","K12","K13","H1","H2","H3","H12","H13"},0),Calc!$BA$2:$BA$42,Calc!$BB$2:$BB$42,Calc!$BC$2:$BC$42,Calc!$BD$2:$BD$42,Calc!$BE$2:$BE$42,Calc!$BF$2:$BF$42,Calc!$BG$2:$BG$42,Calc!$BH$2:$BH$42,Calc!$BI$2:$BI$42,Calc!$BJ$2:$BJ$42),MATCH($W29,Calc!$A$2:$A$42,0)),"")</f>
        <v>26.6372482977168</v>
      </c>
      <c r="AA29" s="11" t="n">
        <f aca="false">IF(Z29="","",IF(LEFT($X29,1)="H",SQRT(Z29*(IFERROR(INDEX(Calc!$AP$2:$AP$42,MATCH($W29,Calc!$A$2:$A$42,0)),0.5)*Config!$B$5+1-IFERROR(INDEX(Calc!$AP$2:$AP$42,MATCH($W29,Calc!$A$2:$A$42,0)),0.5))),SQRT(Z29*Config!$B$5)))</f>
        <v>6.10672969901268</v>
      </c>
      <c r="AB29" s="10" t="n">
        <f aca="false">IF(OR(F29="",Z29="",N(AA29)&lt;=0),"",1-NORMDIST(FLOOR(F29,1)+0.5,Z29,AA29,TRUE()))</f>
        <v>0.573867288590688</v>
      </c>
      <c r="AC29" s="10" t="n">
        <f aca="false">IF(AB29="","",NORMDIST(CEILING(F29,1)-0.5,Z29,AA29,TRUE()))</f>
        <v>0.363175929632336</v>
      </c>
      <c r="AD29" s="0" t="str">
        <f aca="false">IF(AB29="","",IF(AB29&gt;=0.5+Config!$B$6,"OVER",IF(AC29&gt;=0.5+Config!$B$6,"UNDER","—")))</f>
        <v>OVER</v>
      </c>
      <c r="AE29" s="13" t="n">
        <f aca="false">IFERROR(Z29/G29,"")</f>
        <v>0.975971643903927</v>
      </c>
    </row>
    <row r="30" customFormat="false" ht="15" hidden="false" customHeight="false" outlineLevel="0" collapsed="false">
      <c r="A30" s="0" t="s">
        <v>568</v>
      </c>
      <c r="B30" s="0" t="s">
        <v>485</v>
      </c>
      <c r="C30" s="0" t="s">
        <v>682</v>
      </c>
      <c r="D30" s="0" t="s">
        <v>575</v>
      </c>
      <c r="E30" s="0" t="s">
        <v>637</v>
      </c>
      <c r="F30" s="0" t="n">
        <v>11.5</v>
      </c>
      <c r="G30" s="11" t="n">
        <f aca="false">IFERROR(INDEX(CHOOSE(MATCH($X30,{"K1","K2","K3","K12","K13","H1","H2","H3","H12","H13"},0),Calc!$V$2:$V$42,Calc!$AC$2:$AC$42,Calc!$AJ$2:$AJ$42,Calc!$AL$2:$AL$42,Calc!$AM$2:$AM$42,Calc!$W$2:$W$42,Calc!$AD$2:$AD$42,Calc!$AK$2:$AK$42,Calc!$AN$2:$AN$42,Calc!$AO$2:$AO$42),MATCH($W30,Calc!$A$2:$A$42,0)),"")</f>
        <v>11.8524907482993</v>
      </c>
      <c r="H30" s="11" t="n">
        <f aca="false">IF(G30="","",IF(LEFT($X30,1)="H",SQRT(G30*(IFERROR(INDEX(Calc!$AP$2:$AP$42,MATCH($W30,Calc!$A$2:$A$42,0)),0.5)*Config!$B$5+1-IFERROR(INDEX(Calc!$AP$2:$AP$42,MATCH($W30,Calc!$A$2:$A$42,0)),0.5))),SQRT(G30*Config!$B$5)))</f>
        <v>3.67379409609211</v>
      </c>
      <c r="I30" s="10" t="n">
        <f aca="false">IF(OR(F30="",G30="",N(H30)&lt;=0),"",1-NORMDIST(FLOOR(F30,1)+0.5,G30,H30,TRUE()))</f>
        <v>0.538218799469979</v>
      </c>
      <c r="J30" s="10" t="n">
        <f aca="false">IF(I30="","",NORMDIST(CEILING(F30,1)-0.5,G30,H30,TRUE()))</f>
        <v>0.461781200530022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—</v>
      </c>
      <c r="N30" s="0" t="n">
        <v>12.9</v>
      </c>
      <c r="O30" s="10" t="n">
        <v>0.4</v>
      </c>
      <c r="P30" s="10" t="n">
        <v>0.5</v>
      </c>
      <c r="Q30" s="10" t="n">
        <v>0.47</v>
      </c>
      <c r="R30" s="9" t="s">
        <v>660</v>
      </c>
      <c r="S30" s="0" t="n">
        <v>2</v>
      </c>
      <c r="T30" s="0" t="str">
        <f aca="false">INDEX(Calc!$G$2:$G$42,MATCH($W30,Calc!$A$2:$A$42,0))&amp;" / "&amp;INDEX(Calc!$H$2:$H$42,MATCH($W30,Calc!$A$2:$A$42,0))</f>
        <v>Inferno / Cache</v>
      </c>
      <c r="U30" s="0" t="str">
        <f aca="false">TEXT(INDEX(Calc!$J$2:$J$42,MATCH($W30,Calc!$A$2:$A$42,0)),"0.0")&amp;" / "&amp;TEXT(INDEX(Calc!$K$2:$K$42,MATCH($W30,Calc!$A$2:$A$42,0)),"0.0")</f>
        <v>21.5 / 21.5</v>
      </c>
      <c r="V30" s="0" t="str">
        <f aca="false">IFERROR(INDEX(Calc!$AQ$2:$AQ$42,MATCH($W30,Calc!$A$2:$A$42,0)),"")</f>
        <v/>
      </c>
      <c r="W30" s="9" t="s">
        <v>683</v>
      </c>
      <c r="X30" s="9" t="s">
        <v>640</v>
      </c>
      <c r="Y30" s="0" t="str">
        <f aca="false">W30&amp;"|"&amp;X30</f>
        <v>5ttqna5u230tb49|CS2 · BIG vs MGLZ|H12</v>
      </c>
      <c r="Z30" s="11" t="n">
        <f aca="false">IFERROR(INDEX(CHOOSE(MATCH($X30,{"K1","K2","K3","K12","K13","H1","H2","H3","H12","H13"},0),Calc!$BA$2:$BA$42,Calc!$BB$2:$BB$42,Calc!$BC$2:$BC$42,Calc!$BD$2:$BD$42,Calc!$BE$2:$BE$42,Calc!$BF$2:$BF$42,Calc!$BG$2:$BG$42,Calc!$BH$2:$BH$42,Calc!$BI$2:$BI$42,Calc!$BJ$2:$BJ$42),MATCH($W30,Calc!$A$2:$A$42,0)),"")</f>
        <v>11.8991613847598</v>
      </c>
      <c r="AA30" s="11" t="n">
        <f aca="false">IF(Z30="","",IF(LEFT($X30,1)="H",SQRT(Z30*(IFERROR(INDEX(Calc!$AP$2:$AP$42,MATCH($W30,Calc!$A$2:$A$42,0)),0.5)*Config!$B$5+1-IFERROR(INDEX(Calc!$AP$2:$AP$42,MATCH($W30,Calc!$A$2:$A$42,0)),0.5))),SQRT(Z30*Config!$B$5)))</f>
        <v>3.68101999735138</v>
      </c>
      <c r="AB30" s="10" t="n">
        <f aca="false">IF(OR(F30="",Z30="",N(AA30)&lt;=0),"",1-NORMDIST(FLOOR(F30,1)+0.5,Z30,AA30,TRUE()))</f>
        <v>0.543175756008492</v>
      </c>
      <c r="AC30" s="10" t="n">
        <f aca="false">IF(AB30="","",NORMDIST(CEILING(F30,1)-0.5,Z30,AA30,TRUE()))</f>
        <v>0.456824243991508</v>
      </c>
      <c r="AD30" s="0" t="str">
        <f aca="false">IF(AB30="","",IF(AB30&gt;=0.5+Config!$B$6,"OVER",IF(AC30&gt;=0.5+Config!$B$6,"UNDER","—")))</f>
        <v>OVER</v>
      </c>
      <c r="AE30" s="13" t="n">
        <f aca="false">IFERROR(Z30/G30,"")</f>
        <v>1.00393762268637</v>
      </c>
    </row>
    <row r="31" customFormat="false" ht="15" hidden="false" customHeight="false" outlineLevel="0" collapsed="false">
      <c r="A31" s="0" t="s">
        <v>568</v>
      </c>
      <c r="B31" s="0" t="s">
        <v>485</v>
      </c>
      <c r="C31" s="0" t="s">
        <v>682</v>
      </c>
      <c r="D31" s="0" t="s">
        <v>575</v>
      </c>
      <c r="E31" s="0" t="s">
        <v>641</v>
      </c>
      <c r="F31" s="0" t="n">
        <v>32.5</v>
      </c>
      <c r="G31" s="11" t="n">
        <f aca="false">IFERROR(INDEX(CHOOSE(MATCH($X31,{"K1","K2","K3","K12","K13","H1","H2","H3","H12","H13"},0),Calc!$V$2:$V$42,Calc!$AC$2:$AC$42,Calc!$AJ$2:$AJ$42,Calc!$AL$2:$AL$42,Calc!$AM$2:$AM$42,Calc!$W$2:$W$42,Calc!$AD$2:$AD$42,Calc!$AK$2:$AK$42,Calc!$AN$2:$AN$42,Calc!$AO$2:$AO$42),MATCH($W31,Calc!$A$2:$A$42,0)),"")</f>
        <v>34.1747619047619</v>
      </c>
      <c r="H31" s="11" t="n">
        <f aca="false">IF(G31="","",IF(LEFT($X31,1)="H",SQRT(G31*(IFERROR(INDEX(Calc!$AP$2:$AP$42,MATCH($W31,Calc!$A$2:$A$42,0)),0.5)*Config!$B$5+1-IFERROR(INDEX(Calc!$AP$2:$AP$42,MATCH($W31,Calc!$A$2:$A$42,0)),0.5))),SQRT(G31*Config!$B$5)))</f>
        <v>6.9169839284667</v>
      </c>
      <c r="I31" s="10" t="n">
        <f aca="false">IF(OR(F31="",G31="",N(H31)&lt;=0),"",1-NORMDIST(FLOOR(F31,1)+0.5,G31,H31,TRUE()))</f>
        <v>0.595657627837363</v>
      </c>
      <c r="J31" s="10" t="n">
        <f aca="false">IF(I31="","",NORMDIST(CEILING(F31,1)-0.5,G31,H31,TRUE()))</f>
        <v>0.404342372162637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OVER</v>
      </c>
      <c r="N31" s="0" t="n">
        <v>33.2</v>
      </c>
      <c r="O31" s="10" t="n">
        <v>0.8</v>
      </c>
      <c r="P31" s="10" t="n">
        <v>0.7</v>
      </c>
      <c r="Q31" s="10" t="n">
        <v>0.6</v>
      </c>
      <c r="R31" s="9" t="s">
        <v>660</v>
      </c>
      <c r="S31" s="0" t="n">
        <v>2</v>
      </c>
      <c r="T31" s="0" t="str">
        <f aca="false">INDEX(Calc!$G$2:$G$42,MATCH($W31,Calc!$A$2:$A$42,0))&amp;" / "&amp;INDEX(Calc!$H$2:$H$42,MATCH($W31,Calc!$A$2:$A$42,0))</f>
        <v>Inferno / Cache</v>
      </c>
      <c r="U31" s="0" t="str">
        <f aca="false">TEXT(INDEX(Calc!$J$2:$J$42,MATCH($W31,Calc!$A$2:$A$42,0)),"0.0")&amp;" / "&amp;TEXT(INDEX(Calc!$K$2:$K$42,MATCH($W31,Calc!$A$2:$A$42,0)),"0.0")</f>
        <v>21.5 / 21.5</v>
      </c>
      <c r="V31" s="0" t="str">
        <f aca="false">IFERROR(INDEX(Calc!$AQ$2:$AQ$42,MATCH($W31,Calc!$A$2:$A$42,0)),"")</f>
        <v/>
      </c>
      <c r="W31" s="9" t="s">
        <v>683</v>
      </c>
      <c r="X31" s="9" t="s">
        <v>642</v>
      </c>
      <c r="Y31" s="0" t="str">
        <f aca="false">W31&amp;"|"&amp;X31</f>
        <v>5ttqna5u230tb49|CS2 · BIG vs MGLZ|K12</v>
      </c>
      <c r="Z31" s="11" t="n">
        <f aca="false">IFERROR(INDEX(CHOOSE(MATCH($X31,{"K1","K2","K3","K12","K13","H1","H2","H3","H12","H13"},0),Calc!$BA$2:$BA$42,Calc!$BB$2:$BB$42,Calc!$BC$2:$BC$42,Calc!$BD$2:$BD$42,Calc!$BE$2:$BE$42,Calc!$BF$2:$BF$42,Calc!$BG$2:$BG$42,Calc!$BH$2:$BH$42,Calc!$BI$2:$BI$42,Calc!$BJ$2:$BJ$42),MATCH($W31,Calc!$A$2:$A$42,0)),"")</f>
        <v>34.3751550295163</v>
      </c>
      <c r="AA31" s="11" t="n">
        <f aca="false">IF(Z31="","",IF(LEFT($X31,1)="H",SQRT(Z31*(IFERROR(INDEX(Calc!$AP$2:$AP$42,MATCH($W31,Calc!$A$2:$A$42,0)),0.5)*Config!$B$5+1-IFERROR(INDEX(Calc!$AP$2:$AP$42,MATCH($W31,Calc!$A$2:$A$42,0)),0.5))),SQRT(Z31*Config!$B$5)))</f>
        <v>6.93723410599086</v>
      </c>
      <c r="AB31" s="10" t="n">
        <f aca="false">IF(OR(F31="",Z31="",N(AA31)&lt;=0),"",1-NORMDIST(FLOOR(F31,1)+0.5,Z31,AA31,TRUE()))</f>
        <v>0.606536412286651</v>
      </c>
      <c r="AC31" s="10" t="n">
        <f aca="false">IF(AB31="","",NORMDIST(CEILING(F31,1)-0.5,Z31,AA31,TRUE()))</f>
        <v>0.393463587713349</v>
      </c>
      <c r="AD31" s="0" t="str">
        <f aca="false">IF(AB31="","",IF(AB31&gt;=0.5+Config!$B$6,"OVER",IF(AC31&gt;=0.5+Config!$B$6,"UNDER","—")))</f>
        <v>OVER</v>
      </c>
      <c r="AE31" s="13" t="n">
        <f aca="false">IFERROR(Z31/G31,"")</f>
        <v>1.00586377530041</v>
      </c>
    </row>
    <row r="32" customFormat="false" ht="15" hidden="false" customHeight="false" outlineLevel="0" collapsed="false">
      <c r="A32" s="0" t="s">
        <v>568</v>
      </c>
      <c r="B32" s="0" t="s">
        <v>485</v>
      </c>
      <c r="C32" s="0" t="s">
        <v>684</v>
      </c>
      <c r="D32" s="0" t="s">
        <v>575</v>
      </c>
      <c r="E32" s="0" t="s">
        <v>637</v>
      </c>
      <c r="F32" s="0" t="n">
        <v>13.5</v>
      </c>
      <c r="G32" s="11" t="n">
        <f aca="false">IFERROR(INDEX(CHOOSE(MATCH($X32,{"K1","K2","K3","K12","K13","H1","H2","H3","H12","H13"},0),Calc!$V$2:$V$42,Calc!$AC$2:$AC$42,Calc!$AJ$2:$AJ$42,Calc!$AL$2:$AL$42,Calc!$AM$2:$AM$42,Calc!$W$2:$W$42,Calc!$AD$2:$AD$42,Calc!$AK$2:$AK$42,Calc!$AN$2:$AN$42,Calc!$AO$2:$AO$42),MATCH($W32,Calc!$A$2:$A$42,0)),"")</f>
        <v>12.3253854421769</v>
      </c>
      <c r="H32" s="11" t="n">
        <f aca="false">IF(G32="","",IF(LEFT($X32,1)="H",SQRT(G32*(IFERROR(INDEX(Calc!$AP$2:$AP$42,MATCH($W32,Calc!$A$2:$A$42,0)),0.5)*Config!$B$5+1-IFERROR(INDEX(Calc!$AP$2:$AP$42,MATCH($W32,Calc!$A$2:$A$42,0)),0.5))),SQRT(G32*Config!$B$5)))</f>
        <v>3.80594837477707</v>
      </c>
      <c r="I32" s="10" t="n">
        <f aca="false">IF(OR(F32="",G32="",N(H32)&lt;=0),"",1-NORMDIST(FLOOR(F32,1)+0.5,G32,H32,TRUE()))</f>
        <v>0.37880302682844</v>
      </c>
      <c r="J32" s="10" t="n">
        <f aca="false">IF(I32="","",NORMDIST(CEILING(F32,1)-0.5,G32,H32,TRUE()))</f>
        <v>0.62119697317156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UNDER</v>
      </c>
      <c r="N32" s="0" t="n">
        <v>13.2</v>
      </c>
      <c r="O32" s="10" t="n">
        <v>0.4</v>
      </c>
      <c r="P32" s="10" t="n">
        <v>0.5</v>
      </c>
      <c r="Q32" s="10" t="n">
        <v>0.47</v>
      </c>
      <c r="R32" s="9" t="s">
        <v>658</v>
      </c>
      <c r="S32" s="0" t="n">
        <v>-3</v>
      </c>
      <c r="T32" s="0" t="str">
        <f aca="false">INDEX(Calc!$G$2:$G$42,MATCH($W32,Calc!$A$2:$A$42,0))&amp;" / "&amp;INDEX(Calc!$H$2:$H$42,MATCH($W32,Calc!$A$2:$A$42,0))</f>
        <v>Inferno / Cache</v>
      </c>
      <c r="U32" s="0" t="str">
        <f aca="false">TEXT(INDEX(Calc!$J$2:$J$42,MATCH($W32,Calc!$A$2:$A$42,0)),"0.0")&amp;" / "&amp;TEXT(INDEX(Calc!$K$2:$K$42,MATCH($W32,Calc!$A$2:$A$42,0)),"0.0")</f>
        <v>21.5 / 21.5</v>
      </c>
      <c r="V32" s="0" t="str">
        <f aca="false">IFERROR(INDEX(Calc!$AQ$2:$AQ$42,MATCH($W32,Calc!$A$2:$A$42,0)),"")</f>
        <v/>
      </c>
      <c r="W32" s="9" t="s">
        <v>685</v>
      </c>
      <c r="X32" s="9" t="s">
        <v>640</v>
      </c>
      <c r="Y32" s="0" t="str">
        <f aca="false">W32&amp;"|"&amp;X32</f>
        <v>56bqvguml6vhetk|CS2 · BIG vs MGLZ|H12</v>
      </c>
      <c r="Z32" s="11" t="n">
        <f aca="false">IFERROR(INDEX(CHOOSE(MATCH($X32,{"K1","K2","K3","K12","K13","H1","H2","H3","H12","H13"},0),Calc!$BA$2:$BA$42,Calc!$BB$2:$BB$42,Calc!$BC$2:$BC$42,Calc!$BD$2:$BD$42,Calc!$BE$2:$BE$42,Calc!$BF$2:$BF$42,Calc!$BG$2:$BG$42,Calc!$BH$2:$BH$42,Calc!$BI$2:$BI$42,Calc!$BJ$2:$BJ$42),MATCH($W32,Calc!$A$2:$A$42,0)),"")</f>
        <v>12.4048474562166</v>
      </c>
      <c r="AA32" s="11" t="n">
        <f aca="false">IF(Z32="","",IF(LEFT($X32,1)="H",SQRT(Z32*(IFERROR(INDEX(Calc!$AP$2:$AP$42,MATCH($W32,Calc!$A$2:$A$42,0)),0.5)*Config!$B$5+1-IFERROR(INDEX(Calc!$AP$2:$AP$42,MATCH($W32,Calc!$A$2:$A$42,0)),0.5))),SQRT(Z32*Config!$B$5)))</f>
        <v>3.81819717823904</v>
      </c>
      <c r="AB32" s="10" t="n">
        <f aca="false">IF(OR(F32="",Z32="",N(AA32)&lt;=0),"",1-NORMDIST(FLOOR(F32,1)+0.5,Z32,AA32,TRUE()))</f>
        <v>0.387123346506937</v>
      </c>
      <c r="AC32" s="10" t="n">
        <f aca="false">IF(AB32="","",NORMDIST(CEILING(F32,1)-0.5,Z32,AA32,TRUE()))</f>
        <v>0.612876653493063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1.0064470206155</v>
      </c>
    </row>
    <row r="33" customFormat="false" ht="15" hidden="false" customHeight="false" outlineLevel="0" collapsed="false">
      <c r="A33" s="0" t="s">
        <v>568</v>
      </c>
      <c r="B33" s="0" t="s">
        <v>485</v>
      </c>
      <c r="C33" s="0" t="s">
        <v>684</v>
      </c>
      <c r="D33" s="0" t="s">
        <v>575</v>
      </c>
      <c r="E33" s="0" t="s">
        <v>641</v>
      </c>
      <c r="F33" s="0" t="n">
        <v>28.5</v>
      </c>
      <c r="G33" s="11" t="n">
        <f aca="false">IFERROR(INDEX(CHOOSE(MATCH($X33,{"K1","K2","K3","K12","K13","H1","H2","H3","H12","H13"},0),Calc!$V$2:$V$42,Calc!$AC$2:$AC$42,Calc!$AJ$2:$AJ$42,Calc!$AL$2:$AL$42,Calc!$AM$2:$AM$42,Calc!$W$2:$W$42,Calc!$AD$2:$AD$42,Calc!$AK$2:$AK$42,Calc!$AN$2:$AN$42,Calc!$AO$2:$AO$42),MATCH($W33,Calc!$A$2:$A$42,0)),"")</f>
        <v>28.1342857142857</v>
      </c>
      <c r="H33" s="11" t="n">
        <f aca="false">IF(G33="","",IF(LEFT($X33,1)="H",SQRT(G33*(IFERROR(INDEX(Calc!$AP$2:$AP$42,MATCH($W33,Calc!$A$2:$A$42,0)),0.5)*Config!$B$5+1-IFERROR(INDEX(Calc!$AP$2:$AP$42,MATCH($W33,Calc!$A$2:$A$42,0)),0.5))),SQRT(G33*Config!$B$5)))</f>
        <v>6.27598597831448</v>
      </c>
      <c r="I33" s="10" t="n">
        <f aca="false">IF(OR(F33="",G33="",N(H33)&lt;=0),"",1-NORMDIST(FLOOR(F33,1)+0.5,G33,H33,TRUE()))</f>
        <v>0.476765983230374</v>
      </c>
      <c r="J33" s="10" t="n">
        <f aca="false">IF(I33="","",NORMDIST(CEILING(F33,1)-0.5,G33,H33,TRUE()))</f>
        <v>0.523234016769626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—</v>
      </c>
      <c r="N33" s="0" t="n">
        <v>29</v>
      </c>
      <c r="O33" s="10" t="n">
        <v>0.6</v>
      </c>
      <c r="P33" s="10" t="n">
        <v>0.6</v>
      </c>
      <c r="Q33" s="10" t="n">
        <v>0.53</v>
      </c>
      <c r="R33" s="9" t="s">
        <v>658</v>
      </c>
      <c r="S33" s="0" t="n">
        <v>2</v>
      </c>
      <c r="T33" s="0" t="str">
        <f aca="false">INDEX(Calc!$G$2:$G$42,MATCH($W33,Calc!$A$2:$A$42,0))&amp;" / "&amp;INDEX(Calc!$H$2:$H$42,MATCH($W33,Calc!$A$2:$A$42,0))</f>
        <v>Inferno / Cache</v>
      </c>
      <c r="U33" s="0" t="str">
        <f aca="false">TEXT(INDEX(Calc!$J$2:$J$42,MATCH($W33,Calc!$A$2:$A$42,0)),"0.0")&amp;" / "&amp;TEXT(INDEX(Calc!$K$2:$K$42,MATCH($W33,Calc!$A$2:$A$42,0)),"0.0")</f>
        <v>21.5 / 21.5</v>
      </c>
      <c r="V33" s="0" t="str">
        <f aca="false">IFERROR(INDEX(Calc!$AQ$2:$AQ$42,MATCH($W33,Calc!$A$2:$A$42,0)),"")</f>
        <v/>
      </c>
      <c r="W33" s="9" t="s">
        <v>685</v>
      </c>
      <c r="X33" s="9" t="s">
        <v>642</v>
      </c>
      <c r="Y33" s="0" t="str">
        <f aca="false">W33&amp;"|"&amp;X33</f>
        <v>56bqvguml6vhetk|CS2 · BIG vs MGLZ|K12</v>
      </c>
      <c r="Z33" s="11" t="n">
        <f aca="false">IFERROR(INDEX(CHOOSE(MATCH($X33,{"K1","K2","K3","K12","K13","H1","H2","H3","H12","H13"},0),Calc!$BA$2:$BA$42,Calc!$BB$2:$BB$42,Calc!$BC$2:$BC$42,Calc!$BD$2:$BD$42,Calc!$BE$2:$BE$42,Calc!$BF$2:$BF$42,Calc!$BG$2:$BG$42,Calc!$BH$2:$BH$42,Calc!$BI$2:$BI$42,Calc!$BJ$2:$BJ$42),MATCH($W33,Calc!$A$2:$A$42,0)),"")</f>
        <v>28.2935613368891</v>
      </c>
      <c r="AA33" s="11" t="n">
        <f aca="false">IF(Z33="","",IF(LEFT($X33,1)="H",SQRT(Z33*(IFERROR(INDEX(Calc!$AP$2:$AP$42,MATCH($W33,Calc!$A$2:$A$42,0)),0.5)*Config!$B$5+1-IFERROR(INDEX(Calc!$AP$2:$AP$42,MATCH($W33,Calc!$A$2:$A$42,0)),0.5))),SQRT(Z33*Config!$B$5)))</f>
        <v>6.29372591329212</v>
      </c>
      <c r="AB33" s="10" t="n">
        <f aca="false">IF(OR(F33="",Z33="",N(AA33)&lt;=0),"",1-NORMDIST(FLOOR(F33,1)+0.5,Z33,AA33,TRUE()))</f>
        <v>0.486916756985338</v>
      </c>
      <c r="AC33" s="10" t="n">
        <f aca="false">IF(AB33="","",NORMDIST(CEILING(F33,1)-0.5,Z33,AA33,TRUE()))</f>
        <v>0.513083243014662</v>
      </c>
      <c r="AD33" s="0" t="str">
        <f aca="false">IF(AB33="","",IF(AB33&gt;=0.5+Config!$B$6,"OVER",IF(AC33&gt;=0.5+Config!$B$6,"UNDER","—")))</f>
        <v>—</v>
      </c>
      <c r="AE33" s="13" t="n">
        <f aca="false">IFERROR(Z33/G33,"")</f>
        <v>1.00566126413234</v>
      </c>
    </row>
    <row r="34" customFormat="false" ht="15" hidden="false" customHeight="false" outlineLevel="0" collapsed="false">
      <c r="A34" s="0" t="s">
        <v>568</v>
      </c>
      <c r="B34" s="0" t="s">
        <v>485</v>
      </c>
      <c r="C34" s="0" t="s">
        <v>686</v>
      </c>
      <c r="D34" s="0" t="s">
        <v>575</v>
      </c>
      <c r="E34" s="0" t="s">
        <v>637</v>
      </c>
      <c r="F34" s="0" t="n">
        <v>18</v>
      </c>
      <c r="G34" s="11" t="n">
        <f aca="false">IFERROR(INDEX(CHOOSE(MATCH($X34,{"K1","K2","K3","K12","K13","H1","H2","H3","H12","H13"},0),Calc!$V$2:$V$42,Calc!$AC$2:$AC$42,Calc!$AJ$2:$AJ$42,Calc!$AL$2:$AL$42,Calc!$AM$2:$AM$42,Calc!$W$2:$W$42,Calc!$AD$2:$AD$42,Calc!$AK$2:$AK$42,Calc!$AN$2:$AN$42,Calc!$AO$2:$AO$42),MATCH($W34,Calc!$A$2:$A$42,0)),"")</f>
        <v>18.1166687557528</v>
      </c>
      <c r="H34" s="11" t="n">
        <f aca="false">IF(G34="","",IF(LEFT($X34,1)="H",SQRT(G34*(IFERROR(INDEX(Calc!$AP$2:$AP$42,MATCH($W34,Calc!$A$2:$A$42,0)),0.5)*Config!$B$5+1-IFERROR(INDEX(Calc!$AP$2:$AP$42,MATCH($W34,Calc!$A$2:$A$42,0)),0.5))),SQRT(G34*Config!$B$5)))</f>
        <v>4.72897503293467</v>
      </c>
      <c r="I34" s="10" t="n">
        <f aca="false">IF(OR(F34="",G34="",N(H34)&lt;=0),"",1-NORMDIST(FLOOR(F34,1)+0.5,G34,H34,TRUE()))</f>
        <v>0.467697073766212</v>
      </c>
      <c r="J34" s="10" t="n">
        <f aca="false">IF(I34="","",NORMDIST(CEILING(F34,1)-0.5,G34,H34,TRUE()))</f>
        <v>0.44812411240769</v>
      </c>
      <c r="K34" s="10" t="n">
        <f aca="false">IF(I34="","",MAX(0,1-I34-J34))</f>
        <v>0.0841788138260979</v>
      </c>
      <c r="L34" s="0" t="str">
        <f aca="false">IF(I34="","",IF(I34&gt;=0.5+Config!$B$6,"OVER",IF(J34&gt;=0.5+Config!$B$6,"UNDER","—")))</f>
        <v>—</v>
      </c>
      <c r="N34" s="0" t="n">
        <v>19.1</v>
      </c>
      <c r="O34" s="10" t="n">
        <v>0.8</v>
      </c>
      <c r="P34" s="10" t="n">
        <v>0.7</v>
      </c>
      <c r="Q34" s="10" t="n">
        <v>0.67</v>
      </c>
      <c r="R34" s="9" t="s">
        <v>670</v>
      </c>
      <c r="S34" s="0" t="n">
        <v>2</v>
      </c>
      <c r="T34" s="0" t="str">
        <f aca="false">INDEX(Calc!$G$2:$G$42,MATCH($W34,Calc!$A$2:$A$42,0))&amp;" / "&amp;INDEX(Calc!$H$2:$H$42,MATCH($W34,Calc!$A$2:$A$42,0))</f>
        <v>Inferno / Cache</v>
      </c>
      <c r="U34" s="0" t="str">
        <f aca="false">TEXT(INDEX(Calc!$J$2:$J$42,MATCH($W34,Calc!$A$2:$A$42,0)),"0.0")&amp;" / "&amp;TEXT(INDEX(Calc!$K$2:$K$42,MATCH($W34,Calc!$A$2:$A$42,0)),"0.0")</f>
        <v>21.5 / 21.5</v>
      </c>
      <c r="V34" s="0" t="str">
        <f aca="false">IFERROR(INDEX(Calc!$AQ$2:$AQ$42,MATCH($W34,Calc!$A$2:$A$42,0)),"")</f>
        <v/>
      </c>
      <c r="W34" s="9" t="s">
        <v>687</v>
      </c>
      <c r="X34" s="9" t="s">
        <v>640</v>
      </c>
      <c r="Y34" s="0" t="str">
        <f aca="false">W34&amp;"|"&amp;X34</f>
        <v>01464eymprqfx0w|CS2 · BIG vs MGLZ|H12</v>
      </c>
      <c r="Z34" s="11" t="n">
        <f aca="false">IFERROR(INDEX(CHOOSE(MATCH($X34,{"K1","K2","K3","K12","K13","H1","H2","H3","H12","H13"},0),Calc!$BA$2:$BA$42,Calc!$BB$2:$BB$42,Calc!$BC$2:$BC$42,Calc!$BD$2:$BD$42,Calc!$BE$2:$BE$42,Calc!$BF$2:$BF$42,Calc!$BG$2:$BG$42,Calc!$BH$2:$BH$42,Calc!$BI$2:$BI$42,Calc!$BJ$2:$BJ$42),MATCH($W34,Calc!$A$2:$A$42,0)),"")</f>
        <v>18.2235835159173</v>
      </c>
      <c r="AA34" s="11" t="n">
        <f aca="false">IF(Z34="","",IF(LEFT($X34,1)="H",SQRT(Z34*(IFERROR(INDEX(Calc!$AP$2:$AP$42,MATCH($W34,Calc!$A$2:$A$42,0)),0.5)*Config!$B$5+1-IFERROR(INDEX(Calc!$AP$2:$AP$42,MATCH($W34,Calc!$A$2:$A$42,0)),0.5))),SQRT(Z34*Config!$B$5)))</f>
        <v>4.74290843015712</v>
      </c>
      <c r="AB34" s="10" t="n">
        <f aca="false">IF(OR(F34="",Z34="",N(AA34)&lt;=0),"",1-NORMDIST(FLOOR(F34,1)+0.5,Z34,AA34,TRUE()))</f>
        <v>0.476762817469174</v>
      </c>
      <c r="AC34" s="10" t="n">
        <f aca="false">IF(AB34="","",NORMDIST(CEILING(F34,1)-0.5,Z34,AA34,TRUE()))</f>
        <v>0.439372186074467</v>
      </c>
      <c r="AD34" s="0" t="str">
        <f aca="false">IF(AB34="","",IF(AB34&gt;=0.5+Config!$B$6,"OVER",IF(AC34&gt;=0.5+Config!$B$6,"UNDER","—")))</f>
        <v>—</v>
      </c>
      <c r="AE34" s="13" t="n">
        <f aca="false">IFERROR(Z34/G34,"")</f>
        <v>1.00590145802222</v>
      </c>
    </row>
    <row r="35" customFormat="false" ht="15" hidden="false" customHeight="false" outlineLevel="0" collapsed="false">
      <c r="A35" s="0" t="s">
        <v>568</v>
      </c>
      <c r="B35" s="0" t="s">
        <v>485</v>
      </c>
      <c r="C35" s="0" t="s">
        <v>686</v>
      </c>
      <c r="D35" s="0" t="s">
        <v>575</v>
      </c>
      <c r="E35" s="0" t="s">
        <v>641</v>
      </c>
      <c r="F35" s="0" t="n">
        <v>30.5</v>
      </c>
      <c r="G35" s="11" t="n">
        <f aca="false">IFERROR(INDEX(CHOOSE(MATCH($X35,{"K1","K2","K3","K12","K13","H1","H2","H3","H12","H13"},0),Calc!$V$2:$V$42,Calc!$AC$2:$AC$42,Calc!$AJ$2:$AJ$42,Calc!$AL$2:$AL$42,Calc!$AM$2:$AM$42,Calc!$W$2:$W$42,Calc!$AD$2:$AD$42,Calc!$AK$2:$AK$42,Calc!$AN$2:$AN$42,Calc!$AO$2:$AO$42),MATCH($W35,Calc!$A$2:$A$42,0)),"")</f>
        <v>30.9158974358974</v>
      </c>
      <c r="H35" s="11" t="n">
        <f aca="false">IF(G35="","",IF(LEFT($X35,1)="H",SQRT(G35*(IFERROR(INDEX(Calc!$AP$2:$AP$42,MATCH($W35,Calc!$A$2:$A$42,0)),0.5)*Config!$B$5+1-IFERROR(INDEX(Calc!$AP$2:$AP$42,MATCH($W35,Calc!$A$2:$A$42,0)),0.5))),SQRT(G35*Config!$B$5)))</f>
        <v>6.57892517135257</v>
      </c>
      <c r="I35" s="10" t="n">
        <f aca="false">IF(OR(F35="",G35="",N(H35)&lt;=0),"",1-NORMDIST(FLOOR(F35,1)+0.5,G35,H35,TRUE()))</f>
        <v>0.525202996210056</v>
      </c>
      <c r="J35" s="10" t="n">
        <f aca="false">IF(I35="","",NORMDIST(CEILING(F35,1)-0.5,G35,H35,TRUE()))</f>
        <v>0.474797003789944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—</v>
      </c>
      <c r="N35" s="0" t="n">
        <v>31.7</v>
      </c>
      <c r="O35" s="10" t="n">
        <v>0.4</v>
      </c>
      <c r="P35" s="10" t="n">
        <v>0.6</v>
      </c>
      <c r="Q35" s="10" t="n">
        <v>0.6</v>
      </c>
      <c r="R35" s="9" t="s">
        <v>670</v>
      </c>
      <c r="S35" s="0" t="n">
        <v>-1</v>
      </c>
      <c r="T35" s="0" t="str">
        <f aca="false">INDEX(Calc!$G$2:$G$42,MATCH($W35,Calc!$A$2:$A$42,0))&amp;" / "&amp;INDEX(Calc!$H$2:$H$42,MATCH($W35,Calc!$A$2:$A$42,0))</f>
        <v>Inferno / Cache</v>
      </c>
      <c r="U35" s="0" t="str">
        <f aca="false">TEXT(INDEX(Calc!$J$2:$J$42,MATCH($W35,Calc!$A$2:$A$42,0)),"0.0")&amp;" / "&amp;TEXT(INDEX(Calc!$K$2:$K$42,MATCH($W35,Calc!$A$2:$A$42,0)),"0.0")</f>
        <v>21.5 / 21.5</v>
      </c>
      <c r="V35" s="0" t="str">
        <f aca="false">IFERROR(INDEX(Calc!$AQ$2:$AQ$42,MATCH($W35,Calc!$A$2:$A$42,0)),"")</f>
        <v/>
      </c>
      <c r="W35" s="9" t="s">
        <v>687</v>
      </c>
      <c r="X35" s="9" t="s">
        <v>642</v>
      </c>
      <c r="Y35" s="0" t="str">
        <f aca="false">W35&amp;"|"&amp;X35</f>
        <v>01464eymprqfx0w|CS2 · BIG vs MGLZ|K12</v>
      </c>
      <c r="Z35" s="11" t="n">
        <f aca="false">IFERROR(INDEX(CHOOSE(MATCH($X35,{"K1","K2","K3","K12","K13","H1","H2","H3","H12","H13"},0),Calc!$BA$2:$BA$42,Calc!$BB$2:$BB$42,Calc!$BC$2:$BC$42,Calc!$BD$2:$BD$42,Calc!$BE$2:$BE$42,Calc!$BF$2:$BF$42,Calc!$BG$2:$BG$42,Calc!$BH$2:$BH$42,Calc!$BI$2:$BI$42,Calc!$BJ$2:$BJ$42),MATCH($W35,Calc!$A$2:$A$42,0)),"")</f>
        <v>31.1143488302817</v>
      </c>
      <c r="AA35" s="11" t="n">
        <f aca="false">IF(Z35="","",IF(LEFT($X35,1)="H",SQRT(Z35*(IFERROR(INDEX(Calc!$AP$2:$AP$42,MATCH($W35,Calc!$A$2:$A$42,0)),0.5)*Config!$B$5+1-IFERROR(INDEX(Calc!$AP$2:$AP$42,MATCH($W35,Calc!$A$2:$A$42,0)),0.5))),SQRT(Z35*Config!$B$5)))</f>
        <v>6.6000066941174</v>
      </c>
      <c r="AB35" s="10" t="n">
        <f aca="false">IF(OR(F35="",Z35="",N(AA35)&lt;=0),"",1-NORMDIST(FLOOR(F35,1)+0.5,Z35,AA35,TRUE()))</f>
        <v>0.537081213091097</v>
      </c>
      <c r="AC35" s="10" t="n">
        <f aca="false">IF(AB35="","",NORMDIST(CEILING(F35,1)-0.5,Z35,AA35,TRUE()))</f>
        <v>0.462918786908903</v>
      </c>
      <c r="AD35" s="0" t="str">
        <f aca="false">IF(AB35="","",IF(AB35&gt;=0.5+Config!$B$6,"OVER",IF(AC35&gt;=0.5+Config!$B$6,"UNDER","—")))</f>
        <v>—</v>
      </c>
      <c r="AE35" s="13" t="n">
        <f aca="false">IFERROR(Z35/G35,"")</f>
        <v>1.00641907273744</v>
      </c>
    </row>
    <row r="36" customFormat="false" ht="15" hidden="false" customHeight="false" outlineLevel="0" collapsed="false">
      <c r="A36" s="0" t="s">
        <v>568</v>
      </c>
      <c r="B36" s="0" t="s">
        <v>485</v>
      </c>
      <c r="C36" s="0" t="s">
        <v>688</v>
      </c>
      <c r="D36" s="0" t="s">
        <v>575</v>
      </c>
      <c r="E36" s="0" t="s">
        <v>641</v>
      </c>
      <c r="F36" s="0" t="n">
        <v>28.5</v>
      </c>
      <c r="G36" s="11" t="n">
        <f aca="false">IFERROR(INDEX(CHOOSE(MATCH($X36,{"K1","K2","K3","K12","K13","H1","H2","H3","H12","H13"},0),Calc!$V$2:$V$42,Calc!$AC$2:$AC$42,Calc!$AJ$2:$AJ$42,Calc!$AL$2:$AL$42,Calc!$AM$2:$AM$42,Calc!$W$2:$W$42,Calc!$AD$2:$AD$42,Calc!$AK$2:$AK$42,Calc!$AN$2:$AN$42,Calc!$AO$2:$AO$42),MATCH($W36,Calc!$A$2:$A$42,0)),"")</f>
        <v>26.450119047619</v>
      </c>
      <c r="H36" s="11" t="n">
        <f aca="false">IF(G36="","",IF(LEFT($X36,1)="H",SQRT(G36*(IFERROR(INDEX(Calc!$AP$2:$AP$42,MATCH($W36,Calc!$A$2:$A$42,0)),0.5)*Config!$B$5+1-IFERROR(INDEX(Calc!$AP$2:$AP$42,MATCH($W36,Calc!$A$2:$A$42,0)),0.5))),SQRT(G36*Config!$B$5)))</f>
        <v>6.08524170979811</v>
      </c>
      <c r="I36" s="10" t="n">
        <f aca="false">IF(OR(F36="",G36="",N(H36)&lt;=0),"",1-NORMDIST(FLOOR(F36,1)+0.5,G36,H36,TRUE()))</f>
        <v>0.368110821764436</v>
      </c>
      <c r="J36" s="10" t="n">
        <f aca="false">IF(I36="","",NORMDIST(CEILING(F36,1)-0.5,G36,H36,TRUE()))</f>
        <v>0.631889178235564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UNDER</v>
      </c>
      <c r="N36" s="0" t="n">
        <v>29.4</v>
      </c>
      <c r="O36" s="10" t="n">
        <v>0.4</v>
      </c>
      <c r="P36" s="10" t="n">
        <v>0.5</v>
      </c>
      <c r="Q36" s="10" t="n">
        <v>0.4</v>
      </c>
      <c r="R36" s="9" t="s">
        <v>670</v>
      </c>
      <c r="S36" s="0" t="n">
        <v>-3</v>
      </c>
      <c r="T36" s="0" t="str">
        <f aca="false">INDEX(Calc!$G$2:$G$42,MATCH($W36,Calc!$A$2:$A$42,0))&amp;" / "&amp;INDEX(Calc!$H$2:$H$42,MATCH($W36,Calc!$A$2:$A$42,0))</f>
        <v>Inferno / Cache</v>
      </c>
      <c r="U36" s="0" t="str">
        <f aca="false">TEXT(INDEX(Calc!$J$2:$J$42,MATCH($W36,Calc!$A$2:$A$42,0)),"0.0")&amp;" / "&amp;TEXT(INDEX(Calc!$K$2:$K$42,MATCH($W36,Calc!$A$2:$A$42,0)),"0.0")</f>
        <v>21.5 / 21.5</v>
      </c>
      <c r="V36" s="0" t="str">
        <f aca="false">IFERROR(INDEX(Calc!$AQ$2:$AQ$42,MATCH($W36,Calc!$A$2:$A$42,0)),"")</f>
        <v/>
      </c>
      <c r="W36" s="9" t="s">
        <v>689</v>
      </c>
      <c r="X36" s="9" t="s">
        <v>642</v>
      </c>
      <c r="Y36" s="0" t="str">
        <f aca="false">W36&amp;"|"&amp;X36</f>
        <v>dobeml44vsvpy4d|CS2 · BIG vs MGLZ|K12</v>
      </c>
      <c r="Z36" s="11" t="n">
        <f aca="false">IFERROR(INDEX(CHOOSE(MATCH($X36,{"K1","K2","K3","K12","K13","H1","H2","H3","H12","H13"},0),Calc!$BA$2:$BA$42,Calc!$BB$2:$BB$42,Calc!$BC$2:$BC$42,Calc!$BD$2:$BD$42,Calc!$BE$2:$BE$42,Calc!$BF$2:$BF$42,Calc!$BG$2:$BG$42,Calc!$BH$2:$BH$42,Calc!$BI$2:$BI$42,Calc!$BJ$2:$BJ$42),MATCH($W36,Calc!$A$2:$A$42,0)),"")</f>
        <v>26.6050056547012</v>
      </c>
      <c r="AA36" s="11" t="n">
        <f aca="false">IF(Z36="","",IF(LEFT($X36,1)="H",SQRT(Z36*(IFERROR(INDEX(Calc!$AP$2:$AP$42,MATCH($W36,Calc!$A$2:$A$42,0)),0.5)*Config!$B$5+1-IFERROR(INDEX(Calc!$AP$2:$AP$42,MATCH($W36,Calc!$A$2:$A$42,0)),0.5))),SQRT(Z36*Config!$B$5)))</f>
        <v>6.10303268191983</v>
      </c>
      <c r="AB36" s="10" t="n">
        <f aca="false">IF(OR(F36="",Z36="",N(AA36)&lt;=0),"",1-NORMDIST(FLOOR(F36,1)+0.5,Z36,AA36,TRUE()))</f>
        <v>0.378090211706178</v>
      </c>
      <c r="AC36" s="10" t="n">
        <f aca="false">IF(AB36="","",NORMDIST(CEILING(F36,1)-0.5,Z36,AA36,TRUE()))</f>
        <v>0.621909788293822</v>
      </c>
      <c r="AD36" s="0" t="str">
        <f aca="false">IF(AB36="","",IF(AB36&gt;=0.5+Config!$B$6,"OVER",IF(AC36&gt;=0.5+Config!$B$6,"UNDER","—")))</f>
        <v>UNDER</v>
      </c>
      <c r="AE36" s="13" t="n">
        <f aca="false">IFERROR(Z36/G36,"")</f>
        <v>1.0058557999986</v>
      </c>
    </row>
    <row r="37" customFormat="false" ht="15" hidden="false" customHeight="false" outlineLevel="0" collapsed="false">
      <c r="A37" s="0" t="s">
        <v>568</v>
      </c>
      <c r="B37" s="0" t="s">
        <v>485</v>
      </c>
      <c r="C37" s="0" t="s">
        <v>690</v>
      </c>
      <c r="D37" s="0" t="s">
        <v>575</v>
      </c>
      <c r="E37" s="0" t="s">
        <v>637</v>
      </c>
      <c r="F37" s="0" t="n">
        <v>15.5</v>
      </c>
      <c r="G37" s="11" t="n">
        <f aca="false">IFERROR(INDEX(CHOOSE(MATCH($X37,{"K1","K2","K3","K12","K13","H1","H2","H3","H12","H13"},0),Calc!$V$2:$V$42,Calc!$AC$2:$AC$42,Calc!$AJ$2:$AJ$42,Calc!$AL$2:$AL$42,Calc!$AM$2:$AM$42,Calc!$W$2:$W$42,Calc!$AD$2:$AD$42,Calc!$AK$2:$AK$42,Calc!$AN$2:$AN$42,Calc!$AO$2:$AO$42),MATCH($W37,Calc!$A$2:$A$42,0)),"")</f>
        <v>13.6182247264823</v>
      </c>
      <c r="H37" s="11" t="n">
        <f aca="false">IF(G37="","",IF(LEFT($X37,1)="H",SQRT(G37*(IFERROR(INDEX(Calc!$AP$2:$AP$42,MATCH($W37,Calc!$A$2:$A$42,0)),0.5)*Config!$B$5+1-IFERROR(INDEX(Calc!$AP$2:$AP$42,MATCH($W37,Calc!$A$2:$A$42,0)),0.5))),SQRT(G37*Config!$B$5)))</f>
        <v>4.09319867972912</v>
      </c>
      <c r="I37" s="10" t="n">
        <f aca="false">IF(OR(F37="",G37="",N(H37)&lt;=0),"",1-NORMDIST(FLOOR(F37,1)+0.5,G37,H37,TRUE()))</f>
        <v>0.322854223529954</v>
      </c>
      <c r="J37" s="10" t="n">
        <f aca="false">IF(I37="","",NORMDIST(CEILING(F37,1)-0.5,G37,H37,TRUE()))</f>
        <v>0.677145776470047</v>
      </c>
      <c r="K37" s="10" t="n">
        <f aca="false">IF(I37="","",MAX(0,1-I37-J37))</f>
        <v>0</v>
      </c>
      <c r="L37" s="0" t="str">
        <f aca="false">IF(I37="","",IF(I37&gt;=0.5+Config!$B$6,"OVER",IF(J37&gt;=0.5+Config!$B$6,"UNDER","—")))</f>
        <v>UNDER</v>
      </c>
      <c r="N37" s="0" t="n">
        <v>14.7</v>
      </c>
      <c r="O37" s="10" t="n">
        <v>0.6</v>
      </c>
      <c r="P37" s="10" t="n">
        <v>0.4</v>
      </c>
      <c r="Q37" s="10" t="n">
        <v>0.4</v>
      </c>
      <c r="R37" s="9" t="s">
        <v>660</v>
      </c>
      <c r="S37" s="0" t="n">
        <v>2</v>
      </c>
      <c r="T37" s="0" t="str">
        <f aca="false">INDEX(Calc!$G$2:$G$42,MATCH($W37,Calc!$A$2:$A$42,0))&amp;" / "&amp;INDEX(Calc!$H$2:$H$42,MATCH($W37,Calc!$A$2:$A$42,0))</f>
        <v>Inferno / Cache</v>
      </c>
      <c r="U37" s="0" t="str">
        <f aca="false">TEXT(INDEX(Calc!$J$2:$J$42,MATCH($W37,Calc!$A$2:$A$42,0)),"0.0")&amp;" / "&amp;TEXT(INDEX(Calc!$K$2:$K$42,MATCH($W37,Calc!$A$2:$A$42,0)),"0.0")</f>
        <v>21.5 / 21.5</v>
      </c>
      <c r="V37" s="0" t="str">
        <f aca="false">IFERROR(INDEX(Calc!$AQ$2:$AQ$42,MATCH($W37,Calc!$A$2:$A$42,0)),"")</f>
        <v/>
      </c>
      <c r="W37" s="9" t="s">
        <v>691</v>
      </c>
      <c r="X37" s="9" t="s">
        <v>640</v>
      </c>
      <c r="Y37" s="0" t="str">
        <f aca="false">W37&amp;"|"&amp;X37</f>
        <v>f34szm5kcyom32u|CS2 · BIG vs MGLZ|H12</v>
      </c>
      <c r="Z37" s="11" t="n">
        <f aca="false">IFERROR(INDEX(CHOOSE(MATCH($X37,{"K1","K2","K3","K12","K13","H1","H2","H3","H12","H13"},0),Calc!$BA$2:$BA$42,Calc!$BB$2:$BB$42,Calc!$BC$2:$BC$42,Calc!$BD$2:$BD$42,Calc!$BE$2:$BE$42,Calc!$BF$2:$BF$42,Calc!$BG$2:$BG$42,Calc!$BH$2:$BH$42,Calc!$BI$2:$BI$42,Calc!$BJ$2:$BJ$42),MATCH($W37,Calc!$A$2:$A$42,0)),"")</f>
        <v>13.7268881276254</v>
      </c>
      <c r="AA37" s="11" t="n">
        <f aca="false">IF(Z37="","",IF(LEFT($X37,1)="H",SQRT(Z37*(IFERROR(INDEX(Calc!$AP$2:$AP$42,MATCH($W37,Calc!$A$2:$A$42,0)),0.5)*Config!$B$5+1-IFERROR(INDEX(Calc!$AP$2:$AP$42,MATCH($W37,Calc!$A$2:$A$42,0)),0.5))),SQRT(Z37*Config!$B$5)))</f>
        <v>4.10949658805849</v>
      </c>
      <c r="AB37" s="10" t="n">
        <f aca="false">IF(OR(F37="",Z37="",N(AA37)&lt;=0),"",1-NORMDIST(FLOOR(F37,1)+0.5,Z37,AA37,TRUE()))</f>
        <v>0.333064447015603</v>
      </c>
      <c r="AC37" s="10" t="n">
        <f aca="false">IF(AB37="","",NORMDIST(CEILING(F37,1)-0.5,Z37,AA37,TRUE()))</f>
        <v>0.666935552984397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1.00797926332731</v>
      </c>
    </row>
    <row r="38" customFormat="false" ht="15" hidden="false" customHeight="false" outlineLevel="0" collapsed="false">
      <c r="A38" s="0" t="s">
        <v>568</v>
      </c>
      <c r="B38" s="0" t="s">
        <v>485</v>
      </c>
      <c r="C38" s="0" t="s">
        <v>690</v>
      </c>
      <c r="D38" s="0" t="s">
        <v>575</v>
      </c>
      <c r="E38" s="0" t="s">
        <v>641</v>
      </c>
      <c r="F38" s="0" t="n">
        <v>25.5</v>
      </c>
      <c r="G38" s="11" t="n">
        <f aca="false">IFERROR(INDEX(CHOOSE(MATCH($X38,{"K1","K2","K3","K12","K13","H1","H2","H3","H12","H13"},0),Calc!$V$2:$V$42,Calc!$AC$2:$AC$42,Calc!$AJ$2:$AJ$42,Calc!$AL$2:$AL$42,Calc!$AM$2:$AM$42,Calc!$W$2:$W$42,Calc!$AD$2:$AD$42,Calc!$AK$2:$AK$42,Calc!$AN$2:$AN$42,Calc!$AO$2:$AO$42),MATCH($W38,Calc!$A$2:$A$42,0)),"")</f>
        <v>23.6547252747253</v>
      </c>
      <c r="H38" s="11" t="n">
        <f aca="false">IF(G38="","",IF(LEFT($X38,1)="H",SQRT(G38*(IFERROR(INDEX(Calc!$AP$2:$AP$42,MATCH($W38,Calc!$A$2:$A$42,0)),0.5)*Config!$B$5+1-IFERROR(INDEX(Calc!$AP$2:$AP$42,MATCH($W38,Calc!$A$2:$A$42,0)),0.5))),SQRT(G38*Config!$B$5)))</f>
        <v>5.75470376167317</v>
      </c>
      <c r="I38" s="10" t="n">
        <f aca="false">IF(OR(F38="",G38="",N(H38)&lt;=0),"",1-NORMDIST(FLOOR(F38,1)+0.5,G38,H38,TRUE()))</f>
        <v>0.374235913766637</v>
      </c>
      <c r="J38" s="10" t="n">
        <f aca="false">IF(I38="","",NORMDIST(CEILING(F38,1)-0.5,G38,H38,TRUE()))</f>
        <v>0.625764086233363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UNDER</v>
      </c>
      <c r="N38" s="0" t="n">
        <v>23.4</v>
      </c>
      <c r="O38" s="10" t="n">
        <v>0.4</v>
      </c>
      <c r="P38" s="10" t="n">
        <v>0.3</v>
      </c>
      <c r="Q38" s="10" t="n">
        <v>0.4</v>
      </c>
      <c r="R38" s="9" t="s">
        <v>660</v>
      </c>
      <c r="S38" s="0" t="n">
        <v>-1</v>
      </c>
      <c r="T38" s="0" t="str">
        <f aca="false">INDEX(Calc!$G$2:$G$42,MATCH($W38,Calc!$A$2:$A$42,0))&amp;" / "&amp;INDEX(Calc!$H$2:$H$42,MATCH($W38,Calc!$A$2:$A$42,0))</f>
        <v>Inferno / Cache</v>
      </c>
      <c r="U38" s="0" t="str">
        <f aca="false">TEXT(INDEX(Calc!$J$2:$J$42,MATCH($W38,Calc!$A$2:$A$42,0)),"0.0")&amp;" / "&amp;TEXT(INDEX(Calc!$K$2:$K$42,MATCH($W38,Calc!$A$2:$A$42,0)),"0.0")</f>
        <v>21.5 / 21.5</v>
      </c>
      <c r="V38" s="0" t="str">
        <f aca="false">IFERROR(INDEX(Calc!$AQ$2:$AQ$42,MATCH($W38,Calc!$A$2:$A$42,0)),"")</f>
        <v/>
      </c>
      <c r="W38" s="9" t="s">
        <v>691</v>
      </c>
      <c r="X38" s="9" t="s">
        <v>642</v>
      </c>
      <c r="Y38" s="0" t="str">
        <f aca="false">W38&amp;"|"&amp;X38</f>
        <v>f34szm5kcyom32u|CS2 · BIG vs MGLZ|K12</v>
      </c>
      <c r="Z38" s="11" t="n">
        <f aca="false">IFERROR(INDEX(CHOOSE(MATCH($X38,{"K1","K2","K3","K12","K13","H1","H2","H3","H12","H13"},0),Calc!$BA$2:$BA$42,Calc!$BB$2:$BB$42,Calc!$BC$2:$BC$42,Calc!$BD$2:$BD$42,Calc!$BE$2:$BE$42,Calc!$BF$2:$BF$42,Calc!$BG$2:$BG$42,Calc!$BH$2:$BH$42,Calc!$BI$2:$BI$42,Calc!$BJ$2:$BJ$42),MATCH($W38,Calc!$A$2:$A$42,0)),"")</f>
        <v>23.829741161295</v>
      </c>
      <c r="AA38" s="11" t="n">
        <f aca="false">IF(Z38="","",IF(LEFT($X38,1)="H",SQRT(Z38*(IFERROR(INDEX(Calc!$AP$2:$AP$42,MATCH($W38,Calc!$A$2:$A$42,0)),0.5)*Config!$B$5+1-IFERROR(INDEX(Calc!$AP$2:$AP$42,MATCH($W38,Calc!$A$2:$A$42,0)),0.5))),SQRT(Z38*Config!$B$5)))</f>
        <v>5.77595339539829</v>
      </c>
      <c r="AB38" s="10" t="n">
        <f aca="false">IF(OR(F38="",Z38="",N(AA38)&lt;=0),"",1-NORMDIST(FLOOR(F38,1)+0.5,Z38,AA38,TRUE()))</f>
        <v>0.386223895609942</v>
      </c>
      <c r="AC38" s="10" t="n">
        <f aca="false">IF(AB38="","",NORMDIST(CEILING(F38,1)-0.5,Z38,AA38,TRUE()))</f>
        <v>0.613776104390058</v>
      </c>
      <c r="AD38" s="0" t="str">
        <f aca="false">IF(AB38="","",IF(AB38&gt;=0.5+Config!$B$6,"OVER",IF(AC38&gt;=0.5+Config!$B$6,"UNDER","—")))</f>
        <v>UNDER</v>
      </c>
      <c r="AE38" s="13" t="n">
        <f aca="false">IFERROR(Z38/G38,"")</f>
        <v>1.00739877062773</v>
      </c>
    </row>
    <row r="39" customFormat="false" ht="15" hidden="false" customHeight="false" outlineLevel="0" collapsed="false">
      <c r="A39" s="0" t="s">
        <v>568</v>
      </c>
      <c r="B39" s="0" t="s">
        <v>583</v>
      </c>
      <c r="C39" s="0" t="s">
        <v>692</v>
      </c>
      <c r="D39" s="0" t="s">
        <v>588</v>
      </c>
      <c r="E39" s="0" t="s">
        <v>637</v>
      </c>
      <c r="F39" s="0" t="n">
        <v>16</v>
      </c>
      <c r="G39" s="11" t="n">
        <f aca="false">IFERROR(INDEX(CHOOSE(MATCH($X39,{"K1","K2","K3","K12","K13","H1","H2","H3","H12","H13"},0),Calc!$V$2:$V$42,Calc!$AC$2:$AC$42,Calc!$AJ$2:$AJ$42,Calc!$AL$2:$AL$42,Calc!$AM$2:$AM$42,Calc!$W$2:$W$42,Calc!$AD$2:$AD$42,Calc!$AK$2:$AK$42,Calc!$AN$2:$AN$42,Calc!$AO$2:$AO$42),MATCH($W39,Calc!$A$2:$A$42,0)),"")</f>
        <v>16.0800555252066</v>
      </c>
      <c r="H39" s="11" t="n">
        <f aca="false">IF(G39="","",IF(LEFT($X39,1)="H",SQRT(G39*(IFERROR(INDEX(Calc!$AP$2:$AP$42,MATCH($W39,Calc!$A$2:$A$42,0)),0.5)*Config!$B$5+1-IFERROR(INDEX(Calc!$AP$2:$AP$42,MATCH($W39,Calc!$A$2:$A$42,0)),0.5))),SQRT(G39*Config!$B$5)))</f>
        <v>4.43157881226533</v>
      </c>
      <c r="I39" s="10" t="n">
        <f aca="false">IF(OR(F39="",G39="",N(H39)&lt;=0),"",1-NORMDIST(FLOOR(F39,1)+0.5,G39,H39,TRUE()))</f>
        <v>0.462252006694504</v>
      </c>
      <c r="J39" s="10" t="n">
        <f aca="false">IF(I39="","",NORMDIST(CEILING(F39,1)-0.5,G39,H39,TRUE()))</f>
        <v>0.447930611633183</v>
      </c>
      <c r="K39" s="10" t="n">
        <f aca="false">IF(I39="","",MAX(0,1-I39-J39))</f>
        <v>0.0898173816723131</v>
      </c>
      <c r="L39" s="0" t="str">
        <f aca="false">IF(I39="","",IF(I39&gt;=0.5+Config!$B$6,"OVER",IF(J39&gt;=0.5+Config!$B$6,"UNDER","—")))</f>
        <v>—</v>
      </c>
      <c r="N39" s="0" t="n">
        <v>17</v>
      </c>
      <c r="O39" s="10" t="n">
        <v>0.6</v>
      </c>
      <c r="P39" s="10" t="n">
        <v>0.6</v>
      </c>
      <c r="Q39" s="10" t="n">
        <v>0.6</v>
      </c>
      <c r="R39" s="9" t="s">
        <v>638</v>
      </c>
      <c r="S39" s="0" t="n">
        <v>1</v>
      </c>
      <c r="T39" s="0" t="str">
        <f aca="false">INDEX(Calc!$G$2:$G$42,MATCH($W39,Calc!$A$2:$A$42,0))&amp;" / "&amp;INDEX(Calc!$H$2:$H$42,MATCH($W39,Calc!$A$2:$A$42,0))</f>
        <v>Anubis / Dust2</v>
      </c>
      <c r="U39" s="0" t="str">
        <f aca="false">TEXT(INDEX(Calc!$J$2:$J$42,MATCH($W39,Calc!$A$2:$A$42,0)),"0.0")&amp;" / "&amp;TEXT(INDEX(Calc!$K$2:$K$42,MATCH($W39,Calc!$A$2:$A$42,0)),"0.0")</f>
        <v>21.0 / 21.0</v>
      </c>
      <c r="V39" s="0" t="str">
        <f aca="false">IFERROR(INDEX(Calc!$AQ$2:$AQ$42,MATCH($W39,Calc!$A$2:$A$42,0)),"")</f>
        <v/>
      </c>
      <c r="W39" s="9" t="s">
        <v>693</v>
      </c>
      <c r="X39" s="9" t="s">
        <v>640</v>
      </c>
      <c r="Y39" s="0" t="str">
        <f aca="false">W39&amp;"|"&amp;X39</f>
        <v>3ur3fyq90jlwliy|CS2 · JJH vs NXS|H12</v>
      </c>
      <c r="Z39" s="11" t="n">
        <f aca="false">IFERROR(INDEX(CHOOSE(MATCH($X39,{"K1","K2","K3","K12","K13","H1","H2","H3","H12","H13"},0),Calc!$BA$2:$BA$42,Calc!$BB$2:$BB$42,Calc!$BC$2:$BC$42,Calc!$BD$2:$BD$42,Calc!$BE$2:$BE$42,Calc!$BF$2:$BF$42,Calc!$BG$2:$BG$42,Calc!$BH$2:$BH$42,Calc!$BI$2:$BI$42,Calc!$BJ$2:$BJ$42),MATCH($W39,Calc!$A$2:$A$42,0)),"")</f>
        <v>16.4752902341096</v>
      </c>
      <c r="AA39" s="11" t="n">
        <f aca="false">IF(Z39="","",IF(LEFT($X39,1)="H",SQRT(Z39*(IFERROR(INDEX(Calc!$AP$2:$AP$42,MATCH($W39,Calc!$A$2:$A$42,0)),0.5)*Config!$B$5+1-IFERROR(INDEX(Calc!$AP$2:$AP$42,MATCH($W39,Calc!$A$2:$A$42,0)),0.5))),SQRT(Z39*Config!$B$5)))</f>
        <v>4.48571050771126</v>
      </c>
      <c r="AB39" s="10" t="n">
        <f aca="false">IF(OR(F39="",Z39="",N(AA39)&lt;=0),"",1-NORMDIST(FLOOR(F39,1)+0.5,Z39,AA39,TRUE()))</f>
        <v>0.497802417146286</v>
      </c>
      <c r="AC39" s="10" t="n">
        <f aca="false">IF(AB39="","",NORMDIST(CEILING(F39,1)-0.5,Z39,AA39,TRUE()))</f>
        <v>0.413939910277129</v>
      </c>
      <c r="AD39" s="0" t="str">
        <f aca="false">IF(AB39="","",IF(AB39&gt;=0.5+Config!$B$6,"OVER",IF(AC39&gt;=0.5+Config!$B$6,"UNDER","—")))</f>
        <v>—</v>
      </c>
      <c r="AE39" s="13" t="n">
        <f aca="false">IFERROR(Z39/G39,"")</f>
        <v>1.02457918806831</v>
      </c>
    </row>
    <row r="40" customFormat="false" ht="15" hidden="false" customHeight="false" outlineLevel="0" collapsed="false">
      <c r="A40" s="0" t="s">
        <v>568</v>
      </c>
      <c r="B40" s="0" t="s">
        <v>583</v>
      </c>
      <c r="C40" s="0" t="s">
        <v>692</v>
      </c>
      <c r="D40" s="0" t="s">
        <v>588</v>
      </c>
      <c r="E40" s="0" t="s">
        <v>641</v>
      </c>
      <c r="F40" s="0" t="n">
        <v>27.5</v>
      </c>
      <c r="G40" s="11" t="n">
        <f aca="false">IFERROR(INDEX(CHOOSE(MATCH($X40,{"K1","K2","K3","K12","K13","H1","H2","H3","H12","H13"},0),Calc!$V$2:$V$42,Calc!$AC$2:$AC$42,Calc!$AJ$2:$AJ$42,Calc!$AL$2:$AL$42,Calc!$AM$2:$AM$42,Calc!$W$2:$W$42,Calc!$AD$2:$AD$42,Calc!$AK$2:$AK$42,Calc!$AN$2:$AN$42,Calc!$AO$2:$AO$42),MATCH($W40,Calc!$A$2:$A$42,0)),"")</f>
        <v>29.0621136363636</v>
      </c>
      <c r="H40" s="11" t="n">
        <f aca="false">IF(G40="","",IF(LEFT($X40,1)="H",SQRT(G40*(IFERROR(INDEX(Calc!$AP$2:$AP$42,MATCH($W40,Calc!$A$2:$A$42,0)),0.5)*Config!$B$5+1-IFERROR(INDEX(Calc!$AP$2:$AP$42,MATCH($W40,Calc!$A$2:$A$42,0)),0.5))),SQRT(G40*Config!$B$5)))</f>
        <v>6.37863301114816</v>
      </c>
      <c r="I40" s="10" t="n">
        <f aca="false">IF(OR(F40="",G40="",N(H40)&lt;=0),"",1-NORMDIST(FLOOR(F40,1)+0.5,G40,H40,TRUE()))</f>
        <v>0.596732244415716</v>
      </c>
      <c r="J40" s="10" t="n">
        <f aca="false">IF(I40="","",NORMDIST(CEILING(F40,1)-0.5,G40,H40,TRUE()))</f>
        <v>0.403267755584284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OVER</v>
      </c>
      <c r="N40" s="0" t="n">
        <v>29.1</v>
      </c>
      <c r="O40" s="10" t="n">
        <v>0.6</v>
      </c>
      <c r="P40" s="10" t="n">
        <v>0.5</v>
      </c>
      <c r="Q40" s="10" t="n">
        <v>0.53</v>
      </c>
      <c r="R40" s="9" t="s">
        <v>638</v>
      </c>
      <c r="S40" s="0" t="n">
        <v>1</v>
      </c>
      <c r="T40" s="0" t="str">
        <f aca="false">INDEX(Calc!$G$2:$G$42,MATCH($W40,Calc!$A$2:$A$42,0))&amp;" / "&amp;INDEX(Calc!$H$2:$H$42,MATCH($W40,Calc!$A$2:$A$42,0))</f>
        <v>Anubis / Dust2</v>
      </c>
      <c r="U40" s="0" t="str">
        <f aca="false">TEXT(INDEX(Calc!$J$2:$J$42,MATCH($W40,Calc!$A$2:$A$42,0)),"0.0")&amp;" / "&amp;TEXT(INDEX(Calc!$K$2:$K$42,MATCH($W40,Calc!$A$2:$A$42,0)),"0.0")</f>
        <v>21.0 / 21.0</v>
      </c>
      <c r="V40" s="0" t="str">
        <f aca="false">IFERROR(INDEX(Calc!$AQ$2:$AQ$42,MATCH($W40,Calc!$A$2:$A$42,0)),"")</f>
        <v/>
      </c>
      <c r="W40" s="9" t="s">
        <v>693</v>
      </c>
      <c r="X40" s="9" t="s">
        <v>642</v>
      </c>
      <c r="Y40" s="0" t="str">
        <f aca="false">W40&amp;"|"&amp;X40</f>
        <v>3ur3fyq90jlwliy|CS2 · JJH vs NXS|K12</v>
      </c>
      <c r="Z40" s="11" t="n">
        <f aca="false">IFERROR(INDEX(CHOOSE(MATCH($X40,{"K1","K2","K3","K12","K13","H1","H2","H3","H12","H13"},0),Calc!$BA$2:$BA$42,Calc!$BB$2:$BB$42,Calc!$BC$2:$BC$42,Calc!$BD$2:$BD$42,Calc!$BE$2:$BE$42,Calc!$BF$2:$BF$42,Calc!$BG$2:$BG$42,Calc!$BH$2:$BH$42,Calc!$BI$2:$BI$42,Calc!$BJ$2:$BJ$42),MATCH($W40,Calc!$A$2:$A$42,0)),"")</f>
        <v>29.7720016194255</v>
      </c>
      <c r="AA40" s="11" t="n">
        <f aca="false">IF(Z40="","",IF(LEFT($X40,1)="H",SQRT(Z40*(IFERROR(INDEX(Calc!$AP$2:$AP$42,MATCH($W40,Calc!$A$2:$A$42,0)),0.5)*Config!$B$5+1-IFERROR(INDEX(Calc!$AP$2:$AP$42,MATCH($W40,Calc!$A$2:$A$42,0)),0.5))),SQRT(Z40*Config!$B$5)))</f>
        <v>6.45606708973782</v>
      </c>
      <c r="AB40" s="10" t="n">
        <f aca="false">IF(OR(F40="",Z40="",N(AA40)&lt;=0),"",1-NORMDIST(FLOOR(F40,1)+0.5,Z40,AA40,TRUE()))</f>
        <v>0.637549853098892</v>
      </c>
      <c r="AC40" s="10" t="n">
        <f aca="false">IF(AB40="","",NORMDIST(CEILING(F40,1)-0.5,Z40,AA40,TRUE()))</f>
        <v>0.362450146901108</v>
      </c>
      <c r="AD40" s="0" t="str">
        <f aca="false">IF(AB40="","",IF(AB40&gt;=0.5+Config!$B$6,"OVER",IF(AC40&gt;=0.5+Config!$B$6,"UNDER","—")))</f>
        <v>OVER</v>
      </c>
      <c r="AE40" s="13" t="n">
        <f aca="false">IFERROR(Z40/G40,"")</f>
        <v>1.02442657791323</v>
      </c>
    </row>
    <row r="41" customFormat="false" ht="15" hidden="false" customHeight="false" outlineLevel="0" collapsed="false">
      <c r="A41" s="0" t="s">
        <v>568</v>
      </c>
      <c r="B41" s="0" t="s">
        <v>583</v>
      </c>
      <c r="C41" s="0" t="s">
        <v>694</v>
      </c>
      <c r="D41" s="0" t="s">
        <v>588</v>
      </c>
      <c r="E41" s="0" t="s">
        <v>637</v>
      </c>
      <c r="F41" s="0" t="n">
        <v>16.5</v>
      </c>
      <c r="G41" s="11" t="n">
        <f aca="false">IFERROR(INDEX(CHOOSE(MATCH($X41,{"K1","K2","K3","K12","K13","H1","H2","H3","H12","H13"},0),Calc!$V$2:$V$42,Calc!$AC$2:$AC$42,Calc!$AJ$2:$AJ$42,Calc!$AL$2:$AL$42,Calc!$AM$2:$AM$42,Calc!$W$2:$W$42,Calc!$AD$2:$AD$42,Calc!$AK$2:$AK$42,Calc!$AN$2:$AN$42,Calc!$AO$2:$AO$42),MATCH($W41,Calc!$A$2:$A$42,0)),"")</f>
        <v>15.2148327766529</v>
      </c>
      <c r="H41" s="11" t="n">
        <f aca="false">IF(G41="","",IF(LEFT($X41,1)="H",SQRT(G41*(IFERROR(INDEX(Calc!$AP$2:$AP$42,MATCH($W41,Calc!$A$2:$A$42,0)),0.5)*Config!$B$5+1-IFERROR(INDEX(Calc!$AP$2:$AP$42,MATCH($W41,Calc!$A$2:$A$42,0)),0.5))),SQRT(G41*Config!$B$5)))</f>
        <v>4.28965792597557</v>
      </c>
      <c r="I41" s="10" t="n">
        <f aca="false">IF(OR(F41="",G41="",N(H41)&lt;=0),"",1-NORMDIST(FLOOR(F41,1)+0.5,G41,H41,TRUE()))</f>
        <v>0.382242412858236</v>
      </c>
      <c r="J41" s="10" t="n">
        <f aca="false">IF(I41="","",NORMDIST(CEILING(F41,1)-0.5,G41,H41,TRUE()))</f>
        <v>0.617757587141764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UNDER</v>
      </c>
      <c r="N41" s="0" t="n">
        <v>16.8</v>
      </c>
      <c r="O41" s="10" t="n">
        <v>0.4</v>
      </c>
      <c r="P41" s="10" t="n">
        <v>0.5</v>
      </c>
      <c r="Q41" s="10" t="n">
        <v>0.4</v>
      </c>
      <c r="R41" s="9" t="s">
        <v>638</v>
      </c>
      <c r="S41" s="0" t="n">
        <v>1</v>
      </c>
      <c r="T41" s="0" t="str">
        <f aca="false">INDEX(Calc!$G$2:$G$42,MATCH($W41,Calc!$A$2:$A$42,0))&amp;" / "&amp;INDEX(Calc!$H$2:$H$42,MATCH($W41,Calc!$A$2:$A$42,0))</f>
        <v>Anubis / Dust2</v>
      </c>
      <c r="U41" s="0" t="str">
        <f aca="false">TEXT(INDEX(Calc!$J$2:$J$42,MATCH($W41,Calc!$A$2:$A$42,0)),"0.0")&amp;" / "&amp;TEXT(INDEX(Calc!$K$2:$K$42,MATCH($W41,Calc!$A$2:$A$42,0)),"0.0")</f>
        <v>21.0 / 21.0</v>
      </c>
      <c r="V41" s="0" t="str">
        <f aca="false">IFERROR(INDEX(Calc!$AQ$2:$AQ$42,MATCH($W41,Calc!$A$2:$A$42,0)),"")</f>
        <v/>
      </c>
      <c r="W41" s="9" t="s">
        <v>695</v>
      </c>
      <c r="X41" s="9" t="s">
        <v>640</v>
      </c>
      <c r="Y41" s="0" t="str">
        <f aca="false">W41&amp;"|"&amp;X41</f>
        <v>lykfimmteia2jqy|CS2 · JJH vs NXS|H12</v>
      </c>
      <c r="Z41" s="11" t="n">
        <f aca="false">IFERROR(INDEX(CHOOSE(MATCH($X41,{"K1","K2","K3","K12","K13","H1","H2","H3","H12","H13"},0),Calc!$BA$2:$BA$42,Calc!$BB$2:$BB$42,Calc!$BC$2:$BC$42,Calc!$BD$2:$BD$42,Calc!$BE$2:$BE$42,Calc!$BF$2:$BF$42,Calc!$BG$2:$BG$42,Calc!$BH$2:$BH$42,Calc!$BI$2:$BI$42,Calc!$BJ$2:$BJ$42),MATCH($W41,Calc!$A$2:$A$42,0)),"")</f>
        <v>15.6093651990182</v>
      </c>
      <c r="AA41" s="11" t="n">
        <f aca="false">IF(Z41="","",IF(LEFT($X41,1)="H",SQRT(Z41*(IFERROR(INDEX(Calc!$AP$2:$AP$42,MATCH($W41,Calc!$A$2:$A$42,0)),0.5)*Config!$B$5+1-IFERROR(INDEX(Calc!$AP$2:$AP$42,MATCH($W41,Calc!$A$2:$A$42,0)),0.5))),SQRT(Z41*Config!$B$5)))</f>
        <v>4.34491905735008</v>
      </c>
      <c r="AB41" s="10" t="n">
        <f aca="false">IF(OR(F41="",Z41="",N(AA41)&lt;=0),"",1-NORMDIST(FLOOR(F41,1)+0.5,Z41,AA41,TRUE()))</f>
        <v>0.4187926803395</v>
      </c>
      <c r="AC41" s="10" t="n">
        <f aca="false">IF(AB41="","",NORMDIST(CEILING(F41,1)-0.5,Z41,AA41,TRUE()))</f>
        <v>0.5812073196605</v>
      </c>
      <c r="AD41" s="0" t="str">
        <f aca="false">IF(AB41="","",IF(AB41&gt;=0.5+Config!$B$6,"OVER",IF(AC41&gt;=0.5+Config!$B$6,"UNDER","—")))</f>
        <v>UNDER</v>
      </c>
      <c r="AE41" s="13" t="n">
        <f aca="false">IFERROR(Z41/G41,"")</f>
        <v>1.02593077611544</v>
      </c>
    </row>
    <row r="42" customFormat="false" ht="15" hidden="false" customHeight="false" outlineLevel="0" collapsed="false">
      <c r="A42" s="0" t="s">
        <v>568</v>
      </c>
      <c r="B42" s="0" t="s">
        <v>583</v>
      </c>
      <c r="C42" s="0" t="s">
        <v>694</v>
      </c>
      <c r="D42" s="0" t="s">
        <v>588</v>
      </c>
      <c r="E42" s="0" t="s">
        <v>641</v>
      </c>
      <c r="F42" s="0" t="n">
        <v>31.5</v>
      </c>
      <c r="G42" s="11" t="n">
        <f aca="false">IFERROR(INDEX(CHOOSE(MATCH($X42,{"K1","K2","K3","K12","K13","H1","H2","H3","H12","H13"},0),Calc!$V$2:$V$42,Calc!$AC$2:$AC$42,Calc!$AJ$2:$AJ$42,Calc!$AL$2:$AL$42,Calc!$AM$2:$AM$42,Calc!$W$2:$W$42,Calc!$AD$2:$AD$42,Calc!$AK$2:$AK$42,Calc!$AN$2:$AN$42,Calc!$AO$2:$AO$42),MATCH($W42,Calc!$A$2:$A$42,0)),"")</f>
        <v>29.0605136363636</v>
      </c>
      <c r="H42" s="11" t="n">
        <f aca="false">IF(G42="","",IF(LEFT($X42,1)="H",SQRT(G42*(IFERROR(INDEX(Calc!$AP$2:$AP$42,MATCH($W42,Calc!$A$2:$A$42,0)),0.5)*Config!$B$5+1-IFERROR(INDEX(Calc!$AP$2:$AP$42,MATCH($W42,Calc!$A$2:$A$42,0)),0.5))),SQRT(G42*Config!$B$5)))</f>
        <v>6.37845742252067</v>
      </c>
      <c r="I42" s="10" t="n">
        <f aca="false">IF(OR(F42="",G42="",N(H42)&lt;=0),"",1-NORMDIST(FLOOR(F42,1)+0.5,G42,H42,TRUE()))</f>
        <v>0.351061169857232</v>
      </c>
      <c r="J42" s="10" t="n">
        <f aca="false">IF(I42="","",NORMDIST(CEILING(F42,1)-0.5,G42,H42,TRUE()))</f>
        <v>0.648938830142768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UNDER</v>
      </c>
      <c r="N42" s="0" t="n">
        <v>31.3</v>
      </c>
      <c r="O42" s="10" t="n">
        <v>0.4</v>
      </c>
      <c r="P42" s="10" t="n">
        <v>0.5</v>
      </c>
      <c r="Q42" s="10" t="n">
        <v>0.33</v>
      </c>
      <c r="R42" s="9" t="s">
        <v>638</v>
      </c>
      <c r="S42" s="0" t="n">
        <v>1</v>
      </c>
      <c r="T42" s="0" t="str">
        <f aca="false">INDEX(Calc!$G$2:$G$42,MATCH($W42,Calc!$A$2:$A$42,0))&amp;" / "&amp;INDEX(Calc!$H$2:$H$42,MATCH($W42,Calc!$A$2:$A$42,0))</f>
        <v>Anubis / Dust2</v>
      </c>
      <c r="U42" s="0" t="str">
        <f aca="false">TEXT(INDEX(Calc!$J$2:$J$42,MATCH($W42,Calc!$A$2:$A$42,0)),"0.0")&amp;" / "&amp;TEXT(INDEX(Calc!$K$2:$K$42,MATCH($W42,Calc!$A$2:$A$42,0)),"0.0")</f>
        <v>21.0 / 21.0</v>
      </c>
      <c r="V42" s="0" t="str">
        <f aca="false">IFERROR(INDEX(Calc!$AQ$2:$AQ$42,MATCH($W42,Calc!$A$2:$A$42,0)),"")</f>
        <v/>
      </c>
      <c r="W42" s="9" t="s">
        <v>695</v>
      </c>
      <c r="X42" s="9" t="s">
        <v>642</v>
      </c>
      <c r="Y42" s="0" t="str">
        <f aca="false">W42&amp;"|"&amp;X42</f>
        <v>lykfimmteia2jqy|CS2 · JJH vs NXS|K12</v>
      </c>
      <c r="Z42" s="11" t="n">
        <f aca="false">IFERROR(INDEX(CHOOSE(MATCH($X42,{"K1","K2","K3","K12","K13","H1","H2","H3","H12","H13"},0),Calc!$BA$2:$BA$42,Calc!$BB$2:$BB$42,Calc!$BC$2:$BC$42,Calc!$BD$2:$BD$42,Calc!$BE$2:$BE$42,Calc!$BF$2:$BF$42,Calc!$BG$2:$BG$42,Calc!$BH$2:$BH$42,Calc!$BI$2:$BI$42,Calc!$BJ$2:$BJ$42),MATCH($W42,Calc!$A$2:$A$42,0)),"")</f>
        <v>29.7966758075919</v>
      </c>
      <c r="AA42" s="11" t="n">
        <f aca="false">IF(Z42="","",IF(LEFT($X42,1)="H",SQRT(Z42*(IFERROR(INDEX(Calc!$AP$2:$AP$42,MATCH($W42,Calc!$A$2:$A$42,0)),0.5)*Config!$B$5+1-IFERROR(INDEX(Calc!$AP$2:$AP$42,MATCH($W42,Calc!$A$2:$A$42,0)),0.5))),SQRT(Z42*Config!$B$5)))</f>
        <v>6.45874183805396</v>
      </c>
      <c r="AB42" s="10" t="n">
        <f aca="false">IF(OR(F42="",Z42="",N(AA42)&lt;=0),"",1-NORMDIST(FLOOR(F42,1)+0.5,Z42,AA42,TRUE()))</f>
        <v>0.395996362407017</v>
      </c>
      <c r="AC42" s="10" t="n">
        <f aca="false">IF(AB42="","",NORMDIST(CEILING(F42,1)-0.5,Z42,AA42,TRUE()))</f>
        <v>0.604003637592983</v>
      </c>
      <c r="AD42" s="0" t="str">
        <f aca="false">IF(AB42="","",IF(AB42&gt;=0.5+Config!$B$6,"OVER",IF(AC42&gt;=0.5+Config!$B$6,"UNDER","—")))</f>
        <v>UNDER</v>
      </c>
      <c r="AE42" s="13" t="n">
        <f aca="false">IFERROR(Z42/G42,"")</f>
        <v>1.02533204266242</v>
      </c>
    </row>
    <row r="43" customFormat="false" ht="15" hidden="false" customHeight="false" outlineLevel="0" collapsed="false">
      <c r="A43" s="0" t="s">
        <v>568</v>
      </c>
      <c r="B43" s="0" t="s">
        <v>583</v>
      </c>
      <c r="C43" s="0" t="s">
        <v>696</v>
      </c>
      <c r="D43" s="0" t="s">
        <v>588</v>
      </c>
      <c r="E43" s="0" t="s">
        <v>637</v>
      </c>
      <c r="F43" s="0" t="n">
        <v>10.5</v>
      </c>
      <c r="G43" s="11" t="n">
        <f aca="false">IFERROR(INDEX(CHOOSE(MATCH($X43,{"K1","K2","K3","K12","K13","H1","H2","H3","H12","H13"},0),Calc!$V$2:$V$42,Calc!$AC$2:$AC$42,Calc!$AJ$2:$AJ$42,Calc!$AL$2:$AL$42,Calc!$AM$2:$AM$42,Calc!$W$2:$W$42,Calc!$AD$2:$AD$42,Calc!$AK$2:$AK$42,Calc!$AN$2:$AN$42,Calc!$AO$2:$AO$42),MATCH($W43,Calc!$A$2:$A$42,0)),"")</f>
        <v>10.5321528258264</v>
      </c>
      <c r="H43" s="11" t="n">
        <f aca="false">IF(G43="","",IF(LEFT($X43,1)="H",SQRT(G43*(IFERROR(INDEX(Calc!$AP$2:$AP$42,MATCH($W43,Calc!$A$2:$A$42,0)),0.5)*Config!$B$5+1-IFERROR(INDEX(Calc!$AP$2:$AP$42,MATCH($W43,Calc!$A$2:$A$42,0)),0.5))),SQRT(G43*Config!$B$5)))</f>
        <v>3.45562741982537</v>
      </c>
      <c r="I43" s="10" t="n">
        <f aca="false">IF(OR(F43="",G43="",N(H43)&lt;=0),"",1-NORMDIST(FLOOR(F43,1)+0.5,G43,H43,TRUE()))</f>
        <v>0.503711898020056</v>
      </c>
      <c r="J43" s="10" t="n">
        <f aca="false">IF(I43="","",NORMDIST(CEILING(F43,1)-0.5,G43,H43,TRUE()))</f>
        <v>0.496288101979944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—</v>
      </c>
      <c r="N43" s="0" t="n">
        <v>10.9</v>
      </c>
      <c r="O43" s="10" t="n">
        <v>0.6</v>
      </c>
      <c r="P43" s="10" t="n">
        <v>0.4</v>
      </c>
      <c r="Q43" s="10" t="n">
        <v>0.4</v>
      </c>
      <c r="R43" s="9" t="s">
        <v>638</v>
      </c>
      <c r="S43" s="0" t="n">
        <v>2</v>
      </c>
      <c r="T43" s="0" t="str">
        <f aca="false">INDEX(Calc!$G$2:$G$42,MATCH($W43,Calc!$A$2:$A$42,0))&amp;" / "&amp;INDEX(Calc!$H$2:$H$42,MATCH($W43,Calc!$A$2:$A$42,0))</f>
        <v>Anubis / Dust2</v>
      </c>
      <c r="U43" s="0" t="str">
        <f aca="false">TEXT(INDEX(Calc!$J$2:$J$42,MATCH($W43,Calc!$A$2:$A$42,0)),"0.0")&amp;" / "&amp;TEXT(INDEX(Calc!$K$2:$K$42,MATCH($W43,Calc!$A$2:$A$42,0)),"0.0")</f>
        <v>21.0 / 21.0</v>
      </c>
      <c r="V43" s="0" t="str">
        <f aca="false">IFERROR(INDEX(Calc!$AQ$2:$AQ$42,MATCH($W43,Calc!$A$2:$A$42,0)),"")</f>
        <v/>
      </c>
      <c r="W43" s="9" t="s">
        <v>697</v>
      </c>
      <c r="X43" s="9" t="s">
        <v>640</v>
      </c>
      <c r="Y43" s="0" t="str">
        <f aca="false">W43&amp;"|"&amp;X43</f>
        <v>u9fufnbk30lfitd|CS2 · JJH vs NXS|H12</v>
      </c>
      <c r="Z43" s="11" t="n">
        <f aca="false">IFERROR(INDEX(CHOOSE(MATCH($X43,{"K1","K2","K3","K12","K13","H1","H2","H3","H12","H13"},0),Calc!$BA$2:$BA$42,Calc!$BB$2:$BB$42,Calc!$BC$2:$BC$42,Calc!$BD$2:$BD$42,Calc!$BE$2:$BE$42,Calc!$BF$2:$BF$42,Calc!$BG$2:$BG$42,Calc!$BH$2:$BH$42,Calc!$BI$2:$BI$42,Calc!$BJ$2:$BJ$42),MATCH($W43,Calc!$A$2:$A$42,0)),"")</f>
        <v>10.7944284207167</v>
      </c>
      <c r="AA43" s="11" t="n">
        <f aca="false">IF(Z43="","",IF(LEFT($X43,1)="H",SQRT(Z43*(IFERROR(INDEX(Calc!$AP$2:$AP$42,MATCH($W43,Calc!$A$2:$A$42,0)),0.5)*Config!$B$5+1-IFERROR(INDEX(Calc!$AP$2:$AP$42,MATCH($W43,Calc!$A$2:$A$42,0)),0.5))),SQRT(Z43*Config!$B$5)))</f>
        <v>3.49838949851484</v>
      </c>
      <c r="AB43" s="10" t="n">
        <f aca="false">IF(OR(F43="",Z43="",N(AA43)&lt;=0),"",1-NORMDIST(FLOOR(F43,1)+0.5,Z43,AA43,TRUE()))</f>
        <v>0.533535839699411</v>
      </c>
      <c r="AC43" s="10" t="n">
        <f aca="false">IF(AB43="","",NORMDIST(CEILING(F43,1)-0.5,Z43,AA43,TRUE()))</f>
        <v>0.466464160300589</v>
      </c>
      <c r="AD43" s="0" t="str">
        <f aca="false">IF(AB43="","",IF(AB43&gt;=0.5+Config!$B$6,"OVER",IF(AC43&gt;=0.5+Config!$B$6,"UNDER","—")))</f>
        <v>—</v>
      </c>
      <c r="AE43" s="13" t="n">
        <f aca="false">IFERROR(Z43/G43,"")</f>
        <v>1.02490237268939</v>
      </c>
    </row>
    <row r="44" customFormat="false" ht="15" hidden="false" customHeight="false" outlineLevel="0" collapsed="false">
      <c r="A44" s="0" t="s">
        <v>568</v>
      </c>
      <c r="B44" s="0" t="s">
        <v>583</v>
      </c>
      <c r="C44" s="0" t="s">
        <v>696</v>
      </c>
      <c r="D44" s="0" t="s">
        <v>588</v>
      </c>
      <c r="E44" s="0" t="s">
        <v>641</v>
      </c>
      <c r="F44" s="0" t="n">
        <v>31.5</v>
      </c>
      <c r="G44" s="11" t="n">
        <f aca="false">IFERROR(INDEX(CHOOSE(MATCH($X44,{"K1","K2","K3","K12","K13","H1","H2","H3","H12","H13"},0),Calc!$V$2:$V$42,Calc!$AC$2:$AC$42,Calc!$AJ$2:$AJ$42,Calc!$AL$2:$AL$42,Calc!$AM$2:$AM$42,Calc!$W$2:$W$42,Calc!$AD$2:$AD$42,Calc!$AK$2:$AK$42,Calc!$AN$2:$AN$42,Calc!$AO$2:$AO$42),MATCH($W44,Calc!$A$2:$A$42,0)),"")</f>
        <v>31.4861227272727</v>
      </c>
      <c r="H44" s="11" t="n">
        <f aca="false">IF(G44="","",IF(LEFT($X44,1)="H",SQRT(G44*(IFERROR(INDEX(Calc!$AP$2:$AP$42,MATCH($W44,Calc!$A$2:$A$42,0)),0.5)*Config!$B$5+1-IFERROR(INDEX(Calc!$AP$2:$AP$42,MATCH($W44,Calc!$A$2:$A$42,0)),0.5))),SQRT(G44*Config!$B$5)))</f>
        <v>6.63932013222603</v>
      </c>
      <c r="I44" s="10" t="n">
        <f aca="false">IF(OR(F44="",G44="",N(H44)&lt;=0),"",1-NORMDIST(FLOOR(F44,1)+0.5,G44,H44,TRUE()))</f>
        <v>0.499166145526016</v>
      </c>
      <c r="J44" s="10" t="n">
        <f aca="false">IF(I44="","",NORMDIST(CEILING(F44,1)-0.5,G44,H44,TRUE()))</f>
        <v>0.500833854473984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—</v>
      </c>
      <c r="N44" s="0" t="n">
        <v>34</v>
      </c>
      <c r="O44" s="10" t="n">
        <v>0.6</v>
      </c>
      <c r="P44" s="10" t="n">
        <v>0.7</v>
      </c>
      <c r="Q44" s="10" t="n">
        <v>0.6</v>
      </c>
      <c r="R44" s="9" t="s">
        <v>638</v>
      </c>
      <c r="S44" s="0" t="n">
        <v>2</v>
      </c>
      <c r="T44" s="0" t="str">
        <f aca="false">INDEX(Calc!$G$2:$G$42,MATCH($W44,Calc!$A$2:$A$42,0))&amp;" / "&amp;INDEX(Calc!$H$2:$H$42,MATCH($W44,Calc!$A$2:$A$42,0))</f>
        <v>Anubis / Dust2</v>
      </c>
      <c r="U44" s="0" t="str">
        <f aca="false">TEXT(INDEX(Calc!$J$2:$J$42,MATCH($W44,Calc!$A$2:$A$42,0)),"0.0")&amp;" / "&amp;TEXT(INDEX(Calc!$K$2:$K$42,MATCH($W44,Calc!$A$2:$A$42,0)),"0.0")</f>
        <v>21.0 / 21.0</v>
      </c>
      <c r="V44" s="0" t="str">
        <f aca="false">IFERROR(INDEX(Calc!$AQ$2:$AQ$42,MATCH($W44,Calc!$A$2:$A$42,0)),"")</f>
        <v/>
      </c>
      <c r="W44" s="9" t="s">
        <v>697</v>
      </c>
      <c r="X44" s="9" t="s">
        <v>642</v>
      </c>
      <c r="Y44" s="0" t="str">
        <f aca="false">W44&amp;"|"&amp;X44</f>
        <v>u9fufnbk30lfitd|CS2 · JJH vs NXS|K12</v>
      </c>
      <c r="Z44" s="11" t="n">
        <f aca="false">IFERROR(INDEX(CHOOSE(MATCH($X44,{"K1","K2","K3","K12","K13","H1","H2","H3","H12","H13"},0),Calc!$BA$2:$BA$42,Calc!$BB$2:$BB$42,Calc!$BC$2:$BC$42,Calc!$BD$2:$BD$42,Calc!$BE$2:$BE$42,Calc!$BF$2:$BF$42,Calc!$BG$2:$BG$42,Calc!$BH$2:$BH$42,Calc!$BI$2:$BI$42,Calc!$BJ$2:$BJ$42),MATCH($W44,Calc!$A$2:$A$42,0)),"")</f>
        <v>32.2850384845845</v>
      </c>
      <c r="AA44" s="11" t="n">
        <f aca="false">IF(Z44="","",IF(LEFT($X44,1)="H",SQRT(Z44*(IFERROR(INDEX(Calc!$AP$2:$AP$42,MATCH($W44,Calc!$A$2:$A$42,0)),0.5)*Config!$B$5+1-IFERROR(INDEX(Calc!$AP$2:$AP$42,MATCH($W44,Calc!$A$2:$A$42,0)),0.5))),SQRT(Z44*Config!$B$5)))</f>
        <v>6.72302416167146</v>
      </c>
      <c r="AB44" s="10" t="n">
        <f aca="false">IF(OR(F44="",Z44="",N(AA44)&lt;=0),"",1-NORMDIST(FLOOR(F44,1)+0.5,Z44,AA44,TRUE()))</f>
        <v>0.546478308008242</v>
      </c>
      <c r="AC44" s="10" t="n">
        <f aca="false">IF(AB44="","",NORMDIST(CEILING(F44,1)-0.5,Z44,AA44,TRUE()))</f>
        <v>0.453521691991758</v>
      </c>
      <c r="AD44" s="0" t="str">
        <f aca="false">IF(AB44="","",IF(AB44&gt;=0.5+Config!$B$6,"OVER",IF(AC44&gt;=0.5+Config!$B$6,"UNDER","—")))</f>
        <v>OVER</v>
      </c>
      <c r="AE44" s="13" t="n">
        <f aca="false">IFERROR(Z44/G44,"")</f>
        <v>1.02537358328403</v>
      </c>
    </row>
    <row r="45" customFormat="false" ht="15" hidden="false" customHeight="false" outlineLevel="0" collapsed="false">
      <c r="A45" s="0" t="s">
        <v>568</v>
      </c>
      <c r="B45" s="0" t="s">
        <v>583</v>
      </c>
      <c r="C45" s="0" t="s">
        <v>698</v>
      </c>
      <c r="D45" s="0" t="s">
        <v>588</v>
      </c>
      <c r="E45" s="0" t="s">
        <v>637</v>
      </c>
      <c r="F45" s="0" t="n">
        <v>15</v>
      </c>
      <c r="G45" s="11" t="n">
        <f aca="false">IFERROR(INDEX(CHOOSE(MATCH($X45,{"K1","K2","K3","K12","K13","H1","H2","H3","H12","H13"},0),Calc!$V$2:$V$42,Calc!$AC$2:$AC$42,Calc!$AJ$2:$AJ$42,Calc!$AL$2:$AL$42,Calc!$AM$2:$AM$42,Calc!$W$2:$W$42,Calc!$AD$2:$AD$42,Calc!$AK$2:$AK$42,Calc!$AN$2:$AN$42,Calc!$AO$2:$AO$42),MATCH($W45,Calc!$A$2:$A$42,0)),"")</f>
        <v>13.1782405793388</v>
      </c>
      <c r="H45" s="11" t="n">
        <f aca="false">IF(G45="","",IF(LEFT($X45,1)="H",SQRT(G45*(IFERROR(INDEX(Calc!$AP$2:$AP$42,MATCH($W45,Calc!$A$2:$A$42,0)),0.5)*Config!$B$5+1-IFERROR(INDEX(Calc!$AP$2:$AP$42,MATCH($W45,Calc!$A$2:$A$42,0)),0.5))),SQRT(G45*Config!$B$5)))</f>
        <v>3.99537323163036</v>
      </c>
      <c r="I45" s="10" t="n">
        <f aca="false">IF(OR(F45="",G45="",N(H45)&lt;=0),"",1-NORMDIST(FLOOR(F45,1)+0.5,G45,H45,TRUE()))</f>
        <v>0.2805824780657</v>
      </c>
      <c r="J45" s="10" t="n">
        <f aca="false">IF(I45="","",NORMDIST(CEILING(F45,1)-0.5,G45,H45,TRUE()))</f>
        <v>0.629610723441904</v>
      </c>
      <c r="K45" s="10" t="n">
        <f aca="false">IF(I45="","",MAX(0,1-I45-J45))</f>
        <v>0.0898067984923961</v>
      </c>
      <c r="L45" s="0" t="str">
        <f aca="false">IF(I45="","",IF(I45&gt;=0.5+Config!$B$6,"OVER",IF(J45&gt;=0.5+Config!$B$6,"UNDER","—")))</f>
        <v>UNDER</v>
      </c>
      <c r="N45" s="0" t="n">
        <v>12.9</v>
      </c>
      <c r="O45" s="10" t="n">
        <v>0.6</v>
      </c>
      <c r="P45" s="10" t="n">
        <v>0.4</v>
      </c>
      <c r="Q45" s="10" t="n">
        <v>0.4</v>
      </c>
      <c r="R45" s="9" t="s">
        <v>638</v>
      </c>
      <c r="S45" s="0" t="n">
        <v>1</v>
      </c>
      <c r="T45" s="0" t="str">
        <f aca="false">INDEX(Calc!$G$2:$G$42,MATCH($W45,Calc!$A$2:$A$42,0))&amp;" / "&amp;INDEX(Calc!$H$2:$H$42,MATCH($W45,Calc!$A$2:$A$42,0))</f>
        <v>Anubis / Dust2</v>
      </c>
      <c r="U45" s="0" t="str">
        <f aca="false">TEXT(INDEX(Calc!$J$2:$J$42,MATCH($W45,Calc!$A$2:$A$42,0)),"0.0")&amp;" / "&amp;TEXT(INDEX(Calc!$K$2:$K$42,MATCH($W45,Calc!$A$2:$A$42,0)),"0.0")</f>
        <v>21.0 / 21.0</v>
      </c>
      <c r="V45" s="0" t="str">
        <f aca="false">IFERROR(INDEX(Calc!$AQ$2:$AQ$42,MATCH($W45,Calc!$A$2:$A$42,0)),"")</f>
        <v/>
      </c>
      <c r="W45" s="9" t="s">
        <v>699</v>
      </c>
      <c r="X45" s="9" t="s">
        <v>640</v>
      </c>
      <c r="Y45" s="0" t="str">
        <f aca="false">W45&amp;"|"&amp;X45</f>
        <v>r77hvt5nvgfdk4q|CS2 · JJH vs NXS|H12</v>
      </c>
      <c r="Z45" s="11" t="n">
        <f aca="false">IFERROR(INDEX(CHOOSE(MATCH($X45,{"K1","K2","K3","K12","K13","H1","H2","H3","H12","H13"},0),Calc!$BA$2:$BA$42,Calc!$BB$2:$BB$42,Calc!$BC$2:$BC$42,Calc!$BD$2:$BD$42,Calc!$BE$2:$BE$42,Calc!$BF$2:$BF$42,Calc!$BG$2:$BG$42,Calc!$BH$2:$BH$42,Calc!$BI$2:$BI$42,Calc!$BJ$2:$BJ$42),MATCH($W45,Calc!$A$2:$A$42,0)),"")</f>
        <v>13.4938170497332</v>
      </c>
      <c r="AA45" s="11" t="n">
        <f aca="false">IF(Z45="","",IF(LEFT($X45,1)="H",SQRT(Z45*(IFERROR(INDEX(Calc!$AP$2:$AP$42,MATCH($W45,Calc!$A$2:$A$42,0)),0.5)*Config!$B$5+1-IFERROR(INDEX(Calc!$AP$2:$AP$42,MATCH($W45,Calc!$A$2:$A$42,0)),0.5))),SQRT(Z45*Config!$B$5)))</f>
        <v>4.04292838601523</v>
      </c>
      <c r="AB45" s="10" t="n">
        <f aca="false">IF(OR(F45="",Z45="",N(AA45)&lt;=0),"",1-NORMDIST(FLOOR(F45,1)+0.5,Z45,AA45,TRUE()))</f>
        <v>0.309869511329727</v>
      </c>
      <c r="AC45" s="10" t="n">
        <f aca="false">IF(AB45="","",NORMDIST(CEILING(F45,1)-0.5,Z45,AA45,TRUE()))</f>
        <v>0.598271181475667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1.02394678322151</v>
      </c>
    </row>
    <row r="46" customFormat="false" ht="15" hidden="false" customHeight="false" outlineLevel="0" collapsed="false">
      <c r="A46" s="0" t="s">
        <v>568</v>
      </c>
      <c r="B46" s="0" t="s">
        <v>583</v>
      </c>
      <c r="C46" s="0" t="s">
        <v>698</v>
      </c>
      <c r="D46" s="0" t="s">
        <v>588</v>
      </c>
      <c r="E46" s="0" t="s">
        <v>641</v>
      </c>
      <c r="F46" s="0" t="n">
        <v>27.5</v>
      </c>
      <c r="G46" s="11" t="n">
        <f aca="false">IFERROR(INDEX(CHOOSE(MATCH($X46,{"K1","K2","K3","K12","K13","H1","H2","H3","H12","H13"},0),Calc!$V$2:$V$42,Calc!$AC$2:$AC$42,Calc!$AJ$2:$AJ$42,Calc!$AL$2:$AL$42,Calc!$AM$2:$AM$42,Calc!$W$2:$W$42,Calc!$AD$2:$AD$42,Calc!$AK$2:$AK$42,Calc!$AN$2:$AN$42,Calc!$AO$2:$AO$42),MATCH($W46,Calc!$A$2:$A$42,0)),"")</f>
        <v>24.9451454545455</v>
      </c>
      <c r="H46" s="11" t="n">
        <f aca="false">IF(G46="","",IF(LEFT($X46,1)="H",SQRT(G46*(IFERROR(INDEX(Calc!$AP$2:$AP$42,MATCH($W46,Calc!$A$2:$A$42,0)),0.5)*Config!$B$5+1-IFERROR(INDEX(Calc!$AP$2:$AP$42,MATCH($W46,Calc!$A$2:$A$42,0)),0.5))),SQRT(G46*Config!$B$5)))</f>
        <v>5.90958574151891</v>
      </c>
      <c r="I46" s="10" t="n">
        <f aca="false">IF(OR(F46="",G46="",N(H46)&lt;=0),"",1-NORMDIST(FLOOR(F46,1)+0.5,G46,H46,TRUE()))</f>
        <v>0.332753046978044</v>
      </c>
      <c r="J46" s="10" t="n">
        <f aca="false">IF(I46="","",NORMDIST(CEILING(F46,1)-0.5,G46,H46,TRUE()))</f>
        <v>0.667246953021956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UNDER</v>
      </c>
      <c r="N46" s="0" t="n">
        <v>25.3</v>
      </c>
      <c r="O46" s="10" t="n">
        <v>0.4</v>
      </c>
      <c r="P46" s="10" t="n">
        <v>0.3</v>
      </c>
      <c r="Q46" s="10" t="n">
        <v>0.2</v>
      </c>
      <c r="R46" s="9" t="s">
        <v>638</v>
      </c>
      <c r="S46" s="0" t="n">
        <v>1</v>
      </c>
      <c r="T46" s="0" t="str">
        <f aca="false">INDEX(Calc!$G$2:$G$42,MATCH($W46,Calc!$A$2:$A$42,0))&amp;" / "&amp;INDEX(Calc!$H$2:$H$42,MATCH($W46,Calc!$A$2:$A$42,0))</f>
        <v>Anubis / Dust2</v>
      </c>
      <c r="U46" s="0" t="str">
        <f aca="false">TEXT(INDEX(Calc!$J$2:$J$42,MATCH($W46,Calc!$A$2:$A$42,0)),"0.0")&amp;" / "&amp;TEXT(INDEX(Calc!$K$2:$K$42,MATCH($W46,Calc!$A$2:$A$42,0)),"0.0")</f>
        <v>21.0 / 21.0</v>
      </c>
      <c r="V46" s="0" t="str">
        <f aca="false">IFERROR(INDEX(Calc!$AQ$2:$AQ$42,MATCH($W46,Calc!$A$2:$A$42,0)),"")</f>
        <v/>
      </c>
      <c r="W46" s="9" t="s">
        <v>699</v>
      </c>
      <c r="X46" s="9" t="s">
        <v>642</v>
      </c>
      <c r="Y46" s="0" t="str">
        <f aca="false">W46&amp;"|"&amp;X46</f>
        <v>r77hvt5nvgfdk4q|CS2 · JJH vs NXS|K12</v>
      </c>
      <c r="Z46" s="11" t="n">
        <f aca="false">IFERROR(INDEX(CHOOSE(MATCH($X46,{"K1","K2","K3","K12","K13","H1","H2","H3","H12","H13"},0),Calc!$BA$2:$BA$42,Calc!$BB$2:$BB$42,Calc!$BC$2:$BC$42,Calc!$BD$2:$BD$42,Calc!$BE$2:$BE$42,Calc!$BF$2:$BF$42,Calc!$BG$2:$BG$42,Calc!$BH$2:$BH$42,Calc!$BI$2:$BI$42,Calc!$BJ$2:$BJ$42),MATCH($W46,Calc!$A$2:$A$42,0)),"")</f>
        <v>25.5661609373448</v>
      </c>
      <c r="AA46" s="11" t="n">
        <f aca="false">IF(Z46="","",IF(LEFT($X46,1)="H",SQRT(Z46*(IFERROR(INDEX(Calc!$AP$2:$AP$42,MATCH($W46,Calc!$A$2:$A$42,0)),0.5)*Config!$B$5+1-IFERROR(INDEX(Calc!$AP$2:$AP$42,MATCH($W46,Calc!$A$2:$A$42,0)),0.5))),SQRT(Z46*Config!$B$5)))</f>
        <v>5.98269381736044</v>
      </c>
      <c r="AB46" s="10" t="n">
        <f aca="false">IF(OR(F46="",Z46="",N(AA46)&lt;=0),"",1-NORMDIST(FLOOR(F46,1)+0.5,Z46,AA46,TRUE()))</f>
        <v>0.373257180784366</v>
      </c>
      <c r="AC46" s="10" t="n">
        <f aca="false">IF(AB46="","",NORMDIST(CEILING(F46,1)-0.5,Z46,AA46,TRUE()))</f>
        <v>0.626742819215634</v>
      </c>
      <c r="AD46" s="0" t="str">
        <f aca="false">IF(AB46="","",IF(AB46&gt;=0.5+Config!$B$6,"OVER",IF(AC46&gt;=0.5+Config!$B$6,"UNDER","—")))</f>
        <v>UNDER</v>
      </c>
      <c r="AE46" s="13" t="n">
        <f aca="false">IFERROR(Z46/G46,"")</f>
        <v>1.02489524400373</v>
      </c>
    </row>
    <row r="47" customFormat="false" ht="15" hidden="false" customHeight="false" outlineLevel="0" collapsed="false">
      <c r="A47" s="0" t="s">
        <v>568</v>
      </c>
      <c r="B47" s="0" t="s">
        <v>590</v>
      </c>
      <c r="C47" s="0" t="s">
        <v>700</v>
      </c>
      <c r="D47" s="0" t="s">
        <v>596</v>
      </c>
      <c r="E47" s="0" t="s">
        <v>637</v>
      </c>
      <c r="F47" s="0" t="n">
        <v>20.5</v>
      </c>
      <c r="G47" s="11" t="n">
        <f aca="false">IFERROR(INDEX(CHOOSE(MATCH($X47,{"K1","K2","K3","K12","K13","H1","H2","H3","H12","H13"},0),Calc!$V$2:$V$42,Calc!$AC$2:$AC$42,Calc!$AJ$2:$AJ$42,Calc!$AL$2:$AL$42,Calc!$AM$2:$AM$42,Calc!$W$2:$W$42,Calc!$AD$2:$AD$42,Calc!$AK$2:$AK$42,Calc!$AN$2:$AN$42,Calc!$AO$2:$AO$42),MATCH($W47,Calc!$A$2:$A$42,0)),"")</f>
        <v>20.7451428689349</v>
      </c>
      <c r="H47" s="11" t="n">
        <f aca="false">IF(G47="","",IF(LEFT($X47,1)="H",SQRT(G47*(IFERROR(INDEX(Calc!$AP$2:$AP$42,MATCH($W47,Calc!$A$2:$A$42,0)),0.5)*Config!$B$5+1-IFERROR(INDEX(Calc!$AP$2:$AP$42,MATCH($W47,Calc!$A$2:$A$42,0)),0.5))),SQRT(G47*Config!$B$5)))</f>
        <v>5.05432101775611</v>
      </c>
      <c r="I47" s="10" t="n">
        <f aca="false">IF(OR(F47="",G47="",N(H47)&lt;=0),"",1-NORMDIST(FLOOR(F47,1)+0.5,G47,H47,TRUE()))</f>
        <v>0.519341772101403</v>
      </c>
      <c r="J47" s="10" t="n">
        <f aca="false">IF(I47="","",NORMDIST(CEILING(F47,1)-0.5,G47,H47,TRUE()))</f>
        <v>0.480658227898597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—</v>
      </c>
      <c r="N47" s="0" t="n">
        <v>21</v>
      </c>
      <c r="O47" s="10" t="n">
        <v>0.6</v>
      </c>
      <c r="P47" s="10" t="n">
        <v>0.5</v>
      </c>
      <c r="Q47" s="10" t="n">
        <v>0.47</v>
      </c>
      <c r="R47" s="9" t="s">
        <v>674</v>
      </c>
      <c r="S47" s="0" t="n">
        <v>-1</v>
      </c>
      <c r="T47" s="0" t="str">
        <f aca="false">INDEX(Calc!$G$2:$G$42,MATCH($W47,Calc!$A$2:$A$42,0))&amp;" / "&amp;INDEX(Calc!$H$2:$H$42,MATCH($W47,Calc!$A$2:$A$42,0))</f>
        <v>Dust2 / Ancient</v>
      </c>
      <c r="U47" s="0" t="str">
        <f aca="false">TEXT(INDEX(Calc!$J$2:$J$42,MATCH($W47,Calc!$A$2:$A$42,0)),"0.0")&amp;" / "&amp;TEXT(INDEX(Calc!$K$2:$K$42,MATCH($W47,Calc!$A$2:$A$42,0)),"0.0")</f>
        <v>21.3 / 21.3</v>
      </c>
      <c r="V47" s="0" t="str">
        <f aca="false">IFERROR(INDEX(Calc!$AQ$2:$AQ$42,MATCH($W47,Calc!$A$2:$A$42,0)),"")</f>
        <v/>
      </c>
      <c r="W47" s="9" t="s">
        <v>701</v>
      </c>
      <c r="X47" s="9" t="s">
        <v>640</v>
      </c>
      <c r="Y47" s="0" t="str">
        <f aca="false">W47&amp;"|"&amp;X47</f>
        <v>rfuts2r0t85cd95|CS2 · SIN vs EF|H12</v>
      </c>
      <c r="Z47" s="11" t="n">
        <f aca="false">IFERROR(INDEX(CHOOSE(MATCH($X47,{"K1","K2","K3","K12","K13","H1","H2","H3","H12","H13"},0),Calc!$BA$2:$BA$42,Calc!$BB$2:$BB$42,Calc!$BC$2:$BC$42,Calc!$BD$2:$BD$42,Calc!$BE$2:$BE$42,Calc!$BF$2:$BF$42,Calc!$BG$2:$BG$42,Calc!$BH$2:$BH$42,Calc!$BI$2:$BI$42,Calc!$BJ$2:$BJ$42),MATCH($W47,Calc!$A$2:$A$42,0)),"")</f>
        <v>20.4859962117515</v>
      </c>
      <c r="AA47" s="11" t="n">
        <f aca="false">IF(Z47="","",IF(LEFT($X47,1)="H",SQRT(Z47*(IFERROR(INDEX(Calc!$AP$2:$AP$42,MATCH($W47,Calc!$A$2:$A$42,0)),0.5)*Config!$B$5+1-IFERROR(INDEX(Calc!$AP$2:$AP$42,MATCH($W47,Calc!$A$2:$A$42,0)),0.5))),SQRT(Z47*Config!$B$5)))</f>
        <v>5.02265272155936</v>
      </c>
      <c r="AB47" s="10" t="n">
        <f aca="false">IF(OR(F47="",Z47="",N(AA47)&lt;=0),"",1-NORMDIST(FLOOR(F47,1)+0.5,Z47,AA47,TRUE()))</f>
        <v>0.498887700127866</v>
      </c>
      <c r="AC47" s="10" t="n">
        <f aca="false">IF(AB47="","",NORMDIST(CEILING(F47,1)-0.5,Z47,AA47,TRUE()))</f>
        <v>0.501112299872134</v>
      </c>
      <c r="AD47" s="0" t="str">
        <f aca="false">IF(AB47="","",IF(AB47&gt;=0.5+Config!$B$6,"OVER",IF(AC47&gt;=0.5+Config!$B$6,"UNDER","—")))</f>
        <v>—</v>
      </c>
      <c r="AE47" s="13" t="n">
        <f aca="false">IFERROR(Z47/G47,"")</f>
        <v>0.987508080381962</v>
      </c>
    </row>
    <row r="48" customFormat="false" ht="15" hidden="false" customHeight="false" outlineLevel="0" collapsed="false">
      <c r="A48" s="0" t="s">
        <v>568</v>
      </c>
      <c r="B48" s="0" t="s">
        <v>590</v>
      </c>
      <c r="C48" s="0" t="s">
        <v>700</v>
      </c>
      <c r="D48" s="0" t="s">
        <v>596</v>
      </c>
      <c r="E48" s="0" t="s">
        <v>641</v>
      </c>
      <c r="F48" s="0" t="n">
        <v>33.5</v>
      </c>
      <c r="G48" s="11" t="n">
        <f aca="false">IFERROR(INDEX(CHOOSE(MATCH($X48,{"K1","K2","K3","K12","K13","H1","H2","H3","H12","H13"},0),Calc!$V$2:$V$42,Calc!$AC$2:$AC$42,Calc!$AJ$2:$AJ$42,Calc!$AL$2:$AL$42,Calc!$AM$2:$AM$42,Calc!$W$2:$W$42,Calc!$AD$2:$AD$42,Calc!$AK$2:$AK$42,Calc!$AN$2:$AN$42,Calc!$AO$2:$AO$42),MATCH($W48,Calc!$A$2:$A$42,0)),"")</f>
        <v>35.8558076923077</v>
      </c>
      <c r="H48" s="11" t="n">
        <f aca="false">IF(G48="","",IF(LEFT($X48,1)="H",SQRT(G48*(IFERROR(INDEX(Calc!$AP$2:$AP$42,MATCH($W48,Calc!$A$2:$A$42,0)),0.5)*Config!$B$5+1-IFERROR(INDEX(Calc!$AP$2:$AP$42,MATCH($W48,Calc!$A$2:$A$42,0)),0.5))),SQRT(G48*Config!$B$5)))</f>
        <v>7.08506392132285</v>
      </c>
      <c r="I48" s="10" t="n">
        <f aca="false">IF(OR(F48="",G48="",N(H48)&lt;=0),"",1-NORMDIST(FLOOR(F48,1)+0.5,G48,H48,TRUE()))</f>
        <v>0.630245405575344</v>
      </c>
      <c r="J48" s="10" t="n">
        <f aca="false">IF(I48="","",NORMDIST(CEILING(F48,1)-0.5,G48,H48,TRUE()))</f>
        <v>0.369754594424656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OVER</v>
      </c>
      <c r="M48" s="0" t="n">
        <v>31.46</v>
      </c>
      <c r="N48" s="0" t="n">
        <v>34.9</v>
      </c>
      <c r="O48" s="10" t="n">
        <v>0.4</v>
      </c>
      <c r="P48" s="10" t="n">
        <v>0.3</v>
      </c>
      <c r="Q48" s="10" t="n">
        <v>0.47</v>
      </c>
      <c r="R48" s="9" t="s">
        <v>674</v>
      </c>
      <c r="S48" s="0" t="n">
        <v>-2</v>
      </c>
      <c r="T48" s="0" t="str">
        <f aca="false">INDEX(Calc!$G$2:$G$42,MATCH($W48,Calc!$A$2:$A$42,0))&amp;" / "&amp;INDEX(Calc!$H$2:$H$42,MATCH($W48,Calc!$A$2:$A$42,0))</f>
        <v>Dust2 / Ancient</v>
      </c>
      <c r="U48" s="0" t="str">
        <f aca="false">TEXT(INDEX(Calc!$J$2:$J$42,MATCH($W48,Calc!$A$2:$A$42,0)),"0.0")&amp;" / "&amp;TEXT(INDEX(Calc!$K$2:$K$42,MATCH($W48,Calc!$A$2:$A$42,0)),"0.0")</f>
        <v>21.3 / 21.3</v>
      </c>
      <c r="V48" s="0" t="str">
        <f aca="false">IFERROR(INDEX(Calc!$AQ$2:$AQ$42,MATCH($W48,Calc!$A$2:$A$42,0)),"")</f>
        <v/>
      </c>
      <c r="W48" s="9" t="s">
        <v>701</v>
      </c>
      <c r="X48" s="9" t="s">
        <v>642</v>
      </c>
      <c r="Y48" s="0" t="str">
        <f aca="false">W48&amp;"|"&amp;X48</f>
        <v>rfuts2r0t85cd95|CS2 · SIN vs EF|K12</v>
      </c>
      <c r="Z48" s="11" t="n">
        <f aca="false">IFERROR(INDEX(CHOOSE(MATCH($X48,{"K1","K2","K3","K12","K13","H1","H2","H3","H12","H13"},0),Calc!$BA$2:$BA$42,Calc!$BB$2:$BB$42,Calc!$BC$2:$BC$42,Calc!$BD$2:$BD$42,Calc!$BE$2:$BE$42,Calc!$BF$2:$BF$42,Calc!$BG$2:$BG$42,Calc!$BH$2:$BH$42,Calc!$BI$2:$BI$42,Calc!$BJ$2:$BJ$42),MATCH($W48,Calc!$A$2:$A$42,0)),"")</f>
        <v>35.4045094745724</v>
      </c>
      <c r="AA48" s="11" t="n">
        <f aca="false">IF(Z48="","",IF(LEFT($X48,1)="H",SQRT(Z48*(IFERROR(INDEX(Calc!$AP$2:$AP$42,MATCH($W48,Calc!$A$2:$A$42,0)),0.5)*Config!$B$5+1-IFERROR(INDEX(Calc!$AP$2:$AP$42,MATCH($W48,Calc!$A$2:$A$42,0)),0.5))),SQRT(Z48*Config!$B$5)))</f>
        <v>7.04033474093393</v>
      </c>
      <c r="AB48" s="10" t="n">
        <f aca="false">IF(OR(F48="",Z48="",N(AA48)&lt;=0),"",1-NORMDIST(FLOOR(F48,1)+0.5,Z48,AA48,TRUE()))</f>
        <v>0.606617595879475</v>
      </c>
      <c r="AC48" s="10" t="n">
        <f aca="false">IF(AB48="","",NORMDIST(CEILING(F48,1)-0.5,Z48,AA48,TRUE()))</f>
        <v>0.393382404120525</v>
      </c>
      <c r="AD48" s="0" t="str">
        <f aca="false">IF(AB48="","",IF(AB48&gt;=0.5+Config!$B$6,"OVER",IF(AC48&gt;=0.5+Config!$B$6,"UNDER","—")))</f>
        <v>OVER</v>
      </c>
      <c r="AE48" s="13" t="n">
        <f aca="false">IFERROR(Z48/G48,"")</f>
        <v>0.987413525261846</v>
      </c>
    </row>
    <row r="49" customFormat="false" ht="15" hidden="false" customHeight="false" outlineLevel="0" collapsed="false">
      <c r="A49" s="0" t="s">
        <v>568</v>
      </c>
      <c r="B49" s="0" t="s">
        <v>590</v>
      </c>
      <c r="C49" s="0" t="s">
        <v>702</v>
      </c>
      <c r="D49" s="0" t="s">
        <v>596</v>
      </c>
      <c r="E49" s="0" t="s">
        <v>637</v>
      </c>
      <c r="F49" s="0" t="n">
        <v>18.5</v>
      </c>
      <c r="G49" s="11" t="n">
        <f aca="false">IFERROR(INDEX(CHOOSE(MATCH($X49,{"K1","K2","K3","K12","K13","H1","H2","H3","H12","H13"},0),Calc!$V$2:$V$42,Calc!$AC$2:$AC$42,Calc!$AJ$2:$AJ$42,Calc!$AL$2:$AL$42,Calc!$AM$2:$AM$42,Calc!$W$2:$W$42,Calc!$AD$2:$AD$42,Calc!$AK$2:$AK$42,Calc!$AN$2:$AN$42,Calc!$AO$2:$AO$42),MATCH($W49,Calc!$A$2:$A$42,0)),"")</f>
        <v>17.8363166467456</v>
      </c>
      <c r="H49" s="11" t="n">
        <f aca="false">IF(G49="","",IF(LEFT($X49,1)="H",SQRT(G49*(IFERROR(INDEX(Calc!$AP$2:$AP$42,MATCH($W49,Calc!$A$2:$A$42,0)),0.5)*Config!$B$5+1-IFERROR(INDEX(Calc!$AP$2:$AP$42,MATCH($W49,Calc!$A$2:$A$42,0)),0.5))),SQRT(G49*Config!$B$5)))</f>
        <v>4.68766349447367</v>
      </c>
      <c r="I49" s="10" t="n">
        <f aca="false">IF(OR(F49="",G49="",N(H49)&lt;=0),"",1-NORMDIST(FLOOR(F49,1)+0.5,G49,H49,TRUE()))</f>
        <v>0.443705549440546</v>
      </c>
      <c r="J49" s="10" t="n">
        <f aca="false">IF(I49="","",NORMDIST(CEILING(F49,1)-0.5,G49,H49,TRUE()))</f>
        <v>0.556294450559454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UNDER</v>
      </c>
      <c r="N49" s="0" t="n">
        <v>17.9</v>
      </c>
      <c r="O49" s="10" t="n">
        <v>0.4</v>
      </c>
      <c r="P49" s="10" t="n">
        <v>0.5</v>
      </c>
      <c r="Q49" s="10" t="n">
        <v>0.4</v>
      </c>
      <c r="R49" s="9" t="s">
        <v>660</v>
      </c>
      <c r="S49" s="0" t="n">
        <v>-2</v>
      </c>
      <c r="T49" s="0" t="str">
        <f aca="false">INDEX(Calc!$G$2:$G$42,MATCH($W49,Calc!$A$2:$A$42,0))&amp;" / "&amp;INDEX(Calc!$H$2:$H$42,MATCH($W49,Calc!$A$2:$A$42,0))</f>
        <v>Dust2 / Ancient</v>
      </c>
      <c r="U49" s="0" t="str">
        <f aca="false">TEXT(INDEX(Calc!$J$2:$J$42,MATCH($W49,Calc!$A$2:$A$42,0)),"0.0")&amp;" / "&amp;TEXT(INDEX(Calc!$K$2:$K$42,MATCH($W49,Calc!$A$2:$A$42,0)),"0.0")</f>
        <v>21.3 / 21.3</v>
      </c>
      <c r="V49" s="0" t="str">
        <f aca="false">IFERROR(INDEX(Calc!$AQ$2:$AQ$42,MATCH($W49,Calc!$A$2:$A$42,0)),"")</f>
        <v/>
      </c>
      <c r="W49" s="9" t="s">
        <v>703</v>
      </c>
      <c r="X49" s="9" t="s">
        <v>640</v>
      </c>
      <c r="Y49" s="0" t="str">
        <f aca="false">W49&amp;"|"&amp;X49</f>
        <v>t2lttsuygcwlbxl|CS2 · SIN vs EF|H12</v>
      </c>
      <c r="Z49" s="11" t="n">
        <f aca="false">IFERROR(INDEX(CHOOSE(MATCH($X49,{"K1","K2","K3","K12","K13","H1","H2","H3","H12","H13"},0),Calc!$BA$2:$BA$42,Calc!$BB$2:$BB$42,Calc!$BC$2:$BC$42,Calc!$BD$2:$BD$42,Calc!$BE$2:$BE$42,Calc!$BF$2:$BF$42,Calc!$BG$2:$BG$42,Calc!$BH$2:$BH$42,Calc!$BI$2:$BI$42,Calc!$BJ$2:$BJ$42),MATCH($W49,Calc!$A$2:$A$42,0)),"")</f>
        <v>17.6115995992977</v>
      </c>
      <c r="AA49" s="11" t="n">
        <f aca="false">IF(Z49="","",IF(LEFT($X49,1)="H",SQRT(Z49*(IFERROR(INDEX(Calc!$AP$2:$AP$42,MATCH($W49,Calc!$A$2:$A$42,0)),0.5)*Config!$B$5+1-IFERROR(INDEX(Calc!$AP$2:$AP$42,MATCH($W49,Calc!$A$2:$A$42,0)),0.5))),SQRT(Z49*Config!$B$5)))</f>
        <v>4.65804031363924</v>
      </c>
      <c r="AB49" s="10" t="n">
        <f aca="false">IF(OR(F49="",Z49="",N(AA49)&lt;=0),"",1-NORMDIST(FLOOR(F49,1)+0.5,Z49,AA49,TRUE()))</f>
        <v>0.42437089037028</v>
      </c>
      <c r="AC49" s="10" t="n">
        <f aca="false">IF(AB49="","",NORMDIST(CEILING(F49,1)-0.5,Z49,AA49,TRUE()))</f>
        <v>0.57562910962972</v>
      </c>
      <c r="AD49" s="0" t="str">
        <f aca="false">IF(AB49="","",IF(AB49&gt;=0.5+Config!$B$6,"OVER",IF(AC49&gt;=0.5+Config!$B$6,"UNDER","—")))</f>
        <v>UNDER</v>
      </c>
      <c r="AE49" s="13" t="n">
        <f aca="false">IFERROR(Z49/G49,"")</f>
        <v>0.987401151712071</v>
      </c>
    </row>
    <row r="50" customFormat="false" ht="15" hidden="false" customHeight="false" outlineLevel="0" collapsed="false">
      <c r="A50" s="0" t="s">
        <v>568</v>
      </c>
      <c r="B50" s="0" t="s">
        <v>590</v>
      </c>
      <c r="C50" s="0" t="s">
        <v>702</v>
      </c>
      <c r="D50" s="0" t="s">
        <v>596</v>
      </c>
      <c r="E50" s="0" t="s">
        <v>641</v>
      </c>
      <c r="F50" s="0" t="n">
        <v>32.5</v>
      </c>
      <c r="G50" s="11" t="n">
        <f aca="false">IFERROR(INDEX(CHOOSE(MATCH($X50,{"K1","K2","K3","K12","K13","H1","H2","H3","H12","H13"},0),Calc!$V$2:$V$42,Calc!$AC$2:$AC$42,Calc!$AJ$2:$AJ$42,Calc!$AL$2:$AL$42,Calc!$AM$2:$AM$42,Calc!$W$2:$W$42,Calc!$AD$2:$AD$42,Calc!$AK$2:$AK$42,Calc!$AN$2:$AN$42,Calc!$AO$2:$AO$42),MATCH($W50,Calc!$A$2:$A$42,0)),"")</f>
        <v>30.7534076923077</v>
      </c>
      <c r="H50" s="11" t="n">
        <f aca="false">IF(G50="","",IF(LEFT($X50,1)="H",SQRT(G50*(IFERROR(INDEX(Calc!$AP$2:$AP$42,MATCH($W50,Calc!$A$2:$A$42,0)),0.5)*Config!$B$5+1-IFERROR(INDEX(Calc!$AP$2:$AP$42,MATCH($W50,Calc!$A$2:$A$42,0)),0.5))),SQRT(G50*Config!$B$5)))</f>
        <v>6.56161342729292</v>
      </c>
      <c r="I50" s="10" t="n">
        <f aca="false">IF(OR(F50="",G50="",N(H50)&lt;=0),"",1-NORMDIST(FLOOR(F50,1)+0.5,G50,H50,TRUE()))</f>
        <v>0.395048998919916</v>
      </c>
      <c r="J50" s="10" t="n">
        <f aca="false">IF(I50="","",NORMDIST(CEILING(F50,1)-0.5,G50,H50,TRUE()))</f>
        <v>0.604951001080085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UNDER</v>
      </c>
      <c r="M50" s="0" t="n">
        <v>29.85</v>
      </c>
      <c r="N50" s="0" t="n">
        <v>31.1</v>
      </c>
      <c r="O50" s="10" t="n">
        <v>0.6</v>
      </c>
      <c r="P50" s="10" t="n">
        <v>0.5</v>
      </c>
      <c r="Q50" s="10" t="n">
        <v>0.47</v>
      </c>
      <c r="R50" s="9" t="s">
        <v>660</v>
      </c>
      <c r="S50" s="0" t="n">
        <v>-1</v>
      </c>
      <c r="T50" s="0" t="str">
        <f aca="false">INDEX(Calc!$G$2:$G$42,MATCH($W50,Calc!$A$2:$A$42,0))&amp;" / "&amp;INDEX(Calc!$H$2:$H$42,MATCH($W50,Calc!$A$2:$A$42,0))</f>
        <v>Dust2 / Ancient</v>
      </c>
      <c r="U50" s="0" t="str">
        <f aca="false">TEXT(INDEX(Calc!$J$2:$J$42,MATCH($W50,Calc!$A$2:$A$42,0)),"0.0")&amp;" / "&amp;TEXT(INDEX(Calc!$K$2:$K$42,MATCH($W50,Calc!$A$2:$A$42,0)),"0.0")</f>
        <v>21.3 / 21.3</v>
      </c>
      <c r="V50" s="0" t="str">
        <f aca="false">IFERROR(INDEX(Calc!$AQ$2:$AQ$42,MATCH($W50,Calc!$A$2:$A$42,0)),"")</f>
        <v/>
      </c>
      <c r="W50" s="9" t="s">
        <v>703</v>
      </c>
      <c r="X50" s="9" t="s">
        <v>642</v>
      </c>
      <c r="Y50" s="0" t="str">
        <f aca="false">W50&amp;"|"&amp;X50</f>
        <v>t2lttsuygcwlbxl|CS2 · SIN vs EF|K12</v>
      </c>
      <c r="Z50" s="11" t="n">
        <f aca="false">IFERROR(INDEX(CHOOSE(MATCH($X50,{"K1","K2","K3","K12","K13","H1","H2","H3","H12","H13"},0),Calc!$BA$2:$BA$42,Calc!$BB$2:$BB$42,Calc!$BC$2:$BC$42,Calc!$BD$2:$BD$42,Calc!$BE$2:$BE$42,Calc!$BF$2:$BF$42,Calc!$BG$2:$BG$42,Calc!$BH$2:$BH$42,Calc!$BI$2:$BI$42,Calc!$BJ$2:$BJ$42),MATCH($W50,Calc!$A$2:$A$42,0)),"")</f>
        <v>30.3658444978911</v>
      </c>
      <c r="AA50" s="11" t="n">
        <f aca="false">IF(Z50="","",IF(LEFT($X50,1)="H",SQRT(Z50*(IFERROR(INDEX(Calc!$AP$2:$AP$42,MATCH($W50,Calc!$A$2:$A$42,0)),0.5)*Config!$B$5+1-IFERROR(INDEX(Calc!$AP$2:$AP$42,MATCH($W50,Calc!$A$2:$A$42,0)),0.5))),SQRT(Z50*Config!$B$5)))</f>
        <v>6.52013667778886</v>
      </c>
      <c r="AB50" s="10" t="n">
        <f aca="false">IF(OR(F50="",Z50="",N(AA50)&lt;=0),"",1-NORMDIST(FLOOR(F50,1)+0.5,Z50,AA50,TRUE()))</f>
        <v>0.371713840285089</v>
      </c>
      <c r="AC50" s="10" t="n">
        <f aca="false">IF(AB50="","",NORMDIST(CEILING(F50,1)-0.5,Z50,AA50,TRUE()))</f>
        <v>0.628286159714911</v>
      </c>
      <c r="AD50" s="0" t="str">
        <f aca="false">IF(AB50="","",IF(AB50&gt;=0.5+Config!$B$6,"OVER",IF(AC50&gt;=0.5+Config!$B$6,"UNDER","—")))</f>
        <v>UNDER</v>
      </c>
      <c r="AE50" s="13" t="n">
        <f aca="false">IFERROR(Z50/G50,"")</f>
        <v>0.987397715456634</v>
      </c>
    </row>
    <row r="51" customFormat="false" ht="15" hidden="false" customHeight="false" outlineLevel="0" collapsed="false">
      <c r="A51" s="0" t="s">
        <v>568</v>
      </c>
      <c r="B51" s="0" t="s">
        <v>590</v>
      </c>
      <c r="C51" s="0" t="s">
        <v>704</v>
      </c>
      <c r="D51" s="0" t="s">
        <v>596</v>
      </c>
      <c r="E51" s="0" t="s">
        <v>637</v>
      </c>
      <c r="F51" s="0" t="n">
        <v>14.5</v>
      </c>
      <c r="G51" s="11" t="n">
        <f aca="false">IFERROR(INDEX(CHOOSE(MATCH($X51,{"K1","K2","K3","K12","K13","H1","H2","H3","H12","H13"},0),Calc!$V$2:$V$42,Calc!$AC$2:$AC$42,Calc!$AJ$2:$AJ$42,Calc!$AL$2:$AL$42,Calc!$AM$2:$AM$42,Calc!$W$2:$W$42,Calc!$AD$2:$AD$42,Calc!$AK$2:$AK$42,Calc!$AN$2:$AN$42,Calc!$AO$2:$AO$42),MATCH($W51,Calc!$A$2:$A$42,0)),"")</f>
        <v>14.4394152325444</v>
      </c>
      <c r="H51" s="11" t="n">
        <f aca="false">IF(G51="","",IF(LEFT($X51,1)="H",SQRT(G51*(IFERROR(INDEX(Calc!$AP$2:$AP$42,MATCH($W51,Calc!$A$2:$A$42,0)),0.5)*Config!$B$5+1-IFERROR(INDEX(Calc!$AP$2:$AP$42,MATCH($W51,Calc!$A$2:$A$42,0)),0.5))),SQRT(G51*Config!$B$5)))</f>
        <v>4.20297422230169</v>
      </c>
      <c r="I51" s="10" t="n">
        <f aca="false">IF(OR(F51="",G51="",N(H51)&lt;=0),"",1-NORMDIST(FLOOR(F51,1)+0.5,G51,H51,TRUE()))</f>
        <v>0.494249551147746</v>
      </c>
      <c r="J51" s="10" t="n">
        <f aca="false">IF(I51="","",NORMDIST(CEILING(F51,1)-0.5,G51,H51,TRUE()))</f>
        <v>0.505750448852254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—</v>
      </c>
      <c r="N51" s="0" t="n">
        <v>14.9</v>
      </c>
      <c r="O51" s="10" t="n">
        <v>0.2</v>
      </c>
      <c r="P51" s="10" t="n">
        <v>0.4</v>
      </c>
      <c r="Q51" s="10" t="n">
        <v>0.33</v>
      </c>
      <c r="R51" s="9" t="s">
        <v>660</v>
      </c>
      <c r="S51" s="0" t="n">
        <v>-2</v>
      </c>
      <c r="T51" s="0" t="str">
        <f aca="false">INDEX(Calc!$G$2:$G$42,MATCH($W51,Calc!$A$2:$A$42,0))&amp;" / "&amp;INDEX(Calc!$H$2:$H$42,MATCH($W51,Calc!$A$2:$A$42,0))</f>
        <v>Dust2 / Ancient</v>
      </c>
      <c r="U51" s="0" t="str">
        <f aca="false">TEXT(INDEX(Calc!$J$2:$J$42,MATCH($W51,Calc!$A$2:$A$42,0)),"0.0")&amp;" / "&amp;TEXT(INDEX(Calc!$K$2:$K$42,MATCH($W51,Calc!$A$2:$A$42,0)),"0.0")</f>
        <v>21.3 / 21.3</v>
      </c>
      <c r="V51" s="0" t="str">
        <f aca="false">IFERROR(INDEX(Calc!$AQ$2:$AQ$42,MATCH($W51,Calc!$A$2:$A$42,0)),"")</f>
        <v/>
      </c>
      <c r="W51" s="9" t="s">
        <v>705</v>
      </c>
      <c r="X51" s="9" t="s">
        <v>640</v>
      </c>
      <c r="Y51" s="0" t="str">
        <f aca="false">W51&amp;"|"&amp;X51</f>
        <v>mp3vrg2adugpxjt|CS2 · SIN vs EF|H12</v>
      </c>
      <c r="Z51" s="11" t="n">
        <f aca="false">IFERROR(INDEX(CHOOSE(MATCH($X51,{"K1","K2","K3","K12","K13","H1","H2","H3","H12","H13"},0),Calc!$BA$2:$BA$42,Calc!$BB$2:$BB$42,Calc!$BC$2:$BC$42,Calc!$BD$2:$BD$42,Calc!$BE$2:$BE$42,Calc!$BF$2:$BF$42,Calc!$BG$2:$BG$42,Calc!$BH$2:$BH$42,Calc!$BI$2:$BI$42,Calc!$BJ$2:$BJ$42),MATCH($W51,Calc!$A$2:$A$42,0)),"")</f>
        <v>14.2579613953036</v>
      </c>
      <c r="AA51" s="11" t="n">
        <f aca="false">IF(Z51="","",IF(LEFT($X51,1)="H",SQRT(Z51*(IFERROR(INDEX(Calc!$AP$2:$AP$42,MATCH($W51,Calc!$A$2:$A$42,0)),0.5)*Config!$B$5+1-IFERROR(INDEX(Calc!$AP$2:$AP$42,MATCH($W51,Calc!$A$2:$A$42,0)),0.5))),SQRT(Z51*Config!$B$5)))</f>
        <v>4.17648225842179</v>
      </c>
      <c r="AB51" s="10" t="n">
        <f aca="false">IF(OR(F51="",Z51="",N(AA51)&lt;=0),"",1-NORMDIST(FLOOR(F51,1)+0.5,Z51,AA51,TRUE()))</f>
        <v>0.476893135256534</v>
      </c>
      <c r="AC51" s="10" t="n">
        <f aca="false">IF(AB51="","",NORMDIST(CEILING(F51,1)-0.5,Z51,AA51,TRUE()))</f>
        <v>0.523106864743466</v>
      </c>
      <c r="AD51" s="0" t="str">
        <f aca="false">IF(AB51="","",IF(AB51&gt;=0.5+Config!$B$6,"OVER",IF(AC51&gt;=0.5+Config!$B$6,"UNDER","—")))</f>
        <v>—</v>
      </c>
      <c r="AE51" s="13" t="n">
        <f aca="false">IFERROR(Z51/G51,"")</f>
        <v>0.9874334358893</v>
      </c>
    </row>
    <row r="52" customFormat="false" ht="15" hidden="false" customHeight="false" outlineLevel="0" collapsed="false">
      <c r="A52" s="0" t="s">
        <v>568</v>
      </c>
      <c r="B52" s="0" t="s">
        <v>590</v>
      </c>
      <c r="C52" s="0" t="s">
        <v>704</v>
      </c>
      <c r="D52" s="0" t="s">
        <v>596</v>
      </c>
      <c r="E52" s="0" t="s">
        <v>641</v>
      </c>
      <c r="F52" s="0" t="n">
        <v>25.5</v>
      </c>
      <c r="G52" s="11" t="n">
        <f aca="false">IFERROR(INDEX(CHOOSE(MATCH($X52,{"K1","K2","K3","K12","K13","H1","H2","H3","H12","H13"},0),Calc!$V$2:$V$42,Calc!$AC$2:$AC$42,Calc!$AJ$2:$AJ$42,Calc!$AL$2:$AL$42,Calc!$AM$2:$AM$42,Calc!$W$2:$W$42,Calc!$AD$2:$AD$42,Calc!$AK$2:$AK$42,Calc!$AN$2:$AN$42,Calc!$AO$2:$AO$42),MATCH($W52,Calc!$A$2:$A$42,0)),"")</f>
        <v>25.8554307692308</v>
      </c>
      <c r="H52" s="11" t="n">
        <f aca="false">IF(G52="","",IF(LEFT($X52,1)="H",SQRT(G52*(IFERROR(INDEX(Calc!$AP$2:$AP$42,MATCH($W52,Calc!$A$2:$A$42,0)),0.5)*Config!$B$5+1-IFERROR(INDEX(Calc!$AP$2:$AP$42,MATCH($W52,Calc!$A$2:$A$42,0)),0.5))),SQRT(G52*Config!$B$5)))</f>
        <v>6.01644438825151</v>
      </c>
      <c r="I52" s="10" t="n">
        <f aca="false">IF(OR(F52="",G52="",N(H52)&lt;=0),"",1-NORMDIST(FLOOR(F52,1)+0.5,G52,H52,TRUE()))</f>
        <v>0.523554431236795</v>
      </c>
      <c r="J52" s="10" t="n">
        <f aca="false">IF(I52="","",NORMDIST(CEILING(F52,1)-0.5,G52,H52,TRUE()))</f>
        <v>0.476445568763205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—</v>
      </c>
      <c r="M52" s="0" t="n">
        <v>24.14</v>
      </c>
      <c r="N52" s="0" t="n">
        <v>27.3</v>
      </c>
      <c r="O52" s="10" t="n">
        <v>0.4</v>
      </c>
      <c r="P52" s="10" t="n">
        <v>0.6</v>
      </c>
      <c r="Q52" s="10" t="n">
        <v>0.53</v>
      </c>
      <c r="R52" s="9" t="s">
        <v>660</v>
      </c>
      <c r="S52" s="0" t="n">
        <v>-2</v>
      </c>
      <c r="T52" s="0" t="str">
        <f aca="false">INDEX(Calc!$G$2:$G$42,MATCH($W52,Calc!$A$2:$A$42,0))&amp;" / "&amp;INDEX(Calc!$H$2:$H$42,MATCH($W52,Calc!$A$2:$A$42,0))</f>
        <v>Dust2 / Ancient</v>
      </c>
      <c r="U52" s="0" t="str">
        <f aca="false">TEXT(INDEX(Calc!$J$2:$J$42,MATCH($W52,Calc!$A$2:$A$42,0)),"0.0")&amp;" / "&amp;TEXT(INDEX(Calc!$K$2:$K$42,MATCH($W52,Calc!$A$2:$A$42,0)),"0.0")</f>
        <v>21.3 / 21.3</v>
      </c>
      <c r="V52" s="0" t="str">
        <f aca="false">IFERROR(INDEX(Calc!$AQ$2:$AQ$42,MATCH($W52,Calc!$A$2:$A$42,0)),"")</f>
        <v/>
      </c>
      <c r="W52" s="9" t="s">
        <v>705</v>
      </c>
      <c r="X52" s="9" t="s">
        <v>642</v>
      </c>
      <c r="Y52" s="0" t="str">
        <f aca="false">W52&amp;"|"&amp;X52</f>
        <v>mp3vrg2adugpxjt|CS2 · SIN vs EF|K12</v>
      </c>
      <c r="Z52" s="11" t="n">
        <f aca="false">IFERROR(INDEX(CHOOSE(MATCH($X52,{"K1","K2","K3","K12","K13","H1","H2","H3","H12","H13"},0),Calc!$BA$2:$BA$42,Calc!$BB$2:$BB$42,Calc!$BC$2:$BC$42,Calc!$BD$2:$BD$42,Calc!$BE$2:$BE$42,Calc!$BF$2:$BF$42,Calc!$BG$2:$BG$42,Calc!$BH$2:$BH$42,Calc!$BI$2:$BI$42,Calc!$BJ$2:$BJ$42),MATCH($W52,Calc!$A$2:$A$42,0)),"")</f>
        <v>25.5323083444376</v>
      </c>
      <c r="AA52" s="11" t="n">
        <f aca="false">IF(Z52="","",IF(LEFT($X52,1)="H",SQRT(Z52*(IFERROR(INDEX(Calc!$AP$2:$AP$42,MATCH($W52,Calc!$A$2:$A$42,0)),0.5)*Config!$B$5+1-IFERROR(INDEX(Calc!$AP$2:$AP$42,MATCH($W52,Calc!$A$2:$A$42,0)),0.5))),SQRT(Z52*Config!$B$5)))</f>
        <v>5.97873161148857</v>
      </c>
      <c r="AB52" s="10" t="n">
        <f aca="false">IF(OR(F52="",Z52="",N(AA52)&lt;=0),"",1-NORMDIST(FLOOR(F52,1)+0.5,Z52,AA52,TRUE()))</f>
        <v>0.502155825468076</v>
      </c>
      <c r="AC52" s="10" t="n">
        <f aca="false">IF(AB52="","",NORMDIST(CEILING(F52,1)-0.5,Z52,AA52,TRUE()))</f>
        <v>0.497844174531924</v>
      </c>
      <c r="AD52" s="0" t="str">
        <f aca="false">IF(AB52="","",IF(AB52&gt;=0.5+Config!$B$6,"OVER",IF(AC52&gt;=0.5+Config!$B$6,"UNDER","—")))</f>
        <v>—</v>
      </c>
      <c r="AE52" s="13" t="n">
        <f aca="false">IFERROR(Z52/G52,"")</f>
        <v>0.987502725145942</v>
      </c>
    </row>
    <row r="53" customFormat="false" ht="15" hidden="false" customHeight="false" outlineLevel="0" collapsed="false">
      <c r="A53" s="0" t="s">
        <v>568</v>
      </c>
      <c r="B53" s="0" t="s">
        <v>590</v>
      </c>
      <c r="C53" s="0" t="s">
        <v>706</v>
      </c>
      <c r="D53" s="0" t="s">
        <v>596</v>
      </c>
      <c r="E53" s="0" t="s">
        <v>637</v>
      </c>
      <c r="F53" s="0" t="n">
        <v>12.5</v>
      </c>
      <c r="G53" s="11" t="n">
        <f aca="false">IFERROR(INDEX(CHOOSE(MATCH($X53,{"K1","K2","K3","K12","K13","H1","H2","H3","H12","H13"},0),Calc!$V$2:$V$42,Calc!$AC$2:$AC$42,Calc!$AJ$2:$AJ$42,Calc!$AL$2:$AL$42,Calc!$AM$2:$AM$42,Calc!$W$2:$W$42,Calc!$AD$2:$AD$42,Calc!$AK$2:$AK$42,Calc!$AN$2:$AN$42,Calc!$AO$2:$AO$42),MATCH($W53,Calc!$A$2:$A$42,0)),"")</f>
        <v>11.6006007692308</v>
      </c>
      <c r="H53" s="11" t="n">
        <f aca="false">IF(G53="","",IF(LEFT($X53,1)="H",SQRT(G53*(IFERROR(INDEX(Calc!$AP$2:$AP$42,MATCH($W53,Calc!$A$2:$A$42,0)),0.5)*Config!$B$5+1-IFERROR(INDEX(Calc!$AP$2:$AP$42,MATCH($W53,Calc!$A$2:$A$42,0)),0.5))),SQRT(G53*Config!$B$5)))</f>
        <v>3.65492000848662</v>
      </c>
      <c r="I53" s="10" t="n">
        <f aca="false">IF(OR(F53="",G53="",N(H53)&lt;=0),"",1-NORMDIST(FLOOR(F53,1)+0.5,G53,H53,TRUE()))</f>
        <v>0.402810521446751</v>
      </c>
      <c r="J53" s="10" t="n">
        <f aca="false">IF(I53="","",NORMDIST(CEILING(F53,1)-0.5,G53,H53,TRUE()))</f>
        <v>0.597189478553249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UNDER</v>
      </c>
      <c r="N53" s="0" t="n">
        <v>14.1</v>
      </c>
      <c r="O53" s="10" t="n">
        <v>1</v>
      </c>
      <c r="P53" s="10" t="n">
        <v>0.7</v>
      </c>
      <c r="Q53" s="10" t="n">
        <v>0.53</v>
      </c>
      <c r="R53" s="9" t="s">
        <v>652</v>
      </c>
      <c r="S53" s="0" t="n">
        <v>5</v>
      </c>
      <c r="T53" s="0" t="str">
        <f aca="false">INDEX(Calc!$G$2:$G$42,MATCH($W53,Calc!$A$2:$A$42,0))&amp;" / "&amp;INDEX(Calc!$H$2:$H$42,MATCH($W53,Calc!$A$2:$A$42,0))</f>
        <v>Dust2 / Ancient</v>
      </c>
      <c r="U53" s="0" t="str">
        <f aca="false">TEXT(INDEX(Calc!$J$2:$J$42,MATCH($W53,Calc!$A$2:$A$42,0)),"0.0")&amp;" / "&amp;TEXT(INDEX(Calc!$K$2:$K$42,MATCH($W53,Calc!$A$2:$A$42,0)),"0.0")</f>
        <v>21.3 / 21.3</v>
      </c>
      <c r="V53" s="0" t="str">
        <f aca="false">IFERROR(INDEX(Calc!$AQ$2:$AQ$42,MATCH($W53,Calc!$A$2:$A$42,0)),"")</f>
        <v/>
      </c>
      <c r="W53" s="9" t="s">
        <v>707</v>
      </c>
      <c r="X53" s="9" t="s">
        <v>640</v>
      </c>
      <c r="Y53" s="0" t="str">
        <f aca="false">W53&amp;"|"&amp;X53</f>
        <v>v15ff2btfwe796g|CS2 · SIN vs EF|H12</v>
      </c>
      <c r="Z53" s="11" t="n">
        <f aca="false">IFERROR(INDEX(CHOOSE(MATCH($X53,{"K1","K2","K3","K12","K13","H1","H2","H3","H12","H13"},0),Calc!$BA$2:$BA$42,Calc!$BB$2:$BB$42,Calc!$BC$2:$BC$42,Calc!$BD$2:$BD$42,Calc!$BE$2:$BE$42,Calc!$BF$2:$BF$42,Calc!$BG$2:$BG$42,Calc!$BH$2:$BH$42,Calc!$BI$2:$BI$42,Calc!$BJ$2:$BJ$42),MATCH($W53,Calc!$A$2:$A$42,0)),"")</f>
        <v>11.4541240941252</v>
      </c>
      <c r="AA53" s="11" t="n">
        <f aca="false">IF(Z53="","",IF(LEFT($X53,1)="H",SQRT(Z53*(IFERROR(INDEX(Calc!$AP$2:$AP$42,MATCH($W53,Calc!$A$2:$A$42,0)),0.5)*Config!$B$5+1-IFERROR(INDEX(Calc!$AP$2:$AP$42,MATCH($W53,Calc!$A$2:$A$42,0)),0.5))),SQRT(Z53*Config!$B$5)))</f>
        <v>3.63177201609416</v>
      </c>
      <c r="AB53" s="10" t="n">
        <f aca="false">IF(OR(F53="",Z53="",N(AA53)&lt;=0),"",1-NORMDIST(FLOOR(F53,1)+0.5,Z53,AA53,TRUE()))</f>
        <v>0.386681213693316</v>
      </c>
      <c r="AC53" s="10" t="n">
        <f aca="false">IF(AB53="","",NORMDIST(CEILING(F53,1)-0.5,Z53,AA53,TRUE()))</f>
        <v>0.613318786306684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0.987373354361605</v>
      </c>
    </row>
    <row r="54" customFormat="false" ht="15" hidden="false" customHeight="false" outlineLevel="0" collapsed="false">
      <c r="A54" s="0" t="s">
        <v>568</v>
      </c>
      <c r="B54" s="0" t="s">
        <v>590</v>
      </c>
      <c r="C54" s="0" t="s">
        <v>706</v>
      </c>
      <c r="D54" s="0" t="s">
        <v>596</v>
      </c>
      <c r="E54" s="0" t="s">
        <v>641</v>
      </c>
      <c r="F54" s="0" t="n">
        <v>28.5</v>
      </c>
      <c r="G54" s="11" t="n">
        <f aca="false">IFERROR(INDEX(CHOOSE(MATCH($X54,{"K1","K2","K3","K12","K13","H1","H2","H3","H12","H13"},0),Calc!$V$2:$V$42,Calc!$AC$2:$AC$42,Calc!$AJ$2:$AJ$42,Calc!$AL$2:$AL$42,Calc!$AM$2:$AM$42,Calc!$W$2:$W$42,Calc!$AD$2:$AD$42,Calc!$AK$2:$AK$42,Calc!$AN$2:$AN$42,Calc!$AO$2:$AO$42),MATCH($W54,Calc!$A$2:$A$42,0)),"")</f>
        <v>30.6225769230769</v>
      </c>
      <c r="H54" s="11" t="n">
        <f aca="false">IF(G54="","",IF(LEFT($X54,1)="H",SQRT(G54*(IFERROR(INDEX(Calc!$AP$2:$AP$42,MATCH($W54,Calc!$A$2:$A$42,0)),0.5)*Config!$B$5+1-IFERROR(INDEX(Calc!$AP$2:$AP$42,MATCH($W54,Calc!$A$2:$A$42,0)),0.5))),SQRT(G54*Config!$B$5)))</f>
        <v>6.54764138391129</v>
      </c>
      <c r="I54" s="10" t="n">
        <f aca="false">IF(OR(F54="",G54="",N(H54)&lt;=0),"",1-NORMDIST(FLOOR(F54,1)+0.5,G54,H54,TRUE()))</f>
        <v>0.627096952957536</v>
      </c>
      <c r="J54" s="10" t="n">
        <f aca="false">IF(I54="","",NORMDIST(CEILING(F54,1)-0.5,G54,H54,TRUE()))</f>
        <v>0.372903047042464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OVER</v>
      </c>
      <c r="M54" s="0" t="n">
        <v>26.56</v>
      </c>
      <c r="N54" s="0" t="n">
        <v>32</v>
      </c>
      <c r="O54" s="10" t="n">
        <v>0.8</v>
      </c>
      <c r="P54" s="10" t="n">
        <v>0.7</v>
      </c>
      <c r="Q54" s="10" t="n">
        <v>0.6</v>
      </c>
      <c r="R54" s="9" t="s">
        <v>652</v>
      </c>
      <c r="S54" s="0" t="n">
        <v>4</v>
      </c>
      <c r="T54" s="0" t="str">
        <f aca="false">INDEX(Calc!$G$2:$G$42,MATCH($W54,Calc!$A$2:$A$42,0))&amp;" / "&amp;INDEX(Calc!$H$2:$H$42,MATCH($W54,Calc!$A$2:$A$42,0))</f>
        <v>Dust2 / Ancient</v>
      </c>
      <c r="U54" s="0" t="str">
        <f aca="false">TEXT(INDEX(Calc!$J$2:$J$42,MATCH($W54,Calc!$A$2:$A$42,0)),"0.0")&amp;" / "&amp;TEXT(INDEX(Calc!$K$2:$K$42,MATCH($W54,Calc!$A$2:$A$42,0)),"0.0")</f>
        <v>21.3 / 21.3</v>
      </c>
      <c r="V54" s="0" t="str">
        <f aca="false">IFERROR(INDEX(Calc!$AQ$2:$AQ$42,MATCH($W54,Calc!$A$2:$A$42,0)),"")</f>
        <v/>
      </c>
      <c r="W54" s="9" t="s">
        <v>707</v>
      </c>
      <c r="X54" s="9" t="s">
        <v>642</v>
      </c>
      <c r="Y54" s="0" t="str">
        <f aca="false">W54&amp;"|"&amp;X54</f>
        <v>v15ff2btfwe796g|CS2 · SIN vs EF|K12</v>
      </c>
      <c r="Z54" s="11" t="n">
        <f aca="false">IFERROR(INDEX(CHOOSE(MATCH($X54,{"K1","K2","K3","K12","K13","H1","H2","H3","H12","H13"},0),Calc!$BA$2:$BA$42,Calc!$BB$2:$BB$42,Calc!$BC$2:$BC$42,Calc!$BD$2:$BD$42,Calc!$BE$2:$BE$42,Calc!$BF$2:$BF$42,Calc!$BG$2:$BG$42,Calc!$BH$2:$BH$42,Calc!$BI$2:$BI$42,Calc!$BJ$2:$BJ$42),MATCH($W54,Calc!$A$2:$A$42,0)),"")</f>
        <v>30.2347585496994</v>
      </c>
      <c r="AA54" s="11" t="n">
        <f aca="false">IF(Z54="","",IF(LEFT($X54,1)="H",SQRT(Z54*(IFERROR(INDEX(Calc!$AP$2:$AP$42,MATCH($W54,Calc!$A$2:$A$42,0)),0.5)*Config!$B$5+1-IFERROR(INDEX(Calc!$AP$2:$AP$42,MATCH($W54,Calc!$A$2:$A$42,0)),0.5))),SQRT(Z54*Config!$B$5)))</f>
        <v>6.50604810692168</v>
      </c>
      <c r="AB54" s="10" t="n">
        <f aca="false">IF(OR(F54="",Z54="",N(AA54)&lt;=0),"",1-NORMDIST(FLOOR(F54,1)+0.5,Z54,AA54,TRUE()))</f>
        <v>0.605125987213546</v>
      </c>
      <c r="AC54" s="10" t="n">
        <f aca="false">IF(AB54="","",NORMDIST(CEILING(F54,1)-0.5,Z54,AA54,TRUE()))</f>
        <v>0.394874012786454</v>
      </c>
      <c r="AD54" s="0" t="str">
        <f aca="false">IF(AB54="","",IF(AB54&gt;=0.5+Config!$B$6,"OVER",IF(AC54&gt;=0.5+Config!$B$6,"UNDER","—")))</f>
        <v>OVER</v>
      </c>
      <c r="AE54" s="13" t="n">
        <f aca="false">IFERROR(Z54/G54,"")</f>
        <v>0.987335540886984</v>
      </c>
    </row>
    <row r="55" customFormat="false" ht="15" hidden="false" customHeight="false" outlineLevel="0" collapsed="false">
      <c r="A55" s="0" t="s">
        <v>568</v>
      </c>
      <c r="B55" s="0" t="s">
        <v>590</v>
      </c>
      <c r="C55" s="0" t="s">
        <v>708</v>
      </c>
      <c r="D55" s="0" t="s">
        <v>596</v>
      </c>
      <c r="E55" s="0" t="s">
        <v>637</v>
      </c>
      <c r="F55" s="0" t="n">
        <v>16.5</v>
      </c>
      <c r="G55" s="11" t="n">
        <f aca="false">IFERROR(INDEX(CHOOSE(MATCH($X55,{"K1","K2","K3","K12","K13","H1","H2","H3","H12","H13"},0),Calc!$V$2:$V$42,Calc!$AC$2:$AC$42,Calc!$AJ$2:$AJ$42,Calc!$AL$2:$AL$42,Calc!$AM$2:$AM$42,Calc!$W$2:$W$42,Calc!$AD$2:$AD$42,Calc!$AK$2:$AK$42,Calc!$AN$2:$AN$42,Calc!$AO$2:$AO$42),MATCH($W55,Calc!$A$2:$A$42,0)),"")</f>
        <v>15.7323968550296</v>
      </c>
      <c r="H55" s="11" t="n">
        <f aca="false">IF(G55="","",IF(LEFT($X55,1)="H",SQRT(G55*(IFERROR(INDEX(Calc!$AP$2:$AP$42,MATCH($W55,Calc!$A$2:$A$42,0)),0.5)*Config!$B$5+1-IFERROR(INDEX(Calc!$AP$2:$AP$42,MATCH($W55,Calc!$A$2:$A$42,0)),0.5))),SQRT(G55*Config!$B$5)))</f>
        <v>4.37168049198287</v>
      </c>
      <c r="I55" s="10" t="n">
        <f aca="false">IF(OR(F55="",G55="",N(H55)&lt;=0),"",1-NORMDIST(FLOOR(F55,1)+0.5,G55,H55,TRUE()))</f>
        <v>0.430309847670895</v>
      </c>
      <c r="J55" s="10" t="n">
        <f aca="false">IF(I55="","",NORMDIST(CEILING(F55,1)-0.5,G55,H55,TRUE()))</f>
        <v>0.569690152329105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UNDER</v>
      </c>
      <c r="N55" s="0" t="n">
        <v>16.9</v>
      </c>
      <c r="O55" s="10" t="n">
        <v>0.4</v>
      </c>
      <c r="P55" s="10" t="n">
        <v>0.5</v>
      </c>
      <c r="Q55" s="10" t="n">
        <v>0.47</v>
      </c>
      <c r="R55" s="9" t="s">
        <v>660</v>
      </c>
      <c r="S55" s="0" t="n">
        <v>2</v>
      </c>
      <c r="T55" s="0" t="str">
        <f aca="false">INDEX(Calc!$G$2:$G$42,MATCH($W55,Calc!$A$2:$A$42,0))&amp;" / "&amp;INDEX(Calc!$H$2:$H$42,MATCH($W55,Calc!$A$2:$A$42,0))</f>
        <v>Dust2 / Ancient</v>
      </c>
      <c r="U55" s="0" t="str">
        <f aca="false">TEXT(INDEX(Calc!$J$2:$J$42,MATCH($W55,Calc!$A$2:$A$42,0)),"0.0")&amp;" / "&amp;TEXT(INDEX(Calc!$K$2:$K$42,MATCH($W55,Calc!$A$2:$A$42,0)),"0.0")</f>
        <v>21.3 / 21.3</v>
      </c>
      <c r="V55" s="0" t="str">
        <f aca="false">IFERROR(INDEX(Calc!$AQ$2:$AQ$42,MATCH($W55,Calc!$A$2:$A$42,0)),"")</f>
        <v/>
      </c>
      <c r="W55" s="9" t="s">
        <v>709</v>
      </c>
      <c r="X55" s="9" t="s">
        <v>640</v>
      </c>
      <c r="Y55" s="0" t="str">
        <f aca="false">W55&amp;"|"&amp;X55</f>
        <v>agwfljw0nydsug9|CS2 · SIN vs EF|H12</v>
      </c>
      <c r="Z55" s="11" t="n">
        <f aca="false">IFERROR(INDEX(CHOOSE(MATCH($X55,{"K1","K2","K3","K12","K13","H1","H2","H3","H12","H13"},0),Calc!$BA$2:$BA$42,Calc!$BB$2:$BB$42,Calc!$BC$2:$BC$42,Calc!$BD$2:$BD$42,Calc!$BE$2:$BE$42,Calc!$BF$2:$BF$42,Calc!$BG$2:$BG$42,Calc!$BH$2:$BH$42,Calc!$BI$2:$BI$42,Calc!$BJ$2:$BJ$42),MATCH($W55,Calc!$A$2:$A$42,0)),"")</f>
        <v>15.5338234708641</v>
      </c>
      <c r="AA55" s="11" t="n">
        <f aca="false">IF(Z55="","",IF(LEFT($X55,1)="H",SQRT(Z55*(IFERROR(INDEX(Calc!$AP$2:$AP$42,MATCH($W55,Calc!$A$2:$A$42,0)),0.5)*Config!$B$5+1-IFERROR(INDEX(Calc!$AP$2:$AP$42,MATCH($W55,Calc!$A$2:$A$42,0)),0.5))),SQRT(Z55*Config!$B$5)))</f>
        <v>4.34400333326087</v>
      </c>
      <c r="AB55" s="10" t="n">
        <f aca="false">IF(OR(F55="",Z55="",N(AA55)&lt;=0),"",1-NORMDIST(FLOOR(F55,1)+0.5,Z55,AA55,TRUE()))</f>
        <v>0.411994967506778</v>
      </c>
      <c r="AC55" s="10" t="n">
        <f aca="false">IF(AB55="","",NORMDIST(CEILING(F55,1)-0.5,Z55,AA55,TRUE()))</f>
        <v>0.588005032493222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0.987378059046227</v>
      </c>
    </row>
    <row r="56" customFormat="false" ht="15" hidden="false" customHeight="false" outlineLevel="0" collapsed="false">
      <c r="A56" s="0" t="s">
        <v>568</v>
      </c>
      <c r="B56" s="0" t="s">
        <v>590</v>
      </c>
      <c r="C56" s="0" t="s">
        <v>708</v>
      </c>
      <c r="D56" s="0" t="s">
        <v>596</v>
      </c>
      <c r="E56" s="0" t="s">
        <v>641</v>
      </c>
      <c r="F56" s="0" t="n">
        <v>32</v>
      </c>
      <c r="G56" s="11" t="n">
        <f aca="false">IFERROR(INDEX(CHOOSE(MATCH($X56,{"K1","K2","K3","K12","K13","H1","H2","H3","H12","H13"},0),Calc!$V$2:$V$42,Calc!$AC$2:$AC$42,Calc!$AJ$2:$AJ$42,Calc!$AL$2:$AL$42,Calc!$AM$2:$AM$42,Calc!$W$2:$W$42,Calc!$AD$2:$AD$42,Calc!$AK$2:$AK$42,Calc!$AN$2:$AN$42,Calc!$AO$2:$AO$42),MATCH($W56,Calc!$A$2:$A$42,0)),"")</f>
        <v>29.2979153846154</v>
      </c>
      <c r="H56" s="11" t="n">
        <f aca="false">IF(G56="","",IF(LEFT($X56,1)="H",SQRT(G56*(IFERROR(INDEX(Calc!$AP$2:$AP$42,MATCH($W56,Calc!$A$2:$A$42,0)),0.5)*Config!$B$5+1-IFERROR(INDEX(Calc!$AP$2:$AP$42,MATCH($W56,Calc!$A$2:$A$42,0)),0.5))),SQRT(G56*Config!$B$5)))</f>
        <v>6.40445794259448</v>
      </c>
      <c r="I56" s="10" t="n">
        <f aca="false">IF(OR(F56="",G56="",N(H56)&lt;=0),"",1-NORMDIST(FLOOR(F56,1)+0.5,G56,H56,TRUE()))</f>
        <v>0.308545474291867</v>
      </c>
      <c r="J56" s="10" t="n">
        <f aca="false">IF(I56="","",NORMDIST(CEILING(F56,1)-0.5,G56,H56,TRUE()))</f>
        <v>0.634515270577501</v>
      </c>
      <c r="K56" s="10" t="n">
        <f aca="false">IF(I56="","",MAX(0,1-I56-J56))</f>
        <v>0.056939255130632</v>
      </c>
      <c r="L56" s="0" t="str">
        <f aca="false">IF(I56="","",IF(I56&gt;=0.5+Config!$B$6,"OVER",IF(J56&gt;=0.5+Config!$B$6,"UNDER","—")))</f>
        <v>UNDER</v>
      </c>
      <c r="M56" s="0" t="n">
        <v>29.41</v>
      </c>
      <c r="N56" s="0" t="n">
        <v>31.8</v>
      </c>
      <c r="O56" s="10" t="n">
        <v>0.4</v>
      </c>
      <c r="P56" s="10" t="n">
        <v>0.4</v>
      </c>
      <c r="Q56" s="10" t="n">
        <v>0.47</v>
      </c>
      <c r="R56" s="9" t="s">
        <v>660</v>
      </c>
      <c r="S56" s="0" t="n">
        <v>1</v>
      </c>
      <c r="T56" s="0" t="str">
        <f aca="false">INDEX(Calc!$G$2:$G$42,MATCH($W56,Calc!$A$2:$A$42,0))&amp;" / "&amp;INDEX(Calc!$H$2:$H$42,MATCH($W56,Calc!$A$2:$A$42,0))</f>
        <v>Dust2 / Ancient</v>
      </c>
      <c r="U56" s="0" t="str">
        <f aca="false">TEXT(INDEX(Calc!$J$2:$J$42,MATCH($W56,Calc!$A$2:$A$42,0)),"0.0")&amp;" / "&amp;TEXT(INDEX(Calc!$K$2:$K$42,MATCH($W56,Calc!$A$2:$A$42,0)),"0.0")</f>
        <v>21.3 / 21.3</v>
      </c>
      <c r="V56" s="0" t="str">
        <f aca="false">IFERROR(INDEX(Calc!$AQ$2:$AQ$42,MATCH($W56,Calc!$A$2:$A$42,0)),"")</f>
        <v/>
      </c>
      <c r="W56" s="9" t="s">
        <v>709</v>
      </c>
      <c r="X56" s="9" t="s">
        <v>642</v>
      </c>
      <c r="Y56" s="0" t="str">
        <f aca="false">W56&amp;"|"&amp;X56</f>
        <v>agwfljw0nydsug9|CS2 · SIN vs EF|K12</v>
      </c>
      <c r="Z56" s="11" t="n">
        <f aca="false">IFERROR(INDEX(CHOOSE(MATCH($X56,{"K1","K2","K3","K12","K13","H1","H2","H3","H12","H13"},0),Calc!$BA$2:$BA$42,Calc!$BB$2:$BB$42,Calc!$BC$2:$BC$42,Calc!$BD$2:$BD$42,Calc!$BE$2:$BE$42,Calc!$BF$2:$BF$42,Calc!$BG$2:$BG$42,Calc!$BH$2:$BH$42,Calc!$BI$2:$BI$42,Calc!$BJ$2:$BJ$42),MATCH($W56,Calc!$A$2:$A$42,0)),"")</f>
        <v>28.9290053667403</v>
      </c>
      <c r="AA56" s="11" t="n">
        <f aca="false">IF(Z56="","",IF(LEFT($X56,1)="H",SQRT(Z56*(IFERROR(INDEX(Calc!$AP$2:$AP$42,MATCH($W56,Calc!$A$2:$A$42,0)),0.5)*Config!$B$5+1-IFERROR(INDEX(Calc!$AP$2:$AP$42,MATCH($W56,Calc!$A$2:$A$42,0)),0.5))),SQRT(Z56*Config!$B$5)))</f>
        <v>6.36400876126333</v>
      </c>
      <c r="AB56" s="10" t="n">
        <f aca="false">IF(OR(F56="",Z56="",N(AA56)&lt;=0),"",1-NORMDIST(FLOOR(F56,1)+0.5,Z56,AA56,TRUE()))</f>
        <v>0.28735668718377</v>
      </c>
      <c r="AC56" s="10" t="n">
        <f aca="false">IF(AB56="","",NORMDIST(CEILING(F56,1)-0.5,Z56,AA56,TRUE()))</f>
        <v>0.656889890465302</v>
      </c>
      <c r="AD56" s="0" t="str">
        <f aca="false">IF(AB56="","",IF(AB56&gt;=0.5+Config!$B$6,"OVER",IF(AC56&gt;=0.5+Config!$B$6,"UNDER","—")))</f>
        <v>UNDER</v>
      </c>
      <c r="AE56" s="13" t="n">
        <f aca="false">IFERROR(Z56/G56,"")</f>
        <v>0.987408318543073</v>
      </c>
    </row>
    <row r="57" customFormat="false" ht="15" hidden="false" customHeight="false" outlineLevel="0" collapsed="false">
      <c r="A57" s="0" t="s">
        <v>568</v>
      </c>
      <c r="B57" s="0" t="s">
        <v>590</v>
      </c>
      <c r="C57" s="0" t="s">
        <v>710</v>
      </c>
      <c r="D57" s="0" t="s">
        <v>595</v>
      </c>
      <c r="E57" s="0" t="s">
        <v>637</v>
      </c>
      <c r="F57" s="0" t="n">
        <v>15.5</v>
      </c>
      <c r="G57" s="11" t="n">
        <f aca="false">IFERROR(INDEX(CHOOSE(MATCH($X57,{"K1","K2","K3","K12","K13","H1","H2","H3","H12","H13"},0),Calc!$V$2:$V$42,Calc!$AC$2:$AC$42,Calc!$AJ$2:$AJ$42,Calc!$AL$2:$AL$42,Calc!$AM$2:$AM$42,Calc!$W$2:$W$42,Calc!$AD$2:$AD$42,Calc!$AK$2:$AK$42,Calc!$AN$2:$AN$42,Calc!$AO$2:$AO$42),MATCH($W57,Calc!$A$2:$A$42,0)),"")</f>
        <v>16.4427182059143</v>
      </c>
      <c r="H57" s="11" t="n">
        <f aca="false">IF(G57="","",IF(LEFT($X57,1)="H",SQRT(G57*(IFERROR(INDEX(Calc!$AP$2:$AP$42,MATCH($W57,Calc!$A$2:$A$42,0)),0.5)*Config!$B$5+1-IFERROR(INDEX(Calc!$AP$2:$AP$42,MATCH($W57,Calc!$A$2:$A$42,0)),0.5))),SQRT(G57*Config!$B$5)))</f>
        <v>4.50422827357667</v>
      </c>
      <c r="I57" s="10" t="n">
        <f aca="false">IF(OR(F57="",G57="",N(H57)&lt;=0),"",1-NORMDIST(FLOOR(F57,1)+0.5,G57,H57,TRUE()))</f>
        <v>0.582891520810288</v>
      </c>
      <c r="J57" s="10" t="n">
        <f aca="false">IF(I57="","",NORMDIST(CEILING(F57,1)-0.5,G57,H57,TRUE()))</f>
        <v>0.417108479189712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OVER</v>
      </c>
      <c r="N57" s="0" t="n">
        <v>17.3</v>
      </c>
      <c r="O57" s="10" t="n">
        <v>0.6</v>
      </c>
      <c r="P57" s="10" t="n">
        <v>0.6</v>
      </c>
      <c r="Q57" s="10" t="n">
        <v>0.73</v>
      </c>
      <c r="R57" s="9" t="s">
        <v>660</v>
      </c>
      <c r="S57" s="0" t="n">
        <v>3</v>
      </c>
      <c r="T57" s="0" t="str">
        <f aca="false">INDEX(Calc!$G$2:$G$42,MATCH($W57,Calc!$A$2:$A$42,0))&amp;" / "&amp;INDEX(Calc!$H$2:$H$42,MATCH($W57,Calc!$A$2:$A$42,0))</f>
        <v>Dust2 / Ancient</v>
      </c>
      <c r="U57" s="0" t="str">
        <f aca="false">TEXT(INDEX(Calc!$J$2:$J$42,MATCH($W57,Calc!$A$2:$A$42,0)),"0.0")&amp;" / "&amp;TEXT(INDEX(Calc!$K$2:$K$42,MATCH($W57,Calc!$A$2:$A$42,0)),"0.0")</f>
        <v>21.3 / 21.3</v>
      </c>
      <c r="V57" s="0" t="str">
        <f aca="false">IFERROR(INDEX(Calc!$AQ$2:$AQ$42,MATCH($W57,Calc!$A$2:$A$42,0)),"")</f>
        <v/>
      </c>
      <c r="W57" s="9" t="s">
        <v>711</v>
      </c>
      <c r="X57" s="9" t="s">
        <v>640</v>
      </c>
      <c r="Y57" s="0" t="str">
        <f aca="false">W57&amp;"|"&amp;X57</f>
        <v>8aai8x2gzwv7n81|CS2 · SIN vs EF|H12</v>
      </c>
      <c r="Z57" s="11" t="n">
        <f aca="false">IFERROR(INDEX(CHOOSE(MATCH($X57,{"K1","K2","K3","K12","K13","H1","H2","H3","H12","H13"},0),Calc!$BA$2:$BA$42,Calc!$BB$2:$BB$42,Calc!$BC$2:$BC$42,Calc!$BD$2:$BD$42,Calc!$BE$2:$BE$42,Calc!$BF$2:$BF$42,Calc!$BG$2:$BG$42,Calc!$BH$2:$BH$42,Calc!$BI$2:$BI$42,Calc!$BJ$2:$BJ$42),MATCH($W57,Calc!$A$2:$A$42,0)),"")</f>
        <v>16.0456344921749</v>
      </c>
      <c r="AA57" s="11" t="n">
        <f aca="false">IF(Z57="","",IF(LEFT($X57,1)="H",SQRT(Z57*(IFERROR(INDEX(Calc!$AP$2:$AP$42,MATCH($W57,Calc!$A$2:$A$42,0)),0.5)*Config!$B$5+1-IFERROR(INDEX(Calc!$AP$2:$AP$42,MATCH($W57,Calc!$A$2:$A$42,0)),0.5))),SQRT(Z57*Config!$B$5)))</f>
        <v>4.4495084199443</v>
      </c>
      <c r="AB57" s="10" t="n">
        <f aca="false">IF(OR(F57="",Z57="",N(AA57)&lt;=0),"",1-NORMDIST(FLOOR(F57,1)+0.5,Z57,AA57,TRUE()))</f>
        <v>0.548799174960812</v>
      </c>
      <c r="AC57" s="10" t="n">
        <f aca="false">IF(AB57="","",NORMDIST(CEILING(F57,1)-0.5,Z57,AA57,TRUE()))</f>
        <v>0.451200825039188</v>
      </c>
      <c r="AD57" s="0" t="str">
        <f aca="false">IF(AB57="","",IF(AB57&gt;=0.5+Config!$B$6,"OVER",IF(AC57&gt;=0.5+Config!$B$6,"UNDER","—")))</f>
        <v>OVER</v>
      </c>
      <c r="AE57" s="13" t="n">
        <f aca="false">IFERROR(Z57/G57,"")</f>
        <v>0.975850482337127</v>
      </c>
    </row>
    <row r="58" customFormat="false" ht="15" hidden="false" customHeight="false" outlineLevel="0" collapsed="false">
      <c r="A58" s="0" t="s">
        <v>568</v>
      </c>
      <c r="B58" s="0" t="s">
        <v>590</v>
      </c>
      <c r="C58" s="0" t="s">
        <v>710</v>
      </c>
      <c r="D58" s="0" t="s">
        <v>595</v>
      </c>
      <c r="E58" s="0" t="s">
        <v>641</v>
      </c>
      <c r="F58" s="0" t="n">
        <v>28.5</v>
      </c>
      <c r="G58" s="11" t="n">
        <f aca="false">IFERROR(INDEX(CHOOSE(MATCH($X58,{"K1","K2","K3","K12","K13","H1","H2","H3","H12","H13"},0),Calc!$V$2:$V$42,Calc!$AC$2:$AC$42,Calc!$AJ$2:$AJ$42,Calc!$AL$2:$AL$42,Calc!$AM$2:$AM$42,Calc!$W$2:$W$42,Calc!$AD$2:$AD$42,Calc!$AK$2:$AK$42,Calc!$AN$2:$AN$42,Calc!$AO$2:$AO$42),MATCH($W58,Calc!$A$2:$A$42,0)),"")</f>
        <v>28.1235977272727</v>
      </c>
      <c r="H58" s="11" t="n">
        <f aca="false">IF(G58="","",IF(LEFT($X58,1)="H",SQRT(G58*(IFERROR(INDEX(Calc!$AP$2:$AP$42,MATCH($W58,Calc!$A$2:$A$42,0)),0.5)*Config!$B$5+1-IFERROR(INDEX(Calc!$AP$2:$AP$42,MATCH($W58,Calc!$A$2:$A$42,0)),0.5))),SQRT(G58*Config!$B$5)))</f>
        <v>6.27479376698405</v>
      </c>
      <c r="I58" s="10" t="n">
        <f aca="false">IF(OR(F58="",G58="",N(H58)&lt;=0),"",1-NORMDIST(FLOOR(F58,1)+0.5,G58,H58,TRUE()))</f>
        <v>0.476083234227349</v>
      </c>
      <c r="J58" s="10" t="n">
        <f aca="false">IF(I58="","",NORMDIST(CEILING(F58,1)-0.5,G58,H58,TRUE()))</f>
        <v>0.523916765772651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—</v>
      </c>
      <c r="M58" s="0" t="n">
        <v>25.98</v>
      </c>
      <c r="N58" s="0" t="n">
        <v>29.8</v>
      </c>
      <c r="O58" s="10" t="n">
        <v>0.6</v>
      </c>
      <c r="P58" s="10" t="n">
        <v>0.6</v>
      </c>
      <c r="Q58" s="10" t="n">
        <v>0.6</v>
      </c>
      <c r="R58" s="9" t="s">
        <v>658</v>
      </c>
      <c r="S58" s="0" t="n">
        <v>3</v>
      </c>
      <c r="T58" s="0" t="str">
        <f aca="false">INDEX(Calc!$G$2:$G$42,MATCH($W58,Calc!$A$2:$A$42,0))&amp;" / "&amp;INDEX(Calc!$H$2:$H$42,MATCH($W58,Calc!$A$2:$A$42,0))</f>
        <v>Dust2 / Ancient</v>
      </c>
      <c r="U58" s="0" t="str">
        <f aca="false">TEXT(INDEX(Calc!$J$2:$J$42,MATCH($W58,Calc!$A$2:$A$42,0)),"0.0")&amp;" / "&amp;TEXT(INDEX(Calc!$K$2:$K$42,MATCH($W58,Calc!$A$2:$A$42,0)),"0.0")</f>
        <v>21.3 / 21.3</v>
      </c>
      <c r="V58" s="0" t="str">
        <f aca="false">IFERROR(INDEX(Calc!$AQ$2:$AQ$42,MATCH($W58,Calc!$A$2:$A$42,0)),"")</f>
        <v/>
      </c>
      <c r="W58" s="9" t="s">
        <v>711</v>
      </c>
      <c r="X58" s="9" t="s">
        <v>642</v>
      </c>
      <c r="Y58" s="0" t="str">
        <f aca="false">W58&amp;"|"&amp;X58</f>
        <v>8aai8x2gzwv7n81|CS2 · SIN vs EF|K12</v>
      </c>
      <c r="Z58" s="11" t="n">
        <f aca="false">IFERROR(INDEX(CHOOSE(MATCH($X58,{"K1","K2","K3","K12","K13","H1","H2","H3","H12","H13"},0),Calc!$BA$2:$BA$42,Calc!$BB$2:$BB$42,Calc!$BC$2:$BC$42,Calc!$BD$2:$BD$42,Calc!$BE$2:$BE$42,Calc!$BF$2:$BF$42,Calc!$BG$2:$BG$42,Calc!$BH$2:$BH$42,Calc!$BI$2:$BI$42,Calc!$BJ$2:$BJ$42),MATCH($W58,Calc!$A$2:$A$42,0)),"")</f>
        <v>27.4441082822275</v>
      </c>
      <c r="AA58" s="11" t="n">
        <f aca="false">IF(Z58="","",IF(LEFT($X58,1)="H",SQRT(Z58*(IFERROR(INDEX(Calc!$AP$2:$AP$42,MATCH($W58,Calc!$A$2:$A$42,0)),0.5)*Config!$B$5+1-IFERROR(INDEX(Calc!$AP$2:$AP$42,MATCH($W58,Calc!$A$2:$A$42,0)),0.5))),SQRT(Z58*Config!$B$5)))</f>
        <v>6.19852817974707</v>
      </c>
      <c r="AB58" s="10" t="n">
        <f aca="false">IF(OR(F58="",Z58="",N(AA58)&lt;=0),"",1-NORMDIST(FLOOR(F58,1)+0.5,Z58,AA58,TRUE()))</f>
        <v>0.432369193851241</v>
      </c>
      <c r="AC58" s="10" t="n">
        <f aca="false">IF(AB58="","",NORMDIST(CEILING(F58,1)-0.5,Z58,AA58,TRUE()))</f>
        <v>0.567630806148759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0.975839170662496</v>
      </c>
    </row>
    <row r="59" customFormat="false" ht="15" hidden="false" customHeight="false" outlineLevel="0" collapsed="false">
      <c r="A59" s="0" t="s">
        <v>568</v>
      </c>
      <c r="B59" s="0" t="s">
        <v>590</v>
      </c>
      <c r="C59" s="0" t="s">
        <v>712</v>
      </c>
      <c r="D59" s="0" t="s">
        <v>595</v>
      </c>
      <c r="E59" s="0" t="s">
        <v>637</v>
      </c>
      <c r="F59" s="0" t="n">
        <v>15.5</v>
      </c>
      <c r="G59" s="11" t="n">
        <f aca="false">IFERROR(INDEX(CHOOSE(MATCH($X59,{"K1","K2","K3","K12","K13","H1","H2","H3","H12","H13"},0),Calc!$V$2:$V$42,Calc!$AC$2:$AC$42,Calc!$AJ$2:$AJ$42,Calc!$AL$2:$AL$42,Calc!$AM$2:$AM$42,Calc!$W$2:$W$42,Calc!$AD$2:$AD$42,Calc!$AK$2:$AK$42,Calc!$AN$2:$AN$42,Calc!$AO$2:$AO$42),MATCH($W59,Calc!$A$2:$A$42,0)),"")</f>
        <v>14.5954995371901</v>
      </c>
      <c r="H59" s="11" t="n">
        <f aca="false">IF(G59="","",IF(LEFT($X59,1)="H",SQRT(G59*(IFERROR(INDEX(Calc!$AP$2:$AP$42,MATCH($W59,Calc!$A$2:$A$42,0)),0.5)*Config!$B$5+1-IFERROR(INDEX(Calc!$AP$2:$AP$42,MATCH($W59,Calc!$A$2:$A$42,0)),0.5))),SQRT(G59*Config!$B$5)))</f>
        <v>4.19171157139548</v>
      </c>
      <c r="I59" s="10" t="n">
        <f aca="false">IF(OR(F59="",G59="",N(H59)&lt;=0),"",1-NORMDIST(FLOOR(F59,1)+0.5,G59,H59,TRUE()))</f>
        <v>0.414578416175753</v>
      </c>
      <c r="J59" s="10" t="n">
        <f aca="false">IF(I59="","",NORMDIST(CEILING(F59,1)-0.5,G59,H59,TRUE()))</f>
        <v>0.585421583824247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15.1</v>
      </c>
      <c r="O59" s="10" t="n">
        <v>0.8</v>
      </c>
      <c r="P59" s="10" t="n">
        <v>0.6</v>
      </c>
      <c r="Q59" s="10" t="n">
        <v>0.4</v>
      </c>
      <c r="R59" s="9" t="s">
        <v>674</v>
      </c>
      <c r="S59" s="0" t="n">
        <v>3</v>
      </c>
      <c r="T59" s="0" t="str">
        <f aca="false">INDEX(Calc!$G$2:$G$42,MATCH($W59,Calc!$A$2:$A$42,0))&amp;" / "&amp;INDEX(Calc!$H$2:$H$42,MATCH($W59,Calc!$A$2:$A$42,0))</f>
        <v>Dust2 / Ancient</v>
      </c>
      <c r="U59" s="0" t="str">
        <f aca="false">TEXT(INDEX(Calc!$J$2:$J$42,MATCH($W59,Calc!$A$2:$A$42,0)),"0.0")&amp;" / "&amp;TEXT(INDEX(Calc!$K$2:$K$42,MATCH($W59,Calc!$A$2:$A$42,0)),"0.0")</f>
        <v>21.3 / 21.3</v>
      </c>
      <c r="V59" s="0" t="str">
        <f aca="false">IFERROR(INDEX(Calc!$AQ$2:$AQ$42,MATCH($W59,Calc!$A$2:$A$42,0)),"")</f>
        <v/>
      </c>
      <c r="W59" s="9" t="s">
        <v>713</v>
      </c>
      <c r="X59" s="9" t="s">
        <v>640</v>
      </c>
      <c r="Y59" s="0" t="str">
        <f aca="false">W59&amp;"|"&amp;X59</f>
        <v>lsulnpetantoynq|CS2 · SIN vs EF|H12</v>
      </c>
      <c r="Z59" s="11" t="n">
        <f aca="false">IFERROR(INDEX(CHOOSE(MATCH($X59,{"K1","K2","K3","K12","K13","H1","H2","H3","H12","H13"},0),Calc!$BA$2:$BA$42,Calc!$BB$2:$BB$42,Calc!$BC$2:$BC$42,Calc!$BD$2:$BD$42,Calc!$BE$2:$BE$42,Calc!$BF$2:$BF$42,Calc!$BG$2:$BG$42,Calc!$BH$2:$BH$42,Calc!$BI$2:$BI$42,Calc!$BJ$2:$BJ$42),MATCH($W59,Calc!$A$2:$A$42,0)),"")</f>
        <v>14.2431818484764</v>
      </c>
      <c r="AA59" s="11" t="n">
        <f aca="false">IF(Z59="","",IF(LEFT($X59,1)="H",SQRT(Z59*(IFERROR(INDEX(Calc!$AP$2:$AP$42,MATCH($W59,Calc!$A$2:$A$42,0)),0.5)*Config!$B$5+1-IFERROR(INDEX(Calc!$AP$2:$AP$42,MATCH($W59,Calc!$A$2:$A$42,0)),0.5))),SQRT(Z59*Config!$B$5)))</f>
        <v>4.14081110478929</v>
      </c>
      <c r="AB59" s="10" t="n">
        <f aca="false">IF(OR(F59="",Z59="",N(AA59)&lt;=0),"",1-NORMDIST(FLOOR(F59,1)+0.5,Z59,AA59,TRUE()))</f>
        <v>0.380746880879341</v>
      </c>
      <c r="AC59" s="10" t="n">
        <f aca="false">IF(AB59="","",NORMDIST(CEILING(F59,1)-0.5,Z59,AA59,TRUE()))</f>
        <v>0.619253119120659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0.975861210654973</v>
      </c>
    </row>
    <row r="60" customFormat="false" ht="15" hidden="false" customHeight="false" outlineLevel="0" collapsed="false">
      <c r="A60" s="0" t="s">
        <v>568</v>
      </c>
      <c r="B60" s="0" t="s">
        <v>590</v>
      </c>
      <c r="C60" s="0" t="s">
        <v>712</v>
      </c>
      <c r="D60" s="0" t="s">
        <v>595</v>
      </c>
      <c r="E60" s="0" t="s">
        <v>641</v>
      </c>
      <c r="F60" s="0" t="n">
        <v>28.5</v>
      </c>
      <c r="G60" s="11" t="n">
        <f aca="false">IFERROR(INDEX(CHOOSE(MATCH($X60,{"K1","K2","K3","K12","K13","H1","H2","H3","H12","H13"},0),Calc!$V$2:$V$42,Calc!$AC$2:$AC$42,Calc!$AJ$2:$AJ$42,Calc!$AL$2:$AL$42,Calc!$AM$2:$AM$42,Calc!$W$2:$W$42,Calc!$AD$2:$AD$42,Calc!$AK$2:$AK$42,Calc!$AN$2:$AN$42,Calc!$AO$2:$AO$42),MATCH($W60,Calc!$A$2:$A$42,0)),"")</f>
        <v>28.6430181818182</v>
      </c>
      <c r="H60" s="11" t="n">
        <f aca="false">IF(G60="","",IF(LEFT($X60,1)="H",SQRT(G60*(IFERROR(INDEX(Calc!$AP$2:$AP$42,MATCH($W60,Calc!$A$2:$A$42,0)),0.5)*Config!$B$5+1-IFERROR(INDEX(Calc!$AP$2:$AP$42,MATCH($W60,Calc!$A$2:$A$42,0)),0.5))),SQRT(G60*Config!$B$5)))</f>
        <v>6.33247388107882</v>
      </c>
      <c r="I60" s="10" t="n">
        <f aca="false">IF(OR(F60="",G60="",N(H60)&lt;=0),"",1-NORMDIST(FLOOR(F60,1)+0.5,G60,H60,TRUE()))</f>
        <v>0.509009298821327</v>
      </c>
      <c r="J60" s="10" t="n">
        <f aca="false">IF(I60="","",NORMDIST(CEILING(F60,1)-0.5,G60,H60,TRUE()))</f>
        <v>0.490990701178673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—</v>
      </c>
      <c r="M60" s="0" t="n">
        <v>28.51</v>
      </c>
      <c r="N60" s="0" t="n">
        <v>27.8</v>
      </c>
      <c r="O60" s="10" t="n">
        <v>0.4</v>
      </c>
      <c r="P60" s="10" t="n">
        <v>0.4</v>
      </c>
      <c r="Q60" s="10" t="n">
        <v>0.33</v>
      </c>
      <c r="R60" s="9" t="s">
        <v>674</v>
      </c>
      <c r="S60" s="0" t="n">
        <v>1</v>
      </c>
      <c r="T60" s="0" t="str">
        <f aca="false">INDEX(Calc!$G$2:$G$42,MATCH($W60,Calc!$A$2:$A$42,0))&amp;" / "&amp;INDEX(Calc!$H$2:$H$42,MATCH($W60,Calc!$A$2:$A$42,0))</f>
        <v>Dust2 / Ancient</v>
      </c>
      <c r="U60" s="0" t="str">
        <f aca="false">TEXT(INDEX(Calc!$J$2:$J$42,MATCH($W60,Calc!$A$2:$A$42,0)),"0.0")&amp;" / "&amp;TEXT(INDEX(Calc!$K$2:$K$42,MATCH($W60,Calc!$A$2:$A$42,0)),"0.0")</f>
        <v>21.3 / 21.3</v>
      </c>
      <c r="V60" s="0" t="str">
        <f aca="false">IFERROR(INDEX(Calc!$AQ$2:$AQ$42,MATCH($W60,Calc!$A$2:$A$42,0)),"")</f>
        <v/>
      </c>
      <c r="W60" s="9" t="s">
        <v>713</v>
      </c>
      <c r="X60" s="9" t="s">
        <v>642</v>
      </c>
      <c r="Y60" s="0" t="str">
        <f aca="false">W60&amp;"|"&amp;X60</f>
        <v>lsulnpetantoynq|CS2 · SIN vs EF|K12</v>
      </c>
      <c r="Z60" s="11" t="n">
        <f aca="false">IFERROR(INDEX(CHOOSE(MATCH($X60,{"K1","K2","K3","K12","K13","H1","H2","H3","H12","H13"},0),Calc!$BA$2:$BA$42,Calc!$BB$2:$BB$42,Calc!$BC$2:$BC$42,Calc!$BD$2:$BD$42,Calc!$BE$2:$BE$42,Calc!$BF$2:$BF$42,Calc!$BG$2:$BG$42,Calc!$BH$2:$BH$42,Calc!$BI$2:$BI$42,Calc!$BJ$2:$BJ$42),MATCH($W60,Calc!$A$2:$A$42,0)),"")</f>
        <v>27.9505010107605</v>
      </c>
      <c r="AA60" s="11" t="n">
        <f aca="false">IF(Z60="","",IF(LEFT($X60,1)="H",SQRT(Z60*(IFERROR(INDEX(Calc!$AP$2:$AP$42,MATCH($W60,Calc!$A$2:$A$42,0)),0.5)*Config!$B$5+1-IFERROR(INDEX(Calc!$AP$2:$AP$42,MATCH($W60,Calc!$A$2:$A$42,0)),0.5))),SQRT(Z60*Config!$B$5)))</f>
        <v>6.25545373374823</v>
      </c>
      <c r="AB60" s="10" t="n">
        <f aca="false">IF(OR(F60="",Z60="",N(AA60)&lt;=0),"",1-NORMDIST(FLOOR(F60,1)+0.5,Z60,AA60,TRUE()))</f>
        <v>0.465000656257894</v>
      </c>
      <c r="AC60" s="10" t="n">
        <f aca="false">IF(AB60="","",NORMDIST(CEILING(F60,1)-0.5,Z60,AA60,TRUE()))</f>
        <v>0.534999343742106</v>
      </c>
      <c r="AD60" s="0" t="str">
        <f aca="false">IF(AB60="","",IF(AB60&gt;=0.5+Config!$B$6,"OVER",IF(AC60&gt;=0.5+Config!$B$6,"UNDER","—")))</f>
        <v>—</v>
      </c>
      <c r="AE60" s="13" t="n">
        <f aca="false">IFERROR(Z60/G60,"")</f>
        <v>0.975822479088559</v>
      </c>
    </row>
    <row r="61" customFormat="false" ht="15" hidden="false" customHeight="false" outlineLevel="0" collapsed="false">
      <c r="A61" s="0" t="s">
        <v>568</v>
      </c>
      <c r="B61" s="0" t="s">
        <v>590</v>
      </c>
      <c r="C61" s="0" t="s">
        <v>714</v>
      </c>
      <c r="D61" s="0" t="s">
        <v>595</v>
      </c>
      <c r="E61" s="0" t="s">
        <v>637</v>
      </c>
      <c r="F61" s="0" t="n">
        <v>9.5</v>
      </c>
      <c r="G61" s="11" t="n">
        <f aca="false">IFERROR(INDEX(CHOOSE(MATCH($X61,{"K1","K2","K3","K12","K13","H1","H2","H3","H12","H13"},0),Calc!$V$2:$V$42,Calc!$AC$2:$AC$42,Calc!$AJ$2:$AJ$42,Calc!$AL$2:$AL$42,Calc!$AM$2:$AM$42,Calc!$W$2:$W$42,Calc!$AD$2:$AD$42,Calc!$AK$2:$AK$42,Calc!$AN$2:$AN$42,Calc!$AO$2:$AO$42),MATCH($W61,Calc!$A$2:$A$42,0)),"")</f>
        <v>8.75819767179752</v>
      </c>
      <c r="H61" s="11" t="n">
        <f aca="false">IF(G61="","",IF(LEFT($X61,1)="H",SQRT(G61*(IFERROR(INDEX(Calc!$AP$2:$AP$42,MATCH($W61,Calc!$A$2:$A$42,0)),0.5)*Config!$B$5+1-IFERROR(INDEX(Calc!$AP$2:$AP$42,MATCH($W61,Calc!$A$2:$A$42,0)),0.5))),SQRT(G61*Config!$B$5)))</f>
        <v>3.13444098253612</v>
      </c>
      <c r="I61" s="10" t="n">
        <f aca="false">IF(OR(F61="",G61="",N(H61)&lt;=0),"",1-NORMDIST(FLOOR(F61,1)+0.5,G61,H61,TRUE()))</f>
        <v>0.406459600598316</v>
      </c>
      <c r="J61" s="10" t="n">
        <f aca="false">IF(I61="","",NORMDIST(CEILING(F61,1)-0.5,G61,H61,TRUE()))</f>
        <v>0.593540399401684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UNDER</v>
      </c>
      <c r="N61" s="0" t="n">
        <v>8.5</v>
      </c>
      <c r="O61" s="10" t="n">
        <v>0.4</v>
      </c>
      <c r="P61" s="10" t="n">
        <v>0.4</v>
      </c>
      <c r="Q61" s="10" t="n">
        <v>0.47</v>
      </c>
      <c r="R61" s="9" t="s">
        <v>638</v>
      </c>
      <c r="S61" s="0" t="n">
        <v>2</v>
      </c>
      <c r="T61" s="0" t="str">
        <f aca="false">INDEX(Calc!$G$2:$G$42,MATCH($W61,Calc!$A$2:$A$42,0))&amp;" / "&amp;INDEX(Calc!$H$2:$H$42,MATCH($W61,Calc!$A$2:$A$42,0))</f>
        <v>Dust2 / Ancient</v>
      </c>
      <c r="U61" s="0" t="str">
        <f aca="false">TEXT(INDEX(Calc!$J$2:$J$42,MATCH($W61,Calc!$A$2:$A$42,0)),"0.0")&amp;" / "&amp;TEXT(INDEX(Calc!$K$2:$K$42,MATCH($W61,Calc!$A$2:$A$42,0)),"0.0")</f>
        <v>21.3 / 21.3</v>
      </c>
      <c r="V61" s="0" t="str">
        <f aca="false">IFERROR(INDEX(Calc!$AQ$2:$AQ$42,MATCH($W61,Calc!$A$2:$A$42,0)),"")</f>
        <v/>
      </c>
      <c r="W61" s="9" t="s">
        <v>715</v>
      </c>
      <c r="X61" s="9" t="s">
        <v>640</v>
      </c>
      <c r="Y61" s="0" t="str">
        <f aca="false">W61&amp;"|"&amp;X61</f>
        <v>1hopqlnjw3mlmoz|CS2 · SIN vs EF|H12</v>
      </c>
      <c r="Z61" s="11" t="n">
        <f aca="false">IFERROR(INDEX(CHOOSE(MATCH($X61,{"K1","K2","K3","K12","K13","H1","H2","H3","H12","H13"},0),Calc!$BA$2:$BA$42,Calc!$BB$2:$BB$42,Calc!$BC$2:$BC$42,Calc!$BD$2:$BD$42,Calc!$BE$2:$BE$42,Calc!$BF$2:$BF$42,Calc!$BG$2:$BG$42,Calc!$BH$2:$BH$42,Calc!$BI$2:$BI$42,Calc!$BJ$2:$BJ$42),MATCH($W61,Calc!$A$2:$A$42,0)),"")</f>
        <v>8.54683664762083</v>
      </c>
      <c r="AA61" s="11" t="n">
        <f aca="false">IF(Z61="","",IF(LEFT($X61,1)="H",SQRT(Z61*(IFERROR(INDEX(Calc!$AP$2:$AP$42,MATCH($W61,Calc!$A$2:$A$42,0)),0.5)*Config!$B$5+1-IFERROR(INDEX(Calc!$AP$2:$AP$42,MATCH($W61,Calc!$A$2:$A$42,0)),0.5))),SQRT(Z61*Config!$B$5)))</f>
        <v>3.09638836826275</v>
      </c>
      <c r="AB61" s="10" t="n">
        <f aca="false">IF(OR(F61="",Z61="",N(AA61)&lt;=0),"",1-NORMDIST(FLOOR(F61,1)+0.5,Z61,AA61,TRUE()))</f>
        <v>0.379105585677945</v>
      </c>
      <c r="AC61" s="10" t="n">
        <f aca="false">IF(AB61="","",NORMDIST(CEILING(F61,1)-0.5,Z61,AA61,TRUE()))</f>
        <v>0.620894414322055</v>
      </c>
      <c r="AD61" s="0" t="str">
        <f aca="false">IF(AB61="","",IF(AB61&gt;=0.5+Config!$B$6,"OVER",IF(AC61&gt;=0.5+Config!$B$6,"UNDER","—")))</f>
        <v>UNDER</v>
      </c>
      <c r="AE61" s="13" t="n">
        <f aca="false">IFERROR(Z61/G61,"")</f>
        <v>0.975867063967133</v>
      </c>
    </row>
    <row r="62" customFormat="false" ht="15" hidden="false" customHeight="false" outlineLevel="0" collapsed="false">
      <c r="A62" s="0" t="s">
        <v>568</v>
      </c>
      <c r="B62" s="0" t="s">
        <v>590</v>
      </c>
      <c r="C62" s="0" t="s">
        <v>714</v>
      </c>
      <c r="D62" s="0" t="s">
        <v>595</v>
      </c>
      <c r="E62" s="0" t="s">
        <v>641</v>
      </c>
      <c r="F62" s="0" t="n">
        <v>28.5</v>
      </c>
      <c r="G62" s="11" t="n">
        <f aca="false">IFERROR(INDEX(CHOOSE(MATCH($X62,{"K1","K2","K3","K12","K13","H1","H2","H3","H12","H13"},0),Calc!$V$2:$V$42,Calc!$AC$2:$AC$42,Calc!$AJ$2:$AJ$42,Calc!$AL$2:$AL$42,Calc!$AM$2:$AM$42,Calc!$W$2:$W$42,Calc!$AD$2:$AD$42,Calc!$AK$2:$AK$42,Calc!$AN$2:$AN$42,Calc!$AO$2:$AO$42),MATCH($W62,Calc!$A$2:$A$42,0)),"")</f>
        <v>28.7686454545455</v>
      </c>
      <c r="H62" s="11" t="n">
        <f aca="false">IF(G62="","",IF(LEFT($X62,1)="H",SQRT(G62*(IFERROR(INDEX(Calc!$AP$2:$AP$42,MATCH($W62,Calc!$A$2:$A$42,0)),0.5)*Config!$B$5+1-IFERROR(INDEX(Calc!$AP$2:$AP$42,MATCH($W62,Calc!$A$2:$A$42,0)),0.5))),SQRT(G62*Config!$B$5)))</f>
        <v>6.34634569152703</v>
      </c>
      <c r="I62" s="10" t="n">
        <f aca="false">IF(OR(F62="",G62="",N(H62)&lt;=0),"",1-NORMDIST(FLOOR(F62,1)+0.5,G62,H62,TRUE()))</f>
        <v>0.516882476421038</v>
      </c>
      <c r="J62" s="10" t="n">
        <f aca="false">IF(I62="","",NORMDIST(CEILING(F62,1)-0.5,G62,H62,TRUE()))</f>
        <v>0.483117523578962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—</v>
      </c>
      <c r="M62" s="0" t="n">
        <v>28.51</v>
      </c>
      <c r="N62" s="0" t="n">
        <v>26.6</v>
      </c>
      <c r="O62" s="10" t="n">
        <v>0.2</v>
      </c>
      <c r="P62" s="10" t="n">
        <v>0.2</v>
      </c>
      <c r="Q62" s="10" t="n">
        <v>0.33</v>
      </c>
      <c r="R62" s="9" t="s">
        <v>638</v>
      </c>
      <c r="S62" s="0" t="n">
        <v>1</v>
      </c>
      <c r="T62" s="0" t="str">
        <f aca="false">INDEX(Calc!$G$2:$G$42,MATCH($W62,Calc!$A$2:$A$42,0))&amp;" / "&amp;INDEX(Calc!$H$2:$H$42,MATCH($W62,Calc!$A$2:$A$42,0))</f>
        <v>Dust2 / Ancient</v>
      </c>
      <c r="U62" s="0" t="str">
        <f aca="false">TEXT(INDEX(Calc!$J$2:$J$42,MATCH($W62,Calc!$A$2:$A$42,0)),"0.0")&amp;" / "&amp;TEXT(INDEX(Calc!$K$2:$K$42,MATCH($W62,Calc!$A$2:$A$42,0)),"0.0")</f>
        <v>21.3 / 21.3</v>
      </c>
      <c r="V62" s="0" t="str">
        <f aca="false">IFERROR(INDEX(Calc!$AQ$2:$AQ$42,MATCH($W62,Calc!$A$2:$A$42,0)),"")</f>
        <v/>
      </c>
      <c r="W62" s="9" t="s">
        <v>715</v>
      </c>
      <c r="X62" s="9" t="s">
        <v>642</v>
      </c>
      <c r="Y62" s="0" t="str">
        <f aca="false">W62&amp;"|"&amp;X62</f>
        <v>1hopqlnjw3mlmoz|CS2 · SIN vs EF|K12</v>
      </c>
      <c r="Z62" s="11" t="n">
        <f aca="false">IFERROR(INDEX(CHOOSE(MATCH($X62,{"K1","K2","K3","K12","K13","H1","H2","H3","H12","H13"},0),Calc!$BA$2:$BA$42,Calc!$BB$2:$BB$42,Calc!$BC$2:$BC$42,Calc!$BD$2:$BD$42,Calc!$BE$2:$BE$42,Calc!$BF$2:$BF$42,Calc!$BG$2:$BG$42,Calc!$BH$2:$BH$42,Calc!$BI$2:$BI$42,Calc!$BJ$2:$BJ$42),MATCH($W62,Calc!$A$2:$A$42,0)),"")</f>
        <v>28.0732637431187</v>
      </c>
      <c r="AA62" s="11" t="n">
        <f aca="false">IF(Z62="","",IF(LEFT($X62,1)="H",SQRT(Z62*(IFERROR(INDEX(Calc!$AP$2:$AP$42,MATCH($W62,Calc!$A$2:$A$42,0)),0.5)*Config!$B$5+1-IFERROR(INDEX(Calc!$AP$2:$AP$42,MATCH($W62,Calc!$A$2:$A$42,0)),0.5))),SQRT(Z62*Config!$B$5)))</f>
        <v>6.26917612133893</v>
      </c>
      <c r="AB62" s="10" t="n">
        <f aca="false">IF(OR(F62="",Z62="",N(AA62)&lt;=0),"",1-NORMDIST(FLOOR(F62,1)+0.5,Z62,AA62,TRUE()))</f>
        <v>0.472865372330753</v>
      </c>
      <c r="AC62" s="10" t="n">
        <f aca="false">IF(AB62="","",NORMDIST(CEILING(F62,1)-0.5,Z62,AA62,TRUE()))</f>
        <v>0.527134627669247</v>
      </c>
      <c r="AD62" s="0" t="str">
        <f aca="false">IF(AB62="","",IF(AB62&gt;=0.5+Config!$B$6,"OVER",IF(AC62&gt;=0.5+Config!$B$6,"UNDER","—")))</f>
        <v>—</v>
      </c>
      <c r="AE62" s="13" t="n">
        <f aca="false">IFERROR(Z62/G62,"")</f>
        <v>0.975828486171674</v>
      </c>
    </row>
    <row r="63" customFormat="false" ht="15" hidden="false" customHeight="false" outlineLevel="0" collapsed="false">
      <c r="A63" s="0" t="s">
        <v>568</v>
      </c>
      <c r="B63" s="0" t="s">
        <v>590</v>
      </c>
      <c r="C63" s="0" t="s">
        <v>716</v>
      </c>
      <c r="D63" s="0" t="s">
        <v>595</v>
      </c>
      <c r="E63" s="0" t="s">
        <v>637</v>
      </c>
      <c r="F63" s="0" t="n">
        <v>15.5</v>
      </c>
      <c r="G63" s="11" t="n">
        <f aca="false">IFERROR(INDEX(CHOOSE(MATCH($X63,{"K1","K2","K3","K12","K13","H1","H2","H3","H12","H13"},0),Calc!$V$2:$V$42,Calc!$AC$2:$AC$42,Calc!$AJ$2:$AJ$42,Calc!$AL$2:$AL$42,Calc!$AM$2:$AM$42,Calc!$W$2:$W$42,Calc!$AD$2:$AD$42,Calc!$AK$2:$AK$42,Calc!$AN$2:$AN$42,Calc!$AO$2:$AO$42),MATCH($W63,Calc!$A$2:$A$42,0)),"")</f>
        <v>18.574726983626</v>
      </c>
      <c r="H63" s="11" t="n">
        <f aca="false">IF(G63="","",IF(LEFT($X63,1)="H",SQRT(G63*(IFERROR(INDEX(Calc!$AP$2:$AP$42,MATCH($W63,Calc!$A$2:$A$42,0)),0.5)*Config!$B$5+1-IFERROR(INDEX(Calc!$AP$2:$AP$42,MATCH($W63,Calc!$A$2:$A$42,0)),0.5))),SQRT(G63*Config!$B$5)))</f>
        <v>4.78916072650079</v>
      </c>
      <c r="I63" s="10" t="n">
        <f aca="false">IF(OR(F63="",G63="",N(H63)&lt;=0),"",1-NORMDIST(FLOOR(F63,1)+0.5,G63,H63,TRUE()))</f>
        <v>0.739569224455362</v>
      </c>
      <c r="J63" s="10" t="n">
        <f aca="false">IF(I63="","",NORMDIST(CEILING(F63,1)-0.5,G63,H63,TRUE()))</f>
        <v>0.260430775544638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OVER</v>
      </c>
      <c r="N63" s="0" t="n">
        <v>17.4</v>
      </c>
      <c r="O63" s="10" t="n">
        <v>0.6</v>
      </c>
      <c r="P63" s="10" t="n">
        <v>0.6</v>
      </c>
      <c r="Q63" s="10" t="n">
        <v>0.47</v>
      </c>
      <c r="R63" s="9" t="s">
        <v>660</v>
      </c>
      <c r="S63" s="0" t="n">
        <v>3</v>
      </c>
      <c r="T63" s="0" t="str">
        <f aca="false">INDEX(Calc!$G$2:$G$42,MATCH($W63,Calc!$A$2:$A$42,0))&amp;" / "&amp;INDEX(Calc!$H$2:$H$42,MATCH($W63,Calc!$A$2:$A$42,0))</f>
        <v>Dust2 / Ancient</v>
      </c>
      <c r="U63" s="0" t="str">
        <f aca="false">TEXT(INDEX(Calc!$J$2:$J$42,MATCH($W63,Calc!$A$2:$A$42,0)),"0.0")&amp;" / "&amp;TEXT(INDEX(Calc!$K$2:$K$42,MATCH($W63,Calc!$A$2:$A$42,0)),"0.0")</f>
        <v>21.3 / 21.3</v>
      </c>
      <c r="V63" s="0" t="str">
        <f aca="false">IFERROR(INDEX(Calc!$AQ$2:$AQ$42,MATCH($W63,Calc!$A$2:$A$42,0)),"")</f>
        <v/>
      </c>
      <c r="W63" s="9" t="s">
        <v>717</v>
      </c>
      <c r="X63" s="9" t="s">
        <v>640</v>
      </c>
      <c r="Y63" s="0" t="str">
        <f aca="false">W63&amp;"|"&amp;X63</f>
        <v>ve4e5j5hk63t18f|CS2 · SIN vs EF|H12</v>
      </c>
      <c r="Z63" s="11" t="n">
        <f aca="false">IFERROR(INDEX(CHOOSE(MATCH($X63,{"K1","K2","K3","K12","K13","H1","H2","H3","H12","H13"},0),Calc!$BA$2:$BA$42,Calc!$BB$2:$BB$42,Calc!$BC$2:$BC$42,Calc!$BD$2:$BD$42,Calc!$BE$2:$BE$42,Calc!$BF$2:$BF$42,Calc!$BG$2:$BG$42,Calc!$BH$2:$BH$42,Calc!$BI$2:$BI$42,Calc!$BJ$2:$BJ$42),MATCH($W63,Calc!$A$2:$A$42,0)),"")</f>
        <v>18.1247734185414</v>
      </c>
      <c r="AA63" s="11" t="n">
        <f aca="false">IF(Z63="","",IF(LEFT($X63,1)="H",SQRT(Z63*(IFERROR(INDEX(Calc!$AP$2:$AP$42,MATCH($W63,Calc!$A$2:$A$42,0)),0.5)*Config!$B$5+1-IFERROR(INDEX(Calc!$AP$2:$AP$42,MATCH($W63,Calc!$A$2:$A$42,0)),0.5))),SQRT(Z63*Config!$B$5)))</f>
        <v>4.73079888632297</v>
      </c>
      <c r="AB63" s="10" t="n">
        <f aca="false">IF(OR(F63="",Z63="",N(AA63)&lt;=0),"",1-NORMDIST(FLOOR(F63,1)+0.5,Z63,AA63,TRUE()))</f>
        <v>0.71049339033136</v>
      </c>
      <c r="AC63" s="10" t="n">
        <f aca="false">IF(AB63="","",NORMDIST(CEILING(F63,1)-0.5,Z63,AA63,TRUE()))</f>
        <v>0.28950660966864</v>
      </c>
      <c r="AD63" s="0" t="str">
        <f aca="false">IF(AB63="","",IF(AB63&gt;=0.5+Config!$B$6,"OVER",IF(AC63&gt;=0.5+Config!$B$6,"UNDER","—")))</f>
        <v>OVER</v>
      </c>
      <c r="AE63" s="13" t="n">
        <f aca="false">IFERROR(Z63/G63,"")</f>
        <v>0.975776033452268</v>
      </c>
    </row>
    <row r="64" customFormat="false" ht="15" hidden="false" customHeight="false" outlineLevel="0" collapsed="false">
      <c r="A64" s="0" t="s">
        <v>568</v>
      </c>
      <c r="B64" s="0" t="s">
        <v>590</v>
      </c>
      <c r="C64" s="0" t="s">
        <v>716</v>
      </c>
      <c r="D64" s="0" t="s">
        <v>595</v>
      </c>
      <c r="E64" s="0" t="s">
        <v>641</v>
      </c>
      <c r="F64" s="0" t="n">
        <v>27.5</v>
      </c>
      <c r="G64" s="11" t="n">
        <f aca="false">IFERROR(INDEX(CHOOSE(MATCH($X64,{"K1","K2","K3","K12","K13","H1","H2","H3","H12","H13"},0),Calc!$V$2:$V$42,Calc!$AC$2:$AC$42,Calc!$AJ$2:$AJ$42,Calc!$AL$2:$AL$42,Calc!$AM$2:$AM$42,Calc!$W$2:$W$42,Calc!$AD$2:$AD$42,Calc!$AK$2:$AK$42,Calc!$AN$2:$AN$42,Calc!$AO$2:$AO$42),MATCH($W64,Calc!$A$2:$A$42,0)),"")</f>
        <v>31.6435772727273</v>
      </c>
      <c r="H64" s="11" t="n">
        <f aca="false">IF(G64="","",IF(LEFT($X64,1)="H",SQRT(G64*(IFERROR(INDEX(Calc!$AP$2:$AP$42,MATCH($W64,Calc!$A$2:$A$42,0)),0.5)*Config!$B$5+1-IFERROR(INDEX(Calc!$AP$2:$AP$42,MATCH($W64,Calc!$A$2:$A$42,0)),0.5))),SQRT(G64*Config!$B$5)))</f>
        <v>6.65590025329543</v>
      </c>
      <c r="I64" s="10" t="n">
        <f aca="false">IF(OR(F64="",G64="",N(H64)&lt;=0),"",1-NORMDIST(FLOOR(F64,1)+0.5,G64,H64,TRUE()))</f>
        <v>0.733207223177073</v>
      </c>
      <c r="J64" s="10" t="n">
        <f aca="false">IF(I64="","",NORMDIST(CEILING(F64,1)-0.5,G64,H64,TRUE()))</f>
        <v>0.266792776822927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OVER</v>
      </c>
      <c r="M64" s="0" t="n">
        <v>26.81</v>
      </c>
      <c r="N64" s="0" t="n">
        <v>30.8</v>
      </c>
      <c r="O64" s="10" t="n">
        <v>0.4</v>
      </c>
      <c r="P64" s="10" t="n">
        <v>0.7</v>
      </c>
      <c r="Q64" s="10" t="n">
        <v>0.6</v>
      </c>
      <c r="R64" s="9" t="s">
        <v>660</v>
      </c>
      <c r="S64" s="0" t="n">
        <v>2</v>
      </c>
      <c r="T64" s="0" t="str">
        <f aca="false">INDEX(Calc!$G$2:$G$42,MATCH($W64,Calc!$A$2:$A$42,0))&amp;" / "&amp;INDEX(Calc!$H$2:$H$42,MATCH($W64,Calc!$A$2:$A$42,0))</f>
        <v>Dust2 / Ancient</v>
      </c>
      <c r="U64" s="0" t="str">
        <f aca="false">TEXT(INDEX(Calc!$J$2:$J$42,MATCH($W64,Calc!$A$2:$A$42,0)),"0.0")&amp;" / "&amp;TEXT(INDEX(Calc!$K$2:$K$42,MATCH($W64,Calc!$A$2:$A$42,0)),"0.0")</f>
        <v>21.3 / 21.3</v>
      </c>
      <c r="V64" s="0" t="str">
        <f aca="false">IFERROR(INDEX(Calc!$AQ$2:$AQ$42,MATCH($W64,Calc!$A$2:$A$42,0)),"")</f>
        <v/>
      </c>
      <c r="W64" s="9" t="s">
        <v>717</v>
      </c>
      <c r="X64" s="9" t="s">
        <v>642</v>
      </c>
      <c r="Y64" s="0" t="str">
        <f aca="false">W64&amp;"|"&amp;X64</f>
        <v>ve4e5j5hk63t18f|CS2 · SIN vs EF|K12</v>
      </c>
      <c r="Z64" s="11" t="n">
        <f aca="false">IFERROR(INDEX(CHOOSE(MATCH($X64,{"K1","K2","K3","K12","K13","H1","H2","H3","H12","H13"},0),Calc!$BA$2:$BA$42,Calc!$BB$2:$BB$42,Calc!$BC$2:$BC$42,Calc!$BD$2:$BD$42,Calc!$BE$2:$BE$42,Calc!$BF$2:$BF$42,Calc!$BG$2:$BG$42,Calc!$BH$2:$BH$42,Calc!$BI$2:$BI$42,Calc!$BJ$2:$BJ$42),MATCH($W64,Calc!$A$2:$A$42,0)),"")</f>
        <v>30.8783794247032</v>
      </c>
      <c r="AA64" s="11" t="n">
        <f aca="false">IF(Z64="","",IF(LEFT($X64,1)="H",SQRT(Z64*(IFERROR(INDEX(Calc!$AP$2:$AP$42,MATCH($W64,Calc!$A$2:$A$42,0)),0.5)*Config!$B$5+1-IFERROR(INDEX(Calc!$AP$2:$AP$42,MATCH($W64,Calc!$A$2:$A$42,0)),0.5))),SQRT(Z64*Config!$B$5)))</f>
        <v>6.5749320296551</v>
      </c>
      <c r="AB64" s="10" t="n">
        <f aca="false">IF(OR(F64="",Z64="",N(AA64)&lt;=0),"",1-NORMDIST(FLOOR(F64,1)+0.5,Z64,AA64,TRUE()))</f>
        <v>0.696313622489935</v>
      </c>
      <c r="AC64" s="10" t="n">
        <f aca="false">IF(AB64="","",NORMDIST(CEILING(F64,1)-0.5,Z64,AA64,TRUE()))</f>
        <v>0.303686377510065</v>
      </c>
      <c r="AD64" s="0" t="str">
        <f aca="false">IF(AB64="","",IF(AB64&gt;=0.5+Config!$B$6,"OVER",IF(AC64&gt;=0.5+Config!$B$6,"UNDER","—")))</f>
        <v>OVER</v>
      </c>
      <c r="AE64" s="13" t="n">
        <f aca="false">IFERROR(Z64/G64,"")</f>
        <v>0.975818225561888</v>
      </c>
    </row>
    <row r="65" customFormat="false" ht="15" hidden="false" customHeight="false" outlineLevel="0" collapsed="false">
      <c r="A65" s="0" t="s">
        <v>568</v>
      </c>
      <c r="B65" s="0" t="s">
        <v>590</v>
      </c>
      <c r="C65" s="0" t="s">
        <v>718</v>
      </c>
      <c r="D65" s="0" t="s">
        <v>595</v>
      </c>
      <c r="E65" s="0" t="s">
        <v>637</v>
      </c>
      <c r="F65" s="0" t="n">
        <v>17.5</v>
      </c>
      <c r="G65" s="11" t="n">
        <f aca="false">IFERROR(INDEX(CHOOSE(MATCH($X65,{"K1","K2","K3","K12","K13","H1","H2","H3","H12","H13"},0),Calc!$V$2:$V$42,Calc!$AC$2:$AC$42,Calc!$AJ$2:$AJ$42,Calc!$AL$2:$AL$42,Calc!$AM$2:$AM$42,Calc!$W$2:$W$42,Calc!$AD$2:$AD$42,Calc!$AK$2:$AK$42,Calc!$AN$2:$AN$42,Calc!$AO$2:$AO$42),MATCH($W65,Calc!$A$2:$A$42,0)),"")</f>
        <v>17.1508600620868</v>
      </c>
      <c r="H65" s="11" t="n">
        <f aca="false">IF(G65="","",IF(LEFT($X65,1)="H",SQRT(G65*(IFERROR(INDEX(Calc!$AP$2:$AP$42,MATCH($W65,Calc!$A$2:$A$42,0)),0.5)*Config!$B$5+1-IFERROR(INDEX(Calc!$AP$2:$AP$42,MATCH($W65,Calc!$A$2:$A$42,0)),0.5))),SQRT(G65*Config!$B$5)))</f>
        <v>4.57299151478881</v>
      </c>
      <c r="I65" s="10" t="n">
        <f aca="false">IF(OR(F65="",G65="",N(H65)&lt;=0),"",1-NORMDIST(FLOOR(F65,1)+0.5,G65,H65,TRUE()))</f>
        <v>0.469571016593986</v>
      </c>
      <c r="J65" s="10" t="n">
        <f aca="false">IF(I65="","",NORMDIST(CEILING(F65,1)-0.5,G65,H65,TRUE()))</f>
        <v>0.530428983406014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—</v>
      </c>
      <c r="N65" s="0" t="n">
        <v>17.2</v>
      </c>
      <c r="O65" s="10" t="n">
        <v>0.4</v>
      </c>
      <c r="P65" s="10" t="n">
        <v>0.5</v>
      </c>
      <c r="Q65" s="10" t="n">
        <v>0.53</v>
      </c>
      <c r="R65" s="9" t="s">
        <v>660</v>
      </c>
      <c r="S65" s="0" t="n">
        <v>1</v>
      </c>
      <c r="T65" s="0" t="str">
        <f aca="false">INDEX(Calc!$G$2:$G$42,MATCH($W65,Calc!$A$2:$A$42,0))&amp;" / "&amp;INDEX(Calc!$H$2:$H$42,MATCH($W65,Calc!$A$2:$A$42,0))</f>
        <v>Dust2 / Ancient</v>
      </c>
      <c r="U65" s="0" t="str">
        <f aca="false">TEXT(INDEX(Calc!$J$2:$J$42,MATCH($W65,Calc!$A$2:$A$42,0)),"0.0")&amp;" / "&amp;TEXT(INDEX(Calc!$K$2:$K$42,MATCH($W65,Calc!$A$2:$A$42,0)),"0.0")</f>
        <v>21.3 / 21.3</v>
      </c>
      <c r="V65" s="0" t="str">
        <f aca="false">IFERROR(INDEX(Calc!$AQ$2:$AQ$42,MATCH($W65,Calc!$A$2:$A$42,0)),"")</f>
        <v/>
      </c>
      <c r="W65" s="9" t="s">
        <v>719</v>
      </c>
      <c r="X65" s="9" t="s">
        <v>640</v>
      </c>
      <c r="Y65" s="0" t="str">
        <f aca="false">W65&amp;"|"&amp;X65</f>
        <v>y49315sm0j0j0bi|CS2 · SIN vs EF|H12</v>
      </c>
      <c r="Z65" s="11" t="n">
        <f aca="false">IFERROR(INDEX(CHOOSE(MATCH($X65,{"K1","K2","K3","K12","K13","H1","H2","H3","H12","H13"},0),Calc!$BA$2:$BA$42,Calc!$BB$2:$BB$42,Calc!$BC$2:$BC$42,Calc!$BD$2:$BD$42,Calc!$BE$2:$BE$42,Calc!$BF$2:$BF$42,Calc!$BG$2:$BG$42,Calc!$BH$2:$BH$42,Calc!$BI$2:$BI$42,Calc!$BJ$2:$BJ$42),MATCH($W65,Calc!$A$2:$A$42,0)),"")</f>
        <v>16.7367775821988</v>
      </c>
      <c r="AA65" s="11" t="n">
        <f aca="false">IF(Z65="","",IF(LEFT($X65,1)="H",SQRT(Z65*(IFERROR(INDEX(Calc!$AP$2:$AP$42,MATCH($W65,Calc!$A$2:$A$42,0)),0.5)*Config!$B$5+1-IFERROR(INDEX(Calc!$AP$2:$AP$42,MATCH($W65,Calc!$A$2:$A$42,0)),0.5))),SQRT(Z65*Config!$B$5)))</f>
        <v>4.51745012274532</v>
      </c>
      <c r="AB65" s="10" t="n">
        <f aca="false">IF(OR(F65="",Z65="",N(AA65)&lt;=0),"",1-NORMDIST(FLOOR(F65,1)+0.5,Z65,AA65,TRUE()))</f>
        <v>0.432918053010953</v>
      </c>
      <c r="AC65" s="10" t="n">
        <f aca="false">IF(AB65="","",NORMDIST(CEILING(F65,1)-0.5,Z65,AA65,TRUE()))</f>
        <v>0.567081946989047</v>
      </c>
      <c r="AD65" s="0" t="str">
        <f aca="false">IF(AB65="","",IF(AB65&gt;=0.5+Config!$B$6,"OVER",IF(AC65&gt;=0.5+Config!$B$6,"UNDER","—")))</f>
        <v>UNDER</v>
      </c>
      <c r="AE65" s="13" t="n">
        <f aca="false">IFERROR(Z65/G65,"")</f>
        <v>0.975856459770007</v>
      </c>
    </row>
    <row r="66" customFormat="false" ht="15" hidden="false" customHeight="false" outlineLevel="0" collapsed="false">
      <c r="A66" s="0" t="s">
        <v>568</v>
      </c>
      <c r="B66" s="0" t="s">
        <v>590</v>
      </c>
      <c r="C66" s="0" t="s">
        <v>718</v>
      </c>
      <c r="D66" s="0" t="s">
        <v>595</v>
      </c>
      <c r="E66" s="0" t="s">
        <v>641</v>
      </c>
      <c r="F66" s="0" t="n">
        <v>31.5</v>
      </c>
      <c r="G66" s="11" t="n">
        <f aca="false">IFERROR(INDEX(CHOOSE(MATCH($X66,{"K1","K2","K3","K12","K13","H1","H2","H3","H12","H13"},0),Calc!$V$2:$V$42,Calc!$AC$2:$AC$42,Calc!$AJ$2:$AJ$42,Calc!$AL$2:$AL$42,Calc!$AM$2:$AM$42,Calc!$W$2:$W$42,Calc!$AD$2:$AD$42,Calc!$AK$2:$AK$42,Calc!$AN$2:$AN$42,Calc!$AO$2:$AO$42),MATCH($W66,Calc!$A$2:$A$42,0)),"")</f>
        <v>31.2811909090909</v>
      </c>
      <c r="H66" s="11" t="n">
        <f aca="false">IF(G66="","",IF(LEFT($X66,1)="H",SQRT(G66*(IFERROR(INDEX(Calc!$AP$2:$AP$42,MATCH($W66,Calc!$A$2:$A$42,0)),0.5)*Config!$B$5+1-IFERROR(INDEX(Calc!$AP$2:$AP$42,MATCH($W66,Calc!$A$2:$A$42,0)),0.5))),SQRT(G66*Config!$B$5)))</f>
        <v>6.61767838994366</v>
      </c>
      <c r="I66" s="10" t="n">
        <f aca="false">IF(OR(F66="",G66="",N(H66)&lt;=0),"",1-NORMDIST(FLOOR(F66,1)+0.5,G66,H66,TRUE()))</f>
        <v>0.48681164453725</v>
      </c>
      <c r="J66" s="10" t="n">
        <f aca="false">IF(I66="","",NORMDIST(CEILING(F66,1)-0.5,G66,H66,TRUE()))</f>
        <v>0.51318835546275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—</v>
      </c>
      <c r="M66" s="0" t="n">
        <v>31.48</v>
      </c>
      <c r="N66" s="0" t="n">
        <v>31.9</v>
      </c>
      <c r="O66" s="10" t="n">
        <v>0.6</v>
      </c>
      <c r="P66" s="10" t="n">
        <v>0.5</v>
      </c>
      <c r="Q66" s="10" t="n">
        <v>0.47</v>
      </c>
      <c r="R66" s="9" t="s">
        <v>660</v>
      </c>
      <c r="S66" s="0" t="n">
        <v>1</v>
      </c>
      <c r="T66" s="0" t="str">
        <f aca="false">INDEX(Calc!$G$2:$G$42,MATCH($W66,Calc!$A$2:$A$42,0))&amp;" / "&amp;INDEX(Calc!$H$2:$H$42,MATCH($W66,Calc!$A$2:$A$42,0))</f>
        <v>Dust2 / Ancient</v>
      </c>
      <c r="U66" s="0" t="str">
        <f aca="false">TEXT(INDEX(Calc!$J$2:$J$42,MATCH($W66,Calc!$A$2:$A$42,0)),"0.0")&amp;" / "&amp;TEXT(INDEX(Calc!$K$2:$K$42,MATCH($W66,Calc!$A$2:$A$42,0)),"0.0")</f>
        <v>21.3 / 21.3</v>
      </c>
      <c r="V66" s="0" t="str">
        <f aca="false">IFERROR(INDEX(Calc!$AQ$2:$AQ$42,MATCH($W66,Calc!$A$2:$A$42,0)),"")</f>
        <v/>
      </c>
      <c r="W66" s="9" t="s">
        <v>719</v>
      </c>
      <c r="X66" s="9" t="s">
        <v>642</v>
      </c>
      <c r="Y66" s="0" t="str">
        <f aca="false">W66&amp;"|"&amp;X66</f>
        <v>y49315sm0j0j0bi|CS2 · SIN vs EF|K12</v>
      </c>
      <c r="Z66" s="11" t="n">
        <f aca="false">IFERROR(INDEX(CHOOSE(MATCH($X66,{"K1","K2","K3","K12","K13","H1","H2","H3","H12","H13"},0),Calc!$BA$2:$BA$42,Calc!$BB$2:$BB$42,Calc!$BC$2:$BC$42,Calc!$BD$2:$BD$42,Calc!$BE$2:$BE$42,Calc!$BF$2:$BF$42,Calc!$BG$2:$BG$42,Calc!$BH$2:$BH$42,Calc!$BI$2:$BI$42,Calc!$BJ$2:$BJ$42),MATCH($W66,Calc!$A$2:$A$42,0)),"")</f>
        <v>30.5285183902828</v>
      </c>
      <c r="AA66" s="11" t="n">
        <f aca="false">IF(Z66="","",IF(LEFT($X66,1)="H",SQRT(Z66*(IFERROR(INDEX(Calc!$AP$2:$AP$42,MATCH($W66,Calc!$A$2:$A$42,0)),0.5)*Config!$B$5+1-IFERROR(INDEX(Calc!$AP$2:$AP$42,MATCH($W66,Calc!$A$2:$A$42,0)),0.5))),SQRT(Z66*Config!$B$5)))</f>
        <v>6.53757797249072</v>
      </c>
      <c r="AB66" s="10" t="n">
        <f aca="false">IF(OR(F66="",Z66="",N(AA66)&lt;=0),"",1-NORMDIST(FLOOR(F66,1)+0.5,Z66,AA66,TRUE()))</f>
        <v>0.440934785998944</v>
      </c>
      <c r="AC66" s="10" t="n">
        <f aca="false">IF(AB66="","",NORMDIST(CEILING(F66,1)-0.5,Z66,AA66,TRUE()))</f>
        <v>0.559065214001056</v>
      </c>
      <c r="AD66" s="0" t="str">
        <f aca="false">IF(AB66="","",IF(AB66&gt;=0.5+Config!$B$6,"OVER",IF(AC66&gt;=0.5+Config!$B$6,"UNDER","—")))</f>
        <v>UNDER</v>
      </c>
      <c r="AE66" s="13" t="n">
        <f aca="false">IFERROR(Z66/G66,"")</f>
        <v>0.975938495404617</v>
      </c>
    </row>
    <row r="67" customFormat="false" ht="15" hidden="false" customHeight="false" outlineLevel="0" collapsed="false">
      <c r="A67" s="0" t="s">
        <v>598</v>
      </c>
      <c r="B67" s="0" t="s">
        <v>597</v>
      </c>
      <c r="C67" s="0" t="s">
        <v>720</v>
      </c>
      <c r="D67" s="0" t="s">
        <v>604</v>
      </c>
      <c r="E67" s="0" t="s">
        <v>641</v>
      </c>
      <c r="F67" s="0" t="n">
        <v>30.5</v>
      </c>
      <c r="G67" s="11" t="n">
        <f aca="false">IFERROR(INDEX(CHOOSE(MATCH($X67,{"K1","K2","K3","K12","K13","H1","H2","H3","H12","H13"},0),Calc!$V$2:$V$42,Calc!$AC$2:$AC$42,Calc!$AJ$2:$AJ$42,Calc!$AL$2:$AL$42,Calc!$AM$2:$AM$42,Calc!$W$2:$W$42,Calc!$AD$2:$AD$42,Calc!$AK$2:$AK$42,Calc!$AN$2:$AN$42,Calc!$AO$2:$AO$42),MATCH($W67,Calc!$A$2:$A$42,0)),"")</f>
        <v>29.5518205882353</v>
      </c>
      <c r="H67" s="11" t="n">
        <f aca="false">IF(G67="","",IF(LEFT($X67,1)="H",SQRT(G67*(IFERROR(INDEX(Calc!$AP$2:$AP$42,MATCH($W67,Calc!$A$2:$A$42,0)),0.5)*Config!$B$5+1-IFERROR(INDEX(Calc!$AP$2:$AP$42,MATCH($W67,Calc!$A$2:$A$42,0)),0.5))),SQRT(G67*Config!$B$5)))</f>
        <v>6.43214962695438</v>
      </c>
      <c r="I67" s="10" t="n">
        <f aca="false">IF(OR(F67="",G67="",N(H67)&lt;=0),"",1-NORMDIST(FLOOR(F67,1)+0.5,G67,H67,TRUE()))</f>
        <v>0.441403210364943</v>
      </c>
      <c r="J67" s="10" t="n">
        <f aca="false">IF(I67="","",NORMDIST(CEILING(F67,1)-0.5,G67,H67,TRUE()))</f>
        <v>0.558596789635057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UNDER</v>
      </c>
      <c r="N67" s="0" t="n">
        <v>34</v>
      </c>
      <c r="O67" s="10"/>
      <c r="P67" s="10"/>
      <c r="Q67" s="10"/>
      <c r="R67" s="9" t="s">
        <v>638</v>
      </c>
      <c r="S67" s="0" t="n">
        <v>2</v>
      </c>
      <c r="T67" s="0" t="str">
        <f aca="false">INDEX(Calc!$G$2:$G$42,MATCH($W67,Calc!$A$2:$A$42,0))&amp;" / "&amp;INDEX(Calc!$H$2:$H$42,MATCH($W67,Calc!$A$2:$A$42,0))</f>
        <v>Split / Sunset</v>
      </c>
      <c r="U67" s="0" t="str">
        <f aca="false">TEXT(INDEX(Calc!$J$2:$J$42,MATCH($W67,Calc!$A$2:$A$42,0)),"0.0")&amp;" / "&amp;TEXT(INDEX(Calc!$K$2:$K$42,MATCH($W67,Calc!$A$2:$A$42,0)),"0.0")</f>
        <v>21.3 / 21.3</v>
      </c>
      <c r="V67" s="0" t="str">
        <f aca="false">IFERROR(INDEX(Calc!$AQ$2:$AQ$42,MATCH($W67,Calc!$A$2:$A$42,0)),"")</f>
        <v>thin sample (4 maps) · M1 unplayed→overall KPR ·</v>
      </c>
      <c r="W67" s="9" t="s">
        <v>721</v>
      </c>
      <c r="X67" s="9" t="s">
        <v>642</v>
      </c>
      <c r="Y67" s="0" t="str">
        <f aca="false">W67&amp;"|"&amp;X67</f>
        <v>uuenaj2yjxssq46|VAL · KBG vs WOL|K12</v>
      </c>
      <c r="Z67" s="11" t="n">
        <f aca="false">IFERROR(INDEX(CHOOSE(MATCH($X67,{"K1","K2","K3","K12","K13","H1","H2","H3","H12","H13"},0),Calc!$BA$2:$BA$42,Calc!$BB$2:$BB$42,Calc!$BC$2:$BC$42,Calc!$BD$2:$BD$42,Calc!$BE$2:$BE$42,Calc!$BF$2:$BF$42,Calc!$BG$2:$BG$42,Calc!$BH$2:$BH$42,Calc!$BI$2:$BI$42,Calc!$BJ$2:$BJ$42),MATCH($W67,Calc!$A$2:$A$42,0)),"")</f>
        <v>29.5518205882353</v>
      </c>
      <c r="AA67" s="11" t="n">
        <f aca="false">IF(Z67="","",IF(LEFT($X67,1)="H",SQRT(Z67*(IFERROR(INDEX(Calc!$AP$2:$AP$42,MATCH($W67,Calc!$A$2:$A$42,0)),0.5)*Config!$B$5+1-IFERROR(INDEX(Calc!$AP$2:$AP$42,MATCH($W67,Calc!$A$2:$A$42,0)),0.5))),SQRT(Z67*Config!$B$5)))</f>
        <v>6.43214962695438</v>
      </c>
      <c r="AB67" s="10" t="n">
        <f aca="false">IF(OR(F67="",Z67="",N(AA67)&lt;=0),"",1-NORMDIST(FLOOR(F67,1)+0.5,Z67,AA67,TRUE()))</f>
        <v>0.441403210364943</v>
      </c>
      <c r="AC67" s="10" t="n">
        <f aca="false">IF(AB67="","",NORMDIST(CEILING(F67,1)-0.5,Z67,AA67,TRUE()))</f>
        <v>0.558596789635057</v>
      </c>
      <c r="AD67" s="0" t="str">
        <f aca="false">IF(AB67="","",IF(AB67&gt;=0.5+Config!$B$6,"OVER",IF(AC67&gt;=0.5+Config!$B$6,"UNDER","—")))</f>
        <v>UNDER</v>
      </c>
      <c r="AE67" s="13" t="n">
        <f aca="false">IFERROR(Z67/G67,"")</f>
        <v>1</v>
      </c>
    </row>
    <row r="68" customFormat="false" ht="15" hidden="false" customHeight="false" outlineLevel="0" collapsed="false">
      <c r="A68" s="0" t="s">
        <v>598</v>
      </c>
      <c r="B68" s="0" t="s">
        <v>597</v>
      </c>
      <c r="C68" s="0" t="s">
        <v>722</v>
      </c>
      <c r="D68" s="0" t="s">
        <v>604</v>
      </c>
      <c r="E68" s="0" t="s">
        <v>641</v>
      </c>
      <c r="F68" s="0" t="n">
        <v>29.5</v>
      </c>
      <c r="G68" s="11" t="n">
        <f aca="false">IFERROR(INDEX(CHOOSE(MATCH($X68,{"K1","K2","K3","K12","K13","H1","H2","H3","H12","H13"},0),Calc!$V$2:$V$42,Calc!$AC$2:$AC$42,Calc!$AJ$2:$AJ$42,Calc!$AL$2:$AL$42,Calc!$AM$2:$AM$42,Calc!$W$2:$W$42,Calc!$AD$2:$AD$42,Calc!$AK$2:$AK$42,Calc!$AN$2:$AN$42,Calc!$AO$2:$AO$42),MATCH($W68,Calc!$A$2:$A$42,0)),"")</f>
        <v>36.9398491803279</v>
      </c>
      <c r="H68" s="11" t="n">
        <f aca="false">IF(G68="","",IF(LEFT($X68,1)="H",SQRT(G68*(IFERROR(INDEX(Calc!$AP$2:$AP$42,MATCH($W68,Calc!$A$2:$A$42,0)),0.5)*Config!$B$5+1-IFERROR(INDEX(Calc!$AP$2:$AP$42,MATCH($W68,Calc!$A$2:$A$42,0)),0.5))),SQRT(G68*Config!$B$5)))</f>
        <v>7.19136905272279</v>
      </c>
      <c r="I68" s="10" t="n">
        <f aca="false">IF(OR(F68="",G68="",N(H68)&lt;=0),"",1-NORMDIST(FLOOR(F68,1)+0.5,G68,H68,TRUE()))</f>
        <v>0.849561037954173</v>
      </c>
      <c r="J68" s="10" t="n">
        <f aca="false">IF(I68="","",NORMDIST(CEILING(F68,1)-0.5,G68,H68,TRUE()))</f>
        <v>0.150438962045828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OVER</v>
      </c>
      <c r="N68" s="0" t="n">
        <v>33.8</v>
      </c>
      <c r="O68" s="10" t="n">
        <v>0.6</v>
      </c>
      <c r="P68" s="10" t="n">
        <v>0.7</v>
      </c>
      <c r="Q68" s="10" t="n">
        <v>0.73</v>
      </c>
      <c r="R68" s="9" t="s">
        <v>638</v>
      </c>
      <c r="S68" s="0" t="n">
        <v>-2</v>
      </c>
      <c r="T68" s="0" t="str">
        <f aca="false">INDEX(Calc!$G$2:$G$42,MATCH($W68,Calc!$A$2:$A$42,0))&amp;" / "&amp;INDEX(Calc!$H$2:$H$42,MATCH($W68,Calc!$A$2:$A$42,0))</f>
        <v>Split / Sunset</v>
      </c>
      <c r="U68" s="0" t="str">
        <f aca="false">TEXT(INDEX(Calc!$J$2:$J$42,MATCH($W68,Calc!$A$2:$A$42,0)),"0.0")&amp;" / "&amp;TEXT(INDEX(Calc!$K$2:$K$42,MATCH($W68,Calc!$A$2:$A$42,0)),"0.0")</f>
        <v>21.3 / 21.3</v>
      </c>
      <c r="V68" s="0" t="str">
        <f aca="false">IFERROR(INDEX(Calc!$AQ$2:$AQ$42,MATCH($W68,Calc!$A$2:$A$42,0)),"")</f>
        <v/>
      </c>
      <c r="W68" s="9" t="s">
        <v>723</v>
      </c>
      <c r="X68" s="9" t="s">
        <v>642</v>
      </c>
      <c r="Y68" s="0" t="str">
        <f aca="false">W68&amp;"|"&amp;X68</f>
        <v>16vwmlbwgx0jdz4|VAL · KBG vs WOL|K12</v>
      </c>
      <c r="Z68" s="11" t="n">
        <f aca="false">IFERROR(INDEX(CHOOSE(MATCH($X68,{"K1","K2","K3","K12","K13","H1","H2","H3","H12","H13"},0),Calc!$BA$2:$BA$42,Calc!$BB$2:$BB$42,Calc!$BC$2:$BC$42,Calc!$BD$2:$BD$42,Calc!$BE$2:$BE$42,Calc!$BF$2:$BF$42,Calc!$BG$2:$BG$42,Calc!$BH$2:$BH$42,Calc!$BI$2:$BI$42,Calc!$BJ$2:$BJ$42),MATCH($W68,Calc!$A$2:$A$42,0)),"")</f>
        <v>36.9398491803279</v>
      </c>
      <c r="AA68" s="11" t="n">
        <f aca="false">IF(Z68="","",IF(LEFT($X68,1)="H",SQRT(Z68*(IFERROR(INDEX(Calc!$AP$2:$AP$42,MATCH($W68,Calc!$A$2:$A$42,0)),0.5)*Config!$B$5+1-IFERROR(INDEX(Calc!$AP$2:$AP$42,MATCH($W68,Calc!$A$2:$A$42,0)),0.5))),SQRT(Z68*Config!$B$5)))</f>
        <v>7.19136905272279</v>
      </c>
      <c r="AB68" s="10" t="n">
        <f aca="false">IF(OR(F68="",Z68="",N(AA68)&lt;=0),"",1-NORMDIST(FLOOR(F68,1)+0.5,Z68,AA68,TRUE()))</f>
        <v>0.849561037954173</v>
      </c>
      <c r="AC68" s="10" t="n">
        <f aca="false">IF(AB68="","",NORMDIST(CEILING(F68,1)-0.5,Z68,AA68,TRUE()))</f>
        <v>0.150438962045828</v>
      </c>
      <c r="AD68" s="0" t="str">
        <f aca="false">IF(AB68="","",IF(AB68&gt;=0.5+Config!$B$6,"OVER",IF(AC68&gt;=0.5+Config!$B$6,"UNDER","—")))</f>
        <v>OVER</v>
      </c>
      <c r="AE68" s="13" t="n">
        <f aca="false">IFERROR(Z68/G68,"")</f>
        <v>1</v>
      </c>
    </row>
    <row r="69" customFormat="false" ht="15" hidden="false" customHeight="false" outlineLevel="0" collapsed="false">
      <c r="A69" s="0" t="s">
        <v>598</v>
      </c>
      <c r="B69" s="0" t="s">
        <v>597</v>
      </c>
      <c r="C69" s="0" t="s">
        <v>724</v>
      </c>
      <c r="D69" s="0" t="s">
        <v>605</v>
      </c>
      <c r="E69" s="0" t="s">
        <v>641</v>
      </c>
      <c r="F69" s="0" t="n">
        <v>33.5</v>
      </c>
      <c r="G69" s="11" t="n">
        <f aca="false">IFERROR(INDEX(CHOOSE(MATCH($X69,{"K1","K2","K3","K12","K13","H1","H2","H3","H12","H13"},0),Calc!$V$2:$V$42,Calc!$AC$2:$AC$42,Calc!$AJ$2:$AJ$42,Calc!$AL$2:$AL$42,Calc!$AM$2:$AM$42,Calc!$W$2:$W$42,Calc!$AD$2:$AD$42,Calc!$AK$2:$AK$42,Calc!$AN$2:$AN$42,Calc!$AO$2:$AO$42),MATCH($W69,Calc!$A$2:$A$42,0)),"")</f>
        <v>36.31234725235</v>
      </c>
      <c r="H69" s="11" t="n">
        <f aca="false">IF(G69="","",IF(LEFT($X69,1)="H",SQRT(G69*(IFERROR(INDEX(Calc!$AP$2:$AP$42,MATCH($W69,Calc!$A$2:$A$42,0)),0.5)*Config!$B$5+1-IFERROR(INDEX(Calc!$AP$2:$AP$42,MATCH($W69,Calc!$A$2:$A$42,0)),0.5))),SQRT(G69*Config!$B$5)))</f>
        <v>7.13002707942192</v>
      </c>
      <c r="I69" s="10" t="n">
        <f aca="false">IF(OR(F69="",G69="",N(H69)&lt;=0),"",1-NORMDIST(FLOOR(F69,1)+0.5,G69,H69,TRUE()))</f>
        <v>0.653370823748294</v>
      </c>
      <c r="J69" s="10" t="n">
        <f aca="false">IF(I69="","",NORMDIST(CEILING(F69,1)-0.5,G69,H69,TRUE()))</f>
        <v>0.346629176251706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OVER</v>
      </c>
      <c r="N69" s="0" t="n">
        <v>37</v>
      </c>
      <c r="O69" s="10" t="n">
        <v>0.8</v>
      </c>
      <c r="P69" s="10"/>
      <c r="Q69" s="10"/>
      <c r="R69" s="9" t="s">
        <v>638</v>
      </c>
      <c r="S69" s="0" t="n">
        <v>-1</v>
      </c>
      <c r="T69" s="0" t="str">
        <f aca="false">INDEX(Calc!$G$2:$G$42,MATCH($W69,Calc!$A$2:$A$42,0))&amp;" / "&amp;INDEX(Calc!$H$2:$H$42,MATCH($W69,Calc!$A$2:$A$42,0))</f>
        <v>Split / Sunset</v>
      </c>
      <c r="U69" s="0" t="str">
        <f aca="false">TEXT(INDEX(Calc!$J$2:$J$42,MATCH($W69,Calc!$A$2:$A$42,0)),"0.0")&amp;" / "&amp;TEXT(INDEX(Calc!$K$2:$K$42,MATCH($W69,Calc!$A$2:$A$42,0)),"0.0")</f>
        <v>21.3 / 21.3</v>
      </c>
      <c r="V69" s="0" t="str">
        <f aca="false">IFERROR(INDEX(Calc!$AQ$2:$AQ$42,MATCH($W69,Calc!$A$2:$A$42,0)),"")</f>
        <v/>
      </c>
      <c r="W69" s="9" t="s">
        <v>725</v>
      </c>
      <c r="X69" s="9" t="s">
        <v>642</v>
      </c>
      <c r="Y69" s="0" t="str">
        <f aca="false">W69&amp;"|"&amp;X69</f>
        <v>8kll5g3vinbfh59|VAL · KBG vs WOL|K12</v>
      </c>
      <c r="Z69" s="11" t="n">
        <f aca="false">IFERROR(INDEX(CHOOSE(MATCH($X69,{"K1","K2","K3","K12","K13","H1","H2","H3","H12","H13"},0),Calc!$BA$2:$BA$42,Calc!$BB$2:$BB$42,Calc!$BC$2:$BC$42,Calc!$BD$2:$BD$42,Calc!$BE$2:$BE$42,Calc!$BF$2:$BF$42,Calc!$BG$2:$BG$42,Calc!$BH$2:$BH$42,Calc!$BI$2:$BI$42,Calc!$BJ$2:$BJ$42),MATCH($W69,Calc!$A$2:$A$42,0)),"")</f>
        <v>36.31234725235</v>
      </c>
      <c r="AA69" s="11" t="n">
        <f aca="false">IF(Z69="","",IF(LEFT($X69,1)="H",SQRT(Z69*(IFERROR(INDEX(Calc!$AP$2:$AP$42,MATCH($W69,Calc!$A$2:$A$42,0)),0.5)*Config!$B$5+1-IFERROR(INDEX(Calc!$AP$2:$AP$42,MATCH($W69,Calc!$A$2:$A$42,0)),0.5))),SQRT(Z69*Config!$B$5)))</f>
        <v>7.13002707942192</v>
      </c>
      <c r="AB69" s="10" t="n">
        <f aca="false">IF(OR(F69="",Z69="",N(AA69)&lt;=0),"",1-NORMDIST(FLOOR(F69,1)+0.5,Z69,AA69,TRUE()))</f>
        <v>0.653370823748294</v>
      </c>
      <c r="AC69" s="10" t="n">
        <f aca="false">IF(AB69="","",NORMDIST(CEILING(F69,1)-0.5,Z69,AA69,TRUE()))</f>
        <v>0.346629176251706</v>
      </c>
      <c r="AD69" s="0" t="str">
        <f aca="false">IF(AB69="","",IF(AB69&gt;=0.5+Config!$B$6,"OVER",IF(AC69&gt;=0.5+Config!$B$6,"UNDER","—")))</f>
        <v>OVER</v>
      </c>
      <c r="AE69" s="13" t="n">
        <f aca="false">IFERROR(Z69/G69,"")</f>
        <v>1</v>
      </c>
    </row>
    <row r="70" customFormat="false" ht="15" hidden="false" customHeight="false" outlineLevel="0" collapsed="false">
      <c r="A70" s="0" t="s">
        <v>598</v>
      </c>
      <c r="B70" s="0" t="s">
        <v>597</v>
      </c>
      <c r="C70" s="0" t="s">
        <v>726</v>
      </c>
      <c r="D70" s="0" t="s">
        <v>605</v>
      </c>
      <c r="E70" s="0" t="s">
        <v>641</v>
      </c>
      <c r="F70" s="0" t="n">
        <v>31.5</v>
      </c>
      <c r="G70" s="11" t="n">
        <f aca="false">IFERROR(INDEX(CHOOSE(MATCH($X70,{"K1","K2","K3","K12","K13","H1","H2","H3","H12","H13"},0),Calc!$V$2:$V$42,Calc!$AC$2:$AC$42,Calc!$AJ$2:$AJ$42,Calc!$AL$2:$AL$42,Calc!$AM$2:$AM$42,Calc!$W$2:$W$42,Calc!$AD$2:$AD$42,Calc!$AK$2:$AK$42,Calc!$AN$2:$AN$42,Calc!$AO$2:$AO$42),MATCH($W70,Calc!$A$2:$A$42,0)),"")</f>
        <v>17.048</v>
      </c>
      <c r="H70" s="11" t="n">
        <f aca="false">IF(G70="","",IF(LEFT($X70,1)="H",SQRT(G70*(IFERROR(INDEX(Calc!$AP$2:$AP$42,MATCH($W70,Calc!$A$2:$A$42,0)),0.5)*Config!$B$5+1-IFERROR(INDEX(Calc!$AP$2:$AP$42,MATCH($W70,Calc!$A$2:$A$42,0)),0.5))),SQRT(G70*Config!$B$5)))</f>
        <v>4.88540684078614</v>
      </c>
      <c r="I70" s="10" t="n">
        <f aca="false">IF(OR(F70="",G70="",N(H70)&lt;=0),"",1-NORMDIST(FLOOR(F70,1)+0.5,G70,H70,TRUE()))</f>
        <v>0.00154721721521556</v>
      </c>
      <c r="J70" s="10" t="n">
        <f aca="false">IF(I70="","",NORMDIST(CEILING(F70,1)-0.5,G70,H70,TRUE()))</f>
        <v>0.998452782784784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UNDER</v>
      </c>
      <c r="N70" s="0" t="n">
        <v>15.5</v>
      </c>
      <c r="O70" s="10"/>
      <c r="P70" s="10"/>
      <c r="Q70" s="10"/>
      <c r="R70" s="9" t="s">
        <v>638</v>
      </c>
      <c r="S70" s="0" t="n">
        <v>-2</v>
      </c>
      <c r="T70" s="0" t="str">
        <f aca="false">INDEX(Calc!$G$2:$G$42,MATCH($W70,Calc!$A$2:$A$42,0))&amp;" / "&amp;INDEX(Calc!$H$2:$H$42,MATCH($W70,Calc!$A$2:$A$42,0))</f>
        <v>Split / Sunset</v>
      </c>
      <c r="U70" s="0" t="str">
        <f aca="false">TEXT(INDEX(Calc!$J$2:$J$42,MATCH($W70,Calc!$A$2:$A$42,0)),"0.0")&amp;" / "&amp;TEXT(INDEX(Calc!$K$2:$K$42,MATCH($W70,Calc!$A$2:$A$42,0)),"0.0")</f>
        <v>21.3 / 21.3</v>
      </c>
      <c r="V70" s="0" t="str">
        <f aca="false">IFERROR(INDEX(Calc!$AQ$2:$AQ$42,MATCH($W70,Calc!$A$2:$A$42,0)),"")</f>
        <v>thin sample (4 maps) · M1 unplayed→overall KPR · M2 unplayed→overall KPR ·</v>
      </c>
      <c r="W70" s="9" t="s">
        <v>727</v>
      </c>
      <c r="X70" s="9" t="s">
        <v>642</v>
      </c>
      <c r="Y70" s="0" t="str">
        <f aca="false">W70&amp;"|"&amp;X70</f>
        <v>444z6h74mh01o68|VAL · KBG vs WOL|K12</v>
      </c>
      <c r="Z70" s="11" t="n">
        <f aca="false">IFERROR(INDEX(CHOOSE(MATCH($X70,{"K1","K2","K3","K12","K13","H1","H2","H3","H12","H13"},0),Calc!$BA$2:$BA$42,Calc!$BB$2:$BB$42,Calc!$BC$2:$BC$42,Calc!$BD$2:$BD$42,Calc!$BE$2:$BE$42,Calc!$BF$2:$BF$42,Calc!$BG$2:$BG$42,Calc!$BH$2:$BH$42,Calc!$BI$2:$BI$42,Calc!$BJ$2:$BJ$42),MATCH($W70,Calc!$A$2:$A$42,0)),"")</f>
        <v>17.048</v>
      </c>
      <c r="AA70" s="11" t="n">
        <f aca="false">IF(Z70="","",IF(LEFT($X70,1)="H",SQRT(Z70*(IFERROR(INDEX(Calc!$AP$2:$AP$42,MATCH($W70,Calc!$A$2:$A$42,0)),0.5)*Config!$B$5+1-IFERROR(INDEX(Calc!$AP$2:$AP$42,MATCH($W70,Calc!$A$2:$A$42,0)),0.5))),SQRT(Z70*Config!$B$5)))</f>
        <v>4.88540684078614</v>
      </c>
      <c r="AB70" s="10" t="n">
        <f aca="false">IF(OR(F70="",Z70="",N(AA70)&lt;=0),"",1-NORMDIST(FLOOR(F70,1)+0.5,Z70,AA70,TRUE()))</f>
        <v>0.00154721721521556</v>
      </c>
      <c r="AC70" s="10" t="n">
        <f aca="false">IF(AB70="","",NORMDIST(CEILING(F70,1)-0.5,Z70,AA70,TRUE()))</f>
        <v>0.998452782784784</v>
      </c>
      <c r="AD70" s="0" t="str">
        <f aca="false">IF(AB70="","",IF(AB70&gt;=0.5+Config!$B$6,"OVER",IF(AC70&gt;=0.5+Config!$B$6,"UNDER","—")))</f>
        <v>UNDER</v>
      </c>
      <c r="AE70" s="13" t="n">
        <f aca="false">IFERROR(Z70/G70,"")</f>
        <v>1</v>
      </c>
    </row>
    <row r="71" customFormat="false" ht="15" hidden="false" customHeight="false" outlineLevel="0" collapsed="false">
      <c r="A71" s="0" t="s">
        <v>598</v>
      </c>
      <c r="B71" s="0" t="s">
        <v>606</v>
      </c>
      <c r="C71" s="0" t="s">
        <v>728</v>
      </c>
      <c r="D71" s="0" t="s">
        <v>612</v>
      </c>
      <c r="E71" s="0" t="s">
        <v>641</v>
      </c>
      <c r="F71" s="0" t="n">
        <v>32.5</v>
      </c>
      <c r="G71" s="11" t="n">
        <f aca="false">IFERROR(INDEX(CHOOSE(MATCH($X71,{"K1","K2","K3","K12","K13","H1","H2","H3","H12","H13"},0),Calc!$V$2:$V$42,Calc!$AC$2:$AC$42,Calc!$AJ$2:$AJ$42,Calc!$AL$2:$AL$42,Calc!$AM$2:$AM$42,Calc!$W$2:$W$42,Calc!$AD$2:$AD$42,Calc!$AK$2:$AK$42,Calc!$AN$2:$AN$42,Calc!$AO$2:$AO$42),MATCH($W71,Calc!$A$2:$A$42,0)),"")</f>
        <v>31.5128302505383</v>
      </c>
      <c r="H71" s="11" t="n">
        <f aca="false">IF(G71="","",IF(LEFT($X71,1)="H",SQRT(G71*(IFERROR(INDEX(Calc!$AP$2:$AP$42,MATCH($W71,Calc!$A$2:$A$42,0)),0.5)*Config!$B$5+1-IFERROR(INDEX(Calc!$AP$2:$AP$42,MATCH($W71,Calc!$A$2:$A$42,0)),0.5))),SQRT(G71*Config!$B$5)))</f>
        <v>6.64213537582257</v>
      </c>
      <c r="I71" s="10" t="n">
        <f aca="false">IF(OR(F71="",G71="",N(H71)&lt;=0),"",1-NORMDIST(FLOOR(F71,1)+0.5,G71,H71,TRUE()))</f>
        <v>0.440925819198923</v>
      </c>
      <c r="J71" s="10" t="n">
        <f aca="false">IF(I71="","",NORMDIST(CEILING(F71,1)-0.5,G71,H71,TRUE()))</f>
        <v>0.559074180801077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UNDER</v>
      </c>
      <c r="N71" s="0" t="n">
        <v>33.8</v>
      </c>
      <c r="O71" s="10" t="n">
        <v>0.6</v>
      </c>
      <c r="P71" s="10" t="n">
        <v>0.7</v>
      </c>
      <c r="Q71" s="10" t="n">
        <v>0.67</v>
      </c>
      <c r="R71" s="9" t="s">
        <v>638</v>
      </c>
      <c r="S71" s="0" t="n">
        <v>-1</v>
      </c>
      <c r="T71" s="0" t="str">
        <f aca="false">INDEX(Calc!$G$2:$G$42,MATCH($W71,Calc!$A$2:$A$42,0))&amp;" / "&amp;INDEX(Calc!$H$2:$H$42,MATCH($W71,Calc!$A$2:$A$42,0))</f>
        <v>Lotus / Ascent</v>
      </c>
      <c r="U71" s="0" t="str">
        <f aca="false">TEXT(INDEX(Calc!$J$2:$J$42,MATCH($W71,Calc!$A$2:$A$42,0)),"0.0")&amp;" / "&amp;TEXT(INDEX(Calc!$K$2:$K$42,MATCH($W71,Calc!$A$2:$A$42,0)),"0.0")</f>
        <v>21.0 / 21.0</v>
      </c>
      <c r="V71" s="0" t="str">
        <f aca="false">IFERROR(INDEX(Calc!$AQ$2:$AQ$42,MATCH($W71,Calc!$A$2:$A$42,0)),"")</f>
        <v/>
      </c>
      <c r="W71" s="9" t="s">
        <v>729</v>
      </c>
      <c r="X71" s="9" t="s">
        <v>642</v>
      </c>
      <c r="Y71" s="0" t="str">
        <f aca="false">W71&amp;"|"&amp;X71</f>
        <v>mxrzw7oqrb9cwf7|VAL · NOVA vs AQ|K12</v>
      </c>
      <c r="Z71" s="11" t="n">
        <f aca="false">IFERROR(INDEX(CHOOSE(MATCH($X71,{"K1","K2","K3","K12","K13","H1","H2","H3","H12","H13"},0),Calc!$BA$2:$BA$42,Calc!$BB$2:$BB$42,Calc!$BC$2:$BC$42,Calc!$BD$2:$BD$42,Calc!$BE$2:$BE$42,Calc!$BF$2:$BF$42,Calc!$BG$2:$BG$42,Calc!$BH$2:$BH$42,Calc!$BI$2:$BI$42,Calc!$BJ$2:$BJ$42),MATCH($W71,Calc!$A$2:$A$42,0)),"")</f>
        <v>31.5128302505383</v>
      </c>
      <c r="AA71" s="11" t="n">
        <f aca="false">IF(Z71="","",IF(LEFT($X71,1)="H",SQRT(Z71*(IFERROR(INDEX(Calc!$AP$2:$AP$42,MATCH($W71,Calc!$A$2:$A$42,0)),0.5)*Config!$B$5+1-IFERROR(INDEX(Calc!$AP$2:$AP$42,MATCH($W71,Calc!$A$2:$A$42,0)),0.5))),SQRT(Z71*Config!$B$5)))</f>
        <v>6.64213537582257</v>
      </c>
      <c r="AB71" s="10" t="n">
        <f aca="false">IF(OR(F71="",Z71="",N(AA71)&lt;=0),"",1-NORMDIST(FLOOR(F71,1)+0.5,Z71,AA71,TRUE()))</f>
        <v>0.440925819198923</v>
      </c>
      <c r="AC71" s="10" t="n">
        <f aca="false">IF(AB71="","",NORMDIST(CEILING(F71,1)-0.5,Z71,AA71,TRUE()))</f>
        <v>0.559074180801077</v>
      </c>
      <c r="AD71" s="0" t="str">
        <f aca="false">IF(AB71="","",IF(AB71&gt;=0.5+Config!$B$6,"OVER",IF(AC71&gt;=0.5+Config!$B$6,"UNDER","—")))</f>
        <v>UNDER</v>
      </c>
      <c r="AE71" s="13" t="n">
        <f aca="false">IFERROR(Z71/G71,"")</f>
        <v>1</v>
      </c>
    </row>
    <row r="72" customFormat="false" ht="15" hidden="false" customHeight="false" outlineLevel="0" collapsed="false">
      <c r="A72" s="0" t="s">
        <v>598</v>
      </c>
      <c r="B72" s="0" t="s">
        <v>606</v>
      </c>
      <c r="C72" s="0" t="s">
        <v>730</v>
      </c>
      <c r="D72" s="0" t="s">
        <v>612</v>
      </c>
      <c r="E72" s="0" t="s">
        <v>641</v>
      </c>
      <c r="F72" s="0" t="n">
        <v>25.5</v>
      </c>
      <c r="G72" s="11" t="n">
        <f aca="false">IFERROR(INDEX(CHOOSE(MATCH($X72,{"K1","K2","K3","K12","K13","H1","H2","H3","H12","H13"},0),Calc!$V$2:$V$42,Calc!$AC$2:$AC$42,Calc!$AJ$2:$AJ$42,Calc!$AL$2:$AL$42,Calc!$AM$2:$AM$42,Calc!$W$2:$W$42,Calc!$AD$2:$AD$42,Calc!$AK$2:$AK$42,Calc!$AN$2:$AN$42,Calc!$AO$2:$AO$42),MATCH($W72,Calc!$A$2:$A$42,0)),"")</f>
        <v>23.1967111655979</v>
      </c>
      <c r="H72" s="11" t="n">
        <f aca="false">IF(G72="","",IF(LEFT($X72,1)="H",SQRT(G72*(IFERROR(INDEX(Calc!$AP$2:$AP$42,MATCH($W72,Calc!$A$2:$A$42,0)),0.5)*Config!$B$5+1-IFERROR(INDEX(Calc!$AP$2:$AP$42,MATCH($W72,Calc!$A$2:$A$42,0)),0.5))),SQRT(G72*Config!$B$5)))</f>
        <v>5.69871877107803</v>
      </c>
      <c r="I72" s="10" t="n">
        <f aca="false">IF(OR(F72="",G72="",N(H72)&lt;=0),"",1-NORMDIST(FLOOR(F72,1)+0.5,G72,H72,TRUE()))</f>
        <v>0.343041426205517</v>
      </c>
      <c r="J72" s="10" t="n">
        <f aca="false">IF(I72="","",NORMDIST(CEILING(F72,1)-0.5,G72,H72,TRUE()))</f>
        <v>0.656958573794483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UNDER</v>
      </c>
      <c r="N72" s="0" t="n">
        <v>22.7</v>
      </c>
      <c r="O72" s="10" t="n">
        <v>0.4</v>
      </c>
      <c r="P72" s="10" t="n">
        <v>0.3</v>
      </c>
      <c r="Q72" s="10" t="n">
        <v>0.33</v>
      </c>
      <c r="R72" s="9" t="s">
        <v>638</v>
      </c>
      <c r="S72" s="0" t="n">
        <v>-3</v>
      </c>
      <c r="T72" s="0" t="str">
        <f aca="false">INDEX(Calc!$G$2:$G$42,MATCH($W72,Calc!$A$2:$A$42,0))&amp;" / "&amp;INDEX(Calc!$H$2:$H$42,MATCH($W72,Calc!$A$2:$A$42,0))</f>
        <v>Lotus / Ascent</v>
      </c>
      <c r="U72" s="0" t="str">
        <f aca="false">TEXT(INDEX(Calc!$J$2:$J$42,MATCH($W72,Calc!$A$2:$A$42,0)),"0.0")&amp;" / "&amp;TEXT(INDEX(Calc!$K$2:$K$42,MATCH($W72,Calc!$A$2:$A$42,0)),"0.0")</f>
        <v>21.0 / 21.0</v>
      </c>
      <c r="V72" s="0" t="str">
        <f aca="false">IFERROR(INDEX(Calc!$AQ$2:$AQ$42,MATCH($W72,Calc!$A$2:$A$42,0)),"")</f>
        <v/>
      </c>
      <c r="W72" s="9" t="s">
        <v>731</v>
      </c>
      <c r="X72" s="9" t="s">
        <v>642</v>
      </c>
      <c r="Y72" s="0" t="str">
        <f aca="false">W72&amp;"|"&amp;X72</f>
        <v>vomvlrg1mawo6ao|VAL · NOVA vs AQ|K12</v>
      </c>
      <c r="Z72" s="11" t="n">
        <f aca="false">IFERROR(INDEX(CHOOSE(MATCH($X72,{"K1","K2","K3","K12","K13","H1","H2","H3","H12","H13"},0),Calc!$BA$2:$BA$42,Calc!$BB$2:$BB$42,Calc!$BC$2:$BC$42,Calc!$BD$2:$BD$42,Calc!$BE$2:$BE$42,Calc!$BF$2:$BF$42,Calc!$BG$2:$BG$42,Calc!$BH$2:$BH$42,Calc!$BI$2:$BI$42,Calc!$BJ$2:$BJ$42),MATCH($W72,Calc!$A$2:$A$42,0)),"")</f>
        <v>23.1967111655979</v>
      </c>
      <c r="AA72" s="11" t="n">
        <f aca="false">IF(Z72="","",IF(LEFT($X72,1)="H",SQRT(Z72*(IFERROR(INDEX(Calc!$AP$2:$AP$42,MATCH($W72,Calc!$A$2:$A$42,0)),0.5)*Config!$B$5+1-IFERROR(INDEX(Calc!$AP$2:$AP$42,MATCH($W72,Calc!$A$2:$A$42,0)),0.5))),SQRT(Z72*Config!$B$5)))</f>
        <v>5.69871877107803</v>
      </c>
      <c r="AB72" s="10" t="n">
        <f aca="false">IF(OR(F72="",Z72="",N(AA72)&lt;=0),"",1-NORMDIST(FLOOR(F72,1)+0.5,Z72,AA72,TRUE()))</f>
        <v>0.343041426205517</v>
      </c>
      <c r="AC72" s="10" t="n">
        <f aca="false">IF(AB72="","",NORMDIST(CEILING(F72,1)-0.5,Z72,AA72,TRUE()))</f>
        <v>0.656958573794483</v>
      </c>
      <c r="AD72" s="0" t="str">
        <f aca="false">IF(AB72="","",IF(AB72&gt;=0.5+Config!$B$6,"OVER",IF(AC72&gt;=0.5+Config!$B$6,"UNDER","—")))</f>
        <v>UNDER</v>
      </c>
      <c r="AE72" s="13" t="n">
        <f aca="false">IFERROR(Z72/G72,"")</f>
        <v>1</v>
      </c>
    </row>
    <row r="73" customFormat="false" ht="15" hidden="false" customHeight="false" outlineLevel="0" collapsed="false">
      <c r="A73" s="0" t="s">
        <v>598</v>
      </c>
      <c r="B73" s="0" t="s">
        <v>606</v>
      </c>
      <c r="C73" s="0" t="s">
        <v>732</v>
      </c>
      <c r="D73" s="0" t="s">
        <v>612</v>
      </c>
      <c r="E73" s="0" t="s">
        <v>641</v>
      </c>
      <c r="F73" s="0" t="n">
        <v>27.5</v>
      </c>
      <c r="G73" s="11" t="n">
        <f aca="false">IFERROR(INDEX(CHOOSE(MATCH($X73,{"K1","K2","K3","K12","K13","H1","H2","H3","H12","H13"},0),Calc!$V$2:$V$42,Calc!$AC$2:$AC$42,Calc!$AJ$2:$AJ$42,Calc!$AL$2:$AL$42,Calc!$AM$2:$AM$42,Calc!$W$2:$W$42,Calc!$AD$2:$AD$42,Calc!$AK$2:$AK$42,Calc!$AN$2:$AN$42,Calc!$AO$2:$AO$42),MATCH($W73,Calc!$A$2:$A$42,0)),"")</f>
        <v>30.8807347311828</v>
      </c>
      <c r="H73" s="11" t="n">
        <f aca="false">IF(G73="","",IF(LEFT($X73,1)="H",SQRT(G73*(IFERROR(INDEX(Calc!$AP$2:$AP$42,MATCH($W73,Calc!$A$2:$A$42,0)),0.5)*Config!$B$5+1-IFERROR(INDEX(Calc!$AP$2:$AP$42,MATCH($W73,Calc!$A$2:$A$42,0)),0.5))),SQRT(G73*Config!$B$5)))</f>
        <v>6.57518278252825</v>
      </c>
      <c r="I73" s="10" t="n">
        <f aca="false">IF(OR(F73="",G73="",N(H73)&lt;=0),"",1-NORMDIST(FLOOR(F73,1)+0.5,G73,H73,TRUE()))</f>
        <v>0.696431994496543</v>
      </c>
      <c r="J73" s="10" t="n">
        <f aca="false">IF(I73="","",NORMDIST(CEILING(F73,1)-0.5,G73,H73,TRUE()))</f>
        <v>0.303568005503457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OVER</v>
      </c>
      <c r="N73" s="0" t="n">
        <v>29.9</v>
      </c>
      <c r="O73" s="10" t="n">
        <v>0.2</v>
      </c>
      <c r="P73" s="10"/>
      <c r="Q73" s="10"/>
      <c r="R73" s="9" t="s">
        <v>638</v>
      </c>
      <c r="S73" s="0" t="n">
        <v>1</v>
      </c>
      <c r="T73" s="0" t="str">
        <f aca="false">INDEX(Calc!$G$2:$G$42,MATCH($W73,Calc!$A$2:$A$42,0))&amp;" / "&amp;INDEX(Calc!$H$2:$H$42,MATCH($W73,Calc!$A$2:$A$42,0))</f>
        <v>Lotus / Ascent</v>
      </c>
      <c r="U73" s="0" t="str">
        <f aca="false">TEXT(INDEX(Calc!$J$2:$J$42,MATCH($W73,Calc!$A$2:$A$42,0)),"0.0")&amp;" / "&amp;TEXT(INDEX(Calc!$K$2:$K$42,MATCH($W73,Calc!$A$2:$A$42,0)),"0.0")</f>
        <v>21.0 / 21.0</v>
      </c>
      <c r="V73" s="0" t="str">
        <f aca="false">IFERROR(INDEX(Calc!$AQ$2:$AQ$42,MATCH($W73,Calc!$A$2:$A$42,0)),"")</f>
        <v/>
      </c>
      <c r="W73" s="9" t="s">
        <v>733</v>
      </c>
      <c r="X73" s="9" t="s">
        <v>642</v>
      </c>
      <c r="Y73" s="0" t="str">
        <f aca="false">W73&amp;"|"&amp;X73</f>
        <v>75w4sfsbpspu5te|VAL · NOVA vs AQ|K12</v>
      </c>
      <c r="Z73" s="11" t="n">
        <f aca="false">IFERROR(INDEX(CHOOSE(MATCH($X73,{"K1","K2","K3","K12","K13","H1","H2","H3","H12","H13"},0),Calc!$BA$2:$BA$42,Calc!$BB$2:$BB$42,Calc!$BC$2:$BC$42,Calc!$BD$2:$BD$42,Calc!$BE$2:$BE$42,Calc!$BF$2:$BF$42,Calc!$BG$2:$BG$42,Calc!$BH$2:$BH$42,Calc!$BI$2:$BI$42,Calc!$BJ$2:$BJ$42),MATCH($W73,Calc!$A$2:$A$42,0)),"")</f>
        <v>30.8807347311828</v>
      </c>
      <c r="AA73" s="11" t="n">
        <f aca="false">IF(Z73="","",IF(LEFT($X73,1)="H",SQRT(Z73*(IFERROR(INDEX(Calc!$AP$2:$AP$42,MATCH($W73,Calc!$A$2:$A$42,0)),0.5)*Config!$B$5+1-IFERROR(INDEX(Calc!$AP$2:$AP$42,MATCH($W73,Calc!$A$2:$A$42,0)),0.5))),SQRT(Z73*Config!$B$5)))</f>
        <v>6.57518278252825</v>
      </c>
      <c r="AB73" s="10" t="n">
        <f aca="false">IF(OR(F73="",Z73="",N(AA73)&lt;=0),"",1-NORMDIST(FLOOR(F73,1)+0.5,Z73,AA73,TRUE()))</f>
        <v>0.696431994496543</v>
      </c>
      <c r="AC73" s="10" t="n">
        <f aca="false">IF(AB73="","",NORMDIST(CEILING(F73,1)-0.5,Z73,AA73,TRUE()))</f>
        <v>0.303568005503457</v>
      </c>
      <c r="AD73" s="0" t="str">
        <f aca="false">IF(AB73="","",IF(AB73&gt;=0.5+Config!$B$6,"OVER",IF(AC73&gt;=0.5+Config!$B$6,"UNDER","—")))</f>
        <v>OVER</v>
      </c>
      <c r="AE73" s="13" t="n">
        <f aca="false">IFERROR(Z73/G73,"")</f>
        <v>1</v>
      </c>
    </row>
  </sheetData>
  <autoFilter ref="A1:AE73"/>
  <conditionalFormatting sqref="AB2:AB7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7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734</v>
      </c>
      <c r="B1" s="12" t="s">
        <v>531</v>
      </c>
      <c r="C1" s="12" t="s">
        <v>530</v>
      </c>
      <c r="D1" s="12" t="s">
        <v>505</v>
      </c>
      <c r="E1" s="12" t="s">
        <v>506</v>
      </c>
      <c r="F1" s="12" t="s">
        <v>735</v>
      </c>
      <c r="G1" s="12" t="s">
        <v>538</v>
      </c>
      <c r="H1" s="12" t="s">
        <v>539</v>
      </c>
      <c r="I1" s="12" t="s">
        <v>540</v>
      </c>
      <c r="J1" s="12" t="s">
        <v>736</v>
      </c>
      <c r="K1" s="12" t="s">
        <v>737</v>
      </c>
      <c r="L1" s="12" t="s">
        <v>738</v>
      </c>
      <c r="M1" s="12" t="s">
        <v>739</v>
      </c>
      <c r="N1" s="12" t="s">
        <v>740</v>
      </c>
      <c r="O1" s="12" t="s">
        <v>741</v>
      </c>
      <c r="P1" s="12" t="s">
        <v>742</v>
      </c>
      <c r="Q1" s="12" t="s">
        <v>743</v>
      </c>
      <c r="R1" s="12" t="s">
        <v>744</v>
      </c>
      <c r="S1" s="12" t="s">
        <v>745</v>
      </c>
      <c r="T1" s="12" t="s">
        <v>746</v>
      </c>
      <c r="U1" s="12" t="s">
        <v>747</v>
      </c>
      <c r="V1" s="12" t="s">
        <v>748</v>
      </c>
      <c r="W1" s="12" t="s">
        <v>749</v>
      </c>
      <c r="X1" s="12" t="s">
        <v>750</v>
      </c>
      <c r="Y1" s="12" t="s">
        <v>751</v>
      </c>
      <c r="Z1" s="12" t="s">
        <v>752</v>
      </c>
      <c r="AA1" s="12" t="s">
        <v>753</v>
      </c>
      <c r="AB1" s="12" t="s">
        <v>754</v>
      </c>
      <c r="AC1" s="12" t="s">
        <v>755</v>
      </c>
      <c r="AD1" s="12" t="s">
        <v>756</v>
      </c>
      <c r="AE1" s="12" t="s">
        <v>757</v>
      </c>
      <c r="AF1" s="12" t="s">
        <v>758</v>
      </c>
      <c r="AG1" s="12" t="s">
        <v>759</v>
      </c>
      <c r="AH1" s="12" t="s">
        <v>760</v>
      </c>
      <c r="AI1" s="12" t="s">
        <v>761</v>
      </c>
      <c r="AJ1" s="12" t="s">
        <v>762</v>
      </c>
      <c r="AK1" s="12" t="s">
        <v>763</v>
      </c>
      <c r="AL1" s="12" t="s">
        <v>511</v>
      </c>
      <c r="AM1" s="12" t="s">
        <v>764</v>
      </c>
      <c r="AN1" s="12" t="s">
        <v>520</v>
      </c>
      <c r="AO1" s="12" t="s">
        <v>765</v>
      </c>
      <c r="AP1" s="12" t="s">
        <v>519</v>
      </c>
      <c r="AQ1" s="12" t="s">
        <v>524</v>
      </c>
      <c r="AR1" s="12" t="s">
        <v>766</v>
      </c>
      <c r="AS1" s="12" t="s">
        <v>767</v>
      </c>
      <c r="AT1" s="12" t="s">
        <v>768</v>
      </c>
      <c r="AU1" s="12" t="s">
        <v>769</v>
      </c>
      <c r="AV1" s="12" t="s">
        <v>770</v>
      </c>
      <c r="AW1" s="12" t="s">
        <v>771</v>
      </c>
      <c r="AX1" s="12" t="s">
        <v>772</v>
      </c>
      <c r="AY1" s="12" t="s">
        <v>773</v>
      </c>
      <c r="AZ1" s="12" t="s">
        <v>774</v>
      </c>
      <c r="BA1" s="12" t="s">
        <v>775</v>
      </c>
      <c r="BB1" s="12" t="s">
        <v>776</v>
      </c>
      <c r="BC1" s="12" t="s">
        <v>777</v>
      </c>
      <c r="BD1" s="12" t="s">
        <v>778</v>
      </c>
      <c r="BE1" s="12" t="s">
        <v>779</v>
      </c>
      <c r="BF1" s="12" t="s">
        <v>780</v>
      </c>
      <c r="BG1" s="12" t="s">
        <v>781</v>
      </c>
      <c r="BH1" s="12" t="s">
        <v>782</v>
      </c>
      <c r="BI1" s="12" t="s">
        <v>783</v>
      </c>
      <c r="BJ1" s="12" t="s">
        <v>784</v>
      </c>
      <c r="BK1" s="12" t="s">
        <v>785</v>
      </c>
    </row>
    <row r="2" customFormat="false" ht="15" hidden="false" customHeight="false" outlineLevel="0" collapsed="false">
      <c r="A2" s="0" t="s">
        <v>639</v>
      </c>
      <c r="B2" s="0" t="s">
        <v>568</v>
      </c>
      <c r="C2" s="0" t="s">
        <v>576</v>
      </c>
      <c r="D2" s="0" t="s">
        <v>581</v>
      </c>
      <c r="E2" s="0" t="s">
        <v>636</v>
      </c>
      <c r="F2" s="0" t="s">
        <v>786</v>
      </c>
      <c r="G2" s="0" t="str">
        <f aca="false">IFERROR(IF(INDEX(Matches!$W$5:$W$10,MATCH($C2,Matches!$A$5:$A$10,0))="","",INDEX(Matches!$W$5:$W$10,MATCH($C2,Matches!$A$5:$A$10,0))),"")</f>
        <v>Mirage</v>
      </c>
      <c r="H2" s="0" t="str">
        <f aca="false">IFERROR(IF(INDEX(Matches!$X$5:$X$10,MATCH($C2,Matches!$A$5:$A$10,0))="","",INDEX(Matches!$X$5:$X$10,MATCH($C2,Matches!$A$5:$A$10,0))),"")</f>
        <v>Cache</v>
      </c>
      <c r="I2" s="0" t="str">
        <f aca="false">IFERROR(IF(INDEX(Matches!$Y$5:$Y$10,MATCH($C2,Matches!$A$5:$A$10,0))="","",INDEX(Matches!$Y$5:$Y$10,MATCH($C2,Matches!$A$5:$A$10,0))),"")</f>
        <v>Dust2</v>
      </c>
      <c r="J2" s="11" t="n">
        <f aca="false">IFERROR(IF(INDEX(Matches!$Z$5:$Z$10,MATCH($C2,Matches!$A$5:$A$10,0))="","",INDEX(Matches!$Z$5:$Z$10,MATCH($C2,Matches!$A$5:$A$10,0))),"")</f>
        <v>21.26</v>
      </c>
      <c r="K2" s="11" t="n">
        <f aca="false">IFERROR(IF(INDEX(Matches!$AA$5:$AA$10,MATCH($C2,Matches!$A$5:$A$10,0))="","",INDEX(Matches!$AA$5:$AA$10,MATCH($C2,Matches!$A$5:$A$10,0))),"")</f>
        <v>21.25</v>
      </c>
      <c r="L2" s="11" t="n">
        <f aca="false">IFERROR(IF(INDEX(Matches!$AB$5:$AB$10,MATCH($C2,Matches!$A$5:$A$10,0))="","",INDEX(Matches!$AB$5:$AB$10,MATCH($C2,Matches!$A$5:$A$10,0))),"")</f>
        <v>21.5</v>
      </c>
      <c r="M2" s="10" t="n">
        <f aca="false">IFERROR(IF(INDEX(Matches!$AC$5:$AC$10,MATCH($C2,Matches!$A$5:$A$10,0))="","",INDEX(Matches!$AC$5:$AC$10,MATCH($C2,Matches!$A$5:$A$10,0))),"")</f>
        <v>0.4764</v>
      </c>
      <c r="N2" s="9" t="n">
        <f aca="false">IFERROR(INDEX(Players!$F$2:$F$42,MATCH($F2,Players!$A$2:$A$42,0)),0)</f>
        <v>28</v>
      </c>
      <c r="O2" s="13" t="n">
        <f aca="false">IFERROR(1/(1/INDEX(Players!$H$2:$H$42,MATCH($F2,Players!$A$2:$A$42,0))),"")</f>
        <v>0.62</v>
      </c>
      <c r="P2" s="10" t="n">
        <f aca="false">IFERROR(1/(1/INDEX(Players!$I$2:$I$42,MATCH($F2,Players!$A$2:$A$42,0))),"")</f>
        <v>0.518</v>
      </c>
      <c r="Q2" s="9" t="n">
        <f aca="false">IF($G2="",0,SUMIFS(Map_Stats!$F$2:$F$256,Map_Stats!$A$2:$A$256,$F2&amp;"|"&amp;$G2))</f>
        <v>4</v>
      </c>
      <c r="R2" s="13" t="n">
        <f aca="false">IF($G2="","",IFERROR(1/(1/INDEX(Map_Stats!$K$2:$K$256,MATCH($F2&amp;"|"&amp;$G2,Map_Stats!$A$2:$A$256,0))),$O2))</f>
        <v>0.53</v>
      </c>
      <c r="S2" s="10" t="n">
        <f aca="false">IF(OR($G2="",$P2=""),"",IFERROR(1/(1/INDEX(Map_Stats!$I$2:$I$256,MATCH($F2&amp;"|"&amp;$G2,Map_Stats!$A$2:$A$256,0))),$P2))</f>
        <v>0.524</v>
      </c>
      <c r="T2" s="13" t="n">
        <f aca="false">IF(OR($G2="",R2=""),"",IF($O2="",R2,(Q2*R2+Config!$B$4*$O2)/(Q2+Config!$B$4)))</f>
        <v>0.58</v>
      </c>
      <c r="U2" s="10" t="n">
        <f aca="false">IF(S2="","",(Q2*S2+Config!$B$4*$P2)/(Q2+Config!$B$4))</f>
        <v>0.520666666666667</v>
      </c>
      <c r="V2" s="17" t="n">
        <f aca="false">IF(OR(T2="",$J2=""),"",T2*$J2*($J2/Config!$B$10)^Config!$B$9)</f>
        <v>12.3308</v>
      </c>
      <c r="W2" s="17" t="n">
        <f aca="false">IF(OR(V2="",U2=""),"",V2*U2)</f>
        <v>6.42023653333333</v>
      </c>
      <c r="X2" s="9" t="n">
        <f aca="false">IF($H2="",0,SUMIFS(Map_Stats!$F$2:$F$256,Map_Stats!$A$2:$A$256,$F2&amp;"|"&amp;$H2))</f>
        <v>7</v>
      </c>
      <c r="Y2" s="13" t="n">
        <f aca="false">IF($H2="","",IFERROR(1/(1/INDEX(Map_Stats!$K$2:$K$256,MATCH($F2&amp;"|"&amp;$H2,Map_Stats!$A$2:$A$256,0))),$O2))</f>
        <v>0.61</v>
      </c>
      <c r="Z2" s="10" t="n">
        <f aca="false">IF(OR($H2="",$P2=""),"",IFERROR(1/(1/INDEX(Map_Stats!$I$2:$I$256,MATCH($F2&amp;"|"&amp;$H2,Map_Stats!$A$2:$A$256,0))),$P2))</f>
        <v>0.457</v>
      </c>
      <c r="AA2" s="13" t="n">
        <f aca="false">IF(OR($H2="",Y2=""),"",IF($O2="",Y2,(X2*Y2+Config!$B$4*$O2)/(X2+Config!$B$4)))</f>
        <v>0.614166666666667</v>
      </c>
      <c r="AB2" s="10" t="n">
        <f aca="false">IF(Z2="","",(X2*Z2+Config!$B$4*$P2)/(X2+Config!$B$4))</f>
        <v>0.482416666666667</v>
      </c>
      <c r="AC2" s="17" t="n">
        <f aca="false">IF(OR(AA2="",$K2=""),"",AA2*$K2*($K2/Config!$B$10)^Config!$B$9)</f>
        <v>13.0510416666667</v>
      </c>
      <c r="AD2" s="17" t="n">
        <f aca="false">IF(OR(AC2="",AB2=""),"",AC2*AB2)</f>
        <v>6.29604001736111</v>
      </c>
      <c r="AE2" s="9" t="n">
        <f aca="false">IF($I2="",0,SUMIFS(Map_Stats!$F$2:$F$256,Map_Stats!$A$2:$A$256,$F2&amp;"|"&amp;$I2))</f>
        <v>5</v>
      </c>
      <c r="AF2" s="13" t="n">
        <f aca="false">IF($I2="","",IFERROR(1/(1/INDEX(Map_Stats!$K$2:$K$256,MATCH($F2&amp;"|"&amp;$I2,Map_Stats!$A$2:$A$256,0))),$O2))</f>
        <v>0.64</v>
      </c>
      <c r="AG2" s="10" t="n">
        <f aca="false">IF(OR($I2="",$P2=""),"",IFERROR(1/(1/INDEX(Map_Stats!$I$2:$I$256,MATCH($F2&amp;"|"&amp;$I2,Map_Stats!$A$2:$A$256,0))),$P2))</f>
        <v>0.508</v>
      </c>
      <c r="AH2" s="13" t="n">
        <f aca="false">IF(OR($I2="",AF2=""),"",IF($O2="",AF2,(AE2*AF2+Config!$B$4*$O2)/(AE2+Config!$B$4)))</f>
        <v>0.63</v>
      </c>
      <c r="AI2" s="10" t="n">
        <f aca="false">IF(AG2="","",(AE2*AG2+Config!$B$4*$P2)/(AE2+Config!$B$4))</f>
        <v>0.513</v>
      </c>
      <c r="AJ2" s="17" t="n">
        <f aca="false">IF(OR(AH2="",$L2=""),"",AH2*$L2*($L2/Config!$B$10)^Config!$B$9)</f>
        <v>13.545</v>
      </c>
      <c r="AK2" s="17" t="n">
        <f aca="false">IF(OR(AJ2="",AI2=""),"",AJ2*AI2)</f>
        <v>6.948585</v>
      </c>
      <c r="AL2" s="17" t="n">
        <f aca="false">N(V2)+N(AC2)</f>
        <v>25.3818416666667</v>
      </c>
      <c r="AM2" s="17" t="n">
        <f aca="false">AL2+N($M2)*N(AJ2)</f>
        <v>31.8346796666667</v>
      </c>
      <c r="AN2" s="17" t="n">
        <f aca="false">IF(W2="","",N(W2)+N(AD2))</f>
        <v>12.7162765506944</v>
      </c>
      <c r="AO2" s="17" t="n">
        <f aca="false">IF(AN2="","",AN2+N($M2)*N(AK2))</f>
        <v>16.0265824446944</v>
      </c>
      <c r="AP2" s="10" t="n">
        <f aca="false">IFERROR(AN2/AL2,"")</f>
        <v>0.500998970748226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IF($C2=Board!$B$2,COUNTIFS($C$2:$C$42,Board!$B$2,$AL$2:$AL$42,"&gt;"&amp;$AL2)+COUNTIFS($C$1:$C1,Board!$B$2,$AL$1:$AL1,$AL2)+1,"")</f>
        <v/>
      </c>
      <c r="AS2" s="0" t="str">
        <f aca="false">IFERROR(IF($D2=INDEX(Matches!$AD$5:$AD$10,MATCH($C2,Matches!$A$5:$A$10,0)),"A",IF($D2=INDEX(Matches!$AE$5:$AE$10,MATCH($C2,Matches!$A$5:$A$10,0)),"B","")),"")</f>
        <v>A</v>
      </c>
      <c r="AT2" s="10" t="n">
        <f aca="false">IF($AS2="","",IFERROR(IF($AS2="A",INDEX(Matches!$AI$5:$AI$10,MATCH($C2,Matches!$A$5:$A$10,0)),INDEX(Matches!$AJ$5:$AJ$10,MATCH($C2,Matches!$A$5:$A$10,0))),""))</f>
        <v>0.552983084096429</v>
      </c>
      <c r="AU2" s="10" t="n">
        <f aca="false">IF($AS2="","",IFERROR(IF(INDEX(Matches!$AP$5:$AP$10,MATCH($C2,Matches!$A$5:$A$10,0))="","",IF($AS2="A",INDEX(Matches!$AP$5:$AP$10,MATCH($C2,Matches!$A$5:$A$10,0)),1-INDEX(Matches!$AP$5:$AP$10,MATCH($C2,Matches!$A$5:$A$10,0)))),""))</f>
        <v>0.509365670446171</v>
      </c>
      <c r="AV2" s="13" t="n">
        <f aca="false">IF(OR($AU2="",$AT2=""),1,((Config!$B$14*$AU2+Config!$B$15*(1-$AU2))/(Config!$B$14*$AT2+Config!$B$15*(1-$AT2)))^Config!$B$13)</f>
        <v>0.962784751685044</v>
      </c>
      <c r="AW2" s="10" t="n">
        <f aca="false">IF($AS2="","",IFERROR(IF(INDEX(Matches!$AV$5:$AV$10,MATCH($C2,Matches!$A$5:$A$10,0))="","",IF($AS2="A",INDEX(Matches!$AV$5:$AV$10,MATCH($C2,Matches!$A$5:$A$10,0)),1-INDEX(Matches!$AV$5:$AV$10,MATCH($C2,Matches!$A$5:$A$10,0)))),""))</f>
        <v>0.507648847341061</v>
      </c>
      <c r="AX2" s="13" t="n">
        <f aca="false">IF(OR($AW2="",$AT2=""),1,((Config!$B$14*$AW2+Config!$B$15*(1-$AW2))/(Config!$B$14*$AT2+Config!$B$15*(1-$AT2)))^Config!$B$13)</f>
        <v>0.961319923928822</v>
      </c>
      <c r="AY2" s="10" t="n">
        <f aca="false">IF($AS2="","",IFERROR(IF(INDEX(Matches!$BB$5:$BB$10,MATCH($C2,Matches!$A$5:$A$10,0))="","",IF($AS2="A",INDEX(Matches!$BB$5:$BB$10,MATCH($C2,Matches!$A$5:$A$10,0)),1-INDEX(Matches!$BB$5:$BB$10,MATCH($C2,Matches!$A$5:$A$10,0)))),""))</f>
        <v>0.529234085775574</v>
      </c>
      <c r="AZ2" s="13" t="n">
        <f aca="false">IF(OR($AY2="",$AT2=""),1,((Config!$B$14*$AY2+Config!$B$15*(1-$AY2))/(Config!$B$14*$AT2+Config!$B$15*(1-$AT2)))^Config!$B$13)</f>
        <v>0.979736880393025</v>
      </c>
      <c r="BA2" s="17" t="n">
        <f aca="false">IF(V2="","",V2*$AV2)</f>
        <v>11.8719062160779</v>
      </c>
      <c r="BB2" s="17" t="n">
        <f aca="false">IF(AC2="","",AC2*$AX2)</f>
        <v>12.5462263821919</v>
      </c>
      <c r="BC2" s="17" t="n">
        <f aca="false">IF(AJ2="","",AJ2*$AZ2)</f>
        <v>13.2705360449235</v>
      </c>
      <c r="BD2" s="17" t="n">
        <f aca="false">N(BA2)+N(BB2)</f>
        <v>24.4181325982698</v>
      </c>
      <c r="BE2" s="17" t="n">
        <f aca="false">BD2+N($M2)*N(BC2)</f>
        <v>30.7402159700714</v>
      </c>
      <c r="BF2" s="17" t="n">
        <f aca="false">IF(W2="","",W2*$AV2)</f>
        <v>6.18130583650458</v>
      </c>
      <c r="BG2" s="17" t="n">
        <f aca="false">IF(AD2="","",AD2*$AX2)</f>
        <v>6.0525087105424</v>
      </c>
      <c r="BH2" s="17" t="n">
        <f aca="false">IF(AK2="","",AK2*$AZ2)</f>
        <v>6.80778499104577</v>
      </c>
      <c r="BI2" s="17" t="n">
        <f aca="false">IF(BF2="","",N(BF2)+N(BG2))</f>
        <v>12.233814547047</v>
      </c>
      <c r="BJ2" s="17" t="n">
        <f aca="false">IF(BI2="","",BI2+N($M2)*N(BH2))</f>
        <v>15.4770433167812</v>
      </c>
      <c r="BK2" s="13" t="n">
        <f aca="false">IFERROR(BD2/AL2,1)</f>
        <v>0.96203155464237</v>
      </c>
    </row>
    <row r="3" customFormat="false" ht="15" hidden="false" customHeight="false" outlineLevel="0" collapsed="false">
      <c r="A3" s="0" t="s">
        <v>645</v>
      </c>
      <c r="B3" s="0" t="s">
        <v>568</v>
      </c>
      <c r="C3" s="0" t="s">
        <v>576</v>
      </c>
      <c r="D3" s="0" t="s">
        <v>581</v>
      </c>
      <c r="E3" s="0" t="s">
        <v>643</v>
      </c>
      <c r="F3" s="0" t="s">
        <v>787</v>
      </c>
      <c r="G3" s="0" t="str">
        <f aca="false">IFERROR(IF(INDEX(Matches!$W$5:$W$10,MATCH($C3,Matches!$A$5:$A$10,0))="","",INDEX(Matches!$W$5:$W$10,MATCH($C3,Matches!$A$5:$A$10,0))),"")</f>
        <v>Mirage</v>
      </c>
      <c r="H3" s="0" t="str">
        <f aca="false">IFERROR(IF(INDEX(Matches!$X$5:$X$10,MATCH($C3,Matches!$A$5:$A$10,0))="","",INDEX(Matches!$X$5:$X$10,MATCH($C3,Matches!$A$5:$A$10,0))),"")</f>
        <v>Cache</v>
      </c>
      <c r="I3" s="0" t="str">
        <f aca="false">IFERROR(IF(INDEX(Matches!$Y$5:$Y$10,MATCH($C3,Matches!$A$5:$A$10,0))="","",INDEX(Matches!$Y$5:$Y$10,MATCH($C3,Matches!$A$5:$A$10,0))),"")</f>
        <v>Dust2</v>
      </c>
      <c r="J3" s="11" t="n">
        <f aca="false">IFERROR(IF(INDEX(Matches!$Z$5:$Z$10,MATCH($C3,Matches!$A$5:$A$10,0))="","",INDEX(Matches!$Z$5:$Z$10,MATCH($C3,Matches!$A$5:$A$10,0))),"")</f>
        <v>21.26</v>
      </c>
      <c r="K3" s="11" t="n">
        <f aca="false">IFERROR(IF(INDEX(Matches!$AA$5:$AA$10,MATCH($C3,Matches!$A$5:$A$10,0))="","",INDEX(Matches!$AA$5:$AA$10,MATCH($C3,Matches!$A$5:$A$10,0))),"")</f>
        <v>21.25</v>
      </c>
      <c r="L3" s="11" t="n">
        <f aca="false">IFERROR(IF(INDEX(Matches!$AB$5:$AB$10,MATCH($C3,Matches!$A$5:$A$10,0))="","",INDEX(Matches!$AB$5:$AB$10,MATCH($C3,Matches!$A$5:$A$10,0))),"")</f>
        <v>21.5</v>
      </c>
      <c r="M3" s="10" t="n">
        <f aca="false">IFERROR(IF(INDEX(Matches!$AC$5:$AC$10,MATCH($C3,Matches!$A$5:$A$10,0))="","",INDEX(Matches!$AC$5:$AC$10,MATCH($C3,Matches!$A$5:$A$10,0))),"")</f>
        <v>0.4764</v>
      </c>
      <c r="N3" s="9" t="n">
        <f aca="false">IFERROR(INDEX(Players!$F$2:$F$42,MATCH($F3,Players!$A$2:$A$42,0)),0)</f>
        <v>29</v>
      </c>
      <c r="O3" s="13" t="n">
        <f aca="false">IFERROR(1/(1/INDEX(Players!$H$2:$H$42,MATCH($F3,Players!$A$2:$A$42,0))),"")</f>
        <v>0.61</v>
      </c>
      <c r="P3" s="10" t="n">
        <f aca="false">IFERROR(1/(1/INDEX(Players!$I$2:$I$42,MATCH($F3,Players!$A$2:$A$42,0))),"")</f>
        <v>0.537</v>
      </c>
      <c r="Q3" s="9" t="n">
        <f aca="false">IF($G3="",0,SUMIFS(Map_Stats!$F$2:$F$256,Map_Stats!$A$2:$A$256,$F3&amp;"|"&amp;$G3))</f>
        <v>5</v>
      </c>
      <c r="R3" s="13" t="n">
        <f aca="false">IF($G3="","",IFERROR(1/(1/INDEX(Map_Stats!$K$2:$K$256,MATCH($F3&amp;"|"&amp;$G3,Map_Stats!$A$2:$A$256,0))),$O3))</f>
        <v>0.66</v>
      </c>
      <c r="S3" s="10" t="n">
        <f aca="false">IF(OR($G3="",$P3=""),"",IFERROR(1/(1/INDEX(Map_Stats!$I$2:$I$256,MATCH($F3&amp;"|"&amp;$G3,Map_Stats!$A$2:$A$256,0))),$P3))</f>
        <v>0.458</v>
      </c>
      <c r="T3" s="13" t="n">
        <f aca="false">IF(OR($G3="",R3=""),"",IF($O3="",R3,(Q3*R3+Config!$B$4*$O3)/(Q3+Config!$B$4)))</f>
        <v>0.635</v>
      </c>
      <c r="U3" s="10" t="n">
        <f aca="false">IF(S3="","",(Q3*S3+Config!$B$4*$P3)/(Q3+Config!$B$4))</f>
        <v>0.4975</v>
      </c>
      <c r="V3" s="17" t="n">
        <f aca="false">IF(OR(T3="",$J3=""),"",T3*$J3*($J3/Config!$B$10)^Config!$B$9)</f>
        <v>13.5001</v>
      </c>
      <c r="W3" s="17" t="n">
        <f aca="false">IF(OR(V3="",U3=""),"",V3*U3)</f>
        <v>6.71629975</v>
      </c>
      <c r="X3" s="9" t="n">
        <f aca="false">IF($H3="",0,SUMIFS(Map_Stats!$F$2:$F$256,Map_Stats!$A$2:$A$256,$F3&amp;"|"&amp;$H3))</f>
        <v>7</v>
      </c>
      <c r="Y3" s="13" t="n">
        <f aca="false">IF($H3="","",IFERROR(1/(1/INDEX(Map_Stats!$K$2:$K$256,MATCH($F3&amp;"|"&amp;$H3,Map_Stats!$A$2:$A$256,0))),$O3))</f>
        <v>0.53</v>
      </c>
      <c r="Z3" s="10" t="n">
        <f aca="false">IF(OR($H3="",$P3=""),"",IFERROR(1/(1/INDEX(Map_Stats!$I$2:$I$256,MATCH($F3&amp;"|"&amp;$H3,Map_Stats!$A$2:$A$256,0))),$P3))</f>
        <v>0.6</v>
      </c>
      <c r="AA3" s="13" t="n">
        <f aca="false">IF(OR($H3="",Y3=""),"",IF($O3="",Y3,(X3*Y3+Config!$B$4*$O3)/(X3+Config!$B$4)))</f>
        <v>0.563333333333333</v>
      </c>
      <c r="AB3" s="10" t="n">
        <f aca="false">IF(Z3="","",(X3*Z3+Config!$B$4*$P3)/(X3+Config!$B$4))</f>
        <v>0.57375</v>
      </c>
      <c r="AC3" s="17" t="n">
        <f aca="false">IF(OR(AA3="",$K3=""),"",AA3*$K3*($K3/Config!$B$10)^Config!$B$9)</f>
        <v>11.9708333333333</v>
      </c>
      <c r="AD3" s="17" t="n">
        <f aca="false">IF(OR(AC3="",AB3=""),"",AC3*AB3)</f>
        <v>6.868265625</v>
      </c>
      <c r="AE3" s="9" t="n">
        <f aca="false">IF($I3="",0,SUMIFS(Map_Stats!$F$2:$F$256,Map_Stats!$A$2:$A$256,$F3&amp;"|"&amp;$I3))</f>
        <v>5</v>
      </c>
      <c r="AF3" s="13" t="n">
        <f aca="false">IF($I3="","",IFERROR(1/(1/INDEX(Map_Stats!$K$2:$K$256,MATCH($F3&amp;"|"&amp;$I3,Map_Stats!$A$2:$A$256,0))),$O3))</f>
        <v>0.73</v>
      </c>
      <c r="AG3" s="10" t="n">
        <f aca="false">IF(OR($I3="",$P3=""),"",IFERROR(1/(1/INDEX(Map_Stats!$I$2:$I$256,MATCH($F3&amp;"|"&amp;$I3,Map_Stats!$A$2:$A$256,0))),$P3))</f>
        <v>0.521</v>
      </c>
      <c r="AH3" s="13" t="n">
        <f aca="false">IF(OR($I3="",AF3=""),"",IF($O3="",AF3,(AE3*AF3+Config!$B$4*$O3)/(AE3+Config!$B$4)))</f>
        <v>0.67</v>
      </c>
      <c r="AI3" s="10" t="n">
        <f aca="false">IF(AG3="","",(AE3*AG3+Config!$B$4*$P3)/(AE3+Config!$B$4))</f>
        <v>0.529</v>
      </c>
      <c r="AJ3" s="17" t="n">
        <f aca="false">IF(OR(AH3="",$L3=""),"",AH3*$L3*($L3/Config!$B$10)^Config!$B$9)</f>
        <v>14.405</v>
      </c>
      <c r="AK3" s="17" t="n">
        <f aca="false">IF(OR(AJ3="",AI3=""),"",AJ3*AI3)</f>
        <v>7.620245</v>
      </c>
      <c r="AL3" s="17" t="n">
        <f aca="false">N(V3)+N(AC3)</f>
        <v>25.4709333333333</v>
      </c>
      <c r="AM3" s="17" t="n">
        <f aca="false">AL3+N($M3)*N(AJ3)</f>
        <v>32.3334753333333</v>
      </c>
      <c r="AN3" s="17" t="n">
        <f aca="false">IF(W3="","",N(W3)+N(AD3))</f>
        <v>13.584565375</v>
      </c>
      <c r="AO3" s="17" t="n">
        <f aca="false">IF(AN3="","",AN3+N($M3)*N(AK3))</f>
        <v>17.214850093</v>
      </c>
      <c r="AP3" s="10" t="n">
        <f aca="false">IFERROR(AN3/AL3,"")</f>
        <v>0.533335987229888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IF($C3=Board!$B$2,COUNTIFS($C$2:$C$42,Board!$B$2,$AL$2:$AL$42,"&gt;"&amp;$AL3)+COUNTIFS($C$1:$C2,Board!$B$2,$AL$1:$AL2,$AL3)+1,"")</f>
        <v/>
      </c>
      <c r="AS3" s="0" t="str">
        <f aca="false">IFERROR(IF($D3=INDEX(Matches!$AD$5:$AD$10,MATCH($C3,Matches!$A$5:$A$10,0)),"A",IF($D3=INDEX(Matches!$AE$5:$AE$10,MATCH($C3,Matches!$A$5:$A$10,0)),"B","")),"")</f>
        <v>A</v>
      </c>
      <c r="AT3" s="10" t="n">
        <f aca="false">IF($AS3="","",IFERROR(IF($AS3="A",INDEX(Matches!$AI$5:$AI$10,MATCH($C3,Matches!$A$5:$A$10,0)),INDEX(Matches!$AJ$5:$AJ$10,MATCH($C3,Matches!$A$5:$A$10,0))),""))</f>
        <v>0.552983084096429</v>
      </c>
      <c r="AU3" s="10" t="n">
        <f aca="false">IF($AS3="","",IFERROR(IF(INDEX(Matches!$AP$5:$AP$10,MATCH($C3,Matches!$A$5:$A$10,0))="","",IF($AS3="A",INDEX(Matches!$AP$5:$AP$10,MATCH($C3,Matches!$A$5:$A$10,0)),1-INDEX(Matches!$AP$5:$AP$10,MATCH($C3,Matches!$A$5:$A$10,0)))),""))</f>
        <v>0.509365670446171</v>
      </c>
      <c r="AV3" s="13" t="n">
        <f aca="false">IF(OR($AU3="",$AT3=""),1,((Config!$B$14*$AU3+Config!$B$15*(1-$AU3))/(Config!$B$14*$AT3+Config!$B$15*(1-$AT3)))^Config!$B$13)</f>
        <v>0.962784751685044</v>
      </c>
      <c r="AW3" s="10" t="n">
        <f aca="false">IF($AS3="","",IFERROR(IF(INDEX(Matches!$AV$5:$AV$10,MATCH($C3,Matches!$A$5:$A$10,0))="","",IF($AS3="A",INDEX(Matches!$AV$5:$AV$10,MATCH($C3,Matches!$A$5:$A$10,0)),1-INDEX(Matches!$AV$5:$AV$10,MATCH($C3,Matches!$A$5:$A$10,0)))),""))</f>
        <v>0.507648847341061</v>
      </c>
      <c r="AX3" s="13" t="n">
        <f aca="false">IF(OR($AW3="",$AT3=""),1,((Config!$B$14*$AW3+Config!$B$15*(1-$AW3))/(Config!$B$14*$AT3+Config!$B$15*(1-$AT3)))^Config!$B$13)</f>
        <v>0.961319923928822</v>
      </c>
      <c r="AY3" s="10" t="n">
        <f aca="false">IF($AS3="","",IFERROR(IF(INDEX(Matches!$BB$5:$BB$10,MATCH($C3,Matches!$A$5:$A$10,0))="","",IF($AS3="A",INDEX(Matches!$BB$5:$BB$10,MATCH($C3,Matches!$A$5:$A$10,0)),1-INDEX(Matches!$BB$5:$BB$10,MATCH($C3,Matches!$A$5:$A$10,0)))),""))</f>
        <v>0.529234085775574</v>
      </c>
      <c r="AZ3" s="13" t="n">
        <f aca="false">IF(OR($AY3="",$AT3=""),1,((Config!$B$14*$AY3+Config!$B$15*(1-$AY3))/(Config!$B$14*$AT3+Config!$B$15*(1-$AT3)))^Config!$B$13)</f>
        <v>0.979736880393025</v>
      </c>
      <c r="BA3" s="17" t="n">
        <f aca="false">IF(V3="","",V3*$AV3)</f>
        <v>12.9976904262233</v>
      </c>
      <c r="BB3" s="17" t="n">
        <f aca="false">IF(AC3="","",AC3*$AX3)</f>
        <v>11.5078005893646</v>
      </c>
      <c r="BC3" s="17" t="n">
        <f aca="false">IF(AJ3="","",AJ3*$AZ3)</f>
        <v>14.1131097620615</v>
      </c>
      <c r="BD3" s="17" t="n">
        <f aca="false">N(BA3)+N(BB3)</f>
        <v>24.5054910155879</v>
      </c>
      <c r="BE3" s="17" t="n">
        <f aca="false">BD3+N($M3)*N(BC3)</f>
        <v>31.228976506234</v>
      </c>
      <c r="BF3" s="17" t="n">
        <f aca="false">IF(W3="","",W3*$AV3)</f>
        <v>6.46635098704608</v>
      </c>
      <c r="BG3" s="17" t="n">
        <f aca="false">IF(AD3="","",AD3*$AX3)</f>
        <v>6.60260058814794</v>
      </c>
      <c r="BH3" s="17" t="n">
        <f aca="false">IF(AK3="","",AK3*$AZ3)</f>
        <v>7.46583506413055</v>
      </c>
      <c r="BI3" s="17" t="n">
        <f aca="false">IF(BF3="","",N(BF3)+N(BG3))</f>
        <v>13.068951575194</v>
      </c>
      <c r="BJ3" s="17" t="n">
        <f aca="false">IF(BI3="","",BI3+N($M3)*N(BH3))</f>
        <v>16.6256753997458</v>
      </c>
      <c r="BK3" s="13" t="n">
        <f aca="false">IFERROR(BD3/AL3,1)</f>
        <v>0.962096311701228</v>
      </c>
    </row>
    <row r="4" customFormat="false" ht="15" hidden="false" customHeight="false" outlineLevel="0" collapsed="false">
      <c r="A4" s="0" t="s">
        <v>649</v>
      </c>
      <c r="B4" s="0" t="s">
        <v>568</v>
      </c>
      <c r="C4" s="0" t="s">
        <v>576</v>
      </c>
      <c r="D4" s="0" t="s">
        <v>581</v>
      </c>
      <c r="E4" s="0" t="s">
        <v>647</v>
      </c>
      <c r="F4" s="0" t="s">
        <v>788</v>
      </c>
      <c r="G4" s="0" t="str">
        <f aca="false">IFERROR(IF(INDEX(Matches!$W$5:$W$10,MATCH($C4,Matches!$A$5:$A$10,0))="","",INDEX(Matches!$W$5:$W$10,MATCH($C4,Matches!$A$5:$A$10,0))),"")</f>
        <v>Mirage</v>
      </c>
      <c r="H4" s="0" t="str">
        <f aca="false">IFERROR(IF(INDEX(Matches!$X$5:$X$10,MATCH($C4,Matches!$A$5:$A$10,0))="","",INDEX(Matches!$X$5:$X$10,MATCH($C4,Matches!$A$5:$A$10,0))),"")</f>
        <v>Cache</v>
      </c>
      <c r="I4" s="0" t="str">
        <f aca="false">IFERROR(IF(INDEX(Matches!$Y$5:$Y$10,MATCH($C4,Matches!$A$5:$A$10,0))="","",INDEX(Matches!$Y$5:$Y$10,MATCH($C4,Matches!$A$5:$A$10,0))),"")</f>
        <v>Dust2</v>
      </c>
      <c r="J4" s="11" t="n">
        <f aca="false">IFERROR(IF(INDEX(Matches!$Z$5:$Z$10,MATCH($C4,Matches!$A$5:$A$10,0))="","",INDEX(Matches!$Z$5:$Z$10,MATCH($C4,Matches!$A$5:$A$10,0))),"")</f>
        <v>21.26</v>
      </c>
      <c r="K4" s="11" t="n">
        <f aca="false">IFERROR(IF(INDEX(Matches!$AA$5:$AA$10,MATCH($C4,Matches!$A$5:$A$10,0))="","",INDEX(Matches!$AA$5:$AA$10,MATCH($C4,Matches!$A$5:$A$10,0))),"")</f>
        <v>21.25</v>
      </c>
      <c r="L4" s="11" t="n">
        <f aca="false">IFERROR(IF(INDEX(Matches!$AB$5:$AB$10,MATCH($C4,Matches!$A$5:$A$10,0))="","",INDEX(Matches!$AB$5:$AB$10,MATCH($C4,Matches!$A$5:$A$10,0))),"")</f>
        <v>21.5</v>
      </c>
      <c r="M4" s="10" t="n">
        <f aca="false">IFERROR(IF(INDEX(Matches!$AC$5:$AC$10,MATCH($C4,Matches!$A$5:$A$10,0))="","",INDEX(Matches!$AC$5:$AC$10,MATCH($C4,Matches!$A$5:$A$10,0))),"")</f>
        <v>0.4764</v>
      </c>
      <c r="N4" s="9" t="n">
        <f aca="false">IFERROR(INDEX(Players!$F$2:$F$42,MATCH($F4,Players!$A$2:$A$42,0)),0)</f>
        <v>29</v>
      </c>
      <c r="O4" s="13" t="n">
        <f aca="false">IFERROR(1/(1/INDEX(Players!$H$2:$H$42,MATCH($F4,Players!$A$2:$A$42,0))),"")</f>
        <v>0.69</v>
      </c>
      <c r="P4" s="10" t="n">
        <f aca="false">IFERROR(1/(1/INDEX(Players!$I$2:$I$42,MATCH($F4,Players!$A$2:$A$42,0))),"")</f>
        <v>0.711</v>
      </c>
      <c r="Q4" s="9" t="n">
        <f aca="false">IF($G4="",0,SUMIFS(Map_Stats!$F$2:$F$256,Map_Stats!$A$2:$A$256,$F4&amp;"|"&amp;$G4))</f>
        <v>5</v>
      </c>
      <c r="R4" s="13" t="n">
        <f aca="false">IF($G4="","",IFERROR(1/(1/INDEX(Map_Stats!$K$2:$K$256,MATCH($F4&amp;"|"&amp;$G4,Map_Stats!$A$2:$A$256,0))),$O4))</f>
        <v>0.76</v>
      </c>
      <c r="S4" s="10" t="n">
        <f aca="false">IF(OR($G4="",$P4=""),"",IFERROR(1/(1/INDEX(Map_Stats!$I$2:$I$256,MATCH($F4&amp;"|"&amp;$G4,Map_Stats!$A$2:$A$256,0))),$P4))</f>
        <v>0.771</v>
      </c>
      <c r="T4" s="13" t="n">
        <f aca="false">IF(OR($G4="",R4=""),"",IF($O4="",R4,(Q4*R4+Config!$B$4*$O4)/(Q4+Config!$B$4)))</f>
        <v>0.725</v>
      </c>
      <c r="U4" s="10" t="n">
        <f aca="false">IF(S4="","",(Q4*S4+Config!$B$4*$P4)/(Q4+Config!$B$4))</f>
        <v>0.741</v>
      </c>
      <c r="V4" s="17" t="n">
        <f aca="false">IF(OR(T4="",$J4=""),"",T4*$J4*($J4/Config!$B$10)^Config!$B$9)</f>
        <v>15.4135</v>
      </c>
      <c r="W4" s="17" t="n">
        <f aca="false">IF(OR(V4="",U4=""),"",V4*U4)</f>
        <v>11.4214035</v>
      </c>
      <c r="X4" s="9" t="n">
        <f aca="false">IF($H4="",0,SUMIFS(Map_Stats!$F$2:$F$256,Map_Stats!$A$2:$A$256,$F4&amp;"|"&amp;$H4))</f>
        <v>7</v>
      </c>
      <c r="Y4" s="13" t="n">
        <f aca="false">IF($H4="","",IFERROR(1/(1/INDEX(Map_Stats!$K$2:$K$256,MATCH($F4&amp;"|"&amp;$H4,Map_Stats!$A$2:$A$256,0))),$O4))</f>
        <v>0.64</v>
      </c>
      <c r="Z4" s="10" t="n">
        <f aca="false">IF(OR($H4="",$P4=""),"",IFERROR(1/(1/INDEX(Map_Stats!$I$2:$I$256,MATCH($F4&amp;"|"&amp;$H4,Map_Stats!$A$2:$A$256,0))),$P4))</f>
        <v>0.725</v>
      </c>
      <c r="AA4" s="13" t="n">
        <f aca="false">IF(OR($H4="",Y4=""),"",IF($O4="",Y4,(X4*Y4+Config!$B$4*$O4)/(X4+Config!$B$4)))</f>
        <v>0.660833333333333</v>
      </c>
      <c r="AB4" s="10" t="n">
        <f aca="false">IF(Z4="","",(X4*Z4+Config!$B$4*$P4)/(X4+Config!$B$4))</f>
        <v>0.719166666666667</v>
      </c>
      <c r="AC4" s="17" t="n">
        <f aca="false">IF(OR(AA4="",$K4=""),"",AA4*$K4*($K4/Config!$B$10)^Config!$B$9)</f>
        <v>14.0427083333333</v>
      </c>
      <c r="AD4" s="17" t="n">
        <f aca="false">IF(OR(AC4="",AB4=""),"",AC4*AB4)</f>
        <v>10.0990477430556</v>
      </c>
      <c r="AE4" s="9" t="n">
        <f aca="false">IF($I4="",0,SUMIFS(Map_Stats!$F$2:$F$256,Map_Stats!$A$2:$A$256,$F4&amp;"|"&amp;$I4))</f>
        <v>5</v>
      </c>
      <c r="AF4" s="13" t="n">
        <f aca="false">IF($I4="","",IFERROR(1/(1/INDEX(Map_Stats!$K$2:$K$256,MATCH($F4&amp;"|"&amp;$I4,Map_Stats!$A$2:$A$256,0))),$O4))</f>
        <v>0.86</v>
      </c>
      <c r="AG4" s="10" t="n">
        <f aca="false">IF(OR($I4="",$P4=""),"",IFERROR(1/(1/INDEX(Map_Stats!$I$2:$I$256,MATCH($F4&amp;"|"&amp;$I4,Map_Stats!$A$2:$A$256,0))),$P4))</f>
        <v>0.687</v>
      </c>
      <c r="AH4" s="13" t="n">
        <f aca="false">IF(OR($I4="",AF4=""),"",IF($O4="",AF4,(AE4*AF4+Config!$B$4*$O4)/(AE4+Config!$B$4)))</f>
        <v>0.775</v>
      </c>
      <c r="AI4" s="10" t="n">
        <f aca="false">IF(AG4="","",(AE4*AG4+Config!$B$4*$P4)/(AE4+Config!$B$4))</f>
        <v>0.699</v>
      </c>
      <c r="AJ4" s="17" t="n">
        <f aca="false">IF(OR(AH4="",$L4=""),"",AH4*$L4*($L4/Config!$B$10)^Config!$B$9)</f>
        <v>16.6625</v>
      </c>
      <c r="AK4" s="17" t="n">
        <f aca="false">IF(OR(AJ4="",AI4=""),"",AJ4*AI4)</f>
        <v>11.6470875</v>
      </c>
      <c r="AL4" s="17" t="n">
        <f aca="false">N(V4)+N(AC4)</f>
        <v>29.4562083333333</v>
      </c>
      <c r="AM4" s="17" t="n">
        <f aca="false">AL4+N($M4)*N(AJ4)</f>
        <v>37.3942233333333</v>
      </c>
      <c r="AN4" s="17" t="n">
        <f aca="false">IF(W4="","",N(W4)+N(AD4))</f>
        <v>21.5204512430556</v>
      </c>
      <c r="AO4" s="17" t="n">
        <f aca="false">IF(AN4="","",AN4+N($M4)*N(AK4))</f>
        <v>27.0691237280556</v>
      </c>
      <c r="AP4" s="10" t="n">
        <f aca="false">IFERROR(AN4/AL4,"")</f>
        <v>0.73059135783958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IF($C4=Board!$B$2,COUNTIFS($C$2:$C$42,Board!$B$2,$AL$2:$AL$42,"&gt;"&amp;$AL4)+COUNTIFS($C$1:$C3,Board!$B$2,$AL$1:$AL3,$AL4)+1,"")</f>
        <v/>
      </c>
      <c r="AS4" s="0" t="str">
        <f aca="false">IFERROR(IF($D4=INDEX(Matches!$AD$5:$AD$10,MATCH($C4,Matches!$A$5:$A$10,0)),"A",IF($D4=INDEX(Matches!$AE$5:$AE$10,MATCH($C4,Matches!$A$5:$A$10,0)),"B","")),"")</f>
        <v>A</v>
      </c>
      <c r="AT4" s="10" t="n">
        <f aca="false">IF($AS4="","",IFERROR(IF($AS4="A",INDEX(Matches!$AI$5:$AI$10,MATCH($C4,Matches!$A$5:$A$10,0)),INDEX(Matches!$AJ$5:$AJ$10,MATCH($C4,Matches!$A$5:$A$10,0))),""))</f>
        <v>0.552983084096429</v>
      </c>
      <c r="AU4" s="10" t="n">
        <f aca="false">IF($AS4="","",IFERROR(IF(INDEX(Matches!$AP$5:$AP$10,MATCH($C4,Matches!$A$5:$A$10,0))="","",IF($AS4="A",INDEX(Matches!$AP$5:$AP$10,MATCH($C4,Matches!$A$5:$A$10,0)),1-INDEX(Matches!$AP$5:$AP$10,MATCH($C4,Matches!$A$5:$A$10,0)))),""))</f>
        <v>0.509365670446171</v>
      </c>
      <c r="AV4" s="13" t="n">
        <f aca="false">IF(OR($AU4="",$AT4=""),1,((Config!$B$14*$AU4+Config!$B$15*(1-$AU4))/(Config!$B$14*$AT4+Config!$B$15*(1-$AT4)))^Config!$B$13)</f>
        <v>0.962784751685044</v>
      </c>
      <c r="AW4" s="10" t="n">
        <f aca="false">IF($AS4="","",IFERROR(IF(INDEX(Matches!$AV$5:$AV$10,MATCH($C4,Matches!$A$5:$A$10,0))="","",IF($AS4="A",INDEX(Matches!$AV$5:$AV$10,MATCH($C4,Matches!$A$5:$A$10,0)),1-INDEX(Matches!$AV$5:$AV$10,MATCH($C4,Matches!$A$5:$A$10,0)))),""))</f>
        <v>0.507648847341061</v>
      </c>
      <c r="AX4" s="13" t="n">
        <f aca="false">IF(OR($AW4="",$AT4=""),1,((Config!$B$14*$AW4+Config!$B$15*(1-$AW4))/(Config!$B$14*$AT4+Config!$B$15*(1-$AT4)))^Config!$B$13)</f>
        <v>0.961319923928822</v>
      </c>
      <c r="AY4" s="10" t="n">
        <f aca="false">IF($AS4="","",IFERROR(IF(INDEX(Matches!$BB$5:$BB$10,MATCH($C4,Matches!$A$5:$A$10,0))="","",IF($AS4="A",INDEX(Matches!$BB$5:$BB$10,MATCH($C4,Matches!$A$5:$A$10,0)),1-INDEX(Matches!$BB$5:$BB$10,MATCH($C4,Matches!$A$5:$A$10,0)))),""))</f>
        <v>0.529234085775574</v>
      </c>
      <c r="AZ4" s="13" t="n">
        <f aca="false">IF(OR($AY4="",$AT4=""),1,((Config!$B$14*$AY4+Config!$B$15*(1-$AY4))/(Config!$B$14*$AT4+Config!$B$15*(1-$AT4)))^Config!$B$13)</f>
        <v>0.979736880393025</v>
      </c>
      <c r="BA4" s="17" t="n">
        <f aca="false">IF(V4="","",V4*$AV4)</f>
        <v>14.8398827700974</v>
      </c>
      <c r="BB4" s="17" t="n">
        <f aca="false">IF(AC4="","",AC4*$AX4)</f>
        <v>13.4995353067546</v>
      </c>
      <c r="BC4" s="17" t="n">
        <f aca="false">IF(AJ4="","",AJ4*$AZ4)</f>
        <v>16.3248657695488</v>
      </c>
      <c r="BD4" s="17" t="n">
        <f aca="false">N(BA4)+N(BB4)</f>
        <v>28.3394180768521</v>
      </c>
      <c r="BE4" s="17" t="n">
        <f aca="false">BD4+N($M4)*N(BC4)</f>
        <v>36.1165841294651</v>
      </c>
      <c r="BF4" s="17" t="n">
        <f aca="false">IF(W4="","",W4*$AV4)</f>
        <v>10.9963531326422</v>
      </c>
      <c r="BG4" s="17" t="n">
        <f aca="false">IF(AD4="","",AD4*$AX4)</f>
        <v>9.70841580810771</v>
      </c>
      <c r="BH4" s="17" t="n">
        <f aca="false">IF(AK4="","",AK4*$AZ4)</f>
        <v>11.4110811729146</v>
      </c>
      <c r="BI4" s="17" t="n">
        <f aca="false">IF(BF4="","",N(BF4)+N(BG4))</f>
        <v>20.7047689407499</v>
      </c>
      <c r="BJ4" s="17" t="n">
        <f aca="false">IF(BI4="","",BI4+N($M4)*N(BH4))</f>
        <v>26.1410080115264</v>
      </c>
      <c r="BK4" s="13" t="n">
        <f aca="false">IFERROR(BD4/AL4,1)</f>
        <v>0.962086421855678</v>
      </c>
    </row>
    <row r="5" customFormat="false" ht="15" hidden="false" customHeight="false" outlineLevel="0" collapsed="false">
      <c r="A5" s="0" t="s">
        <v>653</v>
      </c>
      <c r="B5" s="0" t="s">
        <v>568</v>
      </c>
      <c r="C5" s="0" t="s">
        <v>576</v>
      </c>
      <c r="D5" s="0" t="s">
        <v>581</v>
      </c>
      <c r="E5" s="0" t="s">
        <v>651</v>
      </c>
      <c r="F5" s="0" t="s">
        <v>789</v>
      </c>
      <c r="G5" s="0" t="str">
        <f aca="false">IFERROR(IF(INDEX(Matches!$W$5:$W$10,MATCH($C5,Matches!$A$5:$A$10,0))="","",INDEX(Matches!$W$5:$W$10,MATCH($C5,Matches!$A$5:$A$10,0))),"")</f>
        <v>Mirage</v>
      </c>
      <c r="H5" s="0" t="str">
        <f aca="false">IFERROR(IF(INDEX(Matches!$X$5:$X$10,MATCH($C5,Matches!$A$5:$A$10,0))="","",INDEX(Matches!$X$5:$X$10,MATCH($C5,Matches!$A$5:$A$10,0))),"")</f>
        <v>Cache</v>
      </c>
      <c r="I5" s="0" t="str">
        <f aca="false">IFERROR(IF(INDEX(Matches!$Y$5:$Y$10,MATCH($C5,Matches!$A$5:$A$10,0))="","",INDEX(Matches!$Y$5:$Y$10,MATCH($C5,Matches!$A$5:$A$10,0))),"")</f>
        <v>Dust2</v>
      </c>
      <c r="J5" s="11" t="n">
        <f aca="false">IFERROR(IF(INDEX(Matches!$Z$5:$Z$10,MATCH($C5,Matches!$A$5:$A$10,0))="","",INDEX(Matches!$Z$5:$Z$10,MATCH($C5,Matches!$A$5:$A$10,0))),"")</f>
        <v>21.26</v>
      </c>
      <c r="K5" s="11" t="n">
        <f aca="false">IFERROR(IF(INDEX(Matches!$AA$5:$AA$10,MATCH($C5,Matches!$A$5:$A$10,0))="","",INDEX(Matches!$AA$5:$AA$10,MATCH($C5,Matches!$A$5:$A$10,0))),"")</f>
        <v>21.25</v>
      </c>
      <c r="L5" s="11" t="n">
        <f aca="false">IFERROR(IF(INDEX(Matches!$AB$5:$AB$10,MATCH($C5,Matches!$A$5:$A$10,0))="","",INDEX(Matches!$AB$5:$AB$10,MATCH($C5,Matches!$A$5:$A$10,0))),"")</f>
        <v>21.5</v>
      </c>
      <c r="M5" s="10" t="n">
        <f aca="false">IFERROR(IF(INDEX(Matches!$AC$5:$AC$10,MATCH($C5,Matches!$A$5:$A$10,0))="","",INDEX(Matches!$AC$5:$AC$10,MATCH($C5,Matches!$A$5:$A$10,0))),"")</f>
        <v>0.4764</v>
      </c>
      <c r="N5" s="9" t="n">
        <f aca="false">IFERROR(INDEX(Players!$F$2:$F$42,MATCH($F5,Players!$A$2:$A$42,0)),0)</f>
        <v>29</v>
      </c>
      <c r="O5" s="13" t="n">
        <f aca="false">IFERROR(1/(1/INDEX(Players!$H$2:$H$42,MATCH($F5,Players!$A$2:$A$42,0))),"")</f>
        <v>0.76</v>
      </c>
      <c r="P5" s="10" t="n">
        <f aca="false">IFERROR(1/(1/INDEX(Players!$I$2:$I$42,MATCH($F5,Players!$A$2:$A$42,0))),"")</f>
        <v>0.378</v>
      </c>
      <c r="Q5" s="9" t="n">
        <f aca="false">IF($G5="",0,SUMIFS(Map_Stats!$F$2:$F$256,Map_Stats!$A$2:$A$256,$F5&amp;"|"&amp;$G5))</f>
        <v>5</v>
      </c>
      <c r="R5" s="13" t="n">
        <f aca="false">IF($G5="","",IFERROR(1/(1/INDEX(Map_Stats!$K$2:$K$256,MATCH($F5&amp;"|"&amp;$G5,Map_Stats!$A$2:$A$256,0))),$O5))</f>
        <v>0.62</v>
      </c>
      <c r="S5" s="10" t="n">
        <f aca="false">IF(OR($G5="",$P5=""),"",IFERROR(1/(1/INDEX(Map_Stats!$I$2:$I$256,MATCH($F5&amp;"|"&amp;$G5,Map_Stats!$A$2:$A$256,0))),$P5))</f>
        <v>0.412</v>
      </c>
      <c r="T5" s="13" t="n">
        <f aca="false">IF(OR($G5="",R5=""),"",IF($O5="",R5,(Q5*R5+Config!$B$4*$O5)/(Q5+Config!$B$4)))</f>
        <v>0.69</v>
      </c>
      <c r="U5" s="10" t="n">
        <f aca="false">IF(S5="","",(Q5*S5+Config!$B$4*$P5)/(Q5+Config!$B$4))</f>
        <v>0.395</v>
      </c>
      <c r="V5" s="17" t="n">
        <f aca="false">IF(OR(T5="",$J5=""),"",T5*$J5*($J5/Config!$B$10)^Config!$B$9)</f>
        <v>14.6694</v>
      </c>
      <c r="W5" s="17" t="n">
        <f aca="false">IF(OR(V5="",U5=""),"",V5*U5)</f>
        <v>5.794413</v>
      </c>
      <c r="X5" s="9" t="n">
        <f aca="false">IF($H5="",0,SUMIFS(Map_Stats!$F$2:$F$256,Map_Stats!$A$2:$A$256,$F5&amp;"|"&amp;$H5))</f>
        <v>7</v>
      </c>
      <c r="Y5" s="13" t="n">
        <f aca="false">IF($H5="","",IFERROR(1/(1/INDEX(Map_Stats!$K$2:$K$256,MATCH($F5&amp;"|"&amp;$H5,Map_Stats!$A$2:$A$256,0))),$O5))</f>
        <v>0.75</v>
      </c>
      <c r="Z5" s="10" t="n">
        <f aca="false">IF(OR($H5="",$P5=""),"",IFERROR(1/(1/INDEX(Map_Stats!$I$2:$I$256,MATCH($F5&amp;"|"&amp;$H5,Map_Stats!$A$2:$A$256,0))),$P5))</f>
        <v>0.305</v>
      </c>
      <c r="AA5" s="13" t="n">
        <f aca="false">IF(OR($H5="",Y5=""),"",IF($O5="",Y5,(X5*Y5+Config!$B$4*$O5)/(X5+Config!$B$4)))</f>
        <v>0.754166666666667</v>
      </c>
      <c r="AB5" s="10" t="n">
        <f aca="false">IF(Z5="","",(X5*Z5+Config!$B$4*$P5)/(X5+Config!$B$4))</f>
        <v>0.335416666666667</v>
      </c>
      <c r="AC5" s="17" t="n">
        <f aca="false">IF(OR(AA5="",$K5=""),"",AA5*$K5*($K5/Config!$B$10)^Config!$B$9)</f>
        <v>16.0260416666667</v>
      </c>
      <c r="AD5" s="17" t="n">
        <f aca="false">IF(OR(AC5="",AB5=""),"",AC5*AB5)</f>
        <v>5.37540147569444</v>
      </c>
      <c r="AE5" s="9" t="n">
        <f aca="false">IF($I5="",0,SUMIFS(Map_Stats!$F$2:$F$256,Map_Stats!$A$2:$A$256,$F5&amp;"|"&amp;$I5))</f>
        <v>5</v>
      </c>
      <c r="AF5" s="13" t="n">
        <f aca="false">IF($I5="","",IFERROR(1/(1/INDEX(Map_Stats!$K$2:$K$256,MATCH($F5&amp;"|"&amp;$I5,Map_Stats!$A$2:$A$256,0))),$O5))</f>
        <v>0.79</v>
      </c>
      <c r="AG5" s="10" t="n">
        <f aca="false">IF(OR($I5="",$P5=""),"",IFERROR(1/(1/INDEX(Map_Stats!$I$2:$I$256,MATCH($F5&amp;"|"&amp;$I5,Map_Stats!$A$2:$A$256,0))),$P5))</f>
        <v>0.351</v>
      </c>
      <c r="AH5" s="13" t="n">
        <f aca="false">IF(OR($I5="",AF5=""),"",IF($O5="",AF5,(AE5*AF5+Config!$B$4*$O5)/(AE5+Config!$B$4)))</f>
        <v>0.775</v>
      </c>
      <c r="AI5" s="10" t="n">
        <f aca="false">IF(AG5="","",(AE5*AG5+Config!$B$4*$P5)/(AE5+Config!$B$4))</f>
        <v>0.3645</v>
      </c>
      <c r="AJ5" s="17" t="n">
        <f aca="false">IF(OR(AH5="",$L5=""),"",AH5*$L5*($L5/Config!$B$10)^Config!$B$9)</f>
        <v>16.6625</v>
      </c>
      <c r="AK5" s="17" t="n">
        <f aca="false">IF(OR(AJ5="",AI5=""),"",AJ5*AI5)</f>
        <v>6.07348125</v>
      </c>
      <c r="AL5" s="17" t="n">
        <f aca="false">N(V5)+N(AC5)</f>
        <v>30.6954416666667</v>
      </c>
      <c r="AM5" s="17" t="n">
        <f aca="false">AL5+N($M5)*N(AJ5)</f>
        <v>38.6334566666667</v>
      </c>
      <c r="AN5" s="17" t="n">
        <f aca="false">IF(W5="","",N(W5)+N(AD5))</f>
        <v>11.1698144756944</v>
      </c>
      <c r="AO5" s="17" t="n">
        <f aca="false">IF(AN5="","",AN5+N($M5)*N(AK5))</f>
        <v>14.0632209431944</v>
      </c>
      <c r="AP5" s="10" t="n">
        <f aca="false">IFERROR(AN5/AL5,"")</f>
        <v>0.363891635669936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IF($C5=Board!$B$2,COUNTIFS($C$2:$C$42,Board!$B$2,$AL$2:$AL$42,"&gt;"&amp;$AL5)+COUNTIFS($C$1:$C4,Board!$B$2,$AL$1:$AL4,$AL5)+1,"")</f>
        <v/>
      </c>
      <c r="AS5" s="0" t="str">
        <f aca="false">IFERROR(IF($D5=INDEX(Matches!$AD$5:$AD$10,MATCH($C5,Matches!$A$5:$A$10,0)),"A",IF($D5=INDEX(Matches!$AE$5:$AE$10,MATCH($C5,Matches!$A$5:$A$10,0)),"B","")),"")</f>
        <v>A</v>
      </c>
      <c r="AT5" s="10" t="n">
        <f aca="false">IF($AS5="","",IFERROR(IF($AS5="A",INDEX(Matches!$AI$5:$AI$10,MATCH($C5,Matches!$A$5:$A$10,0)),INDEX(Matches!$AJ$5:$AJ$10,MATCH($C5,Matches!$A$5:$A$10,0))),""))</f>
        <v>0.552983084096429</v>
      </c>
      <c r="AU5" s="10" t="n">
        <f aca="false">IF($AS5="","",IFERROR(IF(INDEX(Matches!$AP$5:$AP$10,MATCH($C5,Matches!$A$5:$A$10,0))="","",IF($AS5="A",INDEX(Matches!$AP$5:$AP$10,MATCH($C5,Matches!$A$5:$A$10,0)),1-INDEX(Matches!$AP$5:$AP$10,MATCH($C5,Matches!$A$5:$A$10,0)))),""))</f>
        <v>0.509365670446171</v>
      </c>
      <c r="AV5" s="13" t="n">
        <f aca="false">IF(OR($AU5="",$AT5=""),1,((Config!$B$14*$AU5+Config!$B$15*(1-$AU5))/(Config!$B$14*$AT5+Config!$B$15*(1-$AT5)))^Config!$B$13)</f>
        <v>0.962784751685044</v>
      </c>
      <c r="AW5" s="10" t="n">
        <f aca="false">IF($AS5="","",IFERROR(IF(INDEX(Matches!$AV$5:$AV$10,MATCH($C5,Matches!$A$5:$A$10,0))="","",IF($AS5="A",INDEX(Matches!$AV$5:$AV$10,MATCH($C5,Matches!$A$5:$A$10,0)),1-INDEX(Matches!$AV$5:$AV$10,MATCH($C5,Matches!$A$5:$A$10,0)))),""))</f>
        <v>0.507648847341061</v>
      </c>
      <c r="AX5" s="13" t="n">
        <f aca="false">IF(OR($AW5="",$AT5=""),1,((Config!$B$14*$AW5+Config!$B$15*(1-$AW5))/(Config!$B$14*$AT5+Config!$B$15*(1-$AT5)))^Config!$B$13)</f>
        <v>0.961319923928822</v>
      </c>
      <c r="AY5" s="10" t="n">
        <f aca="false">IF($AS5="","",IFERROR(IF(INDEX(Matches!$BB$5:$BB$10,MATCH($C5,Matches!$A$5:$A$10,0))="","",IF($AS5="A",INDEX(Matches!$BB$5:$BB$10,MATCH($C5,Matches!$A$5:$A$10,0)),1-INDEX(Matches!$BB$5:$BB$10,MATCH($C5,Matches!$A$5:$A$10,0)))),""))</f>
        <v>0.529234085775574</v>
      </c>
      <c r="AZ5" s="13" t="n">
        <f aca="false">IF(OR($AY5="",$AT5=""),1,((Config!$B$14*$AY5+Config!$B$15*(1-$AY5))/(Config!$B$14*$AT5+Config!$B$15*(1-$AT5)))^Config!$B$13)</f>
        <v>0.979736880393025</v>
      </c>
      <c r="BA5" s="17" t="n">
        <f aca="false">IF(V5="","",V5*$AV5)</f>
        <v>14.1234746363686</v>
      </c>
      <c r="BB5" s="17" t="n">
        <f aca="false">IF(AC5="","",AC5*$AX5)</f>
        <v>15.4061531558801</v>
      </c>
      <c r="BC5" s="17" t="n">
        <f aca="false">IF(AJ5="","",AJ5*$AZ5)</f>
        <v>16.3248657695488</v>
      </c>
      <c r="BD5" s="17" t="n">
        <f aca="false">N(BA5)+N(BB5)</f>
        <v>29.5296277922487</v>
      </c>
      <c r="BE5" s="17" t="n">
        <f aca="false">BD5+N($M5)*N(BC5)</f>
        <v>37.3067938448618</v>
      </c>
      <c r="BF5" s="17" t="n">
        <f aca="false">IF(W5="","",W5*$AV5)</f>
        <v>5.57877248136559</v>
      </c>
      <c r="BG5" s="17" t="n">
        <f aca="false">IF(AD5="","",AD5*$AX5)</f>
        <v>5.16748053770146</v>
      </c>
      <c r="BH5" s="17" t="n">
        <f aca="false">IF(AK5="","",AK5*$AZ5)</f>
        <v>5.95041357300053</v>
      </c>
      <c r="BI5" s="17" t="n">
        <f aca="false">IF(BF5="","",N(BF5)+N(BG5))</f>
        <v>10.746253019067</v>
      </c>
      <c r="BJ5" s="17" t="n">
        <f aca="false">IF(BI5="","",BI5+N($M5)*N(BH5))</f>
        <v>13.5810300452445</v>
      </c>
      <c r="BK5" s="13" t="n">
        <f aca="false">IFERROR(BD5/AL5,1)</f>
        <v>0.962019967424546</v>
      </c>
    </row>
    <row r="6" customFormat="false" ht="15" hidden="false" customHeight="false" outlineLevel="0" collapsed="false">
      <c r="A6" s="0" t="s">
        <v>656</v>
      </c>
      <c r="B6" s="0" t="s">
        <v>568</v>
      </c>
      <c r="C6" s="0" t="s">
        <v>576</v>
      </c>
      <c r="D6" s="0" t="s">
        <v>581</v>
      </c>
      <c r="E6" s="0" t="s">
        <v>654</v>
      </c>
      <c r="F6" s="0" t="s">
        <v>790</v>
      </c>
      <c r="G6" s="0" t="str">
        <f aca="false">IFERROR(IF(INDEX(Matches!$W$5:$W$10,MATCH($C6,Matches!$A$5:$A$10,0))="","",INDEX(Matches!$W$5:$W$10,MATCH($C6,Matches!$A$5:$A$10,0))),"")</f>
        <v>Mirage</v>
      </c>
      <c r="H6" s="0" t="str">
        <f aca="false">IFERROR(IF(INDEX(Matches!$X$5:$X$10,MATCH($C6,Matches!$A$5:$A$10,0))="","",INDEX(Matches!$X$5:$X$10,MATCH($C6,Matches!$A$5:$A$10,0))),"")</f>
        <v>Cache</v>
      </c>
      <c r="I6" s="0" t="str">
        <f aca="false">IFERROR(IF(INDEX(Matches!$Y$5:$Y$10,MATCH($C6,Matches!$A$5:$A$10,0))="","",INDEX(Matches!$Y$5:$Y$10,MATCH($C6,Matches!$A$5:$A$10,0))),"")</f>
        <v>Dust2</v>
      </c>
      <c r="J6" s="11" t="n">
        <f aca="false">IFERROR(IF(INDEX(Matches!$Z$5:$Z$10,MATCH($C6,Matches!$A$5:$A$10,0))="","",INDEX(Matches!$Z$5:$Z$10,MATCH($C6,Matches!$A$5:$A$10,0))),"")</f>
        <v>21.26</v>
      </c>
      <c r="K6" s="11" t="n">
        <f aca="false">IFERROR(IF(INDEX(Matches!$AA$5:$AA$10,MATCH($C6,Matches!$A$5:$A$10,0))="","",INDEX(Matches!$AA$5:$AA$10,MATCH($C6,Matches!$A$5:$A$10,0))),"")</f>
        <v>21.25</v>
      </c>
      <c r="L6" s="11" t="n">
        <f aca="false">IFERROR(IF(INDEX(Matches!$AB$5:$AB$10,MATCH($C6,Matches!$A$5:$A$10,0))="","",INDEX(Matches!$AB$5:$AB$10,MATCH($C6,Matches!$A$5:$A$10,0))),"")</f>
        <v>21.5</v>
      </c>
      <c r="M6" s="10" t="n">
        <f aca="false">IFERROR(IF(INDEX(Matches!$AC$5:$AC$10,MATCH($C6,Matches!$A$5:$A$10,0))="","",INDEX(Matches!$AC$5:$AC$10,MATCH($C6,Matches!$A$5:$A$10,0))),"")</f>
        <v>0.4764</v>
      </c>
      <c r="N6" s="9" t="n">
        <f aca="false">IFERROR(INDEX(Players!$F$2:$F$42,MATCH($F6,Players!$A$2:$A$42,0)),0)</f>
        <v>29</v>
      </c>
      <c r="O6" s="13" t="n">
        <f aca="false">IFERROR(1/(1/INDEX(Players!$H$2:$H$42,MATCH($F6,Players!$A$2:$A$42,0))),"")</f>
        <v>0.75</v>
      </c>
      <c r="P6" s="10" t="n">
        <f aca="false">IFERROR(1/(1/INDEX(Players!$I$2:$I$42,MATCH($F6,Players!$A$2:$A$42,0))),"")</f>
        <v>0.604</v>
      </c>
      <c r="Q6" s="9" t="n">
        <f aca="false">IF($G6="",0,SUMIFS(Map_Stats!$F$2:$F$256,Map_Stats!$A$2:$A$256,$F6&amp;"|"&amp;$G6))</f>
        <v>5</v>
      </c>
      <c r="R6" s="13" t="n">
        <f aca="false">IF($G6="","",IFERROR(1/(1/INDEX(Map_Stats!$K$2:$K$256,MATCH($F6&amp;"|"&amp;$G6,Map_Stats!$A$2:$A$256,0))),$O6))</f>
        <v>0.72</v>
      </c>
      <c r="S6" s="10" t="n">
        <f aca="false">IF(OR($G6="",$P6=""),"",IFERROR(1/(1/INDEX(Map_Stats!$I$2:$I$256,MATCH($F6&amp;"|"&amp;$G6,Map_Stats!$A$2:$A$256,0))),$P6))</f>
        <v>0.582</v>
      </c>
      <c r="T6" s="13" t="n">
        <f aca="false">IF(OR($G6="",R6=""),"",IF($O6="",R6,(Q6*R6+Config!$B$4*$O6)/(Q6+Config!$B$4)))</f>
        <v>0.735</v>
      </c>
      <c r="U6" s="10" t="n">
        <f aca="false">IF(S6="","",(Q6*S6+Config!$B$4*$P6)/(Q6+Config!$B$4))</f>
        <v>0.593</v>
      </c>
      <c r="V6" s="17" t="n">
        <f aca="false">IF(OR(T6="",$J6=""),"",T6*$J6*($J6/Config!$B$10)^Config!$B$9)</f>
        <v>15.6261</v>
      </c>
      <c r="W6" s="17" t="n">
        <f aca="false">IF(OR(V6="",U6=""),"",V6*U6)</f>
        <v>9.2662773</v>
      </c>
      <c r="X6" s="9" t="n">
        <f aca="false">IF($H6="",0,SUMIFS(Map_Stats!$F$2:$F$256,Map_Stats!$A$2:$A$256,$F6&amp;"|"&amp;$H6))</f>
        <v>7</v>
      </c>
      <c r="Y6" s="13" t="n">
        <f aca="false">IF($H6="","",IFERROR(1/(1/INDEX(Map_Stats!$K$2:$K$256,MATCH($F6&amp;"|"&amp;$H6,Map_Stats!$A$2:$A$256,0))),$O6))</f>
        <v>0.8</v>
      </c>
      <c r="Z6" s="10" t="n">
        <f aca="false">IF(OR($H6="",$P6=""),"",IFERROR(1/(1/INDEX(Map_Stats!$I$2:$I$256,MATCH($F6&amp;"|"&amp;$H6,Map_Stats!$A$2:$A$256,0))),$P6))</f>
        <v>0.596</v>
      </c>
      <c r="AA6" s="13" t="n">
        <f aca="false">IF(OR($H6="",Y6=""),"",IF($O6="",Y6,(X6*Y6+Config!$B$4*$O6)/(X6+Config!$B$4)))</f>
        <v>0.779166666666667</v>
      </c>
      <c r="AB6" s="10" t="n">
        <f aca="false">IF(Z6="","",(X6*Z6+Config!$B$4*$P6)/(X6+Config!$B$4))</f>
        <v>0.599333333333333</v>
      </c>
      <c r="AC6" s="17" t="n">
        <f aca="false">IF(OR(AA6="",$K6=""),"",AA6*$K6*($K6/Config!$B$10)^Config!$B$9)</f>
        <v>16.5572916666667</v>
      </c>
      <c r="AD6" s="17" t="n">
        <f aca="false">IF(OR(AC6="",AB6=""),"",AC6*AB6)</f>
        <v>9.92333680555556</v>
      </c>
      <c r="AE6" s="9" t="n">
        <f aca="false">IF($I6="",0,SUMIFS(Map_Stats!$F$2:$F$256,Map_Stats!$A$2:$A$256,$F6&amp;"|"&amp;$I6))</f>
        <v>5</v>
      </c>
      <c r="AF6" s="13" t="n">
        <f aca="false">IF($I6="","",IFERROR(1/(1/INDEX(Map_Stats!$K$2:$K$256,MATCH($F6&amp;"|"&amp;$I6,Map_Stats!$A$2:$A$256,0))),$O6))</f>
        <v>0.94</v>
      </c>
      <c r="AG6" s="10" t="n">
        <f aca="false">IF(OR($I6="",$P6=""),"",IFERROR(1/(1/INDEX(Map_Stats!$I$2:$I$256,MATCH($F6&amp;"|"&amp;$I6,Map_Stats!$A$2:$A$256,0))),$P6))</f>
        <v>0.473</v>
      </c>
      <c r="AH6" s="13" t="n">
        <f aca="false">IF(OR($I6="",AF6=""),"",IF($O6="",AF6,(AE6*AF6+Config!$B$4*$O6)/(AE6+Config!$B$4)))</f>
        <v>0.845</v>
      </c>
      <c r="AI6" s="10" t="n">
        <f aca="false">IF(AG6="","",(AE6*AG6+Config!$B$4*$P6)/(AE6+Config!$B$4))</f>
        <v>0.5385</v>
      </c>
      <c r="AJ6" s="17" t="n">
        <f aca="false">IF(OR(AH6="",$L6=""),"",AH6*$L6*($L6/Config!$B$10)^Config!$B$9)</f>
        <v>18.1675</v>
      </c>
      <c r="AK6" s="17" t="n">
        <f aca="false">IF(OR(AJ6="",AI6=""),"",AJ6*AI6)</f>
        <v>9.78319875</v>
      </c>
      <c r="AL6" s="17" t="n">
        <f aca="false">N(V6)+N(AC6)</f>
        <v>32.1833916666667</v>
      </c>
      <c r="AM6" s="17" t="n">
        <f aca="false">AL6+N($M6)*N(AJ6)</f>
        <v>40.8383886666667</v>
      </c>
      <c r="AN6" s="17" t="n">
        <f aca="false">IF(W6="","",N(W6)+N(AD6))</f>
        <v>19.1896141055556</v>
      </c>
      <c r="AO6" s="17" t="n">
        <f aca="false">IF(AN6="","",AN6+N($M6)*N(AK6))</f>
        <v>23.8503299900556</v>
      </c>
      <c r="AP6" s="10" t="n">
        <f aca="false">IFERROR(AN6/AL6,"")</f>
        <v>0.596258290745373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IF($C6=Board!$B$2,COUNTIFS($C$2:$C$42,Board!$B$2,$AL$2:$AL$42,"&gt;"&amp;$AL6)+COUNTIFS($C$1:$C5,Board!$B$2,$AL$1:$AL5,$AL6)+1,"")</f>
        <v/>
      </c>
      <c r="AS6" s="0" t="str">
        <f aca="false">IFERROR(IF($D6=INDEX(Matches!$AD$5:$AD$10,MATCH($C6,Matches!$A$5:$A$10,0)),"A",IF($D6=INDEX(Matches!$AE$5:$AE$10,MATCH($C6,Matches!$A$5:$A$10,0)),"B","")),"")</f>
        <v>A</v>
      </c>
      <c r="AT6" s="10" t="n">
        <f aca="false">IF($AS6="","",IFERROR(IF($AS6="A",INDEX(Matches!$AI$5:$AI$10,MATCH($C6,Matches!$A$5:$A$10,0)),INDEX(Matches!$AJ$5:$AJ$10,MATCH($C6,Matches!$A$5:$A$10,0))),""))</f>
        <v>0.552983084096429</v>
      </c>
      <c r="AU6" s="10" t="n">
        <f aca="false">IF($AS6="","",IFERROR(IF(INDEX(Matches!$AP$5:$AP$10,MATCH($C6,Matches!$A$5:$A$10,0))="","",IF($AS6="A",INDEX(Matches!$AP$5:$AP$10,MATCH($C6,Matches!$A$5:$A$10,0)),1-INDEX(Matches!$AP$5:$AP$10,MATCH($C6,Matches!$A$5:$A$10,0)))),""))</f>
        <v>0.509365670446171</v>
      </c>
      <c r="AV6" s="13" t="n">
        <f aca="false">IF(OR($AU6="",$AT6=""),1,((Config!$B$14*$AU6+Config!$B$15*(1-$AU6))/(Config!$B$14*$AT6+Config!$B$15*(1-$AT6)))^Config!$B$13)</f>
        <v>0.962784751685044</v>
      </c>
      <c r="AW6" s="10" t="n">
        <f aca="false">IF($AS6="","",IFERROR(IF(INDEX(Matches!$AV$5:$AV$10,MATCH($C6,Matches!$A$5:$A$10,0))="","",IF($AS6="A",INDEX(Matches!$AV$5:$AV$10,MATCH($C6,Matches!$A$5:$A$10,0)),1-INDEX(Matches!$AV$5:$AV$10,MATCH($C6,Matches!$A$5:$A$10,0)))),""))</f>
        <v>0.507648847341061</v>
      </c>
      <c r="AX6" s="13" t="n">
        <f aca="false">IF(OR($AW6="",$AT6=""),1,((Config!$B$14*$AW6+Config!$B$15*(1-$AW6))/(Config!$B$14*$AT6+Config!$B$15*(1-$AT6)))^Config!$B$13)</f>
        <v>0.961319923928822</v>
      </c>
      <c r="AY6" s="10" t="n">
        <f aca="false">IF($AS6="","",IFERROR(IF(INDEX(Matches!$BB$5:$BB$10,MATCH($C6,Matches!$A$5:$A$10,0))="","",IF($AS6="A",INDEX(Matches!$BB$5:$BB$10,MATCH($C6,Matches!$A$5:$A$10,0)),1-INDEX(Matches!$BB$5:$BB$10,MATCH($C6,Matches!$A$5:$A$10,0)))),""))</f>
        <v>0.529234085775574</v>
      </c>
      <c r="AZ6" s="13" t="n">
        <f aca="false">IF(OR($AY6="",$AT6=""),1,((Config!$B$14*$AY6+Config!$B$15*(1-$AY6))/(Config!$B$14*$AT6+Config!$B$15*(1-$AT6)))^Config!$B$13)</f>
        <v>0.979736880393025</v>
      </c>
      <c r="BA6" s="17" t="n">
        <f aca="false">IF(V6="","",V6*$AV6)</f>
        <v>15.0445708083057</v>
      </c>
      <c r="BB6" s="17" t="n">
        <f aca="false">IF(AC6="","",AC6*$AX6)</f>
        <v>15.9168543654673</v>
      </c>
      <c r="BC6" s="17" t="n">
        <f aca="false">IF(AJ6="","",AJ6*$AZ6)</f>
        <v>17.7993697745403</v>
      </c>
      <c r="BD6" s="17" t="n">
        <f aca="false">N(BA6)+N(BB6)</f>
        <v>30.961425173773</v>
      </c>
      <c r="BE6" s="17" t="n">
        <f aca="false">BD6+N($M6)*N(BC6)</f>
        <v>39.441044934364</v>
      </c>
      <c r="BF6" s="17" t="n">
        <f aca="false">IF(W6="","",W6*$AV6)</f>
        <v>8.92143048932526</v>
      </c>
      <c r="BG6" s="17" t="n">
        <f aca="false">IF(AD6="","",AD6*$AX6)</f>
        <v>9.53950138303675</v>
      </c>
      <c r="BH6" s="17" t="n">
        <f aca="false">IF(AK6="","",AK6*$AZ6)</f>
        <v>9.58496062358995</v>
      </c>
      <c r="BI6" s="17" t="n">
        <f aca="false">IF(BF6="","",N(BF6)+N(BG6))</f>
        <v>18.460931872362</v>
      </c>
      <c r="BJ6" s="17" t="n">
        <f aca="false">IF(BI6="","",BI6+N($M6)*N(BH6))</f>
        <v>23.0272071134403</v>
      </c>
      <c r="BK6" s="13" t="n">
        <f aca="false">IFERROR(BD6/AL6,1)</f>
        <v>0.962031146202676</v>
      </c>
    </row>
    <row r="7" customFormat="false" ht="15" hidden="false" customHeight="false" outlineLevel="0" collapsed="false">
      <c r="A7" s="0" t="s">
        <v>659</v>
      </c>
      <c r="B7" s="0" t="s">
        <v>568</v>
      </c>
      <c r="C7" s="0" t="s">
        <v>576</v>
      </c>
      <c r="D7" s="0" t="s">
        <v>582</v>
      </c>
      <c r="E7" s="0" t="s">
        <v>657</v>
      </c>
      <c r="F7" s="0" t="s">
        <v>791</v>
      </c>
      <c r="G7" s="0" t="str">
        <f aca="false">IFERROR(IF(INDEX(Matches!$W$5:$W$10,MATCH($C7,Matches!$A$5:$A$10,0))="","",INDEX(Matches!$W$5:$W$10,MATCH($C7,Matches!$A$5:$A$10,0))),"")</f>
        <v>Mirage</v>
      </c>
      <c r="H7" s="0" t="str">
        <f aca="false">IFERROR(IF(INDEX(Matches!$X$5:$X$10,MATCH($C7,Matches!$A$5:$A$10,0))="","",INDEX(Matches!$X$5:$X$10,MATCH($C7,Matches!$A$5:$A$10,0))),"")</f>
        <v>Cache</v>
      </c>
      <c r="I7" s="0" t="str">
        <f aca="false">IFERROR(IF(INDEX(Matches!$Y$5:$Y$10,MATCH($C7,Matches!$A$5:$A$10,0))="","",INDEX(Matches!$Y$5:$Y$10,MATCH($C7,Matches!$A$5:$A$10,0))),"")</f>
        <v>Dust2</v>
      </c>
      <c r="J7" s="11" t="n">
        <f aca="false">IFERROR(IF(INDEX(Matches!$Z$5:$Z$10,MATCH($C7,Matches!$A$5:$A$10,0))="","",INDEX(Matches!$Z$5:$Z$10,MATCH($C7,Matches!$A$5:$A$10,0))),"")</f>
        <v>21.26</v>
      </c>
      <c r="K7" s="11" t="n">
        <f aca="false">IFERROR(IF(INDEX(Matches!$AA$5:$AA$10,MATCH($C7,Matches!$A$5:$A$10,0))="","",INDEX(Matches!$AA$5:$AA$10,MATCH($C7,Matches!$A$5:$A$10,0))),"")</f>
        <v>21.25</v>
      </c>
      <c r="L7" s="11" t="n">
        <f aca="false">IFERROR(IF(INDEX(Matches!$AB$5:$AB$10,MATCH($C7,Matches!$A$5:$A$10,0))="","",INDEX(Matches!$AB$5:$AB$10,MATCH($C7,Matches!$A$5:$A$10,0))),"")</f>
        <v>21.5</v>
      </c>
      <c r="M7" s="10" t="n">
        <f aca="false">IFERROR(IF(INDEX(Matches!$AC$5:$AC$10,MATCH($C7,Matches!$A$5:$A$10,0))="","",INDEX(Matches!$AC$5:$AC$10,MATCH($C7,Matches!$A$5:$A$10,0))),"")</f>
        <v>0.4764</v>
      </c>
      <c r="N7" s="9" t="n">
        <f aca="false">IFERROR(INDEX(Players!$F$2:$F$42,MATCH($F7,Players!$A$2:$A$42,0)),0)</f>
        <v>37</v>
      </c>
      <c r="O7" s="13" t="n">
        <f aca="false">IFERROR(1/(1/INDEX(Players!$H$2:$H$42,MATCH($F7,Players!$A$2:$A$42,0))),"")</f>
        <v>0.67</v>
      </c>
      <c r="P7" s="10" t="n">
        <f aca="false">IFERROR(1/(1/INDEX(Players!$I$2:$I$42,MATCH($F7,Players!$A$2:$A$42,0))),"")</f>
        <v>0.478</v>
      </c>
      <c r="Q7" s="9" t="n">
        <f aca="false">IF($G7="",0,SUMIFS(Map_Stats!$F$2:$F$256,Map_Stats!$A$2:$A$256,$F7&amp;"|"&amp;$G7))</f>
        <v>6</v>
      </c>
      <c r="R7" s="13" t="n">
        <f aca="false">IF($G7="","",IFERROR(1/(1/INDEX(Map_Stats!$K$2:$K$256,MATCH($F7&amp;"|"&amp;$G7,Map_Stats!$A$2:$A$256,0))),$O7))</f>
        <v>0.6</v>
      </c>
      <c r="S7" s="10" t="n">
        <f aca="false">IF(OR($G7="",$P7=""),"",IFERROR(1/(1/INDEX(Map_Stats!$I$2:$I$256,MATCH($F7&amp;"|"&amp;$G7,Map_Stats!$A$2:$A$256,0))),$P7))</f>
        <v>0.381</v>
      </c>
      <c r="T7" s="13" t="n">
        <f aca="false">IF(OR($G7="",R7=""),"",IF($O7="",R7,(Q7*R7+Config!$B$4*$O7)/(Q7+Config!$B$4)))</f>
        <v>0.631818181818182</v>
      </c>
      <c r="U7" s="10" t="n">
        <f aca="false">IF(S7="","",(Q7*S7+Config!$B$4*$P7)/(Q7+Config!$B$4))</f>
        <v>0.425090909090909</v>
      </c>
      <c r="V7" s="17" t="n">
        <f aca="false">IF(OR(T7="",$J7=""),"",T7*$J7*($J7/Config!$B$10)^Config!$B$9)</f>
        <v>13.4324545454545</v>
      </c>
      <c r="W7" s="17" t="n">
        <f aca="false">IF(OR(V7="",U7=""),"",V7*U7)</f>
        <v>5.71001431404959</v>
      </c>
      <c r="X7" s="9" t="n">
        <f aca="false">IF($H7="",0,SUMIFS(Map_Stats!$F$2:$F$256,Map_Stats!$A$2:$A$256,$F7&amp;"|"&amp;$H7))</f>
        <v>6</v>
      </c>
      <c r="Y7" s="13" t="n">
        <f aca="false">IF($H7="","",IFERROR(1/(1/INDEX(Map_Stats!$K$2:$K$256,MATCH($F7&amp;"|"&amp;$H7,Map_Stats!$A$2:$A$256,0))),$O7))</f>
        <v>0.62</v>
      </c>
      <c r="Z7" s="10" t="n">
        <f aca="false">IF(OR($H7="",$P7=""),"",IFERROR(1/(1/INDEX(Map_Stats!$I$2:$I$256,MATCH($F7&amp;"|"&amp;$H7,Map_Stats!$A$2:$A$256,0))),$P7))</f>
        <v>0.489</v>
      </c>
      <c r="AA7" s="13" t="n">
        <f aca="false">IF(OR($H7="",Y7=""),"",IF($O7="",Y7,(X7*Y7+Config!$B$4*$O7)/(X7+Config!$B$4)))</f>
        <v>0.642727272727273</v>
      </c>
      <c r="AB7" s="10" t="n">
        <f aca="false">IF(Z7="","",(X7*Z7+Config!$B$4*$P7)/(X7+Config!$B$4))</f>
        <v>0.484</v>
      </c>
      <c r="AC7" s="17" t="n">
        <f aca="false">IF(OR(AA7="",$K7=""),"",AA7*$K7*($K7/Config!$B$10)^Config!$B$9)</f>
        <v>13.6579545454545</v>
      </c>
      <c r="AD7" s="17" t="n">
        <f aca="false">IF(OR(AC7="",AB7=""),"",AC7*AB7)</f>
        <v>6.61045</v>
      </c>
      <c r="AE7" s="9" t="n">
        <f aca="false">IF($I7="",0,SUMIFS(Map_Stats!$F$2:$F$256,Map_Stats!$A$2:$A$256,$F7&amp;"|"&amp;$I7))</f>
        <v>6</v>
      </c>
      <c r="AF7" s="13" t="n">
        <f aca="false">IF($I7="","",IFERROR(1/(1/INDEX(Map_Stats!$K$2:$K$256,MATCH($F7&amp;"|"&amp;$I7,Map_Stats!$A$2:$A$256,0))),$O7))</f>
        <v>0.79</v>
      </c>
      <c r="AG7" s="10" t="n">
        <f aca="false">IF(OR($I7="",$P7=""),"",IFERROR(1/(1/INDEX(Map_Stats!$I$2:$I$256,MATCH($F7&amp;"|"&amp;$I7,Map_Stats!$A$2:$A$256,0))),$P7))</f>
        <v>0.5</v>
      </c>
      <c r="AH7" s="13" t="n">
        <f aca="false">IF(OR($I7="",AF7=""),"",IF($O7="",AF7,(AE7*AF7+Config!$B$4*$O7)/(AE7+Config!$B$4)))</f>
        <v>0.735454545454546</v>
      </c>
      <c r="AI7" s="10" t="n">
        <f aca="false">IF(AG7="","",(AE7*AG7+Config!$B$4*$P7)/(AE7+Config!$B$4))</f>
        <v>0.49</v>
      </c>
      <c r="AJ7" s="17" t="n">
        <f aca="false">IF(OR(AH7="",$L7=""),"",AH7*$L7*($L7/Config!$B$10)^Config!$B$9)</f>
        <v>15.8122727272727</v>
      </c>
      <c r="AK7" s="17" t="n">
        <f aca="false">IF(OR(AJ7="",AI7=""),"",AJ7*AI7)</f>
        <v>7.74801363636364</v>
      </c>
      <c r="AL7" s="17" t="n">
        <f aca="false">N(V7)+N(AC7)</f>
        <v>27.0904090909091</v>
      </c>
      <c r="AM7" s="17" t="n">
        <f aca="false">AL7+N($M7)*N(AJ7)</f>
        <v>34.6233758181818</v>
      </c>
      <c r="AN7" s="17" t="n">
        <f aca="false">IF(W7="","",N(W7)+N(AD7))</f>
        <v>12.3204643140496</v>
      </c>
      <c r="AO7" s="17" t="n">
        <f aca="false">IF(AN7="","",AN7+N($M7)*N(AK7))</f>
        <v>16.0116180104132</v>
      </c>
      <c r="AP7" s="10" t="n">
        <f aca="false">IFERROR(AN7/AL7,"")</f>
        <v>0.454790633567215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IF($C7=Board!$B$2,COUNTIFS($C$2:$C$42,Board!$B$2,$AL$2:$AL$42,"&gt;"&amp;$AL7)+COUNTIFS($C$1:$C6,Board!$B$2,$AL$1:$AL6,$AL7)+1,"")</f>
        <v/>
      </c>
      <c r="AS7" s="0" t="str">
        <f aca="false">IFERROR(IF($D7=INDEX(Matches!$AD$5:$AD$10,MATCH($C7,Matches!$A$5:$A$10,0)),"A",IF($D7=INDEX(Matches!$AE$5:$AE$10,MATCH($C7,Matches!$A$5:$A$10,0)),"B","")),"")</f>
        <v>B</v>
      </c>
      <c r="AT7" s="10" t="n">
        <f aca="false">IF($AS7="","",IFERROR(IF($AS7="A",INDEX(Matches!$AI$5:$AI$10,MATCH($C7,Matches!$A$5:$A$10,0)),INDEX(Matches!$AJ$5:$AJ$10,MATCH($C7,Matches!$A$5:$A$10,0))),""))</f>
        <v>0.524404588360737</v>
      </c>
      <c r="AU7" s="10" t="n">
        <f aca="false">IF($AS7="","",IFERROR(IF(INDEX(Matches!$AP$5:$AP$10,MATCH($C7,Matches!$A$5:$A$10,0))="","",IF($AS7="A",INDEX(Matches!$AP$5:$AP$10,MATCH($C7,Matches!$A$5:$A$10,0)),1-INDEX(Matches!$AP$5:$AP$10,MATCH($C7,Matches!$A$5:$A$10,0)))),""))</f>
        <v>0.490634329553829</v>
      </c>
      <c r="AV7" s="13" t="n">
        <f aca="false">IF(OR($AU7="",$AT7=""),1,((Config!$B$14*$AU7+Config!$B$15*(1-$AU7))/(Config!$B$14*$AT7+Config!$B$15*(1-$AT7)))^Config!$B$13)</f>
        <v>0.970466401141987</v>
      </c>
      <c r="AW7" s="10" t="n">
        <f aca="false">IF($AS7="","",IFERROR(IF(INDEX(Matches!$AV$5:$AV$10,MATCH($C7,Matches!$A$5:$A$10,0))="","",IF($AS7="A",INDEX(Matches!$AV$5:$AV$10,MATCH($C7,Matches!$A$5:$A$10,0)),1-INDEX(Matches!$AV$5:$AV$10,MATCH($C7,Matches!$A$5:$A$10,0)))),""))</f>
        <v>0.492351152658939</v>
      </c>
      <c r="AX7" s="13" t="n">
        <f aca="false">IF(OR($AW7="",$AT7=""),1,((Config!$B$14*$AW7+Config!$B$15*(1-$AW7))/(Config!$B$14*$AT7+Config!$B$15*(1-$AT7)))^Config!$B$13)</f>
        <v>0.971967839587763</v>
      </c>
      <c r="AY7" s="10" t="n">
        <f aca="false">IF($AS7="","",IFERROR(IF(INDEX(Matches!$BB$5:$BB$10,MATCH($C7,Matches!$A$5:$A$10,0))="","",IF($AS7="A",INDEX(Matches!$BB$5:$BB$10,MATCH($C7,Matches!$A$5:$A$10,0)),1-INDEX(Matches!$BB$5:$BB$10,MATCH($C7,Matches!$A$5:$A$10,0)))),""))</f>
        <v>0.470765914224426</v>
      </c>
      <c r="AZ7" s="13" t="n">
        <f aca="false">IF(OR($AY7="",$AT7=""),1,((Config!$B$14*$AY7+Config!$B$15*(1-$AY7))/(Config!$B$14*$AT7+Config!$B$15*(1-$AT7)))^Config!$B$13)</f>
        <v>0.953090584994467</v>
      </c>
      <c r="BA7" s="17" t="n">
        <f aca="false">IF(V7="","",V7*$AV7)</f>
        <v>13.0357458212306</v>
      </c>
      <c r="BB7" s="17" t="n">
        <f aca="false">IF(AC7="","",AC7*$AX7)</f>
        <v>13.2750925727333</v>
      </c>
      <c r="BC7" s="17" t="n">
        <f aca="false">IF(AJ7="","",AJ7*$AZ7)</f>
        <v>15.0705282637284</v>
      </c>
      <c r="BD7" s="17" t="n">
        <f aca="false">N(BA7)+N(BB7)</f>
        <v>26.3108383939639</v>
      </c>
      <c r="BE7" s="17" t="n">
        <f aca="false">BD7+N($M7)*N(BC7)</f>
        <v>33.4904380588041</v>
      </c>
      <c r="BF7" s="17" t="n">
        <f aca="false">IF(W7="","",W7*$AV7)</f>
        <v>5.54137704182493</v>
      </c>
      <c r="BG7" s="17" t="n">
        <f aca="false">IF(AD7="","",AD7*$AX7)</f>
        <v>6.42514480520293</v>
      </c>
      <c r="BH7" s="17" t="n">
        <f aca="false">IF(AK7="","",AK7*$AZ7)</f>
        <v>7.38455884922693</v>
      </c>
      <c r="BI7" s="17" t="n">
        <f aca="false">IF(BF7="","",N(BF7)+N(BG7))</f>
        <v>11.9665218470279</v>
      </c>
      <c r="BJ7" s="17" t="n">
        <f aca="false">IF(BI7="","",BI7+N($M7)*N(BH7))</f>
        <v>15.4845256827996</v>
      </c>
      <c r="BK7" s="13" t="n">
        <f aca="false">IFERROR(BD7/AL7,1)</f>
        <v>0.971223369336022</v>
      </c>
    </row>
    <row r="8" customFormat="false" ht="15" hidden="false" customHeight="false" outlineLevel="0" collapsed="false">
      <c r="A8" s="0" t="s">
        <v>662</v>
      </c>
      <c r="B8" s="0" t="s">
        <v>568</v>
      </c>
      <c r="C8" s="0" t="s">
        <v>576</v>
      </c>
      <c r="D8" s="0" t="s">
        <v>582</v>
      </c>
      <c r="E8" s="0" t="s">
        <v>661</v>
      </c>
      <c r="F8" s="0" t="s">
        <v>792</v>
      </c>
      <c r="G8" s="0" t="str">
        <f aca="false">IFERROR(IF(INDEX(Matches!$W$5:$W$10,MATCH($C8,Matches!$A$5:$A$10,0))="","",INDEX(Matches!$W$5:$W$10,MATCH($C8,Matches!$A$5:$A$10,0))),"")</f>
        <v>Mirage</v>
      </c>
      <c r="H8" s="0" t="str">
        <f aca="false">IFERROR(IF(INDEX(Matches!$X$5:$X$10,MATCH($C8,Matches!$A$5:$A$10,0))="","",INDEX(Matches!$X$5:$X$10,MATCH($C8,Matches!$A$5:$A$10,0))),"")</f>
        <v>Cache</v>
      </c>
      <c r="I8" s="0" t="str">
        <f aca="false">IFERROR(IF(INDEX(Matches!$Y$5:$Y$10,MATCH($C8,Matches!$A$5:$A$10,0))="","",INDEX(Matches!$Y$5:$Y$10,MATCH($C8,Matches!$A$5:$A$10,0))),"")</f>
        <v>Dust2</v>
      </c>
      <c r="J8" s="11" t="n">
        <f aca="false">IFERROR(IF(INDEX(Matches!$Z$5:$Z$10,MATCH($C8,Matches!$A$5:$A$10,0))="","",INDEX(Matches!$Z$5:$Z$10,MATCH($C8,Matches!$A$5:$A$10,0))),"")</f>
        <v>21.26</v>
      </c>
      <c r="K8" s="11" t="n">
        <f aca="false">IFERROR(IF(INDEX(Matches!$AA$5:$AA$10,MATCH($C8,Matches!$A$5:$A$10,0))="","",INDEX(Matches!$AA$5:$AA$10,MATCH($C8,Matches!$A$5:$A$10,0))),"")</f>
        <v>21.25</v>
      </c>
      <c r="L8" s="11" t="n">
        <f aca="false">IFERROR(IF(INDEX(Matches!$AB$5:$AB$10,MATCH($C8,Matches!$A$5:$A$10,0))="","",INDEX(Matches!$AB$5:$AB$10,MATCH($C8,Matches!$A$5:$A$10,0))),"")</f>
        <v>21.5</v>
      </c>
      <c r="M8" s="10" t="n">
        <f aca="false">IFERROR(IF(INDEX(Matches!$AC$5:$AC$10,MATCH($C8,Matches!$A$5:$A$10,0))="","",INDEX(Matches!$AC$5:$AC$10,MATCH($C8,Matches!$A$5:$A$10,0))),"")</f>
        <v>0.4764</v>
      </c>
      <c r="N8" s="9" t="n">
        <f aca="false">IFERROR(INDEX(Players!$F$2:$F$42,MATCH($F8,Players!$A$2:$A$42,0)),0)</f>
        <v>37</v>
      </c>
      <c r="O8" s="13" t="n">
        <f aca="false">IFERROR(1/(1/INDEX(Players!$H$2:$H$42,MATCH($F8,Players!$A$2:$A$42,0))),"")</f>
        <v>0.69</v>
      </c>
      <c r="P8" s="10" t="n">
        <f aca="false">IFERROR(1/(1/INDEX(Players!$I$2:$I$42,MATCH($F8,Players!$A$2:$A$42,0))),"")</f>
        <v>0.381</v>
      </c>
      <c r="Q8" s="9" t="n">
        <f aca="false">IF($G8="",0,SUMIFS(Map_Stats!$F$2:$F$256,Map_Stats!$A$2:$A$256,$F8&amp;"|"&amp;$G8))</f>
        <v>6</v>
      </c>
      <c r="R8" s="13" t="n">
        <f aca="false">IF($G8="","",IFERROR(1/(1/INDEX(Map_Stats!$K$2:$K$256,MATCH($F8&amp;"|"&amp;$G8,Map_Stats!$A$2:$A$256,0))),$O8))</f>
        <v>0.55</v>
      </c>
      <c r="S8" s="10" t="n">
        <f aca="false">IF(OR($G8="",$P8=""),"",IFERROR(1/(1/INDEX(Map_Stats!$I$2:$I$256,MATCH($F8&amp;"|"&amp;$G8,Map_Stats!$A$2:$A$256,0))),$P8))</f>
        <v>0.382</v>
      </c>
      <c r="T8" s="13" t="n">
        <f aca="false">IF(OR($G8="",R8=""),"",IF($O8="",R8,(Q8*R8+Config!$B$4*$O8)/(Q8+Config!$B$4)))</f>
        <v>0.613636363636364</v>
      </c>
      <c r="U8" s="10" t="n">
        <f aca="false">IF(S8="","",(Q8*S8+Config!$B$4*$P8)/(Q8+Config!$B$4))</f>
        <v>0.381545454545455</v>
      </c>
      <c r="V8" s="17" t="n">
        <f aca="false">IF(OR(T8="",$J8=""),"",T8*$J8*($J8/Config!$B$10)^Config!$B$9)</f>
        <v>13.0459090909091</v>
      </c>
      <c r="W8" s="17" t="n">
        <f aca="false">IF(OR(V8="",U8=""),"",V8*U8)</f>
        <v>4.97760731404959</v>
      </c>
      <c r="X8" s="9" t="n">
        <f aca="false">IF($H8="",0,SUMIFS(Map_Stats!$F$2:$F$256,Map_Stats!$A$2:$A$256,$F8&amp;"|"&amp;$H8))</f>
        <v>6</v>
      </c>
      <c r="Y8" s="13" t="n">
        <f aca="false">IF($H8="","",IFERROR(1/(1/INDEX(Map_Stats!$K$2:$K$256,MATCH($F8&amp;"|"&amp;$H8,Map_Stats!$A$2:$A$256,0))),$O8))</f>
        <v>0.8</v>
      </c>
      <c r="Z8" s="10" t="n">
        <f aca="false">IF(OR($H8="",$P8=""),"",IFERROR(1/(1/INDEX(Map_Stats!$I$2:$I$256,MATCH($F8&amp;"|"&amp;$H8,Map_Stats!$A$2:$A$256,0))),$P8))</f>
        <v>0.35</v>
      </c>
      <c r="AA8" s="13" t="n">
        <f aca="false">IF(OR($H8="",Y8=""),"",IF($O8="",Y8,(X8*Y8+Config!$B$4*$O8)/(X8+Config!$B$4)))</f>
        <v>0.75</v>
      </c>
      <c r="AB8" s="10" t="n">
        <f aca="false">IF(Z8="","",(X8*Z8+Config!$B$4*$P8)/(X8+Config!$B$4))</f>
        <v>0.364090909090909</v>
      </c>
      <c r="AC8" s="17" t="n">
        <f aca="false">IF(OR(AA8="",$K8=""),"",AA8*$K8*($K8/Config!$B$10)^Config!$B$9)</f>
        <v>15.9375</v>
      </c>
      <c r="AD8" s="17" t="n">
        <f aca="false">IF(OR(AC8="",AB8=""),"",AC8*AB8)</f>
        <v>5.80269886363636</v>
      </c>
      <c r="AE8" s="9" t="n">
        <f aca="false">IF($I8="",0,SUMIFS(Map_Stats!$F$2:$F$256,Map_Stats!$A$2:$A$256,$F8&amp;"|"&amp;$I8))</f>
        <v>6</v>
      </c>
      <c r="AF8" s="13" t="n">
        <f aca="false">IF($I8="","",IFERROR(1/(1/INDEX(Map_Stats!$K$2:$K$256,MATCH($F8&amp;"|"&amp;$I8,Map_Stats!$A$2:$A$256,0))),$O8))</f>
        <v>0.57</v>
      </c>
      <c r="AG8" s="10" t="n">
        <f aca="false">IF(OR($I8="",$P8=""),"",IFERROR(1/(1/INDEX(Map_Stats!$I$2:$I$256,MATCH($F8&amp;"|"&amp;$I8,Map_Stats!$A$2:$A$256,0))),$P8))</f>
        <v>0.443</v>
      </c>
      <c r="AH8" s="13" t="n">
        <f aca="false">IF(OR($I8="",AF8=""),"",IF($O8="",AF8,(AE8*AF8+Config!$B$4*$O8)/(AE8+Config!$B$4)))</f>
        <v>0.624545454545455</v>
      </c>
      <c r="AI8" s="10" t="n">
        <f aca="false">IF(AG8="","",(AE8*AG8+Config!$B$4*$P8)/(AE8+Config!$B$4))</f>
        <v>0.414818181818182</v>
      </c>
      <c r="AJ8" s="17" t="n">
        <f aca="false">IF(OR(AH8="",$L8=""),"",AH8*$L8*($L8/Config!$B$10)^Config!$B$9)</f>
        <v>13.4277272727273</v>
      </c>
      <c r="AK8" s="17" t="n">
        <f aca="false">IF(OR(AJ8="",AI8=""),"",AJ8*AI8)</f>
        <v>5.57006541322314</v>
      </c>
      <c r="AL8" s="17" t="n">
        <f aca="false">N(V8)+N(AC8)</f>
        <v>28.9834090909091</v>
      </c>
      <c r="AM8" s="17" t="n">
        <f aca="false">AL8+N($M8)*N(AJ8)</f>
        <v>35.3803783636364</v>
      </c>
      <c r="AN8" s="17" t="n">
        <f aca="false">IF(W8="","",N(W8)+N(AD8))</f>
        <v>10.780306177686</v>
      </c>
      <c r="AO8" s="17" t="n">
        <f aca="false">IF(AN8="","",AN8+N($M8)*N(AK8))</f>
        <v>13.4338853405455</v>
      </c>
      <c r="AP8" s="10" t="n">
        <f aca="false">IFERROR(AN8/AL8,"")</f>
        <v>0.371947487056217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IF($C8=Board!$B$2,COUNTIFS($C$2:$C$42,Board!$B$2,$AL$2:$AL$42,"&gt;"&amp;$AL8)+COUNTIFS($C$1:$C7,Board!$B$2,$AL$1:$AL7,$AL8)+1,"")</f>
        <v/>
      </c>
      <c r="AS8" s="0" t="str">
        <f aca="false">IFERROR(IF($D8=INDEX(Matches!$AD$5:$AD$10,MATCH($C8,Matches!$A$5:$A$10,0)),"A",IF($D8=INDEX(Matches!$AE$5:$AE$10,MATCH($C8,Matches!$A$5:$A$10,0)),"B","")),"")</f>
        <v>B</v>
      </c>
      <c r="AT8" s="10" t="n">
        <f aca="false">IF($AS8="","",IFERROR(IF($AS8="A",INDEX(Matches!$AI$5:$AI$10,MATCH($C8,Matches!$A$5:$A$10,0)),INDEX(Matches!$AJ$5:$AJ$10,MATCH($C8,Matches!$A$5:$A$10,0))),""))</f>
        <v>0.524404588360737</v>
      </c>
      <c r="AU8" s="10" t="n">
        <f aca="false">IF($AS8="","",IFERROR(IF(INDEX(Matches!$AP$5:$AP$10,MATCH($C8,Matches!$A$5:$A$10,0))="","",IF($AS8="A",INDEX(Matches!$AP$5:$AP$10,MATCH($C8,Matches!$A$5:$A$10,0)),1-INDEX(Matches!$AP$5:$AP$10,MATCH($C8,Matches!$A$5:$A$10,0)))),""))</f>
        <v>0.490634329553829</v>
      </c>
      <c r="AV8" s="13" t="n">
        <f aca="false">IF(OR($AU8="",$AT8=""),1,((Config!$B$14*$AU8+Config!$B$15*(1-$AU8))/(Config!$B$14*$AT8+Config!$B$15*(1-$AT8)))^Config!$B$13)</f>
        <v>0.970466401141987</v>
      </c>
      <c r="AW8" s="10" t="n">
        <f aca="false">IF($AS8="","",IFERROR(IF(INDEX(Matches!$AV$5:$AV$10,MATCH($C8,Matches!$A$5:$A$10,0))="","",IF($AS8="A",INDEX(Matches!$AV$5:$AV$10,MATCH($C8,Matches!$A$5:$A$10,0)),1-INDEX(Matches!$AV$5:$AV$10,MATCH($C8,Matches!$A$5:$A$10,0)))),""))</f>
        <v>0.492351152658939</v>
      </c>
      <c r="AX8" s="13" t="n">
        <f aca="false">IF(OR($AW8="",$AT8=""),1,((Config!$B$14*$AW8+Config!$B$15*(1-$AW8))/(Config!$B$14*$AT8+Config!$B$15*(1-$AT8)))^Config!$B$13)</f>
        <v>0.971967839587763</v>
      </c>
      <c r="AY8" s="10" t="n">
        <f aca="false">IF($AS8="","",IFERROR(IF(INDEX(Matches!$BB$5:$BB$10,MATCH($C8,Matches!$A$5:$A$10,0))="","",IF($AS8="A",INDEX(Matches!$BB$5:$BB$10,MATCH($C8,Matches!$A$5:$A$10,0)),1-INDEX(Matches!$BB$5:$BB$10,MATCH($C8,Matches!$A$5:$A$10,0)))),""))</f>
        <v>0.470765914224426</v>
      </c>
      <c r="AZ8" s="13" t="n">
        <f aca="false">IF(OR($AY8="",$AT8=""),1,((Config!$B$14*$AY8+Config!$B$15*(1-$AY8))/(Config!$B$14*$AT8+Config!$B$15*(1-$AT8)))^Config!$B$13)</f>
        <v>0.953090584994467</v>
      </c>
      <c r="BA8" s="17" t="n">
        <f aca="false">IF(V8="","",V8*$AV8)</f>
        <v>12.6606164450801</v>
      </c>
      <c r="BB8" s="17" t="n">
        <f aca="false">IF(AC8="","",AC8*$AX8)</f>
        <v>15.49073744343</v>
      </c>
      <c r="BC8" s="17" t="n">
        <f aca="false">IF(AJ8="","",AJ8*$AZ8)</f>
        <v>12.7978404415098</v>
      </c>
      <c r="BD8" s="17" t="n">
        <f aca="false">N(BA8)+N(BB8)</f>
        <v>28.1513538885101</v>
      </c>
      <c r="BE8" s="17" t="n">
        <f aca="false">BD8+N($M8)*N(BC8)</f>
        <v>34.2482450748453</v>
      </c>
      <c r="BF8" s="17" t="n">
        <f aca="false">IF(W8="","",W8*$AV8)</f>
        <v>4.83060065636374</v>
      </c>
      <c r="BG8" s="17" t="n">
        <f aca="false">IF(AD8="","",AD8*$AX8)</f>
        <v>5.640036678267</v>
      </c>
      <c r="BH8" s="17" t="n">
        <f aca="false">IF(AK8="","",AK8*$AZ8)</f>
        <v>5.30877690314629</v>
      </c>
      <c r="BI8" s="17" t="n">
        <f aca="false">IF(BF8="","",N(BF8)+N(BG8))</f>
        <v>10.4706373346307</v>
      </c>
      <c r="BJ8" s="17" t="n">
        <f aca="false">IF(BI8="","",BI8+N($M8)*N(BH8))</f>
        <v>12.9997386512896</v>
      </c>
      <c r="BK8" s="13" t="n">
        <f aca="false">IFERROR(BD8/AL8,1)</f>
        <v>0.971292017450769</v>
      </c>
    </row>
    <row r="9" customFormat="false" ht="15" hidden="false" customHeight="false" outlineLevel="0" collapsed="false">
      <c r="A9" s="0" t="s">
        <v>664</v>
      </c>
      <c r="B9" s="0" t="s">
        <v>568</v>
      </c>
      <c r="C9" s="0" t="s">
        <v>576</v>
      </c>
      <c r="D9" s="0" t="s">
        <v>582</v>
      </c>
      <c r="E9" s="0" t="s">
        <v>663</v>
      </c>
      <c r="F9" s="0" t="s">
        <v>793</v>
      </c>
      <c r="G9" s="0" t="str">
        <f aca="false">IFERROR(IF(INDEX(Matches!$W$5:$W$10,MATCH($C9,Matches!$A$5:$A$10,0))="","",INDEX(Matches!$W$5:$W$10,MATCH($C9,Matches!$A$5:$A$10,0))),"")</f>
        <v>Mirage</v>
      </c>
      <c r="H9" s="0" t="str">
        <f aca="false">IFERROR(IF(INDEX(Matches!$X$5:$X$10,MATCH($C9,Matches!$A$5:$A$10,0))="","",INDEX(Matches!$X$5:$X$10,MATCH($C9,Matches!$A$5:$A$10,0))),"")</f>
        <v>Cache</v>
      </c>
      <c r="I9" s="0" t="str">
        <f aca="false">IFERROR(IF(INDEX(Matches!$Y$5:$Y$10,MATCH($C9,Matches!$A$5:$A$10,0))="","",INDEX(Matches!$Y$5:$Y$10,MATCH($C9,Matches!$A$5:$A$10,0))),"")</f>
        <v>Dust2</v>
      </c>
      <c r="J9" s="11" t="n">
        <f aca="false">IFERROR(IF(INDEX(Matches!$Z$5:$Z$10,MATCH($C9,Matches!$A$5:$A$10,0))="","",INDEX(Matches!$Z$5:$Z$10,MATCH($C9,Matches!$A$5:$A$10,0))),"")</f>
        <v>21.26</v>
      </c>
      <c r="K9" s="11" t="n">
        <f aca="false">IFERROR(IF(INDEX(Matches!$AA$5:$AA$10,MATCH($C9,Matches!$A$5:$A$10,0))="","",INDEX(Matches!$AA$5:$AA$10,MATCH($C9,Matches!$A$5:$A$10,0))),"")</f>
        <v>21.25</v>
      </c>
      <c r="L9" s="11" t="n">
        <f aca="false">IFERROR(IF(INDEX(Matches!$AB$5:$AB$10,MATCH($C9,Matches!$A$5:$A$10,0))="","",INDEX(Matches!$AB$5:$AB$10,MATCH($C9,Matches!$A$5:$A$10,0))),"")</f>
        <v>21.5</v>
      </c>
      <c r="M9" s="10" t="n">
        <f aca="false">IFERROR(IF(INDEX(Matches!$AC$5:$AC$10,MATCH($C9,Matches!$A$5:$A$10,0))="","",INDEX(Matches!$AC$5:$AC$10,MATCH($C9,Matches!$A$5:$A$10,0))),"")</f>
        <v>0.4764</v>
      </c>
      <c r="N9" s="9" t="n">
        <f aca="false">IFERROR(INDEX(Players!$F$2:$F$42,MATCH($F9,Players!$A$2:$A$42,0)),0)</f>
        <v>37</v>
      </c>
      <c r="O9" s="13" t="n">
        <f aca="false">IFERROR(1/(1/INDEX(Players!$H$2:$H$42,MATCH($F9,Players!$A$2:$A$42,0))),"")</f>
        <v>0.66</v>
      </c>
      <c r="P9" s="10" t="n">
        <f aca="false">IFERROR(1/(1/INDEX(Players!$I$2:$I$42,MATCH($F9,Players!$A$2:$A$42,0))),"")</f>
        <v>0.669</v>
      </c>
      <c r="Q9" s="9" t="n">
        <f aca="false">IF($G9="",0,SUMIFS(Map_Stats!$F$2:$F$256,Map_Stats!$A$2:$A$256,$F9&amp;"|"&amp;$G9))</f>
        <v>6</v>
      </c>
      <c r="R9" s="13" t="n">
        <f aca="false">IF($G9="","",IFERROR(1/(1/INDEX(Map_Stats!$K$2:$K$256,MATCH($F9&amp;"|"&amp;$G9,Map_Stats!$A$2:$A$256,0))),$O9))</f>
        <v>0.86</v>
      </c>
      <c r="S9" s="10" t="n">
        <f aca="false">IF(OR($G9="",$P9=""),"",IFERROR(1/(1/INDEX(Map_Stats!$I$2:$I$256,MATCH($F9&amp;"|"&amp;$G9,Map_Stats!$A$2:$A$256,0))),$P9))</f>
        <v>0.731</v>
      </c>
      <c r="T9" s="13" t="n">
        <f aca="false">IF(OR($G9="",R9=""),"",IF($O9="",R9,(Q9*R9+Config!$B$4*$O9)/(Q9+Config!$B$4)))</f>
        <v>0.769090909090909</v>
      </c>
      <c r="U9" s="10" t="n">
        <f aca="false">IF(S9="","",(Q9*S9+Config!$B$4*$P9)/(Q9+Config!$B$4))</f>
        <v>0.702818181818182</v>
      </c>
      <c r="V9" s="17" t="n">
        <f aca="false">IF(OR(T9="",$J9=""),"",T9*$J9*($J9/Config!$B$10)^Config!$B$9)</f>
        <v>16.3508727272727</v>
      </c>
      <c r="W9" s="17" t="n">
        <f aca="false">IF(OR(V9="",U9=""),"",V9*U9)</f>
        <v>11.4916906413223</v>
      </c>
      <c r="X9" s="9" t="n">
        <f aca="false">IF($H9="",0,SUMIFS(Map_Stats!$F$2:$F$256,Map_Stats!$A$2:$A$256,$F9&amp;"|"&amp;$H9))</f>
        <v>6</v>
      </c>
      <c r="Y9" s="13" t="n">
        <f aca="false">IF($H9="","",IFERROR(1/(1/INDEX(Map_Stats!$K$2:$K$256,MATCH($F9&amp;"|"&amp;$H9,Map_Stats!$A$2:$A$256,0))),$O9))</f>
        <v>0.64</v>
      </c>
      <c r="Z9" s="10" t="n">
        <f aca="false">IF(OR($H9="",$P9=""),"",IFERROR(1/(1/INDEX(Map_Stats!$I$2:$I$256,MATCH($F9&amp;"|"&amp;$H9,Map_Stats!$A$2:$A$256,0))),$P9))</f>
        <v>0.591</v>
      </c>
      <c r="AA9" s="13" t="n">
        <f aca="false">IF(OR($H9="",Y9=""),"",IF($O9="",Y9,(X9*Y9+Config!$B$4*$O9)/(X9+Config!$B$4)))</f>
        <v>0.649090909090909</v>
      </c>
      <c r="AB9" s="10" t="n">
        <f aca="false">IF(Z9="","",(X9*Z9+Config!$B$4*$P9)/(X9+Config!$B$4))</f>
        <v>0.626454545454546</v>
      </c>
      <c r="AC9" s="17" t="n">
        <f aca="false">IF(OR(AA9="",$K9=""),"",AA9*$K9*($K9/Config!$B$10)^Config!$B$9)</f>
        <v>13.7931818181818</v>
      </c>
      <c r="AD9" s="17" t="n">
        <f aca="false">IF(OR(AC9="",AB9=""),"",AC9*AB9)</f>
        <v>8.64080144628099</v>
      </c>
      <c r="AE9" s="9" t="n">
        <f aca="false">IF($I9="",0,SUMIFS(Map_Stats!$F$2:$F$256,Map_Stats!$A$2:$A$256,$F9&amp;"|"&amp;$I9))</f>
        <v>6</v>
      </c>
      <c r="AF9" s="13" t="n">
        <f aca="false">IF($I9="","",IFERROR(1/(1/INDEX(Map_Stats!$K$2:$K$256,MATCH($F9&amp;"|"&amp;$I9,Map_Stats!$A$2:$A$256,0))),$O9))</f>
        <v>0.65</v>
      </c>
      <c r="AG9" s="10" t="n">
        <f aca="false">IF(OR($I9="",$P9=""),"",IFERROR(1/(1/INDEX(Map_Stats!$I$2:$I$256,MATCH($F9&amp;"|"&amp;$I9,Map_Stats!$A$2:$A$256,0))),$P9))</f>
        <v>0.66</v>
      </c>
      <c r="AH9" s="13" t="n">
        <f aca="false">IF(OR($I9="",AF9=""),"",IF($O9="",AF9,(AE9*AF9+Config!$B$4*$O9)/(AE9+Config!$B$4)))</f>
        <v>0.654545454545455</v>
      </c>
      <c r="AI9" s="10" t="n">
        <f aca="false">IF(AG9="","",(AE9*AG9+Config!$B$4*$P9)/(AE9+Config!$B$4))</f>
        <v>0.664090909090909</v>
      </c>
      <c r="AJ9" s="17" t="n">
        <f aca="false">IF(OR(AH9="",$L9=""),"",AH9*$L9*($L9/Config!$B$10)^Config!$B$9)</f>
        <v>14.0727272727273</v>
      </c>
      <c r="AK9" s="17" t="n">
        <f aca="false">IF(OR(AJ9="",AI9=""),"",AJ9*AI9)</f>
        <v>9.34557024793389</v>
      </c>
      <c r="AL9" s="17" t="n">
        <f aca="false">N(V9)+N(AC9)</f>
        <v>30.1440545454546</v>
      </c>
      <c r="AM9" s="17" t="n">
        <f aca="false">AL9+N($M9)*N(AJ9)</f>
        <v>36.8483018181818</v>
      </c>
      <c r="AN9" s="17" t="n">
        <f aca="false">IF(W9="","",N(W9)+N(AD9))</f>
        <v>20.1324920876033</v>
      </c>
      <c r="AO9" s="17" t="n">
        <f aca="false">IF(AN9="","",AN9+N($M9)*N(AK9))</f>
        <v>24.584721753719</v>
      </c>
      <c r="AP9" s="10" t="n">
        <f aca="false">IFERROR(AN9/AL9,"")</f>
        <v>0.667876050225603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IF($C9=Board!$B$2,COUNTIFS($C$2:$C$42,Board!$B$2,$AL$2:$AL$42,"&gt;"&amp;$AL9)+COUNTIFS($C$1:$C8,Board!$B$2,$AL$1:$AL8,$AL9)+1,"")</f>
        <v/>
      </c>
      <c r="AS9" s="0" t="str">
        <f aca="false">IFERROR(IF($D9=INDEX(Matches!$AD$5:$AD$10,MATCH($C9,Matches!$A$5:$A$10,0)),"A",IF($D9=INDEX(Matches!$AE$5:$AE$10,MATCH($C9,Matches!$A$5:$A$10,0)),"B","")),"")</f>
        <v>B</v>
      </c>
      <c r="AT9" s="10" t="n">
        <f aca="false">IF($AS9="","",IFERROR(IF($AS9="A",INDEX(Matches!$AI$5:$AI$10,MATCH($C9,Matches!$A$5:$A$10,0)),INDEX(Matches!$AJ$5:$AJ$10,MATCH($C9,Matches!$A$5:$A$10,0))),""))</f>
        <v>0.524404588360737</v>
      </c>
      <c r="AU9" s="10" t="n">
        <f aca="false">IF($AS9="","",IFERROR(IF(INDEX(Matches!$AP$5:$AP$10,MATCH($C9,Matches!$A$5:$A$10,0))="","",IF($AS9="A",INDEX(Matches!$AP$5:$AP$10,MATCH($C9,Matches!$A$5:$A$10,0)),1-INDEX(Matches!$AP$5:$AP$10,MATCH($C9,Matches!$A$5:$A$10,0)))),""))</f>
        <v>0.490634329553829</v>
      </c>
      <c r="AV9" s="13" t="n">
        <f aca="false">IF(OR($AU9="",$AT9=""),1,((Config!$B$14*$AU9+Config!$B$15*(1-$AU9))/(Config!$B$14*$AT9+Config!$B$15*(1-$AT9)))^Config!$B$13)</f>
        <v>0.970466401141987</v>
      </c>
      <c r="AW9" s="10" t="n">
        <f aca="false">IF($AS9="","",IFERROR(IF(INDEX(Matches!$AV$5:$AV$10,MATCH($C9,Matches!$A$5:$A$10,0))="","",IF($AS9="A",INDEX(Matches!$AV$5:$AV$10,MATCH($C9,Matches!$A$5:$A$10,0)),1-INDEX(Matches!$AV$5:$AV$10,MATCH($C9,Matches!$A$5:$A$10,0)))),""))</f>
        <v>0.492351152658939</v>
      </c>
      <c r="AX9" s="13" t="n">
        <f aca="false">IF(OR($AW9="",$AT9=""),1,((Config!$B$14*$AW9+Config!$B$15*(1-$AW9))/(Config!$B$14*$AT9+Config!$B$15*(1-$AT9)))^Config!$B$13)</f>
        <v>0.971967839587763</v>
      </c>
      <c r="AY9" s="10" t="n">
        <f aca="false">IF($AS9="","",IFERROR(IF(INDEX(Matches!$BB$5:$BB$10,MATCH($C9,Matches!$A$5:$A$10,0))="","",IF($AS9="A",INDEX(Matches!$BB$5:$BB$10,MATCH($C9,Matches!$A$5:$A$10,0)),1-INDEX(Matches!$BB$5:$BB$10,MATCH($C9,Matches!$A$5:$A$10,0)))),""))</f>
        <v>0.470765914224426</v>
      </c>
      <c r="AZ9" s="13" t="n">
        <f aca="false">IF(OR($AY9="",$AT9=""),1,((Config!$B$14*$AY9+Config!$B$15*(1-$AY9))/(Config!$B$14*$AT9+Config!$B$15*(1-$AT9)))^Config!$B$13)</f>
        <v>0.953090584994467</v>
      </c>
      <c r="BA9" s="17" t="n">
        <f aca="false">IF(V9="","",V9*$AV9)</f>
        <v>15.867972611167</v>
      </c>
      <c r="BB9" s="17" t="n">
        <f aca="false">IF(AC9="","",AC9*$AX9)</f>
        <v>13.4065291328594</v>
      </c>
      <c r="BC9" s="17" t="n">
        <f aca="false">IF(AJ9="","",AJ9*$AZ9)</f>
        <v>13.4125838688312</v>
      </c>
      <c r="BD9" s="17" t="n">
        <f aca="false">N(BA9)+N(BB9)</f>
        <v>29.2745017440264</v>
      </c>
      <c r="BE9" s="17" t="n">
        <f aca="false">BD9+N($M9)*N(BC9)</f>
        <v>35.6642566991376</v>
      </c>
      <c r="BF9" s="17" t="n">
        <f aca="false">IF(W9="","",W9*$AV9)</f>
        <v>11.1522996597211</v>
      </c>
      <c r="BG9" s="17" t="n">
        <f aca="false">IF(AD9="","",AD9*$AX9)</f>
        <v>8.39858111404855</v>
      </c>
      <c r="BH9" s="17" t="n">
        <f aca="false">IF(AK9="","",AK9*$AZ9)</f>
        <v>8.90717501471019</v>
      </c>
      <c r="BI9" s="17" t="n">
        <f aca="false">IF(BF9="","",N(BF9)+N(BG9))</f>
        <v>19.5508807737697</v>
      </c>
      <c r="BJ9" s="17" t="n">
        <f aca="false">IF(BI9="","",BI9+N($M9)*N(BH9))</f>
        <v>23.7942589507776</v>
      </c>
      <c r="BK9" s="13" t="n">
        <f aca="false">IFERROR(BD9/AL9,1)</f>
        <v>0.971153422638719</v>
      </c>
    </row>
    <row r="10" customFormat="false" ht="15" hidden="false" customHeight="false" outlineLevel="0" collapsed="false">
      <c r="A10" s="0" t="s">
        <v>667</v>
      </c>
      <c r="B10" s="0" t="s">
        <v>568</v>
      </c>
      <c r="C10" s="0" t="s">
        <v>576</v>
      </c>
      <c r="D10" s="0" t="s">
        <v>582</v>
      </c>
      <c r="E10" s="0" t="s">
        <v>665</v>
      </c>
      <c r="F10" s="0" t="s">
        <v>794</v>
      </c>
      <c r="G10" s="0" t="str">
        <f aca="false">IFERROR(IF(INDEX(Matches!$W$5:$W$10,MATCH($C10,Matches!$A$5:$A$10,0))="","",INDEX(Matches!$W$5:$W$10,MATCH($C10,Matches!$A$5:$A$10,0))),"")</f>
        <v>Mirage</v>
      </c>
      <c r="H10" s="0" t="str">
        <f aca="false">IFERROR(IF(INDEX(Matches!$X$5:$X$10,MATCH($C10,Matches!$A$5:$A$10,0))="","",INDEX(Matches!$X$5:$X$10,MATCH($C10,Matches!$A$5:$A$10,0))),"")</f>
        <v>Cache</v>
      </c>
      <c r="I10" s="0" t="str">
        <f aca="false">IFERROR(IF(INDEX(Matches!$Y$5:$Y$10,MATCH($C10,Matches!$A$5:$A$10,0))="","",INDEX(Matches!$Y$5:$Y$10,MATCH($C10,Matches!$A$5:$A$10,0))),"")</f>
        <v>Dust2</v>
      </c>
      <c r="J10" s="11" t="n">
        <f aca="false">IFERROR(IF(INDEX(Matches!$Z$5:$Z$10,MATCH($C10,Matches!$A$5:$A$10,0))="","",INDEX(Matches!$Z$5:$Z$10,MATCH($C10,Matches!$A$5:$A$10,0))),"")</f>
        <v>21.26</v>
      </c>
      <c r="K10" s="11" t="n">
        <f aca="false">IFERROR(IF(INDEX(Matches!$AA$5:$AA$10,MATCH($C10,Matches!$A$5:$A$10,0))="","",INDEX(Matches!$AA$5:$AA$10,MATCH($C10,Matches!$A$5:$A$10,0))),"")</f>
        <v>21.25</v>
      </c>
      <c r="L10" s="11" t="n">
        <f aca="false">IFERROR(IF(INDEX(Matches!$AB$5:$AB$10,MATCH($C10,Matches!$A$5:$A$10,0))="","",INDEX(Matches!$AB$5:$AB$10,MATCH($C10,Matches!$A$5:$A$10,0))),"")</f>
        <v>21.5</v>
      </c>
      <c r="M10" s="10" t="n">
        <f aca="false">IFERROR(IF(INDEX(Matches!$AC$5:$AC$10,MATCH($C10,Matches!$A$5:$A$10,0))="","",INDEX(Matches!$AC$5:$AC$10,MATCH($C10,Matches!$A$5:$A$10,0))),"")</f>
        <v>0.4764</v>
      </c>
      <c r="N10" s="9" t="n">
        <f aca="false">IFERROR(INDEX(Players!$F$2:$F$42,MATCH($F10,Players!$A$2:$A$42,0)),0)</f>
        <v>37</v>
      </c>
      <c r="O10" s="13" t="n">
        <f aca="false">IFERROR(1/(1/INDEX(Players!$H$2:$H$42,MATCH($F10,Players!$A$2:$A$42,0))),"")</f>
        <v>0.58</v>
      </c>
      <c r="P10" s="10" t="n">
        <f aca="false">IFERROR(1/(1/INDEX(Players!$I$2:$I$42,MATCH($F10,Players!$A$2:$A$42,0))),"")</f>
        <v>0.517</v>
      </c>
      <c r="Q10" s="9" t="n">
        <f aca="false">IF($G10="",0,SUMIFS(Map_Stats!$F$2:$F$256,Map_Stats!$A$2:$A$256,$F10&amp;"|"&amp;$G10))</f>
        <v>6</v>
      </c>
      <c r="R10" s="13" t="n">
        <f aca="false">IF($G10="","",IFERROR(1/(1/INDEX(Map_Stats!$K$2:$K$256,MATCH($F10&amp;"|"&amp;$G10,Map_Stats!$A$2:$A$256,0))),$O10))</f>
        <v>0.56</v>
      </c>
      <c r="S10" s="10" t="n">
        <f aca="false">IF(OR($G10="",$P10=""),"",IFERROR(1/(1/INDEX(Map_Stats!$I$2:$I$256,MATCH($F10&amp;"|"&amp;$G10,Map_Stats!$A$2:$A$256,0))),$P10))</f>
        <v>0.551</v>
      </c>
      <c r="T10" s="13" t="n">
        <f aca="false">IF(OR($G10="",R10=""),"",IF($O10="",R10,(Q10*R10+Config!$B$4*$O10)/(Q10+Config!$B$4)))</f>
        <v>0.569090909090909</v>
      </c>
      <c r="U10" s="10" t="n">
        <f aca="false">IF(S10="","",(Q10*S10+Config!$B$4*$P10)/(Q10+Config!$B$4))</f>
        <v>0.535545454545455</v>
      </c>
      <c r="V10" s="17" t="n">
        <f aca="false">IF(OR(T10="",$J10=""),"",T10*$J10*($J10/Config!$B$10)^Config!$B$9)</f>
        <v>12.0988727272727</v>
      </c>
      <c r="W10" s="17" t="n">
        <f aca="false">IF(OR(V10="",U10=""),"",V10*U10)</f>
        <v>6.47949629421488</v>
      </c>
      <c r="X10" s="9" t="n">
        <f aca="false">IF($H10="",0,SUMIFS(Map_Stats!$F$2:$F$256,Map_Stats!$A$2:$A$256,$F10&amp;"|"&amp;$H10))</f>
        <v>6</v>
      </c>
      <c r="Y10" s="13" t="n">
        <f aca="false">IF($H10="","",IFERROR(1/(1/INDEX(Map_Stats!$K$2:$K$256,MATCH($F10&amp;"|"&amp;$H10,Map_Stats!$A$2:$A$256,0))),$O10))</f>
        <v>0.53</v>
      </c>
      <c r="Z10" s="10" t="n">
        <f aca="false">IF(OR($H10="",$P10=""),"",IFERROR(1/(1/INDEX(Map_Stats!$I$2:$I$256,MATCH($F10&amp;"|"&amp;$H10,Map_Stats!$A$2:$A$256,0))),$P10))</f>
        <v>0.494</v>
      </c>
      <c r="AA10" s="13" t="n">
        <f aca="false">IF(OR($H10="",Y10=""),"",IF($O10="",Y10,(X10*Y10+Config!$B$4*$O10)/(X10+Config!$B$4)))</f>
        <v>0.552727272727273</v>
      </c>
      <c r="AB10" s="10" t="n">
        <f aca="false">IF(Z10="","",(X10*Z10+Config!$B$4*$P10)/(X10+Config!$B$4))</f>
        <v>0.504454545454545</v>
      </c>
      <c r="AC10" s="17" t="n">
        <f aca="false">IF(OR(AA10="",$K10=""),"",AA10*$K10*($K10/Config!$B$10)^Config!$B$9)</f>
        <v>11.7454545454545</v>
      </c>
      <c r="AD10" s="17" t="n">
        <f aca="false">IF(OR(AC10="",AB10=""),"",AC10*AB10)</f>
        <v>5.9250479338843</v>
      </c>
      <c r="AE10" s="9" t="n">
        <f aca="false">IF($I10="",0,SUMIFS(Map_Stats!$F$2:$F$256,Map_Stats!$A$2:$A$256,$F10&amp;"|"&amp;$I10))</f>
        <v>6</v>
      </c>
      <c r="AF10" s="13" t="n">
        <f aca="false">IF($I10="","",IFERROR(1/(1/INDEX(Map_Stats!$K$2:$K$256,MATCH($F10&amp;"|"&amp;$I10,Map_Stats!$A$2:$A$256,0))),$O10))</f>
        <v>0.64</v>
      </c>
      <c r="AG10" s="10" t="n">
        <f aca="false">IF(OR($I10="",$P10=""),"",IFERROR(1/(1/INDEX(Map_Stats!$I$2:$I$256,MATCH($F10&amp;"|"&amp;$I10,Map_Stats!$A$2:$A$256,0))),$P10))</f>
        <v>0.556</v>
      </c>
      <c r="AH10" s="13" t="n">
        <f aca="false">IF(OR($I10="",AF10=""),"",IF($O10="",AF10,(AE10*AF10+Config!$B$4*$O10)/(AE10+Config!$B$4)))</f>
        <v>0.612727272727273</v>
      </c>
      <c r="AI10" s="10" t="n">
        <f aca="false">IF(AG10="","",(AE10*AG10+Config!$B$4*$P10)/(AE10+Config!$B$4))</f>
        <v>0.538272727272727</v>
      </c>
      <c r="AJ10" s="17" t="n">
        <f aca="false">IF(OR(AH10="",$L10=""),"",AH10*$L10*($L10/Config!$B$10)^Config!$B$9)</f>
        <v>13.1736363636364</v>
      </c>
      <c r="AK10" s="17" t="n">
        <f aca="false">IF(OR(AJ10="",AI10=""),"",AJ10*AI10)</f>
        <v>7.09100917355372</v>
      </c>
      <c r="AL10" s="17" t="n">
        <f aca="false">N(V10)+N(AC10)</f>
        <v>23.8443272727273</v>
      </c>
      <c r="AM10" s="17" t="n">
        <f aca="false">AL10+N($M10)*N(AJ10)</f>
        <v>30.1202476363636</v>
      </c>
      <c r="AN10" s="17" t="n">
        <f aca="false">IF(W10="","",N(W10)+N(AD10))</f>
        <v>12.4045442280992</v>
      </c>
      <c r="AO10" s="17" t="n">
        <f aca="false">IF(AN10="","",AN10+N($M10)*N(AK10))</f>
        <v>15.7827009983802</v>
      </c>
      <c r="AP10" s="10" t="n">
        <f aca="false">IFERROR(AN10/AL10,"")</f>
        <v>0.520230413138444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IF($C10=Board!$B$2,COUNTIFS($C$2:$C$42,Board!$B$2,$AL$2:$AL$42,"&gt;"&amp;$AL10)+COUNTIFS($C$1:$C9,Board!$B$2,$AL$1:$AL9,$AL10)+1,"")</f>
        <v/>
      </c>
      <c r="AS10" s="0" t="str">
        <f aca="false">IFERROR(IF($D10=INDEX(Matches!$AD$5:$AD$10,MATCH($C10,Matches!$A$5:$A$10,0)),"A",IF($D10=INDEX(Matches!$AE$5:$AE$10,MATCH($C10,Matches!$A$5:$A$10,0)),"B","")),"")</f>
        <v>B</v>
      </c>
      <c r="AT10" s="10" t="n">
        <f aca="false">IF($AS10="","",IFERROR(IF($AS10="A",INDEX(Matches!$AI$5:$AI$10,MATCH($C10,Matches!$A$5:$A$10,0)),INDEX(Matches!$AJ$5:$AJ$10,MATCH($C10,Matches!$A$5:$A$10,0))),""))</f>
        <v>0.524404588360737</v>
      </c>
      <c r="AU10" s="10" t="n">
        <f aca="false">IF($AS10="","",IFERROR(IF(INDEX(Matches!$AP$5:$AP$10,MATCH($C10,Matches!$A$5:$A$10,0))="","",IF($AS10="A",INDEX(Matches!$AP$5:$AP$10,MATCH($C10,Matches!$A$5:$A$10,0)),1-INDEX(Matches!$AP$5:$AP$10,MATCH($C10,Matches!$A$5:$A$10,0)))),""))</f>
        <v>0.490634329553829</v>
      </c>
      <c r="AV10" s="13" t="n">
        <f aca="false">IF(OR($AU10="",$AT10=""),1,((Config!$B$14*$AU10+Config!$B$15*(1-$AU10))/(Config!$B$14*$AT10+Config!$B$15*(1-$AT10)))^Config!$B$13)</f>
        <v>0.970466401141987</v>
      </c>
      <c r="AW10" s="10" t="n">
        <f aca="false">IF($AS10="","",IFERROR(IF(INDEX(Matches!$AV$5:$AV$10,MATCH($C10,Matches!$A$5:$A$10,0))="","",IF($AS10="A",INDEX(Matches!$AV$5:$AV$10,MATCH($C10,Matches!$A$5:$A$10,0)),1-INDEX(Matches!$AV$5:$AV$10,MATCH($C10,Matches!$A$5:$A$10,0)))),""))</f>
        <v>0.492351152658939</v>
      </c>
      <c r="AX10" s="13" t="n">
        <f aca="false">IF(OR($AW10="",$AT10=""),1,((Config!$B$14*$AW10+Config!$B$15*(1-$AW10))/(Config!$B$14*$AT10+Config!$B$15*(1-$AT10)))^Config!$B$13)</f>
        <v>0.971967839587763</v>
      </c>
      <c r="AY10" s="10" t="n">
        <f aca="false">IF($AS10="","",IFERROR(IF(INDEX(Matches!$BB$5:$BB$10,MATCH($C10,Matches!$A$5:$A$10,0))="","",IF($AS10="A",INDEX(Matches!$BB$5:$BB$10,MATCH($C10,Matches!$A$5:$A$10,0)),1-INDEX(Matches!$BB$5:$BB$10,MATCH($C10,Matches!$A$5:$A$10,0)))),""))</f>
        <v>0.470765914224426</v>
      </c>
      <c r="AZ10" s="13" t="n">
        <f aca="false">IF(OR($AY10="",$AT10=""),1,((Config!$B$14*$AY10+Config!$B$15*(1-$AY10))/(Config!$B$14*$AT10+Config!$B$15*(1-$AT10)))^Config!$B$13)</f>
        <v>0.953090584994467</v>
      </c>
      <c r="BA10" s="17" t="n">
        <f aca="false">IF(V10="","",V10*$AV10)</f>
        <v>11.7415494735113</v>
      </c>
      <c r="BB10" s="17" t="n">
        <f aca="false">IF(AC10="","",AC10*$AX10)</f>
        <v>11.4162040795217</v>
      </c>
      <c r="BC10" s="17" t="n">
        <f aca="false">IF(AJ10="","",AJ10*$AZ10)</f>
        <v>12.5556687883226</v>
      </c>
      <c r="BD10" s="17" t="n">
        <f aca="false">N(BA10)+N(BB10)</f>
        <v>23.157753553033</v>
      </c>
      <c r="BE10" s="17" t="n">
        <f aca="false">BD10+N($M10)*N(BC10)</f>
        <v>29.1392741637899</v>
      </c>
      <c r="BF10" s="17" t="n">
        <f aca="false">IF(W10="","",W10*$AV10)</f>
        <v>6.28813344985955</v>
      </c>
      <c r="BG10" s="17" t="n">
        <f aca="false">IF(AD10="","",AD10*$AX10)</f>
        <v>5.75895603975146</v>
      </c>
      <c r="BH10" s="17" t="n">
        <f aca="false">IF(AK10="","",AK10*$AZ10)</f>
        <v>6.75837408142345</v>
      </c>
      <c r="BI10" s="17" t="n">
        <f aca="false">IF(BF10="","",N(BF10)+N(BG10))</f>
        <v>12.047089489611</v>
      </c>
      <c r="BJ10" s="17" t="n">
        <f aca="false">IF(BI10="","",BI10+N($M10)*N(BH10))</f>
        <v>15.2667789020011</v>
      </c>
      <c r="BK10" s="13" t="n">
        <f aca="false">IFERROR(BD10/AL10,1)</f>
        <v>0.971205993281281</v>
      </c>
    </row>
    <row r="11" customFormat="false" ht="15" hidden="false" customHeight="false" outlineLevel="0" collapsed="false">
      <c r="A11" s="0" t="s">
        <v>669</v>
      </c>
      <c r="B11" s="0" t="s">
        <v>568</v>
      </c>
      <c r="C11" s="0" t="s">
        <v>576</v>
      </c>
      <c r="D11" s="0" t="s">
        <v>582</v>
      </c>
      <c r="E11" s="0" t="s">
        <v>668</v>
      </c>
      <c r="F11" s="0" t="s">
        <v>795</v>
      </c>
      <c r="G11" s="0" t="str">
        <f aca="false">IFERROR(IF(INDEX(Matches!$W$5:$W$10,MATCH($C11,Matches!$A$5:$A$10,0))="","",INDEX(Matches!$W$5:$W$10,MATCH($C11,Matches!$A$5:$A$10,0))),"")</f>
        <v>Mirage</v>
      </c>
      <c r="H11" s="0" t="str">
        <f aca="false">IFERROR(IF(INDEX(Matches!$X$5:$X$10,MATCH($C11,Matches!$A$5:$A$10,0))="","",INDEX(Matches!$X$5:$X$10,MATCH($C11,Matches!$A$5:$A$10,0))),"")</f>
        <v>Cache</v>
      </c>
      <c r="I11" s="0" t="str">
        <f aca="false">IFERROR(IF(INDEX(Matches!$Y$5:$Y$10,MATCH($C11,Matches!$A$5:$A$10,0))="","",INDEX(Matches!$Y$5:$Y$10,MATCH($C11,Matches!$A$5:$A$10,0))),"")</f>
        <v>Dust2</v>
      </c>
      <c r="J11" s="11" t="n">
        <f aca="false">IFERROR(IF(INDEX(Matches!$Z$5:$Z$10,MATCH($C11,Matches!$A$5:$A$10,0))="","",INDEX(Matches!$Z$5:$Z$10,MATCH($C11,Matches!$A$5:$A$10,0))),"")</f>
        <v>21.26</v>
      </c>
      <c r="K11" s="11" t="n">
        <f aca="false">IFERROR(IF(INDEX(Matches!$AA$5:$AA$10,MATCH($C11,Matches!$A$5:$A$10,0))="","",INDEX(Matches!$AA$5:$AA$10,MATCH($C11,Matches!$A$5:$A$10,0))),"")</f>
        <v>21.25</v>
      </c>
      <c r="L11" s="11" t="n">
        <f aca="false">IFERROR(IF(INDEX(Matches!$AB$5:$AB$10,MATCH($C11,Matches!$A$5:$A$10,0))="","",INDEX(Matches!$AB$5:$AB$10,MATCH($C11,Matches!$A$5:$A$10,0))),"")</f>
        <v>21.5</v>
      </c>
      <c r="M11" s="10" t="n">
        <f aca="false">IFERROR(IF(INDEX(Matches!$AC$5:$AC$10,MATCH($C11,Matches!$A$5:$A$10,0))="","",INDEX(Matches!$AC$5:$AC$10,MATCH($C11,Matches!$A$5:$A$10,0))),"")</f>
        <v>0.4764</v>
      </c>
      <c r="N11" s="9" t="n">
        <f aca="false">IFERROR(INDEX(Players!$F$2:$F$42,MATCH($F11,Players!$A$2:$A$42,0)),0)</f>
        <v>37</v>
      </c>
      <c r="O11" s="13" t="n">
        <f aca="false">IFERROR(1/(1/INDEX(Players!$H$2:$H$42,MATCH($F11,Players!$A$2:$A$42,0))),"")</f>
        <v>0.75</v>
      </c>
      <c r="P11" s="10" t="n">
        <f aca="false">IFERROR(1/(1/INDEX(Players!$I$2:$I$42,MATCH($F11,Players!$A$2:$A$42,0))),"")</f>
        <v>0.557</v>
      </c>
      <c r="Q11" s="9" t="n">
        <f aca="false">IF($G11="",0,SUMIFS(Map_Stats!$F$2:$F$256,Map_Stats!$A$2:$A$256,$F11&amp;"|"&amp;$G11))</f>
        <v>6</v>
      </c>
      <c r="R11" s="13" t="n">
        <f aca="false">IF($G11="","",IFERROR(1/(1/INDEX(Map_Stats!$K$2:$K$256,MATCH($F11&amp;"|"&amp;$G11,Map_Stats!$A$2:$A$256,0))),$O11))</f>
        <v>0.9</v>
      </c>
      <c r="S11" s="10" t="n">
        <f aca="false">IF(OR($G11="",$P11=""),"",IFERROR(1/(1/INDEX(Map_Stats!$I$2:$I$256,MATCH($F11&amp;"|"&amp;$G11,Map_Stats!$A$2:$A$256,0))),$P11))</f>
        <v>0.544</v>
      </c>
      <c r="T11" s="13" t="n">
        <f aca="false">IF(OR($G11="",R11=""),"",IF($O11="",R11,(Q11*R11+Config!$B$4*$O11)/(Q11+Config!$B$4)))</f>
        <v>0.831818181818182</v>
      </c>
      <c r="U11" s="10" t="n">
        <f aca="false">IF(S11="","",(Q11*S11+Config!$B$4*$P11)/(Q11+Config!$B$4))</f>
        <v>0.549909090909091</v>
      </c>
      <c r="V11" s="17" t="n">
        <f aca="false">IF(OR(T11="",$J11=""),"",T11*$J11*($J11/Config!$B$10)^Config!$B$9)</f>
        <v>17.6844545454545</v>
      </c>
      <c r="W11" s="17" t="n">
        <f aca="false">IF(OR(V11="",U11=""),"",V11*U11)</f>
        <v>9.72484232231405</v>
      </c>
      <c r="X11" s="9" t="n">
        <f aca="false">IF($H11="",0,SUMIFS(Map_Stats!$F$2:$F$256,Map_Stats!$A$2:$A$256,$F11&amp;"|"&amp;$H11))</f>
        <v>6</v>
      </c>
      <c r="Y11" s="13" t="n">
        <f aca="false">IF($H11="","",IFERROR(1/(1/INDEX(Map_Stats!$K$2:$K$256,MATCH($F11&amp;"|"&amp;$H11,Map_Stats!$A$2:$A$256,0))),$O11))</f>
        <v>0.75</v>
      </c>
      <c r="Z11" s="10" t="n">
        <f aca="false">IF(OR($H11="",$P11=""),"",IFERROR(1/(1/INDEX(Map_Stats!$I$2:$I$256,MATCH($F11&amp;"|"&amp;$H11,Map_Stats!$A$2:$A$256,0))),$P11))</f>
        <v>0.514</v>
      </c>
      <c r="AA11" s="13" t="n">
        <f aca="false">IF(OR($H11="",Y11=""),"",IF($O11="",Y11,(X11*Y11+Config!$B$4*$O11)/(X11+Config!$B$4)))</f>
        <v>0.75</v>
      </c>
      <c r="AB11" s="10" t="n">
        <f aca="false">IF(Z11="","",(X11*Z11+Config!$B$4*$P11)/(X11+Config!$B$4))</f>
        <v>0.533545454545455</v>
      </c>
      <c r="AC11" s="17" t="n">
        <f aca="false">IF(OR(AA11="",$K11=""),"",AA11*$K11*($K11/Config!$B$10)^Config!$B$9)</f>
        <v>15.9375</v>
      </c>
      <c r="AD11" s="17" t="n">
        <f aca="false">IF(OR(AC11="",AB11=""),"",AC11*AB11)</f>
        <v>8.50338068181818</v>
      </c>
      <c r="AE11" s="9" t="n">
        <f aca="false">IF($I11="",0,SUMIFS(Map_Stats!$F$2:$F$256,Map_Stats!$A$2:$A$256,$F11&amp;"|"&amp;$I11))</f>
        <v>6</v>
      </c>
      <c r="AF11" s="13" t="n">
        <f aca="false">IF($I11="","",IFERROR(1/(1/INDEX(Map_Stats!$K$2:$K$256,MATCH($F11&amp;"|"&amp;$I11,Map_Stats!$A$2:$A$256,0))),$O11))</f>
        <v>0.71</v>
      </c>
      <c r="AG11" s="10" t="n">
        <f aca="false">IF(OR($I11="",$P11=""),"",IFERROR(1/(1/INDEX(Map_Stats!$I$2:$I$256,MATCH($F11&amp;"|"&amp;$I11,Map_Stats!$A$2:$A$256,0))),$P11))</f>
        <v>0.545</v>
      </c>
      <c r="AH11" s="13" t="n">
        <f aca="false">IF(OR($I11="",AF11=""),"",IF($O11="",AF11,(AE11*AF11+Config!$B$4*$O11)/(AE11+Config!$B$4)))</f>
        <v>0.728181818181818</v>
      </c>
      <c r="AI11" s="10" t="n">
        <f aca="false">IF(AG11="","",(AE11*AG11+Config!$B$4*$P11)/(AE11+Config!$B$4))</f>
        <v>0.550454545454546</v>
      </c>
      <c r="AJ11" s="17" t="n">
        <f aca="false">IF(OR(AH11="",$L11=""),"",AH11*$L11*($L11/Config!$B$10)^Config!$B$9)</f>
        <v>15.6559090909091</v>
      </c>
      <c r="AK11" s="17" t="n">
        <f aca="false">IF(OR(AJ11="",AI11=""),"",AJ11*AI11)</f>
        <v>8.61786632231405</v>
      </c>
      <c r="AL11" s="17" t="n">
        <f aca="false">N(V11)+N(AC11)</f>
        <v>33.6219545454545</v>
      </c>
      <c r="AM11" s="17" t="n">
        <f aca="false">AL11+N($M11)*N(AJ11)</f>
        <v>41.0804296363636</v>
      </c>
      <c r="AN11" s="17" t="n">
        <f aca="false">IF(W11="","",N(W11)+N(AD11))</f>
        <v>18.2282230041322</v>
      </c>
      <c r="AO11" s="17" t="n">
        <f aca="false">IF(AN11="","",AN11+N($M11)*N(AK11))</f>
        <v>22.3337745200826</v>
      </c>
      <c r="AP11" s="10" t="n">
        <f aca="false">IFERROR(AN11/AL11,"")</f>
        <v>0.542152389727639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IF($C11=Board!$B$2,COUNTIFS($C$2:$C$42,Board!$B$2,$AL$2:$AL$42,"&gt;"&amp;$AL11)+COUNTIFS($C$1:$C10,Board!$B$2,$AL$1:$AL10,$AL11)+1,"")</f>
        <v/>
      </c>
      <c r="AS11" s="0" t="str">
        <f aca="false">IFERROR(IF($D11=INDEX(Matches!$AD$5:$AD$10,MATCH($C11,Matches!$A$5:$A$10,0)),"A",IF($D11=INDEX(Matches!$AE$5:$AE$10,MATCH($C11,Matches!$A$5:$A$10,0)),"B","")),"")</f>
        <v>B</v>
      </c>
      <c r="AT11" s="10" t="n">
        <f aca="false">IF($AS11="","",IFERROR(IF($AS11="A",INDEX(Matches!$AI$5:$AI$10,MATCH($C11,Matches!$A$5:$A$10,0)),INDEX(Matches!$AJ$5:$AJ$10,MATCH($C11,Matches!$A$5:$A$10,0))),""))</f>
        <v>0.524404588360737</v>
      </c>
      <c r="AU11" s="10" t="n">
        <f aca="false">IF($AS11="","",IFERROR(IF(INDEX(Matches!$AP$5:$AP$10,MATCH($C11,Matches!$A$5:$A$10,0))="","",IF($AS11="A",INDEX(Matches!$AP$5:$AP$10,MATCH($C11,Matches!$A$5:$A$10,0)),1-INDEX(Matches!$AP$5:$AP$10,MATCH($C11,Matches!$A$5:$A$10,0)))),""))</f>
        <v>0.490634329553829</v>
      </c>
      <c r="AV11" s="13" t="n">
        <f aca="false">IF(OR($AU11="",$AT11=""),1,((Config!$B$14*$AU11+Config!$B$15*(1-$AU11))/(Config!$B$14*$AT11+Config!$B$15*(1-$AT11)))^Config!$B$13)</f>
        <v>0.970466401141987</v>
      </c>
      <c r="AW11" s="10" t="n">
        <f aca="false">IF($AS11="","",IFERROR(IF(INDEX(Matches!$AV$5:$AV$10,MATCH($C11,Matches!$A$5:$A$10,0))="","",IF($AS11="A",INDEX(Matches!$AV$5:$AV$10,MATCH($C11,Matches!$A$5:$A$10,0)),1-INDEX(Matches!$AV$5:$AV$10,MATCH($C11,Matches!$A$5:$A$10,0)))),""))</f>
        <v>0.492351152658939</v>
      </c>
      <c r="AX11" s="13" t="n">
        <f aca="false">IF(OR($AW11="",$AT11=""),1,((Config!$B$14*$AW11+Config!$B$15*(1-$AW11))/(Config!$B$14*$AT11+Config!$B$15*(1-$AT11)))^Config!$B$13)</f>
        <v>0.971967839587763</v>
      </c>
      <c r="AY11" s="10" t="n">
        <f aca="false">IF($AS11="","",IFERROR(IF(INDEX(Matches!$BB$5:$BB$10,MATCH($C11,Matches!$A$5:$A$10,0))="","",IF($AS11="A",INDEX(Matches!$BB$5:$BB$10,MATCH($C11,Matches!$A$5:$A$10,0)),1-INDEX(Matches!$BB$5:$BB$10,MATCH($C11,Matches!$A$5:$A$10,0)))),""))</f>
        <v>0.470765914224426</v>
      </c>
      <c r="AZ11" s="13" t="n">
        <f aca="false">IF(OR($AY11="",$AT11=""),1,((Config!$B$14*$AY11+Config!$B$15*(1-$AY11))/(Config!$B$14*$AT11+Config!$B$15*(1-$AT11)))^Config!$B$13)</f>
        <v>0.953090584994467</v>
      </c>
      <c r="BA11" s="17" t="n">
        <f aca="false">IF(V11="","",V11*$AV11)</f>
        <v>17.1621689588863</v>
      </c>
      <c r="BB11" s="17" t="n">
        <f aca="false">IF(AC11="","",AC11*$AX11)</f>
        <v>15.49073744343</v>
      </c>
      <c r="BC11" s="17" t="n">
        <f aca="false">IF(AJ11="","",AJ11*$AZ11)</f>
        <v>14.9214995540747</v>
      </c>
      <c r="BD11" s="17" t="n">
        <f aca="false">N(BA11)+N(BB11)</f>
        <v>32.6529064023163</v>
      </c>
      <c r="BE11" s="17" t="n">
        <f aca="false">BD11+N($M11)*N(BC11)</f>
        <v>39.7615087898775</v>
      </c>
      <c r="BF11" s="17" t="n">
        <f aca="false">IF(W11="","",W11*$AV11)</f>
        <v>9.4376327302094</v>
      </c>
      <c r="BG11" s="17" t="n">
        <f aca="false">IF(AD11="","",AD11*$AX11)</f>
        <v>8.26501255049914</v>
      </c>
      <c r="BH11" s="17" t="n">
        <f aca="false">IF(AK11="","",AK11*$AZ11)</f>
        <v>8.21360725453842</v>
      </c>
      <c r="BI11" s="17" t="n">
        <f aca="false">IF(BF11="","",N(BF11)+N(BG11))</f>
        <v>17.7026452807085</v>
      </c>
      <c r="BJ11" s="17" t="n">
        <f aca="false">IF(BI11="","",BI11+N($M11)*N(BH11))</f>
        <v>21.6156077767706</v>
      </c>
      <c r="BK11" s="13" t="n">
        <f aca="false">IFERROR(BD11/AL11,1)</f>
        <v>0.97117811393659</v>
      </c>
    </row>
    <row r="12" customFormat="false" ht="15" hidden="false" customHeight="false" outlineLevel="0" collapsed="false">
      <c r="A12" s="0" t="s">
        <v>672</v>
      </c>
      <c r="B12" s="0" t="s">
        <v>568</v>
      </c>
      <c r="C12" s="0" t="s">
        <v>485</v>
      </c>
      <c r="D12" s="0" t="s">
        <v>574</v>
      </c>
      <c r="E12" s="0" t="s">
        <v>671</v>
      </c>
      <c r="F12" s="0" t="s">
        <v>796</v>
      </c>
      <c r="G12" s="0" t="str">
        <f aca="false">IFERROR(IF(INDEX(Matches!$W$5:$W$10,MATCH($C12,Matches!$A$5:$A$10,0))="","",INDEX(Matches!$W$5:$W$10,MATCH($C12,Matches!$A$5:$A$10,0))),"")</f>
        <v>Inferno</v>
      </c>
      <c r="H12" s="0" t="str">
        <f aca="false">IFERROR(IF(INDEX(Matches!$X$5:$X$10,MATCH($C12,Matches!$A$5:$A$10,0))="","",INDEX(Matches!$X$5:$X$10,MATCH($C12,Matches!$A$5:$A$10,0))),"")</f>
        <v>Cache</v>
      </c>
      <c r="I12" s="0" t="str">
        <f aca="false">IFERROR(IF(INDEX(Matches!$Y$5:$Y$10,MATCH($C12,Matches!$A$5:$A$10,0))="","",INDEX(Matches!$Y$5:$Y$10,MATCH($C12,Matches!$A$5:$A$10,0))),"")</f>
        <v>Mirage</v>
      </c>
      <c r="J12" s="11" t="n">
        <f aca="false">IFERROR(IF(INDEX(Matches!$Z$5:$Z$10,MATCH($C12,Matches!$A$5:$A$10,0))="","",INDEX(Matches!$Z$5:$Z$10,MATCH($C12,Matches!$A$5:$A$10,0))),"")</f>
        <v>21.5</v>
      </c>
      <c r="K12" s="11" t="n">
        <f aca="false">IFERROR(IF(INDEX(Matches!$AA$5:$AA$10,MATCH($C12,Matches!$A$5:$A$10,0))="","",INDEX(Matches!$AA$5:$AA$10,MATCH($C12,Matches!$A$5:$A$10,0))),"")</f>
        <v>21.5</v>
      </c>
      <c r="L12" s="11" t="n">
        <f aca="false">IFERROR(IF(INDEX(Matches!$AB$5:$AB$10,MATCH($C12,Matches!$A$5:$A$10,0))="","",INDEX(Matches!$AB$5:$AB$10,MATCH($C12,Matches!$A$5:$A$10,0))),"")</f>
        <v>21.5</v>
      </c>
      <c r="M12" s="10" t="n">
        <f aca="false">IFERROR(IF(INDEX(Matches!$AC$5:$AC$10,MATCH($C12,Matches!$A$5:$A$10,0))="","",INDEX(Matches!$AC$5:$AC$10,MATCH($C12,Matches!$A$5:$A$10,0))),"")</f>
        <v>0.5056</v>
      </c>
      <c r="N12" s="9" t="n">
        <f aca="false">IFERROR(INDEX(Players!$F$2:$F$42,MATCH($F12,Players!$A$2:$A$42,0)),0)</f>
        <v>37</v>
      </c>
      <c r="O12" s="13" t="n">
        <f aca="false">IFERROR(1/(1/INDEX(Players!$H$2:$H$42,MATCH($F12,Players!$A$2:$A$42,0))),"")</f>
        <v>0.75</v>
      </c>
      <c r="P12" s="10" t="n">
        <f aca="false">IFERROR(1/(1/INDEX(Players!$I$2:$I$42,MATCH($F12,Players!$A$2:$A$42,0))),"")</f>
        <v>0.47</v>
      </c>
      <c r="Q12" s="9" t="n">
        <f aca="false">IF($G12="",0,SUMIFS(Map_Stats!$F$2:$F$256,Map_Stats!$A$2:$A$256,$F12&amp;"|"&amp;$G12))</f>
        <v>5</v>
      </c>
      <c r="R12" s="13" t="n">
        <f aca="false">IF($G12="","",IFERROR(1/(1/INDEX(Map_Stats!$K$2:$K$256,MATCH($F12&amp;"|"&amp;$G12,Map_Stats!$A$2:$A$256,0))),$O12))</f>
        <v>0.64</v>
      </c>
      <c r="S12" s="10" t="n">
        <f aca="false">IF(OR($G12="",$P12=""),"",IFERROR(1/(1/INDEX(Map_Stats!$I$2:$I$256,MATCH($F12&amp;"|"&amp;$G12,Map_Stats!$A$2:$A$256,0))),$P12))</f>
        <v>0.5</v>
      </c>
      <c r="T12" s="13" t="n">
        <f aca="false">IF(OR($G12="",R12=""),"",IF($O12="",R12,(Q12*R12+Config!$B$4*$O12)/(Q12+Config!$B$4)))</f>
        <v>0.695</v>
      </c>
      <c r="U12" s="10" t="n">
        <f aca="false">IF(S12="","",(Q12*S12+Config!$B$4*$P12)/(Q12+Config!$B$4))</f>
        <v>0.485</v>
      </c>
      <c r="V12" s="17" t="n">
        <f aca="false">IF(OR(T12="",$J12=""),"",T12*$J12*($J12/Config!$B$10)^Config!$B$9)</f>
        <v>14.9425</v>
      </c>
      <c r="W12" s="17" t="n">
        <f aca="false">IF(OR(V12="",U12=""),"",V12*U12)</f>
        <v>7.2471125</v>
      </c>
      <c r="X12" s="9" t="n">
        <f aca="false">IF($H12="",0,SUMIFS(Map_Stats!$F$2:$F$256,Map_Stats!$A$2:$A$256,$F12&amp;"|"&amp;$H12))</f>
        <v>13</v>
      </c>
      <c r="Y12" s="13" t="n">
        <f aca="false">IF($H12="","",IFERROR(1/(1/INDEX(Map_Stats!$K$2:$K$256,MATCH($F12&amp;"|"&amp;$H12,Map_Stats!$A$2:$A$256,0))),$O12))</f>
        <v>0.75</v>
      </c>
      <c r="Z12" s="10" t="n">
        <f aca="false">IF(OR($H12="",$P12=""),"",IFERROR(1/(1/INDEX(Map_Stats!$I$2:$I$256,MATCH($F12&amp;"|"&amp;$H12,Map_Stats!$A$2:$A$256,0))),$P12))</f>
        <v>0.444</v>
      </c>
      <c r="AA12" s="13" t="n">
        <f aca="false">IF(OR($H12="",Y12=""),"",IF($O12="",Y12,(X12*Y12+Config!$B$4*$O12)/(X12+Config!$B$4)))</f>
        <v>0.75</v>
      </c>
      <c r="AB12" s="10" t="n">
        <f aca="false">IF(Z12="","",(X12*Z12+Config!$B$4*$P12)/(X12+Config!$B$4))</f>
        <v>0.451222222222222</v>
      </c>
      <c r="AC12" s="17" t="n">
        <f aca="false">IF(OR(AA12="",$K12=""),"",AA12*$K12*($K12/Config!$B$10)^Config!$B$9)</f>
        <v>16.125</v>
      </c>
      <c r="AD12" s="17" t="n">
        <f aca="false">IF(OR(AC12="",AB12=""),"",AC12*AB12)</f>
        <v>7.27595833333333</v>
      </c>
      <c r="AE12" s="9" t="n">
        <f aca="false">IF($I12="",0,SUMIFS(Map_Stats!$F$2:$F$256,Map_Stats!$A$2:$A$256,$F12&amp;"|"&amp;$I12))</f>
        <v>8</v>
      </c>
      <c r="AF12" s="13" t="n">
        <f aca="false">IF($I12="","",IFERROR(1/(1/INDEX(Map_Stats!$K$2:$K$256,MATCH($F12&amp;"|"&amp;$I12,Map_Stats!$A$2:$A$256,0))),$O12))</f>
        <v>0.78</v>
      </c>
      <c r="AG12" s="10" t="n">
        <f aca="false">IF(OR($I12="",$P12=""),"",IFERROR(1/(1/INDEX(Map_Stats!$I$2:$I$256,MATCH($F12&amp;"|"&amp;$I12,Map_Stats!$A$2:$A$256,0))),$P12))</f>
        <v>0.409</v>
      </c>
      <c r="AH12" s="13" t="n">
        <f aca="false">IF(OR($I12="",AF12=""),"",IF($O12="",AF12,(AE12*AF12+Config!$B$4*$O12)/(AE12+Config!$B$4)))</f>
        <v>0.768461538461539</v>
      </c>
      <c r="AI12" s="10" t="n">
        <f aca="false">IF(AG12="","",(AE12*AG12+Config!$B$4*$P12)/(AE12+Config!$B$4))</f>
        <v>0.432461538461538</v>
      </c>
      <c r="AJ12" s="17" t="n">
        <f aca="false">IF(OR(AH12="",$L12=""),"",AH12*$L12*($L12/Config!$B$10)^Config!$B$9)</f>
        <v>16.5219230769231</v>
      </c>
      <c r="AK12" s="17" t="n">
        <f aca="false">IF(OR(AJ12="",AI12=""),"",AJ12*AI12)</f>
        <v>7.14509627218935</v>
      </c>
      <c r="AL12" s="17" t="n">
        <f aca="false">N(V12)+N(AC12)</f>
        <v>31.0675</v>
      </c>
      <c r="AM12" s="17" t="n">
        <f aca="false">AL12+N($M12)*N(AJ12)</f>
        <v>39.4209843076923</v>
      </c>
      <c r="AN12" s="17" t="n">
        <f aca="false">IF(W12="","",N(W12)+N(AD12))</f>
        <v>14.5230708333333</v>
      </c>
      <c r="AO12" s="17" t="n">
        <f aca="false">IF(AN12="","",AN12+N($M12)*N(AK12))</f>
        <v>18.1356315085523</v>
      </c>
      <c r="AP12" s="10" t="n">
        <f aca="false">IFERROR(AN12/AL12,"")</f>
        <v>0.467468281430219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9" t="n">
        <f aca="false">IF($C12=Board!$B$2,COUNTIFS($C$2:$C$42,Board!$B$2,$AL$2:$AL$42,"&gt;"&amp;$AL12)+COUNTIFS($C$1:$C11,Board!$B$2,$AL$1:$AL11,$AL12)+1,"")</f>
        <v>2</v>
      </c>
      <c r="AS12" s="0" t="str">
        <f aca="false">IFERROR(IF($D12=INDEX(Matches!$AD$5:$AD$10,MATCH($C12,Matches!$A$5:$A$10,0)),"A",IF($D12=INDEX(Matches!$AE$5:$AE$10,MATCH($C12,Matches!$A$5:$A$10,0)),"B","")),"")</f>
        <v>A</v>
      </c>
      <c r="AT12" s="10" t="n">
        <f aca="false">IF($AS12="","",IFERROR(IF($AS12="A",INDEX(Matches!$AI$5:$AI$10,MATCH($C12,Matches!$A$5:$A$10,0)),INDEX(Matches!$AJ$5:$AJ$10,MATCH($C12,Matches!$A$5:$A$10,0))),""))</f>
        <v>0.516812090554577</v>
      </c>
      <c r="AU12" s="10" t="n">
        <f aca="false">IF($AS12="","",IFERROR(IF(INDEX(Matches!$AP$5:$AP$10,MATCH($C12,Matches!$A$5:$A$10,0))="","",IF($AS12="A",INDEX(Matches!$AP$5:$AP$10,MATCH($C12,Matches!$A$5:$A$10,0)),1-INDEX(Matches!$AP$5:$AP$10,MATCH($C12,Matches!$A$5:$A$10,0)))),""))</f>
        <v>0.470321259050894</v>
      </c>
      <c r="AV12" s="13" t="n">
        <f aca="false">IF(OR($AU12="",$AT12=""),1,((Config!$B$14*$AU12+Config!$B$15*(1-$AU12))/(Config!$B$14*$AT12+Config!$B$15*(1-$AT12)))^Config!$B$13)</f>
        <v>0.959069917604556</v>
      </c>
      <c r="AW12" s="10" t="n">
        <f aca="false">IF($AS12="","",IFERROR(IF(INDEX(Matches!$AV$5:$AV$10,MATCH($C12,Matches!$A$5:$A$10,0))="","",IF($AS12="A",INDEX(Matches!$AV$5:$AV$10,MATCH($C12,Matches!$A$5:$A$10,0)),1-INDEX(Matches!$AV$5:$AV$10,MATCH($C12,Matches!$A$5:$A$10,0)))),""))</f>
        <v>0.509349201205094</v>
      </c>
      <c r="AX12" s="13" t="n">
        <f aca="false">IF(OR($AW12="",$AT12=""),1,((Config!$B$14*$AW12+Config!$B$15*(1-$AW12))/(Config!$B$14*$AT12+Config!$B$15*(1-$AT12)))^Config!$B$13)</f>
        <v>0.993429743755858</v>
      </c>
      <c r="AY12" s="10" t="n">
        <f aca="false">IF($AS12="","",IFERROR(IF(INDEX(Matches!$BB$5:$BB$10,MATCH($C12,Matches!$A$5:$A$10,0))="","",IF($AS12="A",INDEX(Matches!$BB$5:$BB$10,MATCH($C12,Matches!$A$5:$A$10,0)),1-INDEX(Matches!$BB$5:$BB$10,MATCH($C12,Matches!$A$5:$A$10,0)))),""))</f>
        <v>0.488822360877487</v>
      </c>
      <c r="AZ12" s="13" t="n">
        <f aca="false">IF(OR($AY12="",$AT12=""),1,((Config!$B$14*$AY12+Config!$B$15*(1-$AY12))/(Config!$B$14*$AT12+Config!$B$15*(1-$AT12)))^Config!$B$13)</f>
        <v>0.975358110301409</v>
      </c>
      <c r="BA12" s="17" t="n">
        <f aca="false">IF(V12="","",V12*$AV12)</f>
        <v>14.3309022438061</v>
      </c>
      <c r="BB12" s="17" t="n">
        <f aca="false">IF(AC12="","",AC12*$AX12)</f>
        <v>16.0190546180632</v>
      </c>
      <c r="BC12" s="17" t="n">
        <f aca="false">IF(AJ12="","",AJ12*$AZ12)</f>
        <v>16.1147916708529</v>
      </c>
      <c r="BD12" s="17" t="n">
        <f aca="false">N(BA12)+N(BB12)</f>
        <v>30.3499568618693</v>
      </c>
      <c r="BE12" s="17" t="n">
        <f aca="false">BD12+N($M12)*N(BC12)</f>
        <v>38.4975955306525</v>
      </c>
      <c r="BF12" s="17" t="n">
        <f aca="false">IF(W12="","",W12*$AV12)</f>
        <v>6.95048758824594</v>
      </c>
      <c r="BG12" s="17" t="n">
        <f aca="false">IF(AD12="","",AD12*$AX12)</f>
        <v>7.22815342266163</v>
      </c>
      <c r="BH12" s="17" t="n">
        <f aca="false">IF(AK12="","",AK12*$AZ12)</f>
        <v>6.96902759796425</v>
      </c>
      <c r="BI12" s="17" t="n">
        <f aca="false">IF(BF12="","",N(BF12)+N(BG12))</f>
        <v>14.1786410109076</v>
      </c>
      <c r="BJ12" s="17" t="n">
        <f aca="false">IF(BI12="","",BI12+N($M12)*N(BH12))</f>
        <v>17.7021813644383</v>
      </c>
      <c r="BK12" s="13" t="n">
        <f aca="false">IFERROR(BD12/AL12,1)</f>
        <v>0.97690373740627</v>
      </c>
    </row>
    <row r="13" customFormat="false" ht="15" hidden="false" customHeight="false" outlineLevel="0" collapsed="false">
      <c r="A13" s="0" t="s">
        <v>675</v>
      </c>
      <c r="B13" s="0" t="s">
        <v>568</v>
      </c>
      <c r="C13" s="0" t="s">
        <v>485</v>
      </c>
      <c r="D13" s="0" t="s">
        <v>574</v>
      </c>
      <c r="E13" s="0" t="s">
        <v>673</v>
      </c>
      <c r="F13" s="0" t="s">
        <v>797</v>
      </c>
      <c r="G13" s="0" t="str">
        <f aca="false">IFERROR(IF(INDEX(Matches!$W$5:$W$10,MATCH($C13,Matches!$A$5:$A$10,0))="","",INDEX(Matches!$W$5:$W$10,MATCH($C13,Matches!$A$5:$A$10,0))),"")</f>
        <v>Inferno</v>
      </c>
      <c r="H13" s="0" t="str">
        <f aca="false">IFERROR(IF(INDEX(Matches!$X$5:$X$10,MATCH($C13,Matches!$A$5:$A$10,0))="","",INDEX(Matches!$X$5:$X$10,MATCH($C13,Matches!$A$5:$A$10,0))),"")</f>
        <v>Cache</v>
      </c>
      <c r="I13" s="0" t="str">
        <f aca="false">IFERROR(IF(INDEX(Matches!$Y$5:$Y$10,MATCH($C13,Matches!$A$5:$A$10,0))="","",INDEX(Matches!$Y$5:$Y$10,MATCH($C13,Matches!$A$5:$A$10,0))),"")</f>
        <v>Mirage</v>
      </c>
      <c r="J13" s="11" t="n">
        <f aca="false">IFERROR(IF(INDEX(Matches!$Z$5:$Z$10,MATCH($C13,Matches!$A$5:$A$10,0))="","",INDEX(Matches!$Z$5:$Z$10,MATCH($C13,Matches!$A$5:$A$10,0))),"")</f>
        <v>21.5</v>
      </c>
      <c r="K13" s="11" t="n">
        <f aca="false">IFERROR(IF(INDEX(Matches!$AA$5:$AA$10,MATCH($C13,Matches!$A$5:$A$10,0))="","",INDEX(Matches!$AA$5:$AA$10,MATCH($C13,Matches!$A$5:$A$10,0))),"")</f>
        <v>21.5</v>
      </c>
      <c r="L13" s="11" t="n">
        <f aca="false">IFERROR(IF(INDEX(Matches!$AB$5:$AB$10,MATCH($C13,Matches!$A$5:$A$10,0))="","",INDEX(Matches!$AB$5:$AB$10,MATCH($C13,Matches!$A$5:$A$10,0))),"")</f>
        <v>21.5</v>
      </c>
      <c r="M13" s="10" t="n">
        <f aca="false">IFERROR(IF(INDEX(Matches!$AC$5:$AC$10,MATCH($C13,Matches!$A$5:$A$10,0))="","",INDEX(Matches!$AC$5:$AC$10,MATCH($C13,Matches!$A$5:$A$10,0))),"")</f>
        <v>0.5056</v>
      </c>
      <c r="N13" s="9" t="n">
        <f aca="false">IFERROR(INDEX(Players!$F$2:$F$42,MATCH($F13,Players!$A$2:$A$42,0)),0)</f>
        <v>37</v>
      </c>
      <c r="O13" s="13" t="n">
        <f aca="false">IFERROR(1/(1/INDEX(Players!$H$2:$H$42,MATCH($F13,Players!$A$2:$A$42,0))),"")</f>
        <v>0.65</v>
      </c>
      <c r="P13" s="10" t="n">
        <f aca="false">IFERROR(1/(1/INDEX(Players!$I$2:$I$42,MATCH($F13,Players!$A$2:$A$42,0))),"")</f>
        <v>0.601</v>
      </c>
      <c r="Q13" s="9" t="n">
        <f aca="false">IF($G13="",0,SUMIFS(Map_Stats!$F$2:$F$256,Map_Stats!$A$2:$A$256,$F13&amp;"|"&amp;$G13))</f>
        <v>5</v>
      </c>
      <c r="R13" s="13" t="n">
        <f aca="false">IF($G13="","",IFERROR(1/(1/INDEX(Map_Stats!$K$2:$K$256,MATCH($F13&amp;"|"&amp;$G13,Map_Stats!$A$2:$A$256,0))),$O13))</f>
        <v>0.7</v>
      </c>
      <c r="S13" s="10" t="n">
        <f aca="false">IF(OR($G13="",$P13=""),"",IFERROR(1/(1/INDEX(Map_Stats!$I$2:$I$256,MATCH($F13&amp;"|"&amp;$G13,Map_Stats!$A$2:$A$256,0))),$P13))</f>
        <v>0.5</v>
      </c>
      <c r="T13" s="13" t="n">
        <f aca="false">IF(OR($G13="",R13=""),"",IF($O13="",R13,(Q13*R13+Config!$B$4*$O13)/(Q13+Config!$B$4)))</f>
        <v>0.675</v>
      </c>
      <c r="U13" s="10" t="n">
        <f aca="false">IF(S13="","",(Q13*S13+Config!$B$4*$P13)/(Q13+Config!$B$4))</f>
        <v>0.5505</v>
      </c>
      <c r="V13" s="17" t="n">
        <f aca="false">IF(OR(T13="",$J13=""),"",T13*$J13*($J13/Config!$B$10)^Config!$B$9)</f>
        <v>14.5125</v>
      </c>
      <c r="W13" s="17" t="n">
        <f aca="false">IF(OR(V13="",U13=""),"",V13*U13)</f>
        <v>7.98913125</v>
      </c>
      <c r="X13" s="9" t="n">
        <f aca="false">IF($H13="",0,SUMIFS(Map_Stats!$F$2:$F$256,Map_Stats!$A$2:$A$256,$F13&amp;"|"&amp;$H13))</f>
        <v>13</v>
      </c>
      <c r="Y13" s="13" t="n">
        <f aca="false">IF($H13="","",IFERROR(1/(1/INDEX(Map_Stats!$K$2:$K$256,MATCH($F13&amp;"|"&amp;$H13,Map_Stats!$A$2:$A$256,0))),$O13))</f>
        <v>0.65</v>
      </c>
      <c r="Z13" s="10" t="n">
        <f aca="false">IF(OR($H13="",$P13=""),"",IFERROR(1/(1/INDEX(Map_Stats!$I$2:$I$256,MATCH($F13&amp;"|"&amp;$H13,Map_Stats!$A$2:$A$256,0))),$P13))</f>
        <v>0.609</v>
      </c>
      <c r="AA13" s="13" t="n">
        <f aca="false">IF(OR($H13="",Y13=""),"",IF($O13="",Y13,(X13*Y13+Config!$B$4*$O13)/(X13+Config!$B$4)))</f>
        <v>0.65</v>
      </c>
      <c r="AB13" s="10" t="n">
        <f aca="false">IF(Z13="","",(X13*Z13+Config!$B$4*$P13)/(X13+Config!$B$4))</f>
        <v>0.606777777777778</v>
      </c>
      <c r="AC13" s="17" t="n">
        <f aca="false">IF(OR(AA13="",$K13=""),"",AA13*$K13*($K13/Config!$B$10)^Config!$B$9)</f>
        <v>13.975</v>
      </c>
      <c r="AD13" s="17" t="n">
        <f aca="false">IF(OR(AC13="",AB13=""),"",AC13*AB13)</f>
        <v>8.47971944444445</v>
      </c>
      <c r="AE13" s="9" t="n">
        <f aca="false">IF($I13="",0,SUMIFS(Map_Stats!$F$2:$F$256,Map_Stats!$A$2:$A$256,$F13&amp;"|"&amp;$I13))</f>
        <v>8</v>
      </c>
      <c r="AF13" s="13" t="n">
        <f aca="false">IF($I13="","",IFERROR(1/(1/INDEX(Map_Stats!$K$2:$K$256,MATCH($F13&amp;"|"&amp;$I13,Map_Stats!$A$2:$A$256,0))),$O13))</f>
        <v>0.61</v>
      </c>
      <c r="AG13" s="10" t="n">
        <f aca="false">IF(OR($I13="",$P13=""),"",IFERROR(1/(1/INDEX(Map_Stats!$I$2:$I$256,MATCH($F13&amp;"|"&amp;$I13,Map_Stats!$A$2:$A$256,0))),$P13))</f>
        <v>0.563</v>
      </c>
      <c r="AH13" s="13" t="n">
        <f aca="false">IF(OR($I13="",AF13=""),"",IF($O13="",AF13,(AE13*AF13+Config!$B$4*$O13)/(AE13+Config!$B$4)))</f>
        <v>0.625384615384615</v>
      </c>
      <c r="AI13" s="10" t="n">
        <f aca="false">IF(AG13="","",(AE13*AG13+Config!$B$4*$P13)/(AE13+Config!$B$4))</f>
        <v>0.577615384615385</v>
      </c>
      <c r="AJ13" s="17" t="n">
        <f aca="false">IF(OR(AH13="",$L13=""),"",AH13*$L13*($L13/Config!$B$10)^Config!$B$9)</f>
        <v>13.4457692307692</v>
      </c>
      <c r="AK13" s="17" t="n">
        <f aca="false">IF(OR(AJ13="",AI13=""),"",AJ13*AI13)</f>
        <v>7.76648316568047</v>
      </c>
      <c r="AL13" s="17" t="n">
        <f aca="false">N(V13)+N(AC13)</f>
        <v>28.4875</v>
      </c>
      <c r="AM13" s="17" t="n">
        <f aca="false">AL13+N($M13)*N(AJ13)</f>
        <v>35.2856809230769</v>
      </c>
      <c r="AN13" s="17" t="n">
        <f aca="false">IF(W13="","",N(W13)+N(AD13))</f>
        <v>16.4688506944444</v>
      </c>
      <c r="AO13" s="17" t="n">
        <f aca="false">IF(AN13="","",AN13+N($M13)*N(AK13))</f>
        <v>20.3955845830125</v>
      </c>
      <c r="AP13" s="10" t="n">
        <f aca="false">IFERROR(AN13/AL13,"")</f>
        <v>0.578107966457023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9" t="n">
        <f aca="false">IF($C13=Board!$B$2,COUNTIFS($C$2:$C$42,Board!$B$2,$AL$2:$AL$42,"&gt;"&amp;$AL13)+COUNTIFS($C$1:$C12,Board!$B$2,$AL$1:$AL12,$AL13)+1,"")</f>
        <v>4</v>
      </c>
      <c r="AS13" s="0" t="str">
        <f aca="false">IFERROR(IF($D13=INDEX(Matches!$AD$5:$AD$10,MATCH($C13,Matches!$A$5:$A$10,0)),"A",IF($D13=INDEX(Matches!$AE$5:$AE$10,MATCH($C13,Matches!$A$5:$A$10,0)),"B","")),"")</f>
        <v>A</v>
      </c>
      <c r="AT13" s="10" t="n">
        <f aca="false">IF($AS13="","",IFERROR(IF($AS13="A",INDEX(Matches!$AI$5:$AI$10,MATCH($C13,Matches!$A$5:$A$10,0)),INDEX(Matches!$AJ$5:$AJ$10,MATCH($C13,Matches!$A$5:$A$10,0))),""))</f>
        <v>0.516812090554577</v>
      </c>
      <c r="AU13" s="10" t="n">
        <f aca="false">IF($AS13="","",IFERROR(IF(INDEX(Matches!$AP$5:$AP$10,MATCH($C13,Matches!$A$5:$A$10,0))="","",IF($AS13="A",INDEX(Matches!$AP$5:$AP$10,MATCH($C13,Matches!$A$5:$A$10,0)),1-INDEX(Matches!$AP$5:$AP$10,MATCH($C13,Matches!$A$5:$A$10,0)))),""))</f>
        <v>0.470321259050894</v>
      </c>
      <c r="AV13" s="13" t="n">
        <f aca="false">IF(OR($AU13="",$AT13=""),1,((Config!$B$14*$AU13+Config!$B$15*(1-$AU13))/(Config!$B$14*$AT13+Config!$B$15*(1-$AT13)))^Config!$B$13)</f>
        <v>0.959069917604556</v>
      </c>
      <c r="AW13" s="10" t="n">
        <f aca="false">IF($AS13="","",IFERROR(IF(INDEX(Matches!$AV$5:$AV$10,MATCH($C13,Matches!$A$5:$A$10,0))="","",IF($AS13="A",INDEX(Matches!$AV$5:$AV$10,MATCH($C13,Matches!$A$5:$A$10,0)),1-INDEX(Matches!$AV$5:$AV$10,MATCH($C13,Matches!$A$5:$A$10,0)))),""))</f>
        <v>0.509349201205094</v>
      </c>
      <c r="AX13" s="13" t="n">
        <f aca="false">IF(OR($AW13="",$AT13=""),1,((Config!$B$14*$AW13+Config!$B$15*(1-$AW13))/(Config!$B$14*$AT13+Config!$B$15*(1-$AT13)))^Config!$B$13)</f>
        <v>0.993429743755858</v>
      </c>
      <c r="AY13" s="10" t="n">
        <f aca="false">IF($AS13="","",IFERROR(IF(INDEX(Matches!$BB$5:$BB$10,MATCH($C13,Matches!$A$5:$A$10,0))="","",IF($AS13="A",INDEX(Matches!$BB$5:$BB$10,MATCH($C13,Matches!$A$5:$A$10,0)),1-INDEX(Matches!$BB$5:$BB$10,MATCH($C13,Matches!$A$5:$A$10,0)))),""))</f>
        <v>0.488822360877487</v>
      </c>
      <c r="AZ13" s="13" t="n">
        <f aca="false">IF(OR($AY13="",$AT13=""),1,((Config!$B$14*$AY13+Config!$B$15*(1-$AY13))/(Config!$B$14*$AT13+Config!$B$15*(1-$AT13)))^Config!$B$13)</f>
        <v>0.975358110301409</v>
      </c>
      <c r="BA13" s="17" t="n">
        <f aca="false">IF(V13="","",V13*$AV13)</f>
        <v>13.9185021792361</v>
      </c>
      <c r="BB13" s="17" t="n">
        <f aca="false">IF(AC13="","",AC13*$AX13)</f>
        <v>13.8831806689881</v>
      </c>
      <c r="BC13" s="17" t="n">
        <f aca="false">IF(AJ13="","",AJ13*$AZ13)</f>
        <v>13.1144400684719</v>
      </c>
      <c r="BD13" s="17" t="n">
        <f aca="false">N(BA13)+N(BB13)</f>
        <v>27.8016828482242</v>
      </c>
      <c r="BE13" s="17" t="n">
        <f aca="false">BD13+N($M13)*N(BC13)</f>
        <v>34.4323437468436</v>
      </c>
      <c r="BF13" s="17" t="n">
        <f aca="false">IF(W13="","",W13*$AV13)</f>
        <v>7.66213544966948</v>
      </c>
      <c r="BG13" s="17" t="n">
        <f aca="false">IF(AD13="","",AD13*$AX13)</f>
        <v>8.42400551481601</v>
      </c>
      <c r="BH13" s="17" t="n">
        <f aca="false">IF(AK13="","",AK13*$AZ13)</f>
        <v>7.57510234416581</v>
      </c>
      <c r="BI13" s="17" t="n">
        <f aca="false">IF(BF13="","",N(BF13)+N(BG13))</f>
        <v>16.0861409644855</v>
      </c>
      <c r="BJ13" s="17" t="n">
        <f aca="false">IF(BI13="","",BI13+N($M13)*N(BH13))</f>
        <v>19.9161127096957</v>
      </c>
      <c r="BK13" s="13" t="n">
        <f aca="false">IFERROR(BD13/AL13,1)</f>
        <v>0.975925681376893</v>
      </c>
    </row>
    <row r="14" customFormat="false" ht="15" hidden="false" customHeight="false" outlineLevel="0" collapsed="false">
      <c r="A14" s="0" t="s">
        <v>677</v>
      </c>
      <c r="B14" s="0" t="s">
        <v>568</v>
      </c>
      <c r="C14" s="0" t="s">
        <v>485</v>
      </c>
      <c r="D14" s="0" t="s">
        <v>574</v>
      </c>
      <c r="E14" s="0" t="s">
        <v>676</v>
      </c>
      <c r="F14" s="0" t="s">
        <v>798</v>
      </c>
      <c r="G14" s="0" t="str">
        <f aca="false">IFERROR(IF(INDEX(Matches!$W$5:$W$10,MATCH($C14,Matches!$A$5:$A$10,0))="","",INDEX(Matches!$W$5:$W$10,MATCH($C14,Matches!$A$5:$A$10,0))),"")</f>
        <v>Inferno</v>
      </c>
      <c r="H14" s="0" t="str">
        <f aca="false">IFERROR(IF(INDEX(Matches!$X$5:$X$10,MATCH($C14,Matches!$A$5:$A$10,0))="","",INDEX(Matches!$X$5:$X$10,MATCH($C14,Matches!$A$5:$A$10,0))),"")</f>
        <v>Cache</v>
      </c>
      <c r="I14" s="0" t="str">
        <f aca="false">IFERROR(IF(INDEX(Matches!$Y$5:$Y$10,MATCH($C14,Matches!$A$5:$A$10,0))="","",INDEX(Matches!$Y$5:$Y$10,MATCH($C14,Matches!$A$5:$A$10,0))),"")</f>
        <v>Mirage</v>
      </c>
      <c r="J14" s="11" t="n">
        <f aca="false">IFERROR(IF(INDEX(Matches!$Z$5:$Z$10,MATCH($C14,Matches!$A$5:$A$10,0))="","",INDEX(Matches!$Z$5:$Z$10,MATCH($C14,Matches!$A$5:$A$10,0))),"")</f>
        <v>21.5</v>
      </c>
      <c r="K14" s="11" t="n">
        <f aca="false">IFERROR(IF(INDEX(Matches!$AA$5:$AA$10,MATCH($C14,Matches!$A$5:$A$10,0))="","",INDEX(Matches!$AA$5:$AA$10,MATCH($C14,Matches!$A$5:$A$10,0))),"")</f>
        <v>21.5</v>
      </c>
      <c r="L14" s="11" t="n">
        <f aca="false">IFERROR(IF(INDEX(Matches!$AB$5:$AB$10,MATCH($C14,Matches!$A$5:$A$10,0))="","",INDEX(Matches!$AB$5:$AB$10,MATCH($C14,Matches!$A$5:$A$10,0))),"")</f>
        <v>21.5</v>
      </c>
      <c r="M14" s="10" t="n">
        <f aca="false">IFERROR(IF(INDEX(Matches!$AC$5:$AC$10,MATCH($C14,Matches!$A$5:$A$10,0))="","",INDEX(Matches!$AC$5:$AC$10,MATCH($C14,Matches!$A$5:$A$10,0))),"")</f>
        <v>0.5056</v>
      </c>
      <c r="N14" s="9" t="n">
        <f aca="false">IFERROR(INDEX(Players!$F$2:$F$42,MATCH($F14,Players!$A$2:$A$42,0)),0)</f>
        <v>37</v>
      </c>
      <c r="O14" s="13" t="n">
        <f aca="false">IFERROR(1/(1/INDEX(Players!$H$2:$H$42,MATCH($F14,Players!$A$2:$A$42,0))),"")</f>
        <v>0.67</v>
      </c>
      <c r="P14" s="10" t="n">
        <f aca="false">IFERROR(1/(1/INDEX(Players!$I$2:$I$42,MATCH($F14,Players!$A$2:$A$42,0))),"")</f>
        <v>0.275</v>
      </c>
      <c r="Q14" s="9" t="n">
        <f aca="false">IF($G14="",0,SUMIFS(Map_Stats!$F$2:$F$256,Map_Stats!$A$2:$A$256,$F14&amp;"|"&amp;$G14))</f>
        <v>5</v>
      </c>
      <c r="R14" s="13" t="n">
        <f aca="false">IF($G14="","",IFERROR(1/(1/INDEX(Map_Stats!$K$2:$K$256,MATCH($F14&amp;"|"&amp;$G14,Map_Stats!$A$2:$A$256,0))),$O14))</f>
        <v>0.56</v>
      </c>
      <c r="S14" s="10" t="n">
        <f aca="false">IF(OR($G14="",$P14=""),"",IFERROR(1/(1/INDEX(Map_Stats!$I$2:$I$256,MATCH($F14&amp;"|"&amp;$G14,Map_Stats!$A$2:$A$256,0))),$P14))</f>
        <v>0.339</v>
      </c>
      <c r="T14" s="13" t="n">
        <f aca="false">IF(OR($G14="",R14=""),"",IF($O14="",R14,(Q14*R14+Config!$B$4*$O14)/(Q14+Config!$B$4)))</f>
        <v>0.615</v>
      </c>
      <c r="U14" s="10" t="n">
        <f aca="false">IF(S14="","",(Q14*S14+Config!$B$4*$P14)/(Q14+Config!$B$4))</f>
        <v>0.307</v>
      </c>
      <c r="V14" s="17" t="n">
        <f aca="false">IF(OR(T14="",$J14=""),"",T14*$J14*($J14/Config!$B$10)^Config!$B$9)</f>
        <v>13.2225</v>
      </c>
      <c r="W14" s="17" t="n">
        <f aca="false">IF(OR(V14="",U14=""),"",V14*U14)</f>
        <v>4.0593075</v>
      </c>
      <c r="X14" s="9" t="n">
        <f aca="false">IF($H14="",0,SUMIFS(Map_Stats!$F$2:$F$256,Map_Stats!$A$2:$A$256,$F14&amp;"|"&amp;$H14))</f>
        <v>13</v>
      </c>
      <c r="Y14" s="13" t="n">
        <f aca="false">IF($H14="","",IFERROR(1/(1/INDEX(Map_Stats!$K$2:$K$256,MATCH($F14&amp;"|"&amp;$H14,Map_Stats!$A$2:$A$256,0))),$O14))</f>
        <v>0.64</v>
      </c>
      <c r="Z14" s="10" t="n">
        <f aca="false">IF(OR($H14="",$P14=""),"",IFERROR(1/(1/INDEX(Map_Stats!$I$2:$I$256,MATCH($F14&amp;"|"&amp;$H14,Map_Stats!$A$2:$A$256,0))),$P14))</f>
        <v>0.282</v>
      </c>
      <c r="AA14" s="13" t="n">
        <f aca="false">IF(OR($H14="",Y14=""),"",IF($O14="",Y14,(X14*Y14+Config!$B$4*$O14)/(X14+Config!$B$4)))</f>
        <v>0.648333333333333</v>
      </c>
      <c r="AB14" s="10" t="n">
        <f aca="false">IF(Z14="","",(X14*Z14+Config!$B$4*$P14)/(X14+Config!$B$4))</f>
        <v>0.280055555555556</v>
      </c>
      <c r="AC14" s="17" t="n">
        <f aca="false">IF(OR(AA14="",$K14=""),"",AA14*$K14*($K14/Config!$B$10)^Config!$B$9)</f>
        <v>13.9391666666667</v>
      </c>
      <c r="AD14" s="17" t="n">
        <f aca="false">IF(OR(AC14="",AB14=""),"",AC14*AB14)</f>
        <v>3.90374106481481</v>
      </c>
      <c r="AE14" s="9" t="n">
        <f aca="false">IF($I14="",0,SUMIFS(Map_Stats!$F$2:$F$256,Map_Stats!$A$2:$A$256,$F14&amp;"|"&amp;$I14))</f>
        <v>8</v>
      </c>
      <c r="AF14" s="13" t="n">
        <f aca="false">IF($I14="","",IFERROR(1/(1/INDEX(Map_Stats!$K$2:$K$256,MATCH($F14&amp;"|"&amp;$I14,Map_Stats!$A$2:$A$256,0))),$O14))</f>
        <v>0.78</v>
      </c>
      <c r="AG14" s="10" t="n">
        <f aca="false">IF(OR($I14="",$P14=""),"",IFERROR(1/(1/INDEX(Map_Stats!$I$2:$I$256,MATCH($F14&amp;"|"&amp;$I14,Map_Stats!$A$2:$A$256,0))),$P14))</f>
        <v>0.214</v>
      </c>
      <c r="AH14" s="13" t="n">
        <f aca="false">IF(OR($I14="",AF14=""),"",IF($O14="",AF14,(AE14*AF14+Config!$B$4*$O14)/(AE14+Config!$B$4)))</f>
        <v>0.737692307692308</v>
      </c>
      <c r="AI14" s="10" t="n">
        <f aca="false">IF(AG14="","",(AE14*AG14+Config!$B$4*$P14)/(AE14+Config!$B$4))</f>
        <v>0.237461538461538</v>
      </c>
      <c r="AJ14" s="17" t="n">
        <f aca="false">IF(OR(AH14="",$L14=""),"",AH14*$L14*($L14/Config!$B$10)^Config!$B$9)</f>
        <v>15.8603846153846</v>
      </c>
      <c r="AK14" s="17" t="n">
        <f aca="false">IF(OR(AJ14="",AI14=""),"",AJ14*AI14)</f>
        <v>3.76623133136095</v>
      </c>
      <c r="AL14" s="17" t="n">
        <f aca="false">N(V14)+N(AC14)</f>
        <v>27.1616666666667</v>
      </c>
      <c r="AM14" s="17" t="n">
        <f aca="false">AL14+N($M14)*N(AJ14)</f>
        <v>35.1806771282051</v>
      </c>
      <c r="AN14" s="17" t="n">
        <f aca="false">IF(W14="","",N(W14)+N(AD14))</f>
        <v>7.96304856481482</v>
      </c>
      <c r="AO14" s="17" t="n">
        <f aca="false">IF(AN14="","",AN14+N($M14)*N(AK14))</f>
        <v>9.86725512595091</v>
      </c>
      <c r="AP14" s="10" t="n">
        <f aca="false">IFERROR(AN14/AL14,"")</f>
        <v>0.29317231017297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9" t="n">
        <f aca="false">IF($C14=Board!$B$2,COUNTIFS($C$2:$C$42,Board!$B$2,$AL$2:$AL$42,"&gt;"&amp;$AL14)+COUNTIFS($C$1:$C13,Board!$B$2,$AL$1:$AL13,$AL14)+1,"")</f>
        <v>7</v>
      </c>
      <c r="AS14" s="0" t="str">
        <f aca="false">IFERROR(IF($D14=INDEX(Matches!$AD$5:$AD$10,MATCH($C14,Matches!$A$5:$A$10,0)),"A",IF($D14=INDEX(Matches!$AE$5:$AE$10,MATCH($C14,Matches!$A$5:$A$10,0)),"B","")),"")</f>
        <v>A</v>
      </c>
      <c r="AT14" s="10" t="n">
        <f aca="false">IF($AS14="","",IFERROR(IF($AS14="A",INDEX(Matches!$AI$5:$AI$10,MATCH($C14,Matches!$A$5:$A$10,0)),INDEX(Matches!$AJ$5:$AJ$10,MATCH($C14,Matches!$A$5:$A$10,0))),""))</f>
        <v>0.516812090554577</v>
      </c>
      <c r="AU14" s="10" t="n">
        <f aca="false">IF($AS14="","",IFERROR(IF(INDEX(Matches!$AP$5:$AP$10,MATCH($C14,Matches!$A$5:$A$10,0))="","",IF($AS14="A",INDEX(Matches!$AP$5:$AP$10,MATCH($C14,Matches!$A$5:$A$10,0)),1-INDEX(Matches!$AP$5:$AP$10,MATCH($C14,Matches!$A$5:$A$10,0)))),""))</f>
        <v>0.470321259050894</v>
      </c>
      <c r="AV14" s="13" t="n">
        <f aca="false">IF(OR($AU14="",$AT14=""),1,((Config!$B$14*$AU14+Config!$B$15*(1-$AU14))/(Config!$B$14*$AT14+Config!$B$15*(1-$AT14)))^Config!$B$13)</f>
        <v>0.959069917604556</v>
      </c>
      <c r="AW14" s="10" t="n">
        <f aca="false">IF($AS14="","",IFERROR(IF(INDEX(Matches!$AV$5:$AV$10,MATCH($C14,Matches!$A$5:$A$10,0))="","",IF($AS14="A",INDEX(Matches!$AV$5:$AV$10,MATCH($C14,Matches!$A$5:$A$10,0)),1-INDEX(Matches!$AV$5:$AV$10,MATCH($C14,Matches!$A$5:$A$10,0)))),""))</f>
        <v>0.509349201205094</v>
      </c>
      <c r="AX14" s="13" t="n">
        <f aca="false">IF(OR($AW14="",$AT14=""),1,((Config!$B$14*$AW14+Config!$B$15*(1-$AW14))/(Config!$B$14*$AT14+Config!$B$15*(1-$AT14)))^Config!$B$13)</f>
        <v>0.993429743755858</v>
      </c>
      <c r="AY14" s="10" t="n">
        <f aca="false">IF($AS14="","",IFERROR(IF(INDEX(Matches!$BB$5:$BB$10,MATCH($C14,Matches!$A$5:$A$10,0))="","",IF($AS14="A",INDEX(Matches!$BB$5:$BB$10,MATCH($C14,Matches!$A$5:$A$10,0)),1-INDEX(Matches!$BB$5:$BB$10,MATCH($C14,Matches!$A$5:$A$10,0)))),""))</f>
        <v>0.488822360877487</v>
      </c>
      <c r="AZ14" s="13" t="n">
        <f aca="false">IF(OR($AY14="",$AT14=""),1,((Config!$B$14*$AY14+Config!$B$15*(1-$AY14))/(Config!$B$14*$AT14+Config!$B$15*(1-$AT14)))^Config!$B$13)</f>
        <v>0.975358110301409</v>
      </c>
      <c r="BA14" s="17" t="n">
        <f aca="false">IF(V14="","",V14*$AV14)</f>
        <v>12.6813019855262</v>
      </c>
      <c r="BB14" s="17" t="n">
        <f aca="false">IF(AC14="","",AC14*$AX14)</f>
        <v>13.8475827698369</v>
      </c>
      <c r="BC14" s="17" t="n">
        <f aca="false">IF(AJ14="","",AJ14*$AZ14)</f>
        <v>15.4695547671151</v>
      </c>
      <c r="BD14" s="17" t="n">
        <f aca="false">N(BA14)+N(BB14)</f>
        <v>26.5288847553631</v>
      </c>
      <c r="BE14" s="17" t="n">
        <f aca="false">BD14+N($M14)*N(BC14)</f>
        <v>34.3502916456165</v>
      </c>
      <c r="BF14" s="17" t="n">
        <f aca="false">IF(W14="","",W14*$AV14)</f>
        <v>3.89315970955656</v>
      </c>
      <c r="BG14" s="17" t="n">
        <f aca="false">IF(AD14="","",AD14*$AX14)</f>
        <v>3.8780924857082</v>
      </c>
      <c r="BH14" s="17" t="n">
        <f aca="false">IF(AK14="","",AK14*$AZ14)</f>
        <v>3.67342427431417</v>
      </c>
      <c r="BI14" s="17" t="n">
        <f aca="false">IF(BF14="","",N(BF14)+N(BG14))</f>
        <v>7.77125219526476</v>
      </c>
      <c r="BJ14" s="17" t="n">
        <f aca="false">IF(BI14="","",BI14+N($M14)*N(BH14))</f>
        <v>9.628535508358</v>
      </c>
      <c r="BK14" s="13" t="n">
        <f aca="false">IFERROR(BD14/AL14,1)</f>
        <v>0.976703126539723</v>
      </c>
    </row>
    <row r="15" customFormat="false" ht="15" hidden="false" customHeight="false" outlineLevel="0" collapsed="false">
      <c r="A15" s="0" t="s">
        <v>679</v>
      </c>
      <c r="B15" s="0" t="s">
        <v>568</v>
      </c>
      <c r="C15" s="0" t="s">
        <v>485</v>
      </c>
      <c r="D15" s="0" t="s">
        <v>574</v>
      </c>
      <c r="E15" s="0" t="s">
        <v>678</v>
      </c>
      <c r="F15" s="0" t="s">
        <v>799</v>
      </c>
      <c r="G15" s="0" t="str">
        <f aca="false">IFERROR(IF(INDEX(Matches!$W$5:$W$10,MATCH($C15,Matches!$A$5:$A$10,0))="","",INDEX(Matches!$W$5:$W$10,MATCH($C15,Matches!$A$5:$A$10,0))),"")</f>
        <v>Inferno</v>
      </c>
      <c r="H15" s="0" t="str">
        <f aca="false">IFERROR(IF(INDEX(Matches!$X$5:$X$10,MATCH($C15,Matches!$A$5:$A$10,0))="","",INDEX(Matches!$X$5:$X$10,MATCH($C15,Matches!$A$5:$A$10,0))),"")</f>
        <v>Cache</v>
      </c>
      <c r="I15" s="0" t="str">
        <f aca="false">IFERROR(IF(INDEX(Matches!$Y$5:$Y$10,MATCH($C15,Matches!$A$5:$A$10,0))="","",INDEX(Matches!$Y$5:$Y$10,MATCH($C15,Matches!$A$5:$A$10,0))),"")</f>
        <v>Mirage</v>
      </c>
      <c r="J15" s="11" t="n">
        <f aca="false">IFERROR(IF(INDEX(Matches!$Z$5:$Z$10,MATCH($C15,Matches!$A$5:$A$10,0))="","",INDEX(Matches!$Z$5:$Z$10,MATCH($C15,Matches!$A$5:$A$10,0))),"")</f>
        <v>21.5</v>
      </c>
      <c r="K15" s="11" t="n">
        <f aca="false">IFERROR(IF(INDEX(Matches!$AA$5:$AA$10,MATCH($C15,Matches!$A$5:$A$10,0))="","",INDEX(Matches!$AA$5:$AA$10,MATCH($C15,Matches!$A$5:$A$10,0))),"")</f>
        <v>21.5</v>
      </c>
      <c r="L15" s="11" t="n">
        <f aca="false">IFERROR(IF(INDEX(Matches!$AB$5:$AB$10,MATCH($C15,Matches!$A$5:$A$10,0))="","",INDEX(Matches!$AB$5:$AB$10,MATCH($C15,Matches!$A$5:$A$10,0))),"")</f>
        <v>21.5</v>
      </c>
      <c r="M15" s="10" t="n">
        <f aca="false">IFERROR(IF(INDEX(Matches!$AC$5:$AC$10,MATCH($C15,Matches!$A$5:$A$10,0))="","",INDEX(Matches!$AC$5:$AC$10,MATCH($C15,Matches!$A$5:$A$10,0))),"")</f>
        <v>0.5056</v>
      </c>
      <c r="N15" s="9" t="n">
        <f aca="false">IFERROR(INDEX(Players!$F$2:$F$42,MATCH($F15,Players!$A$2:$A$42,0)),0)</f>
        <v>37</v>
      </c>
      <c r="O15" s="13" t="n">
        <f aca="false">IFERROR(1/(1/INDEX(Players!$H$2:$H$42,MATCH($F15,Players!$A$2:$A$42,0))),"")</f>
        <v>0.61</v>
      </c>
      <c r="P15" s="10" t="n">
        <f aca="false">IFERROR(1/(1/INDEX(Players!$I$2:$I$42,MATCH($F15,Players!$A$2:$A$42,0))),"")</f>
        <v>0.552</v>
      </c>
      <c r="Q15" s="9" t="n">
        <f aca="false">IF($G15="",0,SUMIFS(Map_Stats!$F$2:$F$256,Map_Stats!$A$2:$A$256,$F15&amp;"|"&amp;$G15))</f>
        <v>5</v>
      </c>
      <c r="R15" s="13" t="n">
        <f aca="false">IF($G15="","",IFERROR(1/(1/INDEX(Map_Stats!$K$2:$K$256,MATCH($F15&amp;"|"&amp;$G15,Map_Stats!$A$2:$A$256,0))),$O15))</f>
        <v>0.61</v>
      </c>
      <c r="S15" s="10" t="n">
        <f aca="false">IF(OR($G15="",$P15=""),"",IFERROR(1/(1/INDEX(Map_Stats!$I$2:$I$256,MATCH($F15&amp;"|"&amp;$G15,Map_Stats!$A$2:$A$256,0))),$P15))</f>
        <v>0.554</v>
      </c>
      <c r="T15" s="13" t="n">
        <f aca="false">IF(OR($G15="",R15=""),"",IF($O15="",R15,(Q15*R15+Config!$B$4*$O15)/(Q15+Config!$B$4)))</f>
        <v>0.61</v>
      </c>
      <c r="U15" s="10" t="n">
        <f aca="false">IF(S15="","",(Q15*S15+Config!$B$4*$P15)/(Q15+Config!$B$4))</f>
        <v>0.553</v>
      </c>
      <c r="V15" s="17" t="n">
        <f aca="false">IF(OR(T15="",$J15=""),"",T15*$J15*($J15/Config!$B$10)^Config!$B$9)</f>
        <v>13.115</v>
      </c>
      <c r="W15" s="17" t="n">
        <f aca="false">IF(OR(V15="",U15=""),"",V15*U15)</f>
        <v>7.252595</v>
      </c>
      <c r="X15" s="9" t="n">
        <f aca="false">IF($H15="",0,SUMIFS(Map_Stats!$F$2:$F$256,Map_Stats!$A$2:$A$256,$F15&amp;"|"&amp;$H15))</f>
        <v>13</v>
      </c>
      <c r="Y15" s="13" t="n">
        <f aca="false">IF($H15="","",IFERROR(1/(1/INDEX(Map_Stats!$K$2:$K$256,MATCH($F15&amp;"|"&amp;$H15,Map_Stats!$A$2:$A$256,0))),$O15))</f>
        <v>0.66</v>
      </c>
      <c r="Z15" s="10" t="n">
        <f aca="false">IF(OR($H15="",$P15=""),"",IFERROR(1/(1/INDEX(Map_Stats!$I$2:$I$256,MATCH($F15&amp;"|"&amp;$H15,Map_Stats!$A$2:$A$256,0))),$P15))</f>
        <v>0.536</v>
      </c>
      <c r="AA15" s="13" t="n">
        <f aca="false">IF(OR($H15="",Y15=""),"",IF($O15="",Y15,(X15*Y15+Config!$B$4*$O15)/(X15+Config!$B$4)))</f>
        <v>0.646111111111111</v>
      </c>
      <c r="AB15" s="10" t="n">
        <f aca="false">IF(Z15="","",(X15*Z15+Config!$B$4*$P15)/(X15+Config!$B$4))</f>
        <v>0.540444444444444</v>
      </c>
      <c r="AC15" s="17" t="n">
        <f aca="false">IF(OR(AA15="",$K15=""),"",AA15*$K15*($K15/Config!$B$10)^Config!$B$9)</f>
        <v>13.8913888888889</v>
      </c>
      <c r="AD15" s="17" t="n">
        <f aca="false">IF(OR(AC15="",AB15=""),"",AC15*AB15)</f>
        <v>7.50752395061728</v>
      </c>
      <c r="AE15" s="9" t="n">
        <f aca="false">IF($I15="",0,SUMIFS(Map_Stats!$F$2:$F$256,Map_Stats!$A$2:$A$256,$F15&amp;"|"&amp;$I15))</f>
        <v>8</v>
      </c>
      <c r="AF15" s="13" t="n">
        <f aca="false">IF($I15="","",IFERROR(1/(1/INDEX(Map_Stats!$K$2:$K$256,MATCH($F15&amp;"|"&amp;$I15,Map_Stats!$A$2:$A$256,0))),$O15))</f>
        <v>0.7</v>
      </c>
      <c r="AG15" s="10" t="n">
        <f aca="false">IF(OR($I15="",$P15=""),"",IFERROR(1/(1/INDEX(Map_Stats!$I$2:$I$256,MATCH($F15&amp;"|"&amp;$I15,Map_Stats!$A$2:$A$256,0))),$P15))</f>
        <v>0.513</v>
      </c>
      <c r="AH15" s="13" t="n">
        <f aca="false">IF(OR($I15="",AF15=""),"",IF($O15="",AF15,(AE15*AF15+Config!$B$4*$O15)/(AE15+Config!$B$4)))</f>
        <v>0.665384615384615</v>
      </c>
      <c r="AI15" s="10" t="n">
        <f aca="false">IF(AG15="","",(AE15*AG15+Config!$B$4*$P15)/(AE15+Config!$B$4))</f>
        <v>0.528</v>
      </c>
      <c r="AJ15" s="17" t="n">
        <f aca="false">IF(OR(AH15="",$L15=""),"",AH15*$L15*($L15/Config!$B$10)^Config!$B$9)</f>
        <v>14.3057692307692</v>
      </c>
      <c r="AK15" s="17" t="n">
        <f aca="false">IF(OR(AJ15="",AI15=""),"",AJ15*AI15)</f>
        <v>7.55344615384615</v>
      </c>
      <c r="AL15" s="17" t="n">
        <f aca="false">N(V15)+N(AC15)</f>
        <v>27.0063888888889</v>
      </c>
      <c r="AM15" s="17" t="n">
        <f aca="false">AL15+N($M15)*N(AJ15)</f>
        <v>34.2393858119658</v>
      </c>
      <c r="AN15" s="17" t="n">
        <f aca="false">IF(W15="","",N(W15)+N(AD15))</f>
        <v>14.7601189506173</v>
      </c>
      <c r="AO15" s="17" t="n">
        <f aca="false">IF(AN15="","",AN15+N($M15)*N(AK15))</f>
        <v>18.5791413260019</v>
      </c>
      <c r="AP15" s="10" t="n">
        <f aca="false">IFERROR(AN15/AL15,"")</f>
        <v>0.546541746523171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9" t="n">
        <f aca="false">IF($C15=Board!$B$2,COUNTIFS($C$2:$C$42,Board!$B$2,$AL$2:$AL$42,"&gt;"&amp;$AL15)+COUNTIFS($C$1:$C14,Board!$B$2,$AL$1:$AL14,$AL15)+1,"")</f>
        <v>8</v>
      </c>
      <c r="AS15" s="0" t="str">
        <f aca="false">IFERROR(IF($D15=INDEX(Matches!$AD$5:$AD$10,MATCH($C15,Matches!$A$5:$A$10,0)),"A",IF($D15=INDEX(Matches!$AE$5:$AE$10,MATCH($C15,Matches!$A$5:$A$10,0)),"B","")),"")</f>
        <v>A</v>
      </c>
      <c r="AT15" s="10" t="n">
        <f aca="false">IF($AS15="","",IFERROR(IF($AS15="A",INDEX(Matches!$AI$5:$AI$10,MATCH($C15,Matches!$A$5:$A$10,0)),INDEX(Matches!$AJ$5:$AJ$10,MATCH($C15,Matches!$A$5:$A$10,0))),""))</f>
        <v>0.516812090554577</v>
      </c>
      <c r="AU15" s="10" t="n">
        <f aca="false">IF($AS15="","",IFERROR(IF(INDEX(Matches!$AP$5:$AP$10,MATCH($C15,Matches!$A$5:$A$10,0))="","",IF($AS15="A",INDEX(Matches!$AP$5:$AP$10,MATCH($C15,Matches!$A$5:$A$10,0)),1-INDEX(Matches!$AP$5:$AP$10,MATCH($C15,Matches!$A$5:$A$10,0)))),""))</f>
        <v>0.470321259050894</v>
      </c>
      <c r="AV15" s="13" t="n">
        <f aca="false">IF(OR($AU15="",$AT15=""),1,((Config!$B$14*$AU15+Config!$B$15*(1-$AU15))/(Config!$B$14*$AT15+Config!$B$15*(1-$AT15)))^Config!$B$13)</f>
        <v>0.959069917604556</v>
      </c>
      <c r="AW15" s="10" t="n">
        <f aca="false">IF($AS15="","",IFERROR(IF(INDEX(Matches!$AV$5:$AV$10,MATCH($C15,Matches!$A$5:$A$10,0))="","",IF($AS15="A",INDEX(Matches!$AV$5:$AV$10,MATCH($C15,Matches!$A$5:$A$10,0)),1-INDEX(Matches!$AV$5:$AV$10,MATCH($C15,Matches!$A$5:$A$10,0)))),""))</f>
        <v>0.509349201205094</v>
      </c>
      <c r="AX15" s="13" t="n">
        <f aca="false">IF(OR($AW15="",$AT15=""),1,((Config!$B$14*$AW15+Config!$B$15*(1-$AW15))/(Config!$B$14*$AT15+Config!$B$15*(1-$AT15)))^Config!$B$13)</f>
        <v>0.993429743755858</v>
      </c>
      <c r="AY15" s="10" t="n">
        <f aca="false">IF($AS15="","",IFERROR(IF(INDEX(Matches!$BB$5:$BB$10,MATCH($C15,Matches!$A$5:$A$10,0))="","",IF($AS15="A",INDEX(Matches!$BB$5:$BB$10,MATCH($C15,Matches!$A$5:$A$10,0)),1-INDEX(Matches!$BB$5:$BB$10,MATCH($C15,Matches!$A$5:$A$10,0)))),""))</f>
        <v>0.488822360877487</v>
      </c>
      <c r="AZ15" s="13" t="n">
        <f aca="false">IF(OR($AY15="",$AT15=""),1,((Config!$B$14*$AY15+Config!$B$15*(1-$AY15))/(Config!$B$14*$AT15+Config!$B$15*(1-$AT15)))^Config!$B$13)</f>
        <v>0.975358110301409</v>
      </c>
      <c r="BA15" s="17" t="n">
        <f aca="false">IF(V15="","",V15*$AV15)</f>
        <v>12.5782019693837</v>
      </c>
      <c r="BB15" s="17" t="n">
        <f aca="false">IF(AC15="","",AC15*$AX15)</f>
        <v>13.8001189043019</v>
      </c>
      <c r="BC15" s="17" t="n">
        <f aca="false">IF(AJ15="","",AJ15*$AZ15)</f>
        <v>13.9532480433311</v>
      </c>
      <c r="BD15" s="17" t="n">
        <f aca="false">N(BA15)+N(BB15)</f>
        <v>26.3783208736856</v>
      </c>
      <c r="BE15" s="17" t="n">
        <f aca="false">BD15+N($M15)*N(BC15)</f>
        <v>33.4330830843938</v>
      </c>
      <c r="BF15" s="17" t="n">
        <f aca="false">IF(W15="","",W15*$AV15)</f>
        <v>6.95574568906921</v>
      </c>
      <c r="BG15" s="17" t="n">
        <f aca="false">IF(AD15="","",AD15*$AX15)</f>
        <v>7.45819759450269</v>
      </c>
      <c r="BH15" s="17" t="n">
        <f aca="false">IF(AK15="","",AK15*$AZ15)</f>
        <v>7.36731496687883</v>
      </c>
      <c r="BI15" s="17" t="n">
        <f aca="false">IF(BF15="","",N(BF15)+N(BG15))</f>
        <v>14.4139432835719</v>
      </c>
      <c r="BJ15" s="17" t="n">
        <f aca="false">IF(BI15="","",BI15+N($M15)*N(BH15))</f>
        <v>18.1388577308258</v>
      </c>
      <c r="BK15" s="13" t="n">
        <f aca="false">IFERROR(BD15/AL15,1)</f>
        <v>0.976743724687247</v>
      </c>
    </row>
    <row r="16" customFormat="false" ht="15" hidden="false" customHeight="false" outlineLevel="0" collapsed="false">
      <c r="A16" s="0" t="s">
        <v>681</v>
      </c>
      <c r="B16" s="0" t="s">
        <v>568</v>
      </c>
      <c r="C16" s="0" t="s">
        <v>485</v>
      </c>
      <c r="D16" s="0" t="s">
        <v>574</v>
      </c>
      <c r="E16" s="0" t="s">
        <v>680</v>
      </c>
      <c r="F16" s="0" t="s">
        <v>800</v>
      </c>
      <c r="G16" s="0" t="str">
        <f aca="false">IFERROR(IF(INDEX(Matches!$W$5:$W$10,MATCH($C16,Matches!$A$5:$A$10,0))="","",INDEX(Matches!$W$5:$W$10,MATCH($C16,Matches!$A$5:$A$10,0))),"")</f>
        <v>Inferno</v>
      </c>
      <c r="H16" s="0" t="str">
        <f aca="false">IFERROR(IF(INDEX(Matches!$X$5:$X$10,MATCH($C16,Matches!$A$5:$A$10,0))="","",INDEX(Matches!$X$5:$X$10,MATCH($C16,Matches!$A$5:$A$10,0))),"")</f>
        <v>Cache</v>
      </c>
      <c r="I16" s="0" t="str">
        <f aca="false">IFERROR(IF(INDEX(Matches!$Y$5:$Y$10,MATCH($C16,Matches!$A$5:$A$10,0))="","",INDEX(Matches!$Y$5:$Y$10,MATCH($C16,Matches!$A$5:$A$10,0))),"")</f>
        <v>Mirage</v>
      </c>
      <c r="J16" s="11" t="n">
        <f aca="false">IFERROR(IF(INDEX(Matches!$Z$5:$Z$10,MATCH($C16,Matches!$A$5:$A$10,0))="","",INDEX(Matches!$Z$5:$Z$10,MATCH($C16,Matches!$A$5:$A$10,0))),"")</f>
        <v>21.5</v>
      </c>
      <c r="K16" s="11" t="n">
        <f aca="false">IFERROR(IF(INDEX(Matches!$AA$5:$AA$10,MATCH($C16,Matches!$A$5:$A$10,0))="","",INDEX(Matches!$AA$5:$AA$10,MATCH($C16,Matches!$A$5:$A$10,0))),"")</f>
        <v>21.5</v>
      </c>
      <c r="L16" s="11" t="n">
        <f aca="false">IFERROR(IF(INDEX(Matches!$AB$5:$AB$10,MATCH($C16,Matches!$A$5:$A$10,0))="","",INDEX(Matches!$AB$5:$AB$10,MATCH($C16,Matches!$A$5:$A$10,0))),"")</f>
        <v>21.5</v>
      </c>
      <c r="M16" s="10" t="n">
        <f aca="false">IFERROR(IF(INDEX(Matches!$AC$5:$AC$10,MATCH($C16,Matches!$A$5:$A$10,0))="","",INDEX(Matches!$AC$5:$AC$10,MATCH($C16,Matches!$A$5:$A$10,0))),"")</f>
        <v>0.5056</v>
      </c>
      <c r="N16" s="9" t="n">
        <f aca="false">IFERROR(INDEX(Players!$F$2:$F$42,MATCH($F16,Players!$A$2:$A$42,0)),0)</f>
        <v>37</v>
      </c>
      <c r="O16" s="13" t="n">
        <f aca="false">IFERROR(1/(1/INDEX(Players!$H$2:$H$42,MATCH($F16,Players!$A$2:$A$42,0))),"")</f>
        <v>0.61</v>
      </c>
      <c r="P16" s="10" t="n">
        <f aca="false">IFERROR(1/(1/INDEX(Players!$I$2:$I$42,MATCH($F16,Players!$A$2:$A$42,0))),"")</f>
        <v>0.477</v>
      </c>
      <c r="Q16" s="9" t="n">
        <f aca="false">IF($G16="",0,SUMIFS(Map_Stats!$F$2:$F$256,Map_Stats!$A$2:$A$256,$F16&amp;"|"&amp;$G16))</f>
        <v>5</v>
      </c>
      <c r="R16" s="13" t="n">
        <f aca="false">IF($G16="","",IFERROR(1/(1/INDEX(Map_Stats!$K$2:$K$256,MATCH($F16&amp;"|"&amp;$G16,Map_Stats!$A$2:$A$256,0))),$O16))</f>
        <v>0.68</v>
      </c>
      <c r="S16" s="10" t="n">
        <f aca="false">IF(OR($G16="",$P16=""),"",IFERROR(1/(1/INDEX(Map_Stats!$I$2:$I$256,MATCH($F16&amp;"|"&amp;$G16,Map_Stats!$A$2:$A$256,0))),$P16))</f>
        <v>0.458</v>
      </c>
      <c r="T16" s="13" t="n">
        <f aca="false">IF(OR($G16="",R16=""),"",IF($O16="",R16,(Q16*R16+Config!$B$4*$O16)/(Q16+Config!$B$4)))</f>
        <v>0.645</v>
      </c>
      <c r="U16" s="10" t="n">
        <f aca="false">IF(S16="","",(Q16*S16+Config!$B$4*$P16)/(Q16+Config!$B$4))</f>
        <v>0.4675</v>
      </c>
      <c r="V16" s="17" t="n">
        <f aca="false">IF(OR(T16="",$J16=""),"",T16*$J16*($J16/Config!$B$10)^Config!$B$9)</f>
        <v>13.8675</v>
      </c>
      <c r="W16" s="17" t="n">
        <f aca="false">IF(OR(V16="",U16=""),"",V16*U16)</f>
        <v>6.48305625</v>
      </c>
      <c r="X16" s="9" t="n">
        <f aca="false">IF($H16="",0,SUMIFS(Map_Stats!$F$2:$F$256,Map_Stats!$A$2:$A$256,$F16&amp;"|"&amp;$H16))</f>
        <v>13</v>
      </c>
      <c r="Y16" s="13" t="n">
        <f aca="false">IF($H16="","",IFERROR(1/(1/INDEX(Map_Stats!$K$2:$K$256,MATCH($F16&amp;"|"&amp;$H16,Map_Stats!$A$2:$A$256,0))),$O16))</f>
        <v>0.63</v>
      </c>
      <c r="Z16" s="10" t="n">
        <f aca="false">IF(OR($H16="",$P16=""),"",IFERROR(1/(1/INDEX(Map_Stats!$I$2:$I$256,MATCH($F16&amp;"|"&amp;$H16,Map_Stats!$A$2:$A$256,0))),$P16))</f>
        <v>0.451</v>
      </c>
      <c r="AA16" s="13" t="n">
        <f aca="false">IF(OR($H16="",Y16=""),"",IF($O16="",Y16,(X16*Y16+Config!$B$4*$O16)/(X16+Config!$B$4)))</f>
        <v>0.624444444444444</v>
      </c>
      <c r="AB16" s="10" t="n">
        <f aca="false">IF(Z16="","",(X16*Z16+Config!$B$4*$P16)/(X16+Config!$B$4))</f>
        <v>0.458222222222222</v>
      </c>
      <c r="AC16" s="17" t="n">
        <f aca="false">IF(OR(AA16="",$K16=""),"",AA16*$K16*($K16/Config!$B$10)^Config!$B$9)</f>
        <v>13.4255555555556</v>
      </c>
      <c r="AD16" s="17" t="n">
        <f aca="false">IF(OR(AC16="",AB16=""),"",AC16*AB16)</f>
        <v>6.15188790123457</v>
      </c>
      <c r="AE16" s="9" t="n">
        <f aca="false">IF($I16="",0,SUMIFS(Map_Stats!$F$2:$F$256,Map_Stats!$A$2:$A$256,$F16&amp;"|"&amp;$I16))</f>
        <v>8</v>
      </c>
      <c r="AF16" s="13" t="n">
        <f aca="false">IF($I16="","",IFERROR(1/(1/INDEX(Map_Stats!$K$2:$K$256,MATCH($F16&amp;"|"&amp;$I16,Map_Stats!$A$2:$A$256,0))),$O16))</f>
        <v>0.56</v>
      </c>
      <c r="AG16" s="10" t="n">
        <f aca="false">IF(OR($I16="",$P16=""),"",IFERROR(1/(1/INDEX(Map_Stats!$I$2:$I$256,MATCH($F16&amp;"|"&amp;$I16,Map_Stats!$A$2:$A$256,0))),$P16))</f>
        <v>0.447</v>
      </c>
      <c r="AH16" s="13" t="n">
        <f aca="false">IF(OR($I16="",AF16=""),"",IF($O16="",AF16,(AE16*AF16+Config!$B$4*$O16)/(AE16+Config!$B$4)))</f>
        <v>0.579230769230769</v>
      </c>
      <c r="AI16" s="10" t="n">
        <f aca="false">IF(AG16="","",(AE16*AG16+Config!$B$4*$P16)/(AE16+Config!$B$4))</f>
        <v>0.458538461538462</v>
      </c>
      <c r="AJ16" s="17" t="n">
        <f aca="false">IF(OR(AH16="",$L16=""),"",AH16*$L16*($L16/Config!$B$10)^Config!$B$9)</f>
        <v>12.4534615384615</v>
      </c>
      <c r="AK16" s="17" t="n">
        <f aca="false">IF(OR(AJ16="",AI16=""),"",AJ16*AI16)</f>
        <v>5.71039109467456</v>
      </c>
      <c r="AL16" s="17" t="n">
        <f aca="false">N(V16)+N(AC16)</f>
        <v>27.2930555555556</v>
      </c>
      <c r="AM16" s="17" t="n">
        <f aca="false">AL16+N($M16)*N(AJ16)</f>
        <v>33.5895257094017</v>
      </c>
      <c r="AN16" s="17" t="n">
        <f aca="false">IF(W16="","",N(W16)+N(AD16))</f>
        <v>12.6349441512346</v>
      </c>
      <c r="AO16" s="17" t="n">
        <f aca="false">IF(AN16="","",AN16+N($M16)*N(AK16))</f>
        <v>15.522117888702</v>
      </c>
      <c r="AP16" s="10" t="n">
        <f aca="false">IFERROR(AN16/AL16,"")</f>
        <v>0.46293622659859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9" t="n">
        <f aca="false">IF($C16=Board!$B$2,COUNTIFS($C$2:$C$42,Board!$B$2,$AL$2:$AL$42,"&gt;"&amp;$AL16)+COUNTIFS($C$1:$C15,Board!$B$2,$AL$1:$AL15,$AL16)+1,"")</f>
        <v>6</v>
      </c>
      <c r="AS16" s="0" t="str">
        <f aca="false">IFERROR(IF($D16=INDEX(Matches!$AD$5:$AD$10,MATCH($C16,Matches!$A$5:$A$10,0)),"A",IF($D16=INDEX(Matches!$AE$5:$AE$10,MATCH($C16,Matches!$A$5:$A$10,0)),"B","")),"")</f>
        <v>A</v>
      </c>
      <c r="AT16" s="10" t="n">
        <f aca="false">IF($AS16="","",IFERROR(IF($AS16="A",INDEX(Matches!$AI$5:$AI$10,MATCH($C16,Matches!$A$5:$A$10,0)),INDEX(Matches!$AJ$5:$AJ$10,MATCH($C16,Matches!$A$5:$A$10,0))),""))</f>
        <v>0.516812090554577</v>
      </c>
      <c r="AU16" s="10" t="n">
        <f aca="false">IF($AS16="","",IFERROR(IF(INDEX(Matches!$AP$5:$AP$10,MATCH($C16,Matches!$A$5:$A$10,0))="","",IF($AS16="A",INDEX(Matches!$AP$5:$AP$10,MATCH($C16,Matches!$A$5:$A$10,0)),1-INDEX(Matches!$AP$5:$AP$10,MATCH($C16,Matches!$A$5:$A$10,0)))),""))</f>
        <v>0.470321259050894</v>
      </c>
      <c r="AV16" s="13" t="n">
        <f aca="false">IF(OR($AU16="",$AT16=""),1,((Config!$B$14*$AU16+Config!$B$15*(1-$AU16))/(Config!$B$14*$AT16+Config!$B$15*(1-$AT16)))^Config!$B$13)</f>
        <v>0.959069917604556</v>
      </c>
      <c r="AW16" s="10" t="n">
        <f aca="false">IF($AS16="","",IFERROR(IF(INDEX(Matches!$AV$5:$AV$10,MATCH($C16,Matches!$A$5:$A$10,0))="","",IF($AS16="A",INDEX(Matches!$AV$5:$AV$10,MATCH($C16,Matches!$A$5:$A$10,0)),1-INDEX(Matches!$AV$5:$AV$10,MATCH($C16,Matches!$A$5:$A$10,0)))),""))</f>
        <v>0.509349201205094</v>
      </c>
      <c r="AX16" s="13" t="n">
        <f aca="false">IF(OR($AW16="",$AT16=""),1,((Config!$B$14*$AW16+Config!$B$15*(1-$AW16))/(Config!$B$14*$AT16+Config!$B$15*(1-$AT16)))^Config!$B$13)</f>
        <v>0.993429743755858</v>
      </c>
      <c r="AY16" s="10" t="n">
        <f aca="false">IF($AS16="","",IFERROR(IF(INDEX(Matches!$BB$5:$BB$10,MATCH($C16,Matches!$A$5:$A$10,0))="","",IF($AS16="A",INDEX(Matches!$BB$5:$BB$10,MATCH($C16,Matches!$A$5:$A$10,0)),1-INDEX(Matches!$BB$5:$BB$10,MATCH($C16,Matches!$A$5:$A$10,0)))),""))</f>
        <v>0.488822360877487</v>
      </c>
      <c r="AZ16" s="13" t="n">
        <f aca="false">IF(OR($AY16="",$AT16=""),1,((Config!$B$14*$AY16+Config!$B$15*(1-$AY16))/(Config!$B$14*$AT16+Config!$B$15*(1-$AT16)))^Config!$B$13)</f>
        <v>0.975358110301409</v>
      </c>
      <c r="BA16" s="17" t="n">
        <f aca="false">IF(V16="","",V16*$AV16)</f>
        <v>13.2999020823812</v>
      </c>
      <c r="BB16" s="17" t="n">
        <f aca="false">IF(AC16="","",AC16*$AX16)</f>
        <v>13.3373462153356</v>
      </c>
      <c r="BC16" s="17" t="n">
        <f aca="false">IF(AJ16="","",AJ16*$AZ16)</f>
        <v>12.1465847128651</v>
      </c>
      <c r="BD16" s="17" t="n">
        <f aca="false">N(BA16)+N(BB16)</f>
        <v>26.6372482977168</v>
      </c>
      <c r="BE16" s="17" t="n">
        <f aca="false">BD16+N($M16)*N(BC16)</f>
        <v>32.7785615285414</v>
      </c>
      <c r="BF16" s="17" t="n">
        <f aca="false">IF(W16="","",W16*$AV16)</f>
        <v>6.2177042235132</v>
      </c>
      <c r="BG16" s="17" t="n">
        <f aca="false">IF(AD16="","",AD16*$AX16)</f>
        <v>6.11146842133822</v>
      </c>
      <c r="BH16" s="17" t="n">
        <f aca="false">IF(AK16="","",AK16*$AZ16)</f>
        <v>5.56967626718377</v>
      </c>
      <c r="BI16" s="17" t="n">
        <f aca="false">IF(BF16="","",N(BF16)+N(BG16))</f>
        <v>12.3291726448514</v>
      </c>
      <c r="BJ16" s="17" t="n">
        <f aca="false">IF(BI16="","",BI16+N($M16)*N(BH16))</f>
        <v>15.1452009655395</v>
      </c>
      <c r="BK16" s="13" t="n">
        <f aca="false">IFERROR(BD16/AL16,1)</f>
        <v>0.975971643903927</v>
      </c>
    </row>
    <row r="17" customFormat="false" ht="15" hidden="false" customHeight="false" outlineLevel="0" collapsed="false">
      <c r="A17" s="0" t="s">
        <v>683</v>
      </c>
      <c r="B17" s="0" t="s">
        <v>568</v>
      </c>
      <c r="C17" s="0" t="s">
        <v>485</v>
      </c>
      <c r="D17" s="0" t="s">
        <v>575</v>
      </c>
      <c r="E17" s="0" t="s">
        <v>682</v>
      </c>
      <c r="F17" s="0" t="s">
        <v>801</v>
      </c>
      <c r="G17" s="0" t="str">
        <f aca="false">IFERROR(IF(INDEX(Matches!$W$5:$W$10,MATCH($C17,Matches!$A$5:$A$10,0))="","",INDEX(Matches!$W$5:$W$10,MATCH($C17,Matches!$A$5:$A$10,0))),"")</f>
        <v>Inferno</v>
      </c>
      <c r="H17" s="0" t="str">
        <f aca="false">IFERROR(IF(INDEX(Matches!$X$5:$X$10,MATCH($C17,Matches!$A$5:$A$10,0))="","",INDEX(Matches!$X$5:$X$10,MATCH($C17,Matches!$A$5:$A$10,0))),"")</f>
        <v>Cache</v>
      </c>
      <c r="I17" s="0" t="str">
        <f aca="false">IFERROR(IF(INDEX(Matches!$Y$5:$Y$10,MATCH($C17,Matches!$A$5:$A$10,0))="","",INDEX(Matches!$Y$5:$Y$10,MATCH($C17,Matches!$A$5:$A$10,0))),"")</f>
        <v>Mirage</v>
      </c>
      <c r="J17" s="11" t="n">
        <f aca="false">IFERROR(IF(INDEX(Matches!$Z$5:$Z$10,MATCH($C17,Matches!$A$5:$A$10,0))="","",INDEX(Matches!$Z$5:$Z$10,MATCH($C17,Matches!$A$5:$A$10,0))),"")</f>
        <v>21.5</v>
      </c>
      <c r="K17" s="11" t="n">
        <f aca="false">IFERROR(IF(INDEX(Matches!$AA$5:$AA$10,MATCH($C17,Matches!$A$5:$A$10,0))="","",INDEX(Matches!$AA$5:$AA$10,MATCH($C17,Matches!$A$5:$A$10,0))),"")</f>
        <v>21.5</v>
      </c>
      <c r="L17" s="11" t="n">
        <f aca="false">IFERROR(IF(INDEX(Matches!$AB$5:$AB$10,MATCH($C17,Matches!$A$5:$A$10,0))="","",INDEX(Matches!$AB$5:$AB$10,MATCH($C17,Matches!$A$5:$A$10,0))),"")</f>
        <v>21.5</v>
      </c>
      <c r="M17" s="10" t="n">
        <f aca="false">IFERROR(IF(INDEX(Matches!$AC$5:$AC$10,MATCH($C17,Matches!$A$5:$A$10,0))="","",INDEX(Matches!$AC$5:$AC$10,MATCH($C17,Matches!$A$5:$A$10,0))),"")</f>
        <v>0.5056</v>
      </c>
      <c r="N17" s="9" t="n">
        <f aca="false">IFERROR(INDEX(Players!$F$2:$F$42,MATCH($F17,Players!$A$2:$A$42,0)),0)</f>
        <v>34</v>
      </c>
      <c r="O17" s="13" t="n">
        <f aca="false">IFERROR(1/(1/INDEX(Players!$H$2:$H$42,MATCH($F17,Players!$A$2:$A$42,0))),"")</f>
        <v>0.78</v>
      </c>
      <c r="P17" s="10" t="n">
        <f aca="false">IFERROR(1/(1/INDEX(Players!$I$2:$I$42,MATCH($F17,Players!$A$2:$A$42,0))),"")</f>
        <v>0.372</v>
      </c>
      <c r="Q17" s="9" t="n">
        <f aca="false">IF($G17="",0,SUMIFS(Map_Stats!$F$2:$F$256,Map_Stats!$A$2:$A$256,$F17&amp;"|"&amp;$G17))</f>
        <v>10</v>
      </c>
      <c r="R17" s="13" t="n">
        <f aca="false">IF($G17="","",IFERROR(1/(1/INDEX(Map_Stats!$K$2:$K$256,MATCH($F17&amp;"|"&amp;$G17,Map_Stats!$A$2:$A$256,0))),$O17))</f>
        <v>0.79</v>
      </c>
      <c r="S17" s="10" t="n">
        <f aca="false">IF(OR($G17="",$P17=""),"",IFERROR(1/(1/INDEX(Map_Stats!$I$2:$I$256,MATCH($F17&amp;"|"&amp;$G17,Map_Stats!$A$2:$A$256,0))),$P17))</f>
        <v>0.276</v>
      </c>
      <c r="T17" s="13" t="n">
        <f aca="false">IF(OR($G17="",R17=""),"",IF($O17="",R17,(Q17*R17+Config!$B$4*$O17)/(Q17+Config!$B$4)))</f>
        <v>0.786666666666667</v>
      </c>
      <c r="U17" s="10" t="n">
        <f aca="false">IF(S17="","",(Q17*S17+Config!$B$4*$P17)/(Q17+Config!$B$4))</f>
        <v>0.308</v>
      </c>
      <c r="V17" s="17" t="n">
        <f aca="false">IF(OR(T17="",$J17=""),"",T17*$J17*($J17/Config!$B$10)^Config!$B$9)</f>
        <v>16.9133333333333</v>
      </c>
      <c r="W17" s="17" t="n">
        <f aca="false">IF(OR(V17="",U17=""),"",V17*U17)</f>
        <v>5.20930666666667</v>
      </c>
      <c r="X17" s="9" t="n">
        <f aca="false">IF($H17="",0,SUMIFS(Map_Stats!$F$2:$F$256,Map_Stats!$A$2:$A$256,$F17&amp;"|"&amp;$H17))</f>
        <v>2</v>
      </c>
      <c r="Y17" s="13" t="n">
        <f aca="false">IF($H17="","",IFERROR(1/(1/INDEX(Map_Stats!$K$2:$K$256,MATCH($F17&amp;"|"&amp;$H17,Map_Stats!$A$2:$A$256,0))),$O17))</f>
        <v>0.86</v>
      </c>
      <c r="Z17" s="10" t="n">
        <f aca="false">IF(OR($H17="",$P17=""),"",IFERROR(1/(1/INDEX(Map_Stats!$I$2:$I$256,MATCH($F17&amp;"|"&amp;$H17,Map_Stats!$A$2:$A$256,0))),$P17))</f>
        <v>0.417</v>
      </c>
      <c r="AA17" s="13" t="n">
        <f aca="false">IF(OR($H17="",Y17=""),"",IF($O17="",Y17,(X17*Y17+Config!$B$4*$O17)/(X17+Config!$B$4)))</f>
        <v>0.802857142857143</v>
      </c>
      <c r="AB17" s="10" t="n">
        <f aca="false">IF(Z17="","",(X17*Z17+Config!$B$4*$P17)/(X17+Config!$B$4))</f>
        <v>0.384857142857143</v>
      </c>
      <c r="AC17" s="17" t="n">
        <f aca="false">IF(OR(AA17="",$K17=""),"",AA17*$K17*($K17/Config!$B$10)^Config!$B$9)</f>
        <v>17.2614285714286</v>
      </c>
      <c r="AD17" s="17" t="n">
        <f aca="false">IF(OR(AC17="",AB17=""),"",AC17*AB17)</f>
        <v>6.64318408163265</v>
      </c>
      <c r="AE17" s="9" t="n">
        <f aca="false">IF($I17="",0,SUMIFS(Map_Stats!$F$2:$F$256,Map_Stats!$A$2:$A$256,$F17&amp;"|"&amp;$I17))</f>
        <v>6</v>
      </c>
      <c r="AF17" s="13" t="n">
        <f aca="false">IF($I17="","",IFERROR(1/(1/INDEX(Map_Stats!$K$2:$K$256,MATCH($F17&amp;"|"&amp;$I17,Map_Stats!$A$2:$A$256,0))),$O17))</f>
        <v>0.87</v>
      </c>
      <c r="AG17" s="10" t="n">
        <f aca="false">IF(OR($I17="",$P17=""),"",IFERROR(1/(1/INDEX(Map_Stats!$I$2:$I$256,MATCH($F17&amp;"|"&amp;$I17,Map_Stats!$A$2:$A$256,0))),$P17))</f>
        <v>0.481</v>
      </c>
      <c r="AH17" s="13" t="n">
        <f aca="false">IF(OR($I17="",AF17=""),"",IF($O17="",AF17,(AE17*AF17+Config!$B$4*$O17)/(AE17+Config!$B$4)))</f>
        <v>0.829090909090909</v>
      </c>
      <c r="AI17" s="10" t="n">
        <f aca="false">IF(AG17="","",(AE17*AG17+Config!$B$4*$P17)/(AE17+Config!$B$4))</f>
        <v>0.431454545454546</v>
      </c>
      <c r="AJ17" s="17" t="n">
        <f aca="false">IF(OR(AH17="",$L17=""),"",AH17*$L17*($L17/Config!$B$10)^Config!$B$9)</f>
        <v>17.8254545454545</v>
      </c>
      <c r="AK17" s="17" t="n">
        <f aca="false">IF(OR(AJ17="",AI17=""),"",AJ17*AI17)</f>
        <v>7.69087338842975</v>
      </c>
      <c r="AL17" s="17" t="n">
        <f aca="false">N(V17)+N(AC17)</f>
        <v>34.1747619047619</v>
      </c>
      <c r="AM17" s="17" t="n">
        <f aca="false">AL17+N($M17)*N(AJ17)</f>
        <v>43.1873117229437</v>
      </c>
      <c r="AN17" s="17" t="n">
        <f aca="false">IF(W17="","",N(W17)+N(AD17))</f>
        <v>11.8524907482993</v>
      </c>
      <c r="AO17" s="17" t="n">
        <f aca="false">IF(AN17="","",AN17+N($M17)*N(AK17))</f>
        <v>15.7409963334894</v>
      </c>
      <c r="AP17" s="10" t="n">
        <f aca="false">IFERROR(AN17/AL17,"")</f>
        <v>0.346819994864333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9" t="n">
        <f aca="false">IF($C17=Board!$B$2,COUNTIFS($C$2:$C$42,Board!$B$2,$AL$2:$AL$42,"&gt;"&amp;$AL17)+COUNTIFS($C$1:$C16,Board!$B$2,$AL$1:$AL16,$AL17)+1,"")</f>
        <v>1</v>
      </c>
      <c r="AS17" s="0" t="str">
        <f aca="false">IFERROR(IF($D17=INDEX(Matches!$AD$5:$AD$10,MATCH($C17,Matches!$A$5:$A$10,0)),"A",IF($D17=INDEX(Matches!$AE$5:$AE$10,MATCH($C17,Matches!$A$5:$A$10,0)),"B","")),"")</f>
        <v>B</v>
      </c>
      <c r="AT17" s="10" t="n">
        <f aca="false">IF($AS17="","",IFERROR(IF($AS17="A",INDEX(Matches!$AI$5:$AI$10,MATCH($C17,Matches!$A$5:$A$10,0)),INDEX(Matches!$AJ$5:$AJ$10,MATCH($C17,Matches!$A$5:$A$10,0))),""))</f>
        <v>0.503384316974118</v>
      </c>
      <c r="AU17" s="10" t="n">
        <f aca="false">IF($AS17="","",IFERROR(IF(INDEX(Matches!$AP$5:$AP$10,MATCH($C17,Matches!$A$5:$A$10,0))="","",IF($AS17="A",INDEX(Matches!$AP$5:$AP$10,MATCH($C17,Matches!$A$5:$A$10,0)),1-INDEX(Matches!$AP$5:$AP$10,MATCH($C17,Matches!$A$5:$A$10,0)))),""))</f>
        <v>0.529678740949106</v>
      </c>
      <c r="AV17" s="13" t="n">
        <f aca="false">IF(OR($AU17="",$AT17=""),1,((Config!$B$14*$AU17+Config!$B$15*(1-$AU17))/(Config!$B$14*$AT17+Config!$B$15*(1-$AT17)))^Config!$B$13)</f>
        <v>1.02342629707079</v>
      </c>
      <c r="AW17" s="10" t="n">
        <f aca="false">IF($AS17="","",IFERROR(IF(INDEX(Matches!$AV$5:$AV$10,MATCH($C17,Matches!$A$5:$A$10,0))="","",IF($AS17="A",INDEX(Matches!$AV$5:$AV$10,MATCH($C17,Matches!$A$5:$A$10,0)),1-INDEX(Matches!$AV$5:$AV$10,MATCH($C17,Matches!$A$5:$A$10,0)))),""))</f>
        <v>0.490650798794906</v>
      </c>
      <c r="AX17" s="13" t="n">
        <f aca="false">IF(OR($AW17="",$AT17=""),1,((Config!$B$14*$AW17+Config!$B$15*(1-$AW17))/(Config!$B$14*$AT17+Config!$B$15*(1-$AT17)))^Config!$B$13)</f>
        <v>0.988655420635711</v>
      </c>
      <c r="AY17" s="10" t="n">
        <f aca="false">IF($AS17="","",IFERROR(IF(INDEX(Matches!$BB$5:$BB$10,MATCH($C17,Matches!$A$5:$A$10,0))="","",IF($AS17="A",INDEX(Matches!$BB$5:$BB$10,MATCH($C17,Matches!$A$5:$A$10,0)),1-INDEX(Matches!$BB$5:$BB$10,MATCH($C17,Matches!$A$5:$A$10,0)))),""))</f>
        <v>0.511177639122513</v>
      </c>
      <c r="AZ17" s="13" t="n">
        <f aca="false">IF(OR($AY17="",$AT17=""),1,((Config!$B$14*$AY17+Config!$B$15*(1-$AY17))/(Config!$B$14*$AT17+Config!$B$15*(1-$AT17)))^Config!$B$13)</f>
        <v>1.00694324697854</v>
      </c>
      <c r="BA17" s="17" t="n">
        <f aca="false">IF(V17="","",V17*$AV17)</f>
        <v>17.3095501044573</v>
      </c>
      <c r="BB17" s="17" t="n">
        <f aca="false">IF(AC17="","",AC17*$AX17)</f>
        <v>17.065604925059</v>
      </c>
      <c r="BC17" s="17" t="n">
        <f aca="false">IF(AJ17="","",AJ17*$AZ17)</f>
        <v>17.9492210788683</v>
      </c>
      <c r="BD17" s="17" t="n">
        <f aca="false">N(BA17)+N(BB17)</f>
        <v>34.3751550295163</v>
      </c>
      <c r="BE17" s="17" t="n">
        <f aca="false">BD17+N($M17)*N(BC17)</f>
        <v>43.4502812069921</v>
      </c>
      <c r="BF17" s="17" t="n">
        <f aca="false">IF(W17="","",W17*$AV17)</f>
        <v>5.33134143217286</v>
      </c>
      <c r="BG17" s="17" t="n">
        <f aca="false">IF(AD17="","",AD17*$AX17)</f>
        <v>6.56781995258699</v>
      </c>
      <c r="BH17" s="17" t="n">
        <f aca="false">IF(AK17="","",AK17*$AZ17)</f>
        <v>7.74427302184628</v>
      </c>
      <c r="BI17" s="17" t="n">
        <f aca="false">IF(BF17="","",N(BF17)+N(BG17))</f>
        <v>11.8991613847598</v>
      </c>
      <c r="BJ17" s="17" t="n">
        <f aca="false">IF(BI17="","",BI17+N($M17)*N(BH17))</f>
        <v>15.8146658246053</v>
      </c>
      <c r="BK17" s="13" t="n">
        <f aca="false">IFERROR(BD17/AL17,1)</f>
        <v>1.00586377530041</v>
      </c>
    </row>
    <row r="18" customFormat="false" ht="15" hidden="false" customHeight="false" outlineLevel="0" collapsed="false">
      <c r="A18" s="0" t="s">
        <v>685</v>
      </c>
      <c r="B18" s="0" t="s">
        <v>568</v>
      </c>
      <c r="C18" s="0" t="s">
        <v>485</v>
      </c>
      <c r="D18" s="0" t="s">
        <v>575</v>
      </c>
      <c r="E18" s="0" t="s">
        <v>684</v>
      </c>
      <c r="F18" s="0" t="s">
        <v>802</v>
      </c>
      <c r="G18" s="0" t="str">
        <f aca="false">IFERROR(IF(INDEX(Matches!$W$5:$W$10,MATCH($C18,Matches!$A$5:$A$10,0))="","",INDEX(Matches!$W$5:$W$10,MATCH($C18,Matches!$A$5:$A$10,0))),"")</f>
        <v>Inferno</v>
      </c>
      <c r="H18" s="0" t="str">
        <f aca="false">IFERROR(IF(INDEX(Matches!$X$5:$X$10,MATCH($C18,Matches!$A$5:$A$10,0))="","",INDEX(Matches!$X$5:$X$10,MATCH($C18,Matches!$A$5:$A$10,0))),"")</f>
        <v>Cache</v>
      </c>
      <c r="I18" s="0" t="str">
        <f aca="false">IFERROR(IF(INDEX(Matches!$Y$5:$Y$10,MATCH($C18,Matches!$A$5:$A$10,0))="","",INDEX(Matches!$Y$5:$Y$10,MATCH($C18,Matches!$A$5:$A$10,0))),"")</f>
        <v>Mirage</v>
      </c>
      <c r="J18" s="11" t="n">
        <f aca="false">IFERROR(IF(INDEX(Matches!$Z$5:$Z$10,MATCH($C18,Matches!$A$5:$A$10,0))="","",INDEX(Matches!$Z$5:$Z$10,MATCH($C18,Matches!$A$5:$A$10,0))),"")</f>
        <v>21.5</v>
      </c>
      <c r="K18" s="11" t="n">
        <f aca="false">IFERROR(IF(INDEX(Matches!$AA$5:$AA$10,MATCH($C18,Matches!$A$5:$A$10,0))="","",INDEX(Matches!$AA$5:$AA$10,MATCH($C18,Matches!$A$5:$A$10,0))),"")</f>
        <v>21.5</v>
      </c>
      <c r="L18" s="11" t="n">
        <f aca="false">IFERROR(IF(INDEX(Matches!$AB$5:$AB$10,MATCH($C18,Matches!$A$5:$A$10,0))="","",INDEX(Matches!$AB$5:$AB$10,MATCH($C18,Matches!$A$5:$A$10,0))),"")</f>
        <v>21.5</v>
      </c>
      <c r="M18" s="10" t="n">
        <f aca="false">IFERROR(IF(INDEX(Matches!$AC$5:$AC$10,MATCH($C18,Matches!$A$5:$A$10,0))="","",INDEX(Matches!$AC$5:$AC$10,MATCH($C18,Matches!$A$5:$A$10,0))),"")</f>
        <v>0.5056</v>
      </c>
      <c r="N18" s="9" t="n">
        <f aca="false">IFERROR(INDEX(Players!$F$2:$F$42,MATCH($F18,Players!$A$2:$A$42,0)),0)</f>
        <v>34</v>
      </c>
      <c r="O18" s="13" t="n">
        <f aca="false">IFERROR(1/(1/INDEX(Players!$H$2:$H$42,MATCH($F18,Players!$A$2:$A$42,0))),"")</f>
        <v>0.68</v>
      </c>
      <c r="P18" s="10" t="n">
        <f aca="false">IFERROR(1/(1/INDEX(Players!$I$2:$I$42,MATCH($F18,Players!$A$2:$A$42,0))),"")</f>
        <v>0.453</v>
      </c>
      <c r="Q18" s="9" t="n">
        <f aca="false">IF($G18="",0,SUMIFS(Map_Stats!$F$2:$F$256,Map_Stats!$A$2:$A$256,$F18&amp;"|"&amp;$G18))</f>
        <v>10</v>
      </c>
      <c r="R18" s="13" t="n">
        <f aca="false">IF($G18="","",IFERROR(1/(1/INDEX(Map_Stats!$K$2:$K$256,MATCH($F18&amp;"|"&amp;$G18,Map_Stats!$A$2:$A$256,0))),$O18))</f>
        <v>0.62</v>
      </c>
      <c r="S18" s="10" t="n">
        <f aca="false">IF(OR($G18="",$P18=""),"",IFERROR(1/(1/INDEX(Map_Stats!$I$2:$I$256,MATCH($F18&amp;"|"&amp;$G18,Map_Stats!$A$2:$A$256,0))),$P18))</f>
        <v>0.461</v>
      </c>
      <c r="T18" s="13" t="n">
        <f aca="false">IF(OR($G18="",R18=""),"",IF($O18="",R18,(Q18*R18+Config!$B$4*$O18)/(Q18+Config!$B$4)))</f>
        <v>0.64</v>
      </c>
      <c r="U18" s="10" t="n">
        <f aca="false">IF(S18="","",(Q18*S18+Config!$B$4*$P18)/(Q18+Config!$B$4))</f>
        <v>0.458333333333333</v>
      </c>
      <c r="V18" s="17" t="n">
        <f aca="false">IF(OR(T18="",$J18=""),"",T18*$J18*($J18/Config!$B$10)^Config!$B$9)</f>
        <v>13.76</v>
      </c>
      <c r="W18" s="17" t="n">
        <f aca="false">IF(OR(V18="",U18=""),"",V18*U18)</f>
        <v>6.30666666666667</v>
      </c>
      <c r="X18" s="9" t="n">
        <f aca="false">IF($H18="",0,SUMIFS(Map_Stats!$F$2:$F$256,Map_Stats!$A$2:$A$256,$F18&amp;"|"&amp;$H18))</f>
        <v>2</v>
      </c>
      <c r="Y18" s="13" t="n">
        <f aca="false">IF($H18="","",IFERROR(1/(1/INDEX(Map_Stats!$K$2:$K$256,MATCH($F18&amp;"|"&amp;$H18,Map_Stats!$A$2:$A$256,0))),$O18))</f>
        <v>0.64</v>
      </c>
      <c r="Z18" s="10" t="n">
        <f aca="false">IF(OR($H18="",$P18=""),"",IFERROR(1/(1/INDEX(Map_Stats!$I$2:$I$256,MATCH($F18&amp;"|"&amp;$H18,Map_Stats!$A$2:$A$256,0))),$P18))</f>
        <v>0.333</v>
      </c>
      <c r="AA18" s="13" t="n">
        <f aca="false">IF(OR($H18="",Y18=""),"",IF($O18="",Y18,(X18*Y18+Config!$B$4*$O18)/(X18+Config!$B$4)))</f>
        <v>0.668571428571429</v>
      </c>
      <c r="AB18" s="10" t="n">
        <f aca="false">IF(Z18="","",(X18*Z18+Config!$B$4*$P18)/(X18+Config!$B$4))</f>
        <v>0.418714285714286</v>
      </c>
      <c r="AC18" s="17" t="n">
        <f aca="false">IF(OR(AA18="",$K18=""),"",AA18*$K18*($K18/Config!$B$10)^Config!$B$9)</f>
        <v>14.3742857142857</v>
      </c>
      <c r="AD18" s="17" t="n">
        <f aca="false">IF(OR(AC18="",AB18=""),"",AC18*AB18)</f>
        <v>6.01871877551021</v>
      </c>
      <c r="AE18" s="9" t="n">
        <f aca="false">IF($I18="",0,SUMIFS(Map_Stats!$F$2:$F$256,Map_Stats!$A$2:$A$256,$F18&amp;"|"&amp;$I18))</f>
        <v>6</v>
      </c>
      <c r="AF18" s="13" t="n">
        <f aca="false">IF($I18="","",IFERROR(1/(1/INDEX(Map_Stats!$K$2:$K$256,MATCH($F18&amp;"|"&amp;$I18,Map_Stats!$A$2:$A$256,0))),$O18))</f>
        <v>0.75</v>
      </c>
      <c r="AG18" s="10" t="n">
        <f aca="false">IF(OR($I18="",$P18=""),"",IFERROR(1/(1/INDEX(Map_Stats!$I$2:$I$256,MATCH($F18&amp;"|"&amp;$I18,Map_Stats!$A$2:$A$256,0))),$P18))</f>
        <v>0.511</v>
      </c>
      <c r="AH18" s="13" t="n">
        <f aca="false">IF(OR($I18="",AF18=""),"",IF($O18="",AF18,(AE18*AF18+Config!$B$4*$O18)/(AE18+Config!$B$4)))</f>
        <v>0.718181818181818</v>
      </c>
      <c r="AI18" s="10" t="n">
        <f aca="false">IF(AG18="","",(AE18*AG18+Config!$B$4*$P18)/(AE18+Config!$B$4))</f>
        <v>0.484636363636364</v>
      </c>
      <c r="AJ18" s="17" t="n">
        <f aca="false">IF(OR(AH18="",$L18=""),"",AH18*$L18*($L18/Config!$B$10)^Config!$B$9)</f>
        <v>15.4409090909091</v>
      </c>
      <c r="AK18" s="17" t="n">
        <f aca="false">IF(OR(AJ18="",AI18=""),"",AJ18*AI18)</f>
        <v>7.48322603305785</v>
      </c>
      <c r="AL18" s="17" t="n">
        <f aca="false">N(V18)+N(AC18)</f>
        <v>28.1342857142857</v>
      </c>
      <c r="AM18" s="17" t="n">
        <f aca="false">AL18+N($M18)*N(AJ18)</f>
        <v>35.9412093506494</v>
      </c>
      <c r="AN18" s="17" t="n">
        <f aca="false">IF(W18="","",N(W18)+N(AD18))</f>
        <v>12.3253854421769</v>
      </c>
      <c r="AO18" s="17" t="n">
        <f aca="false">IF(AN18="","",AN18+N($M18)*N(AK18))</f>
        <v>16.1089045244909</v>
      </c>
      <c r="AP18" s="10" t="n">
        <f aca="false">IFERROR(AN18/AL18,"")</f>
        <v>0.43809128716989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9" t="n">
        <f aca="false">IF($C18=Board!$B$2,COUNTIFS($C$2:$C$42,Board!$B$2,$AL$2:$AL$42,"&gt;"&amp;$AL18)+COUNTIFS($C$1:$C17,Board!$B$2,$AL$1:$AL17,$AL18)+1,"")</f>
        <v>5</v>
      </c>
      <c r="AS18" s="0" t="str">
        <f aca="false">IFERROR(IF($D18=INDEX(Matches!$AD$5:$AD$10,MATCH($C18,Matches!$A$5:$A$10,0)),"A",IF($D18=INDEX(Matches!$AE$5:$AE$10,MATCH($C18,Matches!$A$5:$A$10,0)),"B","")),"")</f>
        <v>B</v>
      </c>
      <c r="AT18" s="10" t="n">
        <f aca="false">IF($AS18="","",IFERROR(IF($AS18="A",INDEX(Matches!$AI$5:$AI$10,MATCH($C18,Matches!$A$5:$A$10,0)),INDEX(Matches!$AJ$5:$AJ$10,MATCH($C18,Matches!$A$5:$A$10,0))),""))</f>
        <v>0.503384316974118</v>
      </c>
      <c r="AU18" s="10" t="n">
        <f aca="false">IF($AS18="","",IFERROR(IF(INDEX(Matches!$AP$5:$AP$10,MATCH($C18,Matches!$A$5:$A$10,0))="","",IF($AS18="A",INDEX(Matches!$AP$5:$AP$10,MATCH($C18,Matches!$A$5:$A$10,0)),1-INDEX(Matches!$AP$5:$AP$10,MATCH($C18,Matches!$A$5:$A$10,0)))),""))</f>
        <v>0.529678740949106</v>
      </c>
      <c r="AV18" s="13" t="n">
        <f aca="false">IF(OR($AU18="",$AT18=""),1,((Config!$B$14*$AU18+Config!$B$15*(1-$AU18))/(Config!$B$14*$AT18+Config!$B$15*(1-$AT18)))^Config!$B$13)</f>
        <v>1.02342629707079</v>
      </c>
      <c r="AW18" s="10" t="n">
        <f aca="false">IF($AS18="","",IFERROR(IF(INDEX(Matches!$AV$5:$AV$10,MATCH($C18,Matches!$A$5:$A$10,0))="","",IF($AS18="A",INDEX(Matches!$AV$5:$AV$10,MATCH($C18,Matches!$A$5:$A$10,0)),1-INDEX(Matches!$AV$5:$AV$10,MATCH($C18,Matches!$A$5:$A$10,0)))),""))</f>
        <v>0.490650798794906</v>
      </c>
      <c r="AX18" s="13" t="n">
        <f aca="false">IF(OR($AW18="",$AT18=""),1,((Config!$B$14*$AW18+Config!$B$15*(1-$AW18))/(Config!$B$14*$AT18+Config!$B$15*(1-$AT18)))^Config!$B$13)</f>
        <v>0.988655420635711</v>
      </c>
      <c r="AY18" s="10" t="n">
        <f aca="false">IF($AS18="","",IFERROR(IF(INDEX(Matches!$BB$5:$BB$10,MATCH($C18,Matches!$A$5:$A$10,0))="","",IF($AS18="A",INDEX(Matches!$BB$5:$BB$10,MATCH($C18,Matches!$A$5:$A$10,0)),1-INDEX(Matches!$BB$5:$BB$10,MATCH($C18,Matches!$A$5:$A$10,0)))),""))</f>
        <v>0.511177639122513</v>
      </c>
      <c r="AZ18" s="13" t="n">
        <f aca="false">IF(OR($AY18="",$AT18=""),1,((Config!$B$14*$AY18+Config!$B$15*(1-$AY18))/(Config!$B$14*$AT18+Config!$B$15*(1-$AT18)))^Config!$B$13)</f>
        <v>1.00694324697854</v>
      </c>
      <c r="BA18" s="17" t="n">
        <f aca="false">IF(V18="","",V18*$AV18)</f>
        <v>14.0823458476941</v>
      </c>
      <c r="BB18" s="17" t="n">
        <f aca="false">IF(AC18="","",AC18*$AX18)</f>
        <v>14.211215489195</v>
      </c>
      <c r="BC18" s="17" t="n">
        <f aca="false">IF(AJ18="","",AJ18*$AZ18)</f>
        <v>15.5481191363004</v>
      </c>
      <c r="BD18" s="17" t="n">
        <f aca="false">N(BA18)+N(BB18)</f>
        <v>28.2935613368891</v>
      </c>
      <c r="BE18" s="17" t="n">
        <f aca="false">BD18+N($M18)*N(BC18)</f>
        <v>36.1546903722026</v>
      </c>
      <c r="BF18" s="17" t="n">
        <f aca="false">IF(W18="","",W18*$AV18)</f>
        <v>6.45440851352646</v>
      </c>
      <c r="BG18" s="17" t="n">
        <f aca="false">IF(AD18="","",AD18*$AX18)</f>
        <v>5.95043894269009</v>
      </c>
      <c r="BH18" s="17" t="n">
        <f aca="false">IF(AK18="","",AK18*$AZ18)</f>
        <v>7.53518391960159</v>
      </c>
      <c r="BI18" s="17" t="n">
        <f aca="false">IF(BF18="","",N(BF18)+N(BG18))</f>
        <v>12.4048474562166</v>
      </c>
      <c r="BJ18" s="17" t="n">
        <f aca="false">IF(BI18="","",BI18+N($M18)*N(BH18))</f>
        <v>16.2146364459671</v>
      </c>
      <c r="BK18" s="13" t="n">
        <f aca="false">IFERROR(BD18/AL18,1)</f>
        <v>1.00566126413234</v>
      </c>
    </row>
    <row r="19" customFormat="false" ht="15" hidden="false" customHeight="false" outlineLevel="0" collapsed="false">
      <c r="A19" s="0" t="s">
        <v>687</v>
      </c>
      <c r="B19" s="0" t="s">
        <v>568</v>
      </c>
      <c r="C19" s="0" t="s">
        <v>485</v>
      </c>
      <c r="D19" s="0" t="s">
        <v>575</v>
      </c>
      <c r="E19" s="0" t="s">
        <v>686</v>
      </c>
      <c r="F19" s="0" t="s">
        <v>803</v>
      </c>
      <c r="G19" s="0" t="str">
        <f aca="false">IFERROR(IF(INDEX(Matches!$W$5:$W$10,MATCH($C19,Matches!$A$5:$A$10,0))="","",INDEX(Matches!$W$5:$W$10,MATCH($C19,Matches!$A$5:$A$10,0))),"")</f>
        <v>Inferno</v>
      </c>
      <c r="H19" s="0" t="str">
        <f aca="false">IFERROR(IF(INDEX(Matches!$X$5:$X$10,MATCH($C19,Matches!$A$5:$A$10,0))="","",INDEX(Matches!$X$5:$X$10,MATCH($C19,Matches!$A$5:$A$10,0))),"")</f>
        <v>Cache</v>
      </c>
      <c r="I19" s="0" t="str">
        <f aca="false">IFERROR(IF(INDEX(Matches!$Y$5:$Y$10,MATCH($C19,Matches!$A$5:$A$10,0))="","",INDEX(Matches!$Y$5:$Y$10,MATCH($C19,Matches!$A$5:$A$10,0))),"")</f>
        <v>Mirage</v>
      </c>
      <c r="J19" s="11" t="n">
        <f aca="false">IFERROR(IF(INDEX(Matches!$Z$5:$Z$10,MATCH($C19,Matches!$A$5:$A$10,0))="","",INDEX(Matches!$Z$5:$Z$10,MATCH($C19,Matches!$A$5:$A$10,0))),"")</f>
        <v>21.5</v>
      </c>
      <c r="K19" s="11" t="n">
        <f aca="false">IFERROR(IF(INDEX(Matches!$AA$5:$AA$10,MATCH($C19,Matches!$A$5:$A$10,0))="","",INDEX(Matches!$AA$5:$AA$10,MATCH($C19,Matches!$A$5:$A$10,0))),"")</f>
        <v>21.5</v>
      </c>
      <c r="L19" s="11" t="n">
        <f aca="false">IFERROR(IF(INDEX(Matches!$AB$5:$AB$10,MATCH($C19,Matches!$A$5:$A$10,0))="","",INDEX(Matches!$AB$5:$AB$10,MATCH($C19,Matches!$A$5:$A$10,0))),"")</f>
        <v>21.5</v>
      </c>
      <c r="M19" s="10" t="n">
        <f aca="false">IFERROR(IF(INDEX(Matches!$AC$5:$AC$10,MATCH($C19,Matches!$A$5:$A$10,0))="","",INDEX(Matches!$AC$5:$AC$10,MATCH($C19,Matches!$A$5:$A$10,0))),"")</f>
        <v>0.5056</v>
      </c>
      <c r="N19" s="9" t="n">
        <f aca="false">IFERROR(INDEX(Players!$F$2:$F$42,MATCH($F19,Players!$A$2:$A$42,0)),0)</f>
        <v>37</v>
      </c>
      <c r="O19" s="13" t="n">
        <f aca="false">IFERROR(1/(1/INDEX(Players!$H$2:$H$42,MATCH($F19,Players!$A$2:$A$42,0))),"")</f>
        <v>0.71</v>
      </c>
      <c r="P19" s="10" t="n">
        <f aca="false">IFERROR(1/(1/INDEX(Players!$I$2:$I$42,MATCH($F19,Players!$A$2:$A$42,0))),"")</f>
        <v>0.596</v>
      </c>
      <c r="Q19" s="9" t="n">
        <f aca="false">IF($G19="",0,SUMIFS(Map_Stats!$F$2:$F$256,Map_Stats!$A$2:$A$256,$F19&amp;"|"&amp;$G19))</f>
        <v>8</v>
      </c>
      <c r="R19" s="13" t="n">
        <f aca="false">IF($G19="","",IFERROR(1/(1/INDEX(Map_Stats!$K$2:$K$256,MATCH($F19&amp;"|"&amp;$G19,Map_Stats!$A$2:$A$256,0))),$O19))</f>
        <v>0.75</v>
      </c>
      <c r="S19" s="10" t="n">
        <f aca="false">IF(OR($G19="",$P19=""),"",IFERROR(1/(1/INDEX(Map_Stats!$I$2:$I$256,MATCH($F19&amp;"|"&amp;$G19,Map_Stats!$A$2:$A$256,0))),$P19))</f>
        <v>0.552</v>
      </c>
      <c r="T19" s="13" t="n">
        <f aca="false">IF(OR($G19="",R19=""),"",IF($O19="",R19,(Q19*R19+Config!$B$4*$O19)/(Q19+Config!$B$4)))</f>
        <v>0.734615384615385</v>
      </c>
      <c r="U19" s="10" t="n">
        <f aca="false">IF(S19="","",(Q19*S19+Config!$B$4*$P19)/(Q19+Config!$B$4))</f>
        <v>0.568923076923077</v>
      </c>
      <c r="V19" s="17" t="n">
        <f aca="false">IF(OR(T19="",$J19=""),"",T19*$J19*($J19/Config!$B$10)^Config!$B$9)</f>
        <v>15.7942307692308</v>
      </c>
      <c r="W19" s="17" t="n">
        <f aca="false">IF(OR(V19="",U19=""),"",V19*U19)</f>
        <v>8.98570236686391</v>
      </c>
      <c r="X19" s="9" t="n">
        <f aca="false">IF($H19="",0,SUMIFS(Map_Stats!$F$2:$F$256,Map_Stats!$A$2:$A$256,$F19&amp;"|"&amp;$H19))</f>
        <v>1</v>
      </c>
      <c r="Y19" s="13" t="n">
        <f aca="false">IF($H19="","",IFERROR(1/(1/INDEX(Map_Stats!$K$2:$K$256,MATCH($F19&amp;"|"&amp;$H19,Map_Stats!$A$2:$A$256,0))),$O19))</f>
        <v>0.67</v>
      </c>
      <c r="Z19" s="10" t="n">
        <f aca="false">IF(OR($H19="",$P19=""),"",IFERROR(1/(1/INDEX(Map_Stats!$I$2:$I$256,MATCH($F19&amp;"|"&amp;$H19,Map_Stats!$A$2:$A$256,0))),$P19))</f>
        <v>0.643</v>
      </c>
      <c r="AA19" s="13" t="n">
        <f aca="false">IF(OR($H19="",Y19=""),"",IF($O19="",Y19,(X19*Y19+Config!$B$4*$O19)/(X19+Config!$B$4)))</f>
        <v>0.703333333333333</v>
      </c>
      <c r="AB19" s="10" t="n">
        <f aca="false">IF(Z19="","",(X19*Z19+Config!$B$4*$P19)/(X19+Config!$B$4))</f>
        <v>0.603833333333333</v>
      </c>
      <c r="AC19" s="17" t="n">
        <f aca="false">IF(OR(AA19="",$K19=""),"",AA19*$K19*($K19/Config!$B$10)^Config!$B$9)</f>
        <v>15.1216666666667</v>
      </c>
      <c r="AD19" s="17" t="n">
        <f aca="false">IF(OR(AC19="",AB19=""),"",AC19*AB19)</f>
        <v>9.13096638888889</v>
      </c>
      <c r="AE19" s="9" t="n">
        <f aca="false">IF($I19="",0,SUMIFS(Map_Stats!$F$2:$F$256,Map_Stats!$A$2:$A$256,$F19&amp;"|"&amp;$I19))</f>
        <v>10</v>
      </c>
      <c r="AF19" s="13" t="n">
        <f aca="false">IF($I19="","",IFERROR(1/(1/INDEX(Map_Stats!$K$2:$K$256,MATCH($F19&amp;"|"&amp;$I19,Map_Stats!$A$2:$A$256,0))),$O19))</f>
        <v>0.65</v>
      </c>
      <c r="AG19" s="10" t="n">
        <f aca="false">IF(OR($I19="",$P19=""),"",IFERROR(1/(1/INDEX(Map_Stats!$I$2:$I$256,MATCH($F19&amp;"|"&amp;$I19,Map_Stats!$A$2:$A$256,0))),$P19))</f>
        <v>0.634</v>
      </c>
      <c r="AH19" s="13" t="n">
        <f aca="false">IF(OR($I19="",AF19=""),"",IF($O19="",AF19,(AE19*AF19+Config!$B$4*$O19)/(AE19+Config!$B$4)))</f>
        <v>0.67</v>
      </c>
      <c r="AI19" s="10" t="n">
        <f aca="false">IF(AG19="","",(AE19*AG19+Config!$B$4*$P19)/(AE19+Config!$B$4))</f>
        <v>0.621333333333333</v>
      </c>
      <c r="AJ19" s="17" t="n">
        <f aca="false">IF(OR(AH19="",$L19=""),"",AH19*$L19*($L19/Config!$B$10)^Config!$B$9)</f>
        <v>14.405</v>
      </c>
      <c r="AK19" s="17" t="n">
        <f aca="false">IF(OR(AJ19="",AI19=""),"",AJ19*AI19)</f>
        <v>8.95030666666667</v>
      </c>
      <c r="AL19" s="17" t="n">
        <f aca="false">N(V19)+N(AC19)</f>
        <v>30.9158974358974</v>
      </c>
      <c r="AM19" s="17" t="n">
        <f aca="false">AL19+N($M19)*N(AJ19)</f>
        <v>38.1990654358974</v>
      </c>
      <c r="AN19" s="17" t="n">
        <f aca="false">IF(W19="","",N(W19)+N(AD19))</f>
        <v>18.1166687557528</v>
      </c>
      <c r="AO19" s="17" t="n">
        <f aca="false">IF(AN19="","",AN19+N($M19)*N(AK19))</f>
        <v>22.6419438064195</v>
      </c>
      <c r="AP19" s="10" t="n">
        <f aca="false">IFERROR(AN19/AL19,"")</f>
        <v>0.585998475163686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9" t="n">
        <f aca="false">IF($C19=Board!$B$2,COUNTIFS($C$2:$C$42,Board!$B$2,$AL$2:$AL$42,"&gt;"&amp;$AL19)+COUNTIFS($C$1:$C18,Board!$B$2,$AL$1:$AL18,$AL19)+1,"")</f>
        <v>3</v>
      </c>
      <c r="AS19" s="0" t="str">
        <f aca="false">IFERROR(IF($D19=INDEX(Matches!$AD$5:$AD$10,MATCH($C19,Matches!$A$5:$A$10,0)),"A",IF($D19=INDEX(Matches!$AE$5:$AE$10,MATCH($C19,Matches!$A$5:$A$10,0)),"B","")),"")</f>
        <v>B</v>
      </c>
      <c r="AT19" s="10" t="n">
        <f aca="false">IF($AS19="","",IFERROR(IF($AS19="A",INDEX(Matches!$AI$5:$AI$10,MATCH($C19,Matches!$A$5:$A$10,0)),INDEX(Matches!$AJ$5:$AJ$10,MATCH($C19,Matches!$A$5:$A$10,0))),""))</f>
        <v>0.503384316974118</v>
      </c>
      <c r="AU19" s="10" t="n">
        <f aca="false">IF($AS19="","",IFERROR(IF(INDEX(Matches!$AP$5:$AP$10,MATCH($C19,Matches!$A$5:$A$10,0))="","",IF($AS19="A",INDEX(Matches!$AP$5:$AP$10,MATCH($C19,Matches!$A$5:$A$10,0)),1-INDEX(Matches!$AP$5:$AP$10,MATCH($C19,Matches!$A$5:$A$10,0)))),""))</f>
        <v>0.529678740949106</v>
      </c>
      <c r="AV19" s="13" t="n">
        <f aca="false">IF(OR($AU19="",$AT19=""),1,((Config!$B$14*$AU19+Config!$B$15*(1-$AU19))/(Config!$B$14*$AT19+Config!$B$15*(1-$AT19)))^Config!$B$13)</f>
        <v>1.02342629707079</v>
      </c>
      <c r="AW19" s="10" t="n">
        <f aca="false">IF($AS19="","",IFERROR(IF(INDEX(Matches!$AV$5:$AV$10,MATCH($C19,Matches!$A$5:$A$10,0))="","",IF($AS19="A",INDEX(Matches!$AV$5:$AV$10,MATCH($C19,Matches!$A$5:$A$10,0)),1-INDEX(Matches!$AV$5:$AV$10,MATCH($C19,Matches!$A$5:$A$10,0)))),""))</f>
        <v>0.490650798794906</v>
      </c>
      <c r="AX19" s="13" t="n">
        <f aca="false">IF(OR($AW19="",$AT19=""),1,((Config!$B$14*$AW19+Config!$B$15*(1-$AW19))/(Config!$B$14*$AT19+Config!$B$15*(1-$AT19)))^Config!$B$13)</f>
        <v>0.988655420635711</v>
      </c>
      <c r="AY19" s="10" t="n">
        <f aca="false">IF($AS19="","",IFERROR(IF(INDEX(Matches!$BB$5:$BB$10,MATCH($C19,Matches!$A$5:$A$10,0))="","",IF($AS19="A",INDEX(Matches!$BB$5:$BB$10,MATCH($C19,Matches!$A$5:$A$10,0)),1-INDEX(Matches!$BB$5:$BB$10,MATCH($C19,Matches!$A$5:$A$10,0)))),""))</f>
        <v>0.511177639122513</v>
      </c>
      <c r="AZ19" s="13" t="n">
        <f aca="false">IF(OR($AY19="",$AT19=""),1,((Config!$B$14*$AY19+Config!$B$15*(1-$AY19))/(Config!$B$14*$AT19+Config!$B$15*(1-$AT19)))^Config!$B$13)</f>
        <v>1.00694324697854</v>
      </c>
      <c r="BA19" s="17" t="n">
        <f aca="false">IF(V19="","",V19*$AV19)</f>
        <v>16.1642311112354</v>
      </c>
      <c r="BB19" s="17" t="n">
        <f aca="false">IF(AC19="","",AC19*$AX19)</f>
        <v>14.9501177190463</v>
      </c>
      <c r="BC19" s="17" t="n">
        <f aca="false">IF(AJ19="","",AJ19*$AZ19)</f>
        <v>14.5050174727258</v>
      </c>
      <c r="BD19" s="17" t="n">
        <f aca="false">N(BA19)+N(BB19)</f>
        <v>31.1143488302817</v>
      </c>
      <c r="BE19" s="17" t="n">
        <f aca="false">BD19+N($M19)*N(BC19)</f>
        <v>38.4480856644919</v>
      </c>
      <c r="BF19" s="17" t="n">
        <f aca="false">IF(W19="","",W19*$AV19)</f>
        <v>9.19620409989977</v>
      </c>
      <c r="BG19" s="17" t="n">
        <f aca="false">IF(AD19="","",AD19*$AX19)</f>
        <v>9.02737941601748</v>
      </c>
      <c r="BH19" s="17" t="n">
        <f aca="false">IF(AK19="","",AK19*$AZ19)</f>
        <v>9.01245085638698</v>
      </c>
      <c r="BI19" s="17" t="n">
        <f aca="false">IF(BF19="","",N(BF19)+N(BG19))</f>
        <v>18.2235835159173</v>
      </c>
      <c r="BJ19" s="17" t="n">
        <f aca="false">IF(BI19="","",BI19+N($M19)*N(BH19))</f>
        <v>22.7802786689065</v>
      </c>
      <c r="BK19" s="13" t="n">
        <f aca="false">IFERROR(BD19/AL19,1)</f>
        <v>1.00641907273744</v>
      </c>
    </row>
    <row r="20" customFormat="false" ht="15" hidden="false" customHeight="false" outlineLevel="0" collapsed="false">
      <c r="A20" s="0" t="s">
        <v>689</v>
      </c>
      <c r="B20" s="0" t="s">
        <v>568</v>
      </c>
      <c r="C20" s="0" t="s">
        <v>485</v>
      </c>
      <c r="D20" s="0" t="s">
        <v>575</v>
      </c>
      <c r="E20" s="0" t="s">
        <v>688</v>
      </c>
      <c r="F20" s="0" t="s">
        <v>804</v>
      </c>
      <c r="G20" s="0" t="str">
        <f aca="false">IFERROR(IF(INDEX(Matches!$W$5:$W$10,MATCH($C20,Matches!$A$5:$A$10,0))="","",INDEX(Matches!$W$5:$W$10,MATCH($C20,Matches!$A$5:$A$10,0))),"")</f>
        <v>Inferno</v>
      </c>
      <c r="H20" s="0" t="str">
        <f aca="false">IFERROR(IF(INDEX(Matches!$X$5:$X$10,MATCH($C20,Matches!$A$5:$A$10,0))="","",INDEX(Matches!$X$5:$X$10,MATCH($C20,Matches!$A$5:$A$10,0))),"")</f>
        <v>Cache</v>
      </c>
      <c r="I20" s="0" t="str">
        <f aca="false">IFERROR(IF(INDEX(Matches!$Y$5:$Y$10,MATCH($C20,Matches!$A$5:$A$10,0))="","",INDEX(Matches!$Y$5:$Y$10,MATCH($C20,Matches!$A$5:$A$10,0))),"")</f>
        <v>Mirage</v>
      </c>
      <c r="J20" s="11" t="n">
        <f aca="false">IFERROR(IF(INDEX(Matches!$Z$5:$Z$10,MATCH($C20,Matches!$A$5:$A$10,0))="","",INDEX(Matches!$Z$5:$Z$10,MATCH($C20,Matches!$A$5:$A$10,0))),"")</f>
        <v>21.5</v>
      </c>
      <c r="K20" s="11" t="n">
        <f aca="false">IFERROR(IF(INDEX(Matches!$AA$5:$AA$10,MATCH($C20,Matches!$A$5:$A$10,0))="","",INDEX(Matches!$AA$5:$AA$10,MATCH($C20,Matches!$A$5:$A$10,0))),"")</f>
        <v>21.5</v>
      </c>
      <c r="L20" s="11" t="n">
        <f aca="false">IFERROR(IF(INDEX(Matches!$AB$5:$AB$10,MATCH($C20,Matches!$A$5:$A$10,0))="","",INDEX(Matches!$AB$5:$AB$10,MATCH($C20,Matches!$A$5:$A$10,0))),"")</f>
        <v>21.5</v>
      </c>
      <c r="M20" s="10" t="n">
        <f aca="false">IFERROR(IF(INDEX(Matches!$AC$5:$AC$10,MATCH($C20,Matches!$A$5:$A$10,0))="","",INDEX(Matches!$AC$5:$AC$10,MATCH($C20,Matches!$A$5:$A$10,0))),"")</f>
        <v>0.5056</v>
      </c>
      <c r="N20" s="9" t="n">
        <f aca="false">IFERROR(INDEX(Players!$F$2:$F$42,MATCH($F20,Players!$A$2:$A$42,0)),0)</f>
        <v>35</v>
      </c>
      <c r="O20" s="13" t="n">
        <f aca="false">IFERROR(1/(1/INDEX(Players!$H$2:$H$42,MATCH($F20,Players!$A$2:$A$42,0))),"")</f>
        <v>0.66</v>
      </c>
      <c r="P20" s="10" t="n">
        <f aca="false">IFERROR(1/(1/INDEX(Players!$I$2:$I$42,MATCH($F20,Players!$A$2:$A$42,0))),"")</f>
        <v>0.578</v>
      </c>
      <c r="Q20" s="9" t="n">
        <f aca="false">IF($G20="",0,SUMIFS(Map_Stats!$F$2:$F$256,Map_Stats!$A$2:$A$256,$F20&amp;"|"&amp;$G20))</f>
        <v>9</v>
      </c>
      <c r="R20" s="13" t="n">
        <f aca="false">IF($G20="","",IFERROR(1/(1/INDEX(Map_Stats!$K$2:$K$256,MATCH($F20&amp;"|"&amp;$G20,Map_Stats!$A$2:$A$256,0))),$O20))</f>
        <v>0.58</v>
      </c>
      <c r="S20" s="10" t="n">
        <f aca="false">IF(OR($G20="",$P20=""),"",IFERROR(1/(1/INDEX(Map_Stats!$I$2:$I$256,MATCH($F20&amp;"|"&amp;$G20,Map_Stats!$A$2:$A$256,0))),$P20))</f>
        <v>0.542</v>
      </c>
      <c r="T20" s="13" t="n">
        <f aca="false">IF(OR($G20="",R20=""),"",IF($O20="",R20,(Q20*R20+Config!$B$4*$O20)/(Q20+Config!$B$4)))</f>
        <v>0.608571428571429</v>
      </c>
      <c r="U20" s="10" t="n">
        <f aca="false">IF(S20="","",(Q20*S20+Config!$B$4*$P20)/(Q20+Config!$B$4))</f>
        <v>0.554857142857143</v>
      </c>
      <c r="V20" s="17" t="n">
        <f aca="false">IF(OR(T20="",$J20=""),"",T20*$J20*($J20/Config!$B$10)^Config!$B$9)</f>
        <v>13.0842857142857</v>
      </c>
      <c r="W20" s="17" t="n">
        <f aca="false">IF(OR(V20="",U20=""),"",V20*U20)</f>
        <v>7.2599093877551</v>
      </c>
      <c r="X20" s="9" t="n">
        <f aca="false">IF($H20="",0,SUMIFS(Map_Stats!$F$2:$F$256,Map_Stats!$A$2:$A$256,$F20&amp;"|"&amp;$H20))</f>
        <v>1</v>
      </c>
      <c r="Y20" s="13" t="n">
        <f aca="false">IF($H20="","",IFERROR(1/(1/INDEX(Map_Stats!$K$2:$K$256,MATCH($F20&amp;"|"&amp;$H20,Map_Stats!$A$2:$A$256,0))),$O20))</f>
        <v>0.43</v>
      </c>
      <c r="Z20" s="10" t="n">
        <f aca="false">IF(OR($H20="",$P20=""),"",IFERROR(1/(1/INDEX(Map_Stats!$I$2:$I$256,MATCH($F20&amp;"|"&amp;$H20,Map_Stats!$A$2:$A$256,0))),$P20))</f>
        <v>0.556</v>
      </c>
      <c r="AA20" s="13" t="n">
        <f aca="false">IF(OR($H20="",Y20=""),"",IF($O20="",Y20,(X20*Y20+Config!$B$4*$O20)/(X20+Config!$B$4)))</f>
        <v>0.621666666666667</v>
      </c>
      <c r="AB20" s="10" t="n">
        <f aca="false">IF(Z20="","",(X20*Z20+Config!$B$4*$P20)/(X20+Config!$B$4))</f>
        <v>0.574333333333333</v>
      </c>
      <c r="AC20" s="17" t="n">
        <f aca="false">IF(OR(AA20="",$K20=""),"",AA20*$K20*($K20/Config!$B$10)^Config!$B$9)</f>
        <v>13.3658333333333</v>
      </c>
      <c r="AD20" s="17" t="n">
        <f aca="false">IF(OR(AC20="",AB20=""),"",AC20*AB20)</f>
        <v>7.67644361111111</v>
      </c>
      <c r="AE20" s="9" t="n">
        <f aca="false">IF($I20="",0,SUMIFS(Map_Stats!$F$2:$F$256,Map_Stats!$A$2:$A$256,$F20&amp;"|"&amp;$I20))</f>
        <v>6</v>
      </c>
      <c r="AF20" s="13" t="n">
        <f aca="false">IF($I20="","",IFERROR(1/(1/INDEX(Map_Stats!$K$2:$K$256,MATCH($F20&amp;"|"&amp;$I20,Map_Stats!$A$2:$A$256,0))),$O20))</f>
        <v>0.56</v>
      </c>
      <c r="AG20" s="10" t="n">
        <f aca="false">IF(OR($I20="",$P20=""),"",IFERROR(1/(1/INDEX(Map_Stats!$I$2:$I$256,MATCH($F20&amp;"|"&amp;$I20,Map_Stats!$A$2:$A$256,0))),$P20))</f>
        <v>0.565</v>
      </c>
      <c r="AH20" s="13" t="n">
        <f aca="false">IF(OR($I20="",AF20=""),"",IF($O20="",AF20,(AE20*AF20+Config!$B$4*$O20)/(AE20+Config!$B$4)))</f>
        <v>0.605454545454546</v>
      </c>
      <c r="AI20" s="10" t="n">
        <f aca="false">IF(AG20="","",(AE20*AG20+Config!$B$4*$P20)/(AE20+Config!$B$4))</f>
        <v>0.570909090909091</v>
      </c>
      <c r="AJ20" s="17" t="n">
        <f aca="false">IF(OR(AH20="",$L20=""),"",AH20*$L20*($L20/Config!$B$10)^Config!$B$9)</f>
        <v>13.0172727272727</v>
      </c>
      <c r="AK20" s="17" t="n">
        <f aca="false">IF(OR(AJ20="",AI20=""),"",AJ20*AI20)</f>
        <v>7.43167933884297</v>
      </c>
      <c r="AL20" s="17" t="n">
        <f aca="false">N(V20)+N(AC20)</f>
        <v>26.450119047619</v>
      </c>
      <c r="AM20" s="17" t="n">
        <f aca="false">AL20+N($M20)*N(AJ20)</f>
        <v>33.0316521385281</v>
      </c>
      <c r="AN20" s="17" t="n">
        <f aca="false">IF(W20="","",N(W20)+N(AD20))</f>
        <v>14.9363529988662</v>
      </c>
      <c r="AO20" s="17" t="n">
        <f aca="false">IF(AN20="","",AN20+N($M20)*N(AK20))</f>
        <v>18.6938100725852</v>
      </c>
      <c r="AP20" s="10" t="n">
        <f aca="false">IFERROR(AN20/AL20,"")</f>
        <v>0.564698895002166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9" t="n">
        <f aca="false">IF($C20=Board!$B$2,COUNTIFS($C$2:$C$42,Board!$B$2,$AL$2:$AL$42,"&gt;"&amp;$AL20)+COUNTIFS($C$1:$C19,Board!$B$2,$AL$1:$AL19,$AL20)+1,"")</f>
        <v>9</v>
      </c>
      <c r="AS20" s="0" t="str">
        <f aca="false">IFERROR(IF($D20=INDEX(Matches!$AD$5:$AD$10,MATCH($C20,Matches!$A$5:$A$10,0)),"A",IF($D20=INDEX(Matches!$AE$5:$AE$10,MATCH($C20,Matches!$A$5:$A$10,0)),"B","")),"")</f>
        <v>B</v>
      </c>
      <c r="AT20" s="10" t="n">
        <f aca="false">IF($AS20="","",IFERROR(IF($AS20="A",INDEX(Matches!$AI$5:$AI$10,MATCH($C20,Matches!$A$5:$A$10,0)),INDEX(Matches!$AJ$5:$AJ$10,MATCH($C20,Matches!$A$5:$A$10,0))),""))</f>
        <v>0.503384316974118</v>
      </c>
      <c r="AU20" s="10" t="n">
        <f aca="false">IF($AS20="","",IFERROR(IF(INDEX(Matches!$AP$5:$AP$10,MATCH($C20,Matches!$A$5:$A$10,0))="","",IF($AS20="A",INDEX(Matches!$AP$5:$AP$10,MATCH($C20,Matches!$A$5:$A$10,0)),1-INDEX(Matches!$AP$5:$AP$10,MATCH($C20,Matches!$A$5:$A$10,0)))),""))</f>
        <v>0.529678740949106</v>
      </c>
      <c r="AV20" s="13" t="n">
        <f aca="false">IF(OR($AU20="",$AT20=""),1,((Config!$B$14*$AU20+Config!$B$15*(1-$AU20))/(Config!$B$14*$AT20+Config!$B$15*(1-$AT20)))^Config!$B$13)</f>
        <v>1.02342629707079</v>
      </c>
      <c r="AW20" s="10" t="n">
        <f aca="false">IF($AS20="","",IFERROR(IF(INDEX(Matches!$AV$5:$AV$10,MATCH($C20,Matches!$A$5:$A$10,0))="","",IF($AS20="A",INDEX(Matches!$AV$5:$AV$10,MATCH($C20,Matches!$A$5:$A$10,0)),1-INDEX(Matches!$AV$5:$AV$10,MATCH($C20,Matches!$A$5:$A$10,0)))),""))</f>
        <v>0.490650798794906</v>
      </c>
      <c r="AX20" s="13" t="n">
        <f aca="false">IF(OR($AW20="",$AT20=""),1,((Config!$B$14*$AW20+Config!$B$15*(1-$AW20))/(Config!$B$14*$AT20+Config!$B$15*(1-$AT20)))^Config!$B$13)</f>
        <v>0.988655420635711</v>
      </c>
      <c r="AY20" s="10" t="n">
        <f aca="false">IF($AS20="","",IFERROR(IF(INDEX(Matches!$BB$5:$BB$10,MATCH($C20,Matches!$A$5:$A$10,0))="","",IF($AS20="A",INDEX(Matches!$BB$5:$BB$10,MATCH($C20,Matches!$A$5:$A$10,0)),1-INDEX(Matches!$BB$5:$BB$10,MATCH($C20,Matches!$A$5:$A$10,0)))),""))</f>
        <v>0.511177639122513</v>
      </c>
      <c r="AZ20" s="13" t="n">
        <f aca="false">IF(OR($AY20="",$AT20=""),1,((Config!$B$14*$AY20+Config!$B$15*(1-$AY20))/(Config!$B$14*$AT20+Config!$B$15*(1-$AT20)))^Config!$B$13)</f>
        <v>1.00694324697854</v>
      </c>
      <c r="BA20" s="17" t="n">
        <f aca="false">IF(V20="","",V20*$AV20)</f>
        <v>13.3908020783877</v>
      </c>
      <c r="BB20" s="17" t="n">
        <f aca="false">IF(AC20="","",AC20*$AX20)</f>
        <v>13.2142035763135</v>
      </c>
      <c r="BC20" s="17" t="n">
        <f aca="false">IF(AJ20="","",AJ20*$AZ20)</f>
        <v>13.1076548668052</v>
      </c>
      <c r="BD20" s="17" t="n">
        <f aca="false">N(BA20)+N(BB20)</f>
        <v>26.6050056547012</v>
      </c>
      <c r="BE20" s="17" t="n">
        <f aca="false">BD20+N($M20)*N(BC20)</f>
        <v>33.2322359553578</v>
      </c>
      <c r="BF20" s="17" t="n">
        <f aca="false">IF(W20="","",W20*$AV20)</f>
        <v>7.42998218177968</v>
      </c>
      <c r="BG20" s="17" t="n">
        <f aca="false">IF(AD20="","",AD20*$AX20)</f>
        <v>7.58935758732937</v>
      </c>
      <c r="BH20" s="17" t="n">
        <f aca="false">IF(AK20="","",AK20*$AZ20)</f>
        <v>7.48327932395785</v>
      </c>
      <c r="BI20" s="17" t="n">
        <f aca="false">IF(BF20="","",N(BF20)+N(BG20))</f>
        <v>15.019339769109</v>
      </c>
      <c r="BJ20" s="17" t="n">
        <f aca="false">IF(BI20="","",BI20+N($M20)*N(BH20))</f>
        <v>18.8028857953021</v>
      </c>
      <c r="BK20" s="13" t="n">
        <f aca="false">IFERROR(BD20/AL20,1)</f>
        <v>1.0058557999986</v>
      </c>
    </row>
    <row r="21" customFormat="false" ht="15" hidden="false" customHeight="false" outlineLevel="0" collapsed="false">
      <c r="A21" s="0" t="s">
        <v>691</v>
      </c>
      <c r="B21" s="0" t="s">
        <v>568</v>
      </c>
      <c r="C21" s="0" t="s">
        <v>485</v>
      </c>
      <c r="D21" s="0" t="s">
        <v>575</v>
      </c>
      <c r="E21" s="0" t="s">
        <v>690</v>
      </c>
      <c r="F21" s="0" t="s">
        <v>805</v>
      </c>
      <c r="G21" s="0" t="str">
        <f aca="false">IFERROR(IF(INDEX(Matches!$W$5:$W$10,MATCH($C21,Matches!$A$5:$A$10,0))="","",INDEX(Matches!$W$5:$W$10,MATCH($C21,Matches!$A$5:$A$10,0))),"")</f>
        <v>Inferno</v>
      </c>
      <c r="H21" s="0" t="str">
        <f aca="false">IFERROR(IF(INDEX(Matches!$X$5:$X$10,MATCH($C21,Matches!$A$5:$A$10,0))="","",INDEX(Matches!$X$5:$X$10,MATCH($C21,Matches!$A$5:$A$10,0))),"")</f>
        <v>Cache</v>
      </c>
      <c r="I21" s="0" t="str">
        <f aca="false">IFERROR(IF(INDEX(Matches!$Y$5:$Y$10,MATCH($C21,Matches!$A$5:$A$10,0))="","",INDEX(Matches!$Y$5:$Y$10,MATCH($C21,Matches!$A$5:$A$10,0))),"")</f>
        <v>Mirage</v>
      </c>
      <c r="J21" s="11" t="n">
        <f aca="false">IFERROR(IF(INDEX(Matches!$Z$5:$Z$10,MATCH($C21,Matches!$A$5:$A$10,0))="","",INDEX(Matches!$Z$5:$Z$10,MATCH($C21,Matches!$A$5:$A$10,0))),"")</f>
        <v>21.5</v>
      </c>
      <c r="K21" s="11" t="n">
        <f aca="false">IFERROR(IF(INDEX(Matches!$AA$5:$AA$10,MATCH($C21,Matches!$A$5:$A$10,0))="","",INDEX(Matches!$AA$5:$AA$10,MATCH($C21,Matches!$A$5:$A$10,0))),"")</f>
        <v>21.5</v>
      </c>
      <c r="L21" s="11" t="n">
        <f aca="false">IFERROR(IF(INDEX(Matches!$AB$5:$AB$10,MATCH($C21,Matches!$A$5:$A$10,0))="","",INDEX(Matches!$AB$5:$AB$10,MATCH($C21,Matches!$A$5:$A$10,0))),"")</f>
        <v>21.5</v>
      </c>
      <c r="M21" s="10" t="n">
        <f aca="false">IFERROR(IF(INDEX(Matches!$AC$5:$AC$10,MATCH($C21,Matches!$A$5:$A$10,0))="","",INDEX(Matches!$AC$5:$AC$10,MATCH($C21,Matches!$A$5:$A$10,0))),"")</f>
        <v>0.5056</v>
      </c>
      <c r="N21" s="9" t="n">
        <f aca="false">IFERROR(INDEX(Players!$F$2:$F$42,MATCH($F21,Players!$A$2:$A$42,0)),0)</f>
        <v>34</v>
      </c>
      <c r="O21" s="13" t="n">
        <f aca="false">IFERROR(1/(1/INDEX(Players!$H$2:$H$42,MATCH($F21,Players!$A$2:$A$42,0))),"")</f>
        <v>0.55</v>
      </c>
      <c r="P21" s="10" t="n">
        <f aca="false">IFERROR(1/(1/INDEX(Players!$I$2:$I$42,MATCH($F21,Players!$A$2:$A$42,0))),"")</f>
        <v>0.612</v>
      </c>
      <c r="Q21" s="9" t="n">
        <f aca="false">IF($G21="",0,SUMIFS(Map_Stats!$F$2:$F$256,Map_Stats!$A$2:$A$256,$F21&amp;"|"&amp;$G21))</f>
        <v>8</v>
      </c>
      <c r="R21" s="13" t="n">
        <f aca="false">IF($G21="","",IFERROR(1/(1/INDEX(Map_Stats!$K$2:$K$256,MATCH($F21&amp;"|"&amp;$G21,Map_Stats!$A$2:$A$256,0))),$O21))</f>
        <v>0.62</v>
      </c>
      <c r="S21" s="10" t="n">
        <f aca="false">IF(OR($G21="",$P21=""),"",IFERROR(1/(1/INDEX(Map_Stats!$I$2:$I$256,MATCH($F21&amp;"|"&amp;$G21,Map_Stats!$A$2:$A$256,0))),$P21))</f>
        <v>0.582</v>
      </c>
      <c r="T21" s="13" t="n">
        <f aca="false">IF(OR($G21="",R21=""),"",IF($O21="",R21,(Q21*R21+Config!$B$4*$O21)/(Q21+Config!$B$4)))</f>
        <v>0.593076923076923</v>
      </c>
      <c r="U21" s="10" t="n">
        <f aca="false">IF(S21="","",(Q21*S21+Config!$B$4*$P21)/(Q21+Config!$B$4))</f>
        <v>0.593538461538462</v>
      </c>
      <c r="V21" s="17" t="n">
        <f aca="false">IF(OR(T21="",$J21=""),"",T21*$J21*($J21/Config!$B$10)^Config!$B$9)</f>
        <v>12.7511538461538</v>
      </c>
      <c r="W21" s="17" t="n">
        <f aca="false">IF(OR(V21="",U21=""),"",V21*U21)</f>
        <v>7.56830023668639</v>
      </c>
      <c r="X21" s="9" t="n">
        <f aca="false">IF($H21="",0,SUMIFS(Map_Stats!$F$2:$F$256,Map_Stats!$A$2:$A$256,$F21&amp;"|"&amp;$H21))</f>
        <v>2</v>
      </c>
      <c r="Y21" s="13" t="n">
        <f aca="false">IF($H21="","",IFERROR(1/(1/INDEX(Map_Stats!$K$2:$K$256,MATCH($F21&amp;"|"&amp;$H21,Map_Stats!$A$2:$A$256,0))),$O21))</f>
        <v>0.4</v>
      </c>
      <c r="Z21" s="10" t="n">
        <f aca="false">IF(OR($H21="",$P21=""),"",IFERROR(1/(1/INDEX(Map_Stats!$I$2:$I$256,MATCH($F21&amp;"|"&amp;$H21,Map_Stats!$A$2:$A$256,0))),$P21))</f>
        <v>0.412</v>
      </c>
      <c r="AA21" s="13" t="n">
        <f aca="false">IF(OR($H21="",Y21=""),"",IF($O21="",Y21,(X21*Y21+Config!$B$4*$O21)/(X21+Config!$B$4)))</f>
        <v>0.507142857142857</v>
      </c>
      <c r="AB21" s="10" t="n">
        <f aca="false">IF(Z21="","",(X21*Z21+Config!$B$4*$P21)/(X21+Config!$B$4))</f>
        <v>0.554857142857143</v>
      </c>
      <c r="AC21" s="17" t="n">
        <f aca="false">IF(OR(AA21="",$K21=""),"",AA21*$K21*($K21/Config!$B$10)^Config!$B$9)</f>
        <v>10.9035714285714</v>
      </c>
      <c r="AD21" s="17" t="n">
        <f aca="false">IF(OR(AC21="",AB21=""),"",AC21*AB21)</f>
        <v>6.04992448979592</v>
      </c>
      <c r="AE21" s="9" t="n">
        <f aca="false">IF($I21="",0,SUMIFS(Map_Stats!$F$2:$F$256,Map_Stats!$A$2:$A$256,$F21&amp;"|"&amp;$I21))</f>
        <v>7</v>
      </c>
      <c r="AF21" s="13" t="n">
        <f aca="false">IF($I21="","",IFERROR(1/(1/INDEX(Map_Stats!$K$2:$K$256,MATCH($F21&amp;"|"&amp;$I21,Map_Stats!$A$2:$A$256,0))),$O21))</f>
        <v>0.51</v>
      </c>
      <c r="AG21" s="10" t="n">
        <f aca="false">IF(OR($I21="",$P21=""),"",IFERROR(1/(1/INDEX(Map_Stats!$I$2:$I$256,MATCH($F21&amp;"|"&amp;$I21,Map_Stats!$A$2:$A$256,0))),$P21))</f>
        <v>0.68</v>
      </c>
      <c r="AH21" s="13" t="n">
        <f aca="false">IF(OR($I21="",AF21=""),"",IF($O21="",AF21,(AE21*AF21+Config!$B$4*$O21)/(AE21+Config!$B$4)))</f>
        <v>0.526666666666667</v>
      </c>
      <c r="AI21" s="10" t="n">
        <f aca="false">IF(AG21="","",(AE21*AG21+Config!$B$4*$P21)/(AE21+Config!$B$4))</f>
        <v>0.651666666666667</v>
      </c>
      <c r="AJ21" s="17" t="n">
        <f aca="false">IF(OR(AH21="",$L21=""),"",AH21*$L21*($L21/Config!$B$10)^Config!$B$9)</f>
        <v>11.3233333333333</v>
      </c>
      <c r="AK21" s="17" t="n">
        <f aca="false">IF(OR(AJ21="",AI21=""),"",AJ21*AI21)</f>
        <v>7.37903888888889</v>
      </c>
      <c r="AL21" s="17" t="n">
        <f aca="false">N(V21)+N(AC21)</f>
        <v>23.6547252747253</v>
      </c>
      <c r="AM21" s="17" t="n">
        <f aca="false">AL21+N($M21)*N(AJ21)</f>
        <v>29.3798026080586</v>
      </c>
      <c r="AN21" s="17" t="n">
        <f aca="false">IF(W21="","",N(W21)+N(AD21))</f>
        <v>13.6182247264823</v>
      </c>
      <c r="AO21" s="17" t="n">
        <f aca="false">IF(AN21="","",AN21+N($M21)*N(AK21))</f>
        <v>17.3490667887045</v>
      </c>
      <c r="AP21" s="10" t="n">
        <f aca="false">IFERROR(AN21/AL21,"")</f>
        <v>0.575708429006072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9" t="n">
        <f aca="false">IF($C21=Board!$B$2,COUNTIFS($C$2:$C$42,Board!$B$2,$AL$2:$AL$42,"&gt;"&amp;$AL21)+COUNTIFS($C$1:$C20,Board!$B$2,$AL$1:$AL20,$AL21)+1,"")</f>
        <v>10</v>
      </c>
      <c r="AS21" s="0" t="str">
        <f aca="false">IFERROR(IF($D21=INDEX(Matches!$AD$5:$AD$10,MATCH($C21,Matches!$A$5:$A$10,0)),"A",IF($D21=INDEX(Matches!$AE$5:$AE$10,MATCH($C21,Matches!$A$5:$A$10,0)),"B","")),"")</f>
        <v>B</v>
      </c>
      <c r="AT21" s="10" t="n">
        <f aca="false">IF($AS21="","",IFERROR(IF($AS21="A",INDEX(Matches!$AI$5:$AI$10,MATCH($C21,Matches!$A$5:$A$10,0)),INDEX(Matches!$AJ$5:$AJ$10,MATCH($C21,Matches!$A$5:$A$10,0))),""))</f>
        <v>0.503384316974118</v>
      </c>
      <c r="AU21" s="10" t="n">
        <f aca="false">IF($AS21="","",IFERROR(IF(INDEX(Matches!$AP$5:$AP$10,MATCH($C21,Matches!$A$5:$A$10,0))="","",IF($AS21="A",INDEX(Matches!$AP$5:$AP$10,MATCH($C21,Matches!$A$5:$A$10,0)),1-INDEX(Matches!$AP$5:$AP$10,MATCH($C21,Matches!$A$5:$A$10,0)))),""))</f>
        <v>0.529678740949106</v>
      </c>
      <c r="AV21" s="13" t="n">
        <f aca="false">IF(OR($AU21="",$AT21=""),1,((Config!$B$14*$AU21+Config!$B$15*(1-$AU21))/(Config!$B$14*$AT21+Config!$B$15*(1-$AT21)))^Config!$B$13)</f>
        <v>1.02342629707079</v>
      </c>
      <c r="AW21" s="10" t="n">
        <f aca="false">IF($AS21="","",IFERROR(IF(INDEX(Matches!$AV$5:$AV$10,MATCH($C21,Matches!$A$5:$A$10,0))="","",IF($AS21="A",INDEX(Matches!$AV$5:$AV$10,MATCH($C21,Matches!$A$5:$A$10,0)),1-INDEX(Matches!$AV$5:$AV$10,MATCH($C21,Matches!$A$5:$A$10,0)))),""))</f>
        <v>0.490650798794906</v>
      </c>
      <c r="AX21" s="13" t="n">
        <f aca="false">IF(OR($AW21="",$AT21=""),1,((Config!$B$14*$AW21+Config!$B$15*(1-$AW21))/(Config!$B$14*$AT21+Config!$B$15*(1-$AT21)))^Config!$B$13)</f>
        <v>0.988655420635711</v>
      </c>
      <c r="AY21" s="10" t="n">
        <f aca="false">IF($AS21="","",IFERROR(IF(INDEX(Matches!$BB$5:$BB$10,MATCH($C21,Matches!$A$5:$A$10,0))="","",IF($AS21="A",INDEX(Matches!$BB$5:$BB$10,MATCH($C21,Matches!$A$5:$A$10,0)),1-INDEX(Matches!$BB$5:$BB$10,MATCH($C21,Matches!$A$5:$A$10,0)))),""))</f>
        <v>0.511177639122513</v>
      </c>
      <c r="AZ21" s="13" t="n">
        <f aca="false">IF(OR($AY21="",$AT21=""),1,((Config!$B$14*$AY21+Config!$B$15*(1-$AY21))/(Config!$B$14*$AT21+Config!$B$15*(1-$AT21)))^Config!$B$13)</f>
        <v>1.00694324697854</v>
      </c>
      <c r="BA21" s="17" t="n">
        <f aca="false">IF(V21="","",V21*$AV21)</f>
        <v>13.0498661641492</v>
      </c>
      <c r="BB21" s="17" t="n">
        <f aca="false">IF(AC21="","",AC21*$AX21)</f>
        <v>10.7798749971458</v>
      </c>
      <c r="BC21" s="17" t="n">
        <f aca="false">IF(AJ21="","",AJ21*$AZ21)</f>
        <v>11.401954033287</v>
      </c>
      <c r="BD21" s="17" t="n">
        <f aca="false">N(BA21)+N(BB21)</f>
        <v>23.829741161295</v>
      </c>
      <c r="BE21" s="17" t="n">
        <f aca="false">BD21+N($M21)*N(BC21)</f>
        <v>29.5945691205249</v>
      </c>
      <c r="BF21" s="17" t="n">
        <f aca="false">IF(W21="","",W21*$AV21)</f>
        <v>7.74559748635195</v>
      </c>
      <c r="BG21" s="17" t="n">
        <f aca="false">IF(AD21="","",AD21*$AX21)</f>
        <v>5.98129064127347</v>
      </c>
      <c r="BH21" s="17" t="n">
        <f aca="false">IF(AK21="","",AK21*$AZ21)</f>
        <v>7.43027337835867</v>
      </c>
      <c r="BI21" s="17" t="n">
        <f aca="false">IF(BF21="","",N(BF21)+N(BG21))</f>
        <v>13.7268881276254</v>
      </c>
      <c r="BJ21" s="17" t="n">
        <f aca="false">IF(BI21="","",BI21+N($M21)*N(BH21))</f>
        <v>17.4836343477236</v>
      </c>
      <c r="BK21" s="13" t="n">
        <f aca="false">IFERROR(BD21/AL21,1)</f>
        <v>1.00739877062773</v>
      </c>
    </row>
    <row r="22" customFormat="false" ht="15" hidden="false" customHeight="false" outlineLevel="0" collapsed="false">
      <c r="A22" s="0" t="s">
        <v>693</v>
      </c>
      <c r="B22" s="0" t="s">
        <v>568</v>
      </c>
      <c r="C22" s="0" t="s">
        <v>583</v>
      </c>
      <c r="D22" s="0" t="s">
        <v>588</v>
      </c>
      <c r="E22" s="0" t="s">
        <v>692</v>
      </c>
      <c r="F22" s="0" t="s">
        <v>806</v>
      </c>
      <c r="G22" s="0" t="str">
        <f aca="false">IFERROR(IF(INDEX(Matches!$W$5:$W$10,MATCH($C22,Matches!$A$5:$A$10,0))="","",INDEX(Matches!$W$5:$W$10,MATCH($C22,Matches!$A$5:$A$10,0))),"")</f>
        <v>Anubis</v>
      </c>
      <c r="H22" s="0" t="str">
        <f aca="false">IFERROR(IF(INDEX(Matches!$X$5:$X$10,MATCH($C22,Matches!$A$5:$A$10,0))="","",INDEX(Matches!$X$5:$X$10,MATCH($C22,Matches!$A$5:$A$10,0))),"")</f>
        <v>Dust2</v>
      </c>
      <c r="I22" s="0" t="str">
        <f aca="false">IFERROR(IF(INDEX(Matches!$Y$5:$Y$10,MATCH($C22,Matches!$A$5:$A$10,0))="","",INDEX(Matches!$Y$5:$Y$10,MATCH($C22,Matches!$A$5:$A$10,0))),"")</f>
        <v>Mirage</v>
      </c>
      <c r="J22" s="11" t="n">
        <f aca="false">IFERROR(IF(INDEX(Matches!$Z$5:$Z$10,MATCH($C22,Matches!$A$5:$A$10,0))="","",INDEX(Matches!$Z$5:$Z$10,MATCH($C22,Matches!$A$5:$A$10,0))),"")</f>
        <v>21.03</v>
      </c>
      <c r="K22" s="11" t="n">
        <f aca="false">IFERROR(IF(INDEX(Matches!$AA$5:$AA$10,MATCH($C22,Matches!$A$5:$A$10,0))="","",INDEX(Matches!$AA$5:$AA$10,MATCH($C22,Matches!$A$5:$A$10,0))),"")</f>
        <v>20.99</v>
      </c>
      <c r="L22" s="11" t="n">
        <f aca="false">IFERROR(IF(INDEX(Matches!$AB$5:$AB$10,MATCH($C22,Matches!$A$5:$A$10,0))="","",INDEX(Matches!$AB$5:$AB$10,MATCH($C22,Matches!$A$5:$A$10,0))),"")</f>
        <v>21.5</v>
      </c>
      <c r="M22" s="10" t="n">
        <f aca="false">IFERROR(IF(INDEX(Matches!$AC$5:$AC$10,MATCH($C22,Matches!$A$5:$A$10,0))="","",INDEX(Matches!$AC$5:$AC$10,MATCH($C22,Matches!$A$5:$A$10,0))),"")</f>
        <v>0.4351</v>
      </c>
      <c r="N22" s="9" t="n">
        <f aca="false">IFERROR(INDEX(Players!$F$2:$F$42,MATCH($F22,Players!$A$2:$A$42,0)),0)</f>
        <v>30</v>
      </c>
      <c r="O22" s="13" t="n">
        <f aca="false">IFERROR(1/(1/INDEX(Players!$H$2:$H$42,MATCH($F22,Players!$A$2:$A$42,0))),"")</f>
        <v>0.69</v>
      </c>
      <c r="P22" s="10" t="n">
        <f aca="false">IFERROR(1/(1/INDEX(Players!$I$2:$I$42,MATCH($F22,Players!$A$2:$A$42,0))),"")</f>
        <v>0.57</v>
      </c>
      <c r="Q22" s="9" t="n">
        <f aca="false">IF($G22="",0,SUMIFS(Map_Stats!$F$2:$F$256,Map_Stats!$A$2:$A$256,$F22&amp;"|"&amp;$G22))</f>
        <v>6</v>
      </c>
      <c r="R22" s="13" t="n">
        <f aca="false">IF($G22="","",IFERROR(1/(1/INDEX(Map_Stats!$K$2:$K$256,MATCH($F22&amp;"|"&amp;$G22,Map_Stats!$A$2:$A$256,0))),$O22))</f>
        <v>0.76</v>
      </c>
      <c r="S22" s="10" t="n">
        <f aca="false">IF(OR($G22="",$P22=""),"",IFERROR(1/(1/INDEX(Map_Stats!$I$2:$I$256,MATCH($F22&amp;"|"&amp;$G22,Map_Stats!$A$2:$A$256,0))),$P22))</f>
        <v>0.53</v>
      </c>
      <c r="T22" s="13" t="n">
        <f aca="false">IF(OR($G22="",R22=""),"",IF($O22="",R22,(Q22*R22+Config!$B$4*$O22)/(Q22+Config!$B$4)))</f>
        <v>0.728181818181818</v>
      </c>
      <c r="U22" s="10" t="n">
        <f aca="false">IF(S22="","",(Q22*S22+Config!$B$4*$P22)/(Q22+Config!$B$4))</f>
        <v>0.548181818181818</v>
      </c>
      <c r="V22" s="17" t="n">
        <f aca="false">IF(OR(T22="",$J22=""),"",T22*$J22*($J22/Config!$B$10)^Config!$B$9)</f>
        <v>15.3136636363636</v>
      </c>
      <c r="W22" s="17" t="n">
        <f aca="false">IF(OR(V22="",U22=""),"",V22*U22)</f>
        <v>8.39467197520661</v>
      </c>
      <c r="X22" s="9" t="n">
        <f aca="false">IF($H22="",0,SUMIFS(Map_Stats!$F$2:$F$256,Map_Stats!$A$2:$A$256,$F22&amp;"|"&amp;$H22))</f>
        <v>5</v>
      </c>
      <c r="Y22" s="13" t="n">
        <f aca="false">IF($H22="","",IFERROR(1/(1/INDEX(Map_Stats!$K$2:$K$256,MATCH($F22&amp;"|"&amp;$H22,Map_Stats!$A$2:$A$256,0))),$O22))</f>
        <v>0.62</v>
      </c>
      <c r="Z22" s="10" t="n">
        <f aca="false">IF(OR($H22="",$P22=""),"",IFERROR(1/(1/INDEX(Map_Stats!$I$2:$I$256,MATCH($F22&amp;"|"&amp;$H22,Map_Stats!$A$2:$A$256,0))),$P22))</f>
        <v>0.548</v>
      </c>
      <c r="AA22" s="13" t="n">
        <f aca="false">IF(OR($H22="",Y22=""),"",IF($O22="",Y22,(X22*Y22+Config!$B$4*$O22)/(X22+Config!$B$4)))</f>
        <v>0.655</v>
      </c>
      <c r="AB22" s="10" t="n">
        <f aca="false">IF(Z22="","",(X22*Z22+Config!$B$4*$P22)/(X22+Config!$B$4))</f>
        <v>0.559</v>
      </c>
      <c r="AC22" s="17" t="n">
        <f aca="false">IF(OR(AA22="",$K22=""),"",AA22*$K22*($K22/Config!$B$10)^Config!$B$9)</f>
        <v>13.74845</v>
      </c>
      <c r="AD22" s="17" t="n">
        <f aca="false">IF(OR(AC22="",AB22=""),"",AC22*AB22)</f>
        <v>7.68538355</v>
      </c>
      <c r="AE22" s="9" t="n">
        <f aca="false">IF($I22="",0,SUMIFS(Map_Stats!$F$2:$F$256,Map_Stats!$A$2:$A$256,$F22&amp;"|"&amp;$I22))</f>
        <v>8</v>
      </c>
      <c r="AF22" s="13" t="n">
        <f aca="false">IF($I22="","",IFERROR(1/(1/INDEX(Map_Stats!$K$2:$K$256,MATCH($F22&amp;"|"&amp;$I22,Map_Stats!$A$2:$A$256,0))),$O22))</f>
        <v>0.72</v>
      </c>
      <c r="AG22" s="10" t="n">
        <f aca="false">IF(OR($I22="",$P22=""),"",IFERROR(1/(1/INDEX(Map_Stats!$I$2:$I$256,MATCH($F22&amp;"|"&amp;$I22,Map_Stats!$A$2:$A$256,0))),$P22))</f>
        <v>0.608</v>
      </c>
      <c r="AH22" s="13" t="n">
        <f aca="false">IF(OR($I22="",AF22=""),"",IF($O22="",AF22,(AE22*AF22+Config!$B$4*$O22)/(AE22+Config!$B$4)))</f>
        <v>0.708461538461538</v>
      </c>
      <c r="AI22" s="10" t="n">
        <f aca="false">IF(AG22="","",(AE22*AG22+Config!$B$4*$P22)/(AE22+Config!$B$4))</f>
        <v>0.593384615384615</v>
      </c>
      <c r="AJ22" s="17" t="n">
        <f aca="false">IF(OR(AH22="",$L22=""),"",AH22*$L22*($L22/Config!$B$10)^Config!$B$9)</f>
        <v>15.2319230769231</v>
      </c>
      <c r="AK22" s="17" t="n">
        <f aca="false">IF(OR(AJ22="",AI22=""),"",AJ22*AI22)</f>
        <v>9.03838881656805</v>
      </c>
      <c r="AL22" s="17" t="n">
        <f aca="false">N(V22)+N(AC22)</f>
        <v>29.0621136363636</v>
      </c>
      <c r="AM22" s="17" t="n">
        <f aca="false">AL22+N($M22)*N(AJ22)</f>
        <v>35.6895233671329</v>
      </c>
      <c r="AN22" s="17" t="n">
        <f aca="false">IF(W22="","",N(W22)+N(AD22))</f>
        <v>16.0800555252066</v>
      </c>
      <c r="AO22" s="17" t="n">
        <f aca="false">IF(AN22="","",AN22+N($M22)*N(AK22))</f>
        <v>20.0126584992954</v>
      </c>
      <c r="AP22" s="10" t="n">
        <f aca="false">IFERROR(AN22/AL22,"")</f>
        <v>0.553299588818847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IF($C22=Board!$B$2,COUNTIFS($C$2:$C$42,Board!$B$2,$AL$2:$AL$42,"&gt;"&amp;$AL22)+COUNTIFS($C$1:$C21,Board!$B$2,$AL$1:$AL21,$AL22)+1,"")</f>
        <v/>
      </c>
      <c r="AS22" s="0" t="str">
        <f aca="false">IFERROR(IF($D22=INDEX(Matches!$AD$5:$AD$10,MATCH($C22,Matches!$A$5:$A$10,0)),"A",IF($D22=INDEX(Matches!$AE$5:$AE$10,MATCH($C22,Matches!$A$5:$A$10,0)),"B","")),"")</f>
        <v>A</v>
      </c>
      <c r="AT22" s="10" t="n">
        <f aca="false">IF($AS22="","",IFERROR(IF($AS22="A",INDEX(Matches!$AI$5:$AI$10,MATCH($C22,Matches!$A$5:$A$10,0)),INDEX(Matches!$AJ$5:$AJ$10,MATCH($C22,Matches!$A$5:$A$10,0))),""))</f>
        <v>0.497097913925394</v>
      </c>
      <c r="AU22" s="10" t="n">
        <f aca="false">IF($AS22="","",IFERROR(IF(INDEX(Matches!$AP$5:$AP$10,MATCH($C22,Matches!$A$5:$A$10,0))="","",IF($AS22="A",INDEX(Matches!$AP$5:$AP$10,MATCH($C22,Matches!$A$5:$A$10,0)),1-INDEX(Matches!$AP$5:$AP$10,MATCH($C22,Matches!$A$5:$A$10,0)))),""))</f>
        <v>0.507828272494134</v>
      </c>
      <c r="AV22" s="13" t="n">
        <f aca="false">IF(OR($AU22="",$AT22=""),1,((Config!$B$14*$AU22+Config!$B$15*(1-$AU22))/(Config!$B$14*$AT22+Config!$B$15*(1-$AT22)))^Config!$B$13)</f>
        <v>1.00961376294735</v>
      </c>
      <c r="AW22" s="10" t="n">
        <f aca="false">IF($AS22="","",IFERROR(IF(INDEX(Matches!$AV$5:$AV$10,MATCH($C22,Matches!$A$5:$A$10,0))="","",IF($AS22="A",INDEX(Matches!$AV$5:$AV$10,MATCH($C22,Matches!$A$5:$A$10,0)),1-INDEX(Matches!$AV$5:$AV$10,MATCH($C22,Matches!$A$5:$A$10,0)))),""))</f>
        <v>0.542777041346047</v>
      </c>
      <c r="AX22" s="13" t="n">
        <f aca="false">IF(OR($AW22="",$AT22=""),1,((Config!$B$14*$AW22+Config!$B$15*(1-$AW22))/(Config!$B$14*$AT22+Config!$B$15*(1-$AT22)))^Config!$B$13)</f>
        <v>1.04092578079758</v>
      </c>
      <c r="AY22" s="10" t="n">
        <f aca="false">IF($AS22="","",IFERROR(IF(INDEX(Matches!$BB$5:$BB$10,MATCH($C22,Matches!$A$5:$A$10,0))="","",IF($AS22="A",INDEX(Matches!$BB$5:$BB$10,MATCH($C22,Matches!$A$5:$A$10,0)),1-INDEX(Matches!$BB$5:$BB$10,MATCH($C22,Matches!$A$5:$A$10,0)))),""))</f>
        <v>0.540666508676526</v>
      </c>
      <c r="AZ22" s="13" t="n">
        <f aca="false">IF(OR($AY22="",$AT22=""),1,((Config!$B$14*$AY22+Config!$B$15*(1-$AY22))/(Config!$B$14*$AT22+Config!$B$15*(1-$AT22)))^Config!$B$13)</f>
        <v>1.03903486907758</v>
      </c>
      <c r="BA22" s="17" t="n">
        <f aca="false">IF(V22="","",V22*$AV22)</f>
        <v>15.460885568419</v>
      </c>
      <c r="BB22" s="17" t="n">
        <f aca="false">IF(AC22="","",AC22*$AX22)</f>
        <v>14.3111160510065</v>
      </c>
      <c r="BC22" s="17" t="n">
        <f aca="false">IF(AJ22="","",AJ22*$AZ22)</f>
        <v>15.8264992000306</v>
      </c>
      <c r="BD22" s="17" t="n">
        <f aca="false">N(BA22)+N(BB22)</f>
        <v>29.7720016194255</v>
      </c>
      <c r="BE22" s="17" t="n">
        <f aca="false">BD22+N($M22)*N(BC22)</f>
        <v>36.6581114213588</v>
      </c>
      <c r="BF22" s="17" t="n">
        <f aca="false">IF(W22="","",W22*$AV22)</f>
        <v>8.47537636159697</v>
      </c>
      <c r="BG22" s="17" t="n">
        <f aca="false">IF(AD22="","",AD22*$AX22)</f>
        <v>7.99991387251264</v>
      </c>
      <c r="BH22" s="17" t="n">
        <f aca="false">IF(AK22="","",AK22*$AZ22)</f>
        <v>9.39120114069509</v>
      </c>
      <c r="BI22" s="17" t="n">
        <f aca="false">IF(BF22="","",N(BF22)+N(BG22))</f>
        <v>16.4752902341096</v>
      </c>
      <c r="BJ22" s="17" t="n">
        <f aca="false">IF(BI22="","",BI22+N($M22)*N(BH22))</f>
        <v>20.561401850426</v>
      </c>
      <c r="BK22" s="13" t="n">
        <f aca="false">IFERROR(BD22/AL22,1)</f>
        <v>1.02442657791323</v>
      </c>
    </row>
    <row r="23" customFormat="false" ht="15" hidden="false" customHeight="false" outlineLevel="0" collapsed="false">
      <c r="A23" s="0" t="s">
        <v>695</v>
      </c>
      <c r="B23" s="0" t="s">
        <v>568</v>
      </c>
      <c r="C23" s="0" t="s">
        <v>583</v>
      </c>
      <c r="D23" s="0" t="s">
        <v>588</v>
      </c>
      <c r="E23" s="0" t="s">
        <v>694</v>
      </c>
      <c r="F23" s="0" t="s">
        <v>807</v>
      </c>
      <c r="G23" s="0" t="str">
        <f aca="false">IFERROR(IF(INDEX(Matches!$W$5:$W$10,MATCH($C23,Matches!$A$5:$A$10,0))="","",INDEX(Matches!$W$5:$W$10,MATCH($C23,Matches!$A$5:$A$10,0))),"")</f>
        <v>Anubis</v>
      </c>
      <c r="H23" s="0" t="str">
        <f aca="false">IFERROR(IF(INDEX(Matches!$X$5:$X$10,MATCH($C23,Matches!$A$5:$A$10,0))="","",INDEX(Matches!$X$5:$X$10,MATCH($C23,Matches!$A$5:$A$10,0))),"")</f>
        <v>Dust2</v>
      </c>
      <c r="I23" s="0" t="str">
        <f aca="false">IFERROR(IF(INDEX(Matches!$Y$5:$Y$10,MATCH($C23,Matches!$A$5:$A$10,0))="","",INDEX(Matches!$Y$5:$Y$10,MATCH($C23,Matches!$A$5:$A$10,0))),"")</f>
        <v>Mirage</v>
      </c>
      <c r="J23" s="11" t="n">
        <f aca="false">IFERROR(IF(INDEX(Matches!$Z$5:$Z$10,MATCH($C23,Matches!$A$5:$A$10,0))="","",INDEX(Matches!$Z$5:$Z$10,MATCH($C23,Matches!$A$5:$A$10,0))),"")</f>
        <v>21.03</v>
      </c>
      <c r="K23" s="11" t="n">
        <f aca="false">IFERROR(IF(INDEX(Matches!$AA$5:$AA$10,MATCH($C23,Matches!$A$5:$A$10,0))="","",INDEX(Matches!$AA$5:$AA$10,MATCH($C23,Matches!$A$5:$A$10,0))),"")</f>
        <v>20.99</v>
      </c>
      <c r="L23" s="11" t="n">
        <f aca="false">IFERROR(IF(INDEX(Matches!$AB$5:$AB$10,MATCH($C23,Matches!$A$5:$A$10,0))="","",INDEX(Matches!$AB$5:$AB$10,MATCH($C23,Matches!$A$5:$A$10,0))),"")</f>
        <v>21.5</v>
      </c>
      <c r="M23" s="10" t="n">
        <f aca="false">IFERROR(IF(INDEX(Matches!$AC$5:$AC$10,MATCH($C23,Matches!$A$5:$A$10,0))="","",INDEX(Matches!$AC$5:$AC$10,MATCH($C23,Matches!$A$5:$A$10,0))),"")</f>
        <v>0.4351</v>
      </c>
      <c r="N23" s="9" t="n">
        <f aca="false">IFERROR(INDEX(Players!$F$2:$F$42,MATCH($F23,Players!$A$2:$A$42,0)),0)</f>
        <v>30</v>
      </c>
      <c r="O23" s="13" t="n">
        <f aca="false">IFERROR(1/(1/INDEX(Players!$H$2:$H$42,MATCH($F23,Players!$A$2:$A$42,0))),"")</f>
        <v>0.71</v>
      </c>
      <c r="P23" s="10" t="n">
        <f aca="false">IFERROR(1/(1/INDEX(Players!$I$2:$I$42,MATCH($F23,Players!$A$2:$A$42,0))),"")</f>
        <v>0.528</v>
      </c>
      <c r="Q23" s="9" t="n">
        <f aca="false">IF($G23="",0,SUMIFS(Map_Stats!$F$2:$F$256,Map_Stats!$A$2:$A$256,$F23&amp;"|"&amp;$G23))</f>
        <v>6</v>
      </c>
      <c r="R23" s="13" t="n">
        <f aca="false">IF($G23="","",IFERROR(1/(1/INDEX(Map_Stats!$K$2:$K$256,MATCH($F23&amp;"|"&amp;$G23,Map_Stats!$A$2:$A$256,0))),$O23))</f>
        <v>0.67</v>
      </c>
      <c r="S23" s="10" t="n">
        <f aca="false">IF(OR($G23="",$P23=""),"",IFERROR(1/(1/INDEX(Map_Stats!$I$2:$I$256,MATCH($F23&amp;"|"&amp;$G23,Map_Stats!$A$2:$A$256,0))),$P23))</f>
        <v>0.483</v>
      </c>
      <c r="T23" s="13" t="n">
        <f aca="false">IF(OR($G23="",R23=""),"",IF($O23="",R23,(Q23*R23+Config!$B$4*$O23)/(Q23+Config!$B$4)))</f>
        <v>0.688181818181818</v>
      </c>
      <c r="U23" s="10" t="n">
        <f aca="false">IF(S23="","",(Q23*S23+Config!$B$4*$P23)/(Q23+Config!$B$4))</f>
        <v>0.503454545454546</v>
      </c>
      <c r="V23" s="17" t="n">
        <f aca="false">IF(OR(T23="",$J23=""),"",T23*$J23*($J23/Config!$B$10)^Config!$B$9)</f>
        <v>14.4724636363636</v>
      </c>
      <c r="W23" s="17" t="n">
        <f aca="false">IF(OR(V23="",U23=""),"",V23*U23)</f>
        <v>7.28622760165289</v>
      </c>
      <c r="X23" s="9" t="n">
        <f aca="false">IF($H23="",0,SUMIFS(Map_Stats!$F$2:$F$256,Map_Stats!$A$2:$A$256,$F23&amp;"|"&amp;$H23))</f>
        <v>5</v>
      </c>
      <c r="Y23" s="13" t="n">
        <f aca="false">IF($H23="","",IFERROR(1/(1/INDEX(Map_Stats!$K$2:$K$256,MATCH($F23&amp;"|"&amp;$H23,Map_Stats!$A$2:$A$256,0))),$O23))</f>
        <v>0.68</v>
      </c>
      <c r="Z23" s="10" t="n">
        <f aca="false">IF(OR($H23="",$P23=""),"",IFERROR(1/(1/INDEX(Map_Stats!$I$2:$I$256,MATCH($F23&amp;"|"&amp;$H23,Map_Stats!$A$2:$A$256,0))),$P23))</f>
        <v>0.559</v>
      </c>
      <c r="AA23" s="13" t="n">
        <f aca="false">IF(OR($H23="",Y23=""),"",IF($O23="",Y23,(X23*Y23+Config!$B$4*$O23)/(X23+Config!$B$4)))</f>
        <v>0.695</v>
      </c>
      <c r="AB23" s="10" t="n">
        <f aca="false">IF(Z23="","",(X23*Z23+Config!$B$4*$P23)/(X23+Config!$B$4))</f>
        <v>0.5435</v>
      </c>
      <c r="AC23" s="17" t="n">
        <f aca="false">IF(OR(AA23="",$K23=""),"",AA23*$K23*($K23/Config!$B$10)^Config!$B$9)</f>
        <v>14.58805</v>
      </c>
      <c r="AD23" s="17" t="n">
        <f aca="false">IF(OR(AC23="",AB23=""),"",AC23*AB23)</f>
        <v>7.928605175</v>
      </c>
      <c r="AE23" s="9" t="n">
        <f aca="false">IF($I23="",0,SUMIFS(Map_Stats!$F$2:$F$256,Map_Stats!$A$2:$A$256,$F23&amp;"|"&amp;$I23))</f>
        <v>8</v>
      </c>
      <c r="AF23" s="13" t="n">
        <f aca="false">IF($I23="","",IFERROR(1/(1/INDEX(Map_Stats!$K$2:$K$256,MATCH($F23&amp;"|"&amp;$I23,Map_Stats!$A$2:$A$256,0))),$O23))</f>
        <v>0.75</v>
      </c>
      <c r="AG23" s="10" t="n">
        <f aca="false">IF(OR($I23="",$P23=""),"",IFERROR(1/(1/INDEX(Map_Stats!$I$2:$I$256,MATCH($F23&amp;"|"&amp;$I23,Map_Stats!$A$2:$A$256,0))),$P23))</f>
        <v>0.496</v>
      </c>
      <c r="AH23" s="13" t="n">
        <f aca="false">IF(OR($I23="",AF23=""),"",IF($O23="",AF23,(AE23*AF23+Config!$B$4*$O23)/(AE23+Config!$B$4)))</f>
        <v>0.734615384615385</v>
      </c>
      <c r="AI23" s="10" t="n">
        <f aca="false">IF(AG23="","",(AE23*AG23+Config!$B$4*$P23)/(AE23+Config!$B$4))</f>
        <v>0.508307692307692</v>
      </c>
      <c r="AJ23" s="17" t="n">
        <f aca="false">IF(OR(AH23="",$L23=""),"",AH23*$L23*($L23/Config!$B$10)^Config!$B$9)</f>
        <v>15.7942307692308</v>
      </c>
      <c r="AK23" s="17" t="n">
        <f aca="false">IF(OR(AJ23="",AI23=""),"",AJ23*AI23)</f>
        <v>8.02832899408284</v>
      </c>
      <c r="AL23" s="17" t="n">
        <f aca="false">N(V23)+N(AC23)</f>
        <v>29.0605136363636</v>
      </c>
      <c r="AM23" s="17" t="n">
        <f aca="false">AL23+N($M23)*N(AJ23)</f>
        <v>35.9325834440559</v>
      </c>
      <c r="AN23" s="17" t="n">
        <f aca="false">IF(W23="","",N(W23)+N(AD23))</f>
        <v>15.2148327766529</v>
      </c>
      <c r="AO23" s="17" t="n">
        <f aca="false">IF(AN23="","",AN23+N($M23)*N(AK23))</f>
        <v>18.7079587219783</v>
      </c>
      <c r="AP23" s="10" t="n">
        <f aca="false">IFERROR(AN23/AL23,"")</f>
        <v>0.523556911864574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IF($C23=Board!$B$2,COUNTIFS($C$2:$C$42,Board!$B$2,$AL$2:$AL$42,"&gt;"&amp;$AL23)+COUNTIFS($C$1:$C22,Board!$B$2,$AL$1:$AL22,$AL23)+1,"")</f>
        <v/>
      </c>
      <c r="AS23" s="0" t="str">
        <f aca="false">IFERROR(IF($D23=INDEX(Matches!$AD$5:$AD$10,MATCH($C23,Matches!$A$5:$A$10,0)),"A",IF($D23=INDEX(Matches!$AE$5:$AE$10,MATCH($C23,Matches!$A$5:$A$10,0)),"B","")),"")</f>
        <v>A</v>
      </c>
      <c r="AT23" s="10" t="n">
        <f aca="false">IF($AS23="","",IFERROR(IF($AS23="A",INDEX(Matches!$AI$5:$AI$10,MATCH($C23,Matches!$A$5:$A$10,0)),INDEX(Matches!$AJ$5:$AJ$10,MATCH($C23,Matches!$A$5:$A$10,0))),""))</f>
        <v>0.497097913925394</v>
      </c>
      <c r="AU23" s="10" t="n">
        <f aca="false">IF($AS23="","",IFERROR(IF(INDEX(Matches!$AP$5:$AP$10,MATCH($C23,Matches!$A$5:$A$10,0))="","",IF($AS23="A",INDEX(Matches!$AP$5:$AP$10,MATCH($C23,Matches!$A$5:$A$10,0)),1-INDEX(Matches!$AP$5:$AP$10,MATCH($C23,Matches!$A$5:$A$10,0)))),""))</f>
        <v>0.507828272494134</v>
      </c>
      <c r="AV23" s="13" t="n">
        <f aca="false">IF(OR($AU23="",$AT23=""),1,((Config!$B$14*$AU23+Config!$B$15*(1-$AU23))/(Config!$B$14*$AT23+Config!$B$15*(1-$AT23)))^Config!$B$13)</f>
        <v>1.00961376294735</v>
      </c>
      <c r="AW23" s="10" t="n">
        <f aca="false">IF($AS23="","",IFERROR(IF(INDEX(Matches!$AV$5:$AV$10,MATCH($C23,Matches!$A$5:$A$10,0))="","",IF($AS23="A",INDEX(Matches!$AV$5:$AV$10,MATCH($C23,Matches!$A$5:$A$10,0)),1-INDEX(Matches!$AV$5:$AV$10,MATCH($C23,Matches!$A$5:$A$10,0)))),""))</f>
        <v>0.542777041346047</v>
      </c>
      <c r="AX23" s="13" t="n">
        <f aca="false">IF(OR($AW23="",$AT23=""),1,((Config!$B$14*$AW23+Config!$B$15*(1-$AW23))/(Config!$B$14*$AT23+Config!$B$15*(1-$AT23)))^Config!$B$13)</f>
        <v>1.04092578079758</v>
      </c>
      <c r="AY23" s="10" t="n">
        <f aca="false">IF($AS23="","",IFERROR(IF(INDEX(Matches!$BB$5:$BB$10,MATCH($C23,Matches!$A$5:$A$10,0))="","",IF($AS23="A",INDEX(Matches!$BB$5:$BB$10,MATCH($C23,Matches!$A$5:$A$10,0)),1-INDEX(Matches!$BB$5:$BB$10,MATCH($C23,Matches!$A$5:$A$10,0)))),""))</f>
        <v>0.540666508676526</v>
      </c>
      <c r="AZ23" s="13" t="n">
        <f aca="false">IF(OR($AY23="",$AT23=""),1,((Config!$B$14*$AY23+Config!$B$15*(1-$AY23))/(Config!$B$14*$AT23+Config!$B$15*(1-$AT23)))^Config!$B$13)</f>
        <v>1.03903486907758</v>
      </c>
      <c r="BA23" s="17" t="n">
        <f aca="false">IF(V23="","",V23*$AV23)</f>
        <v>14.6115984710277</v>
      </c>
      <c r="BB23" s="17" t="n">
        <f aca="false">IF(AC23="","",AC23*$AX23)</f>
        <v>15.1850773365642</v>
      </c>
      <c r="BC23" s="17" t="n">
        <f aca="false">IF(AJ23="","",AJ23*$AZ23)</f>
        <v>16.4107564994889</v>
      </c>
      <c r="BD23" s="17" t="n">
        <f aca="false">N(BA23)+N(BB23)</f>
        <v>29.7966758075919</v>
      </c>
      <c r="BE23" s="17" t="n">
        <f aca="false">BD23+N($M23)*N(BC23)</f>
        <v>36.9369959605195</v>
      </c>
      <c r="BF23" s="17" t="n">
        <f aca="false">IF(W23="","",W23*$AV23)</f>
        <v>7.35627566659559</v>
      </c>
      <c r="BG23" s="17" t="n">
        <f aca="false">IF(AD23="","",AD23*$AX23)</f>
        <v>8.25308953242262</v>
      </c>
      <c r="BH23" s="17" t="n">
        <f aca="false">IF(AK23="","",AK23*$AZ23)</f>
        <v>8.34171376527864</v>
      </c>
      <c r="BI23" s="17" t="n">
        <f aca="false">IF(BF23="","",N(BF23)+N(BG23))</f>
        <v>15.6093651990182</v>
      </c>
      <c r="BJ23" s="17" t="n">
        <f aca="false">IF(BI23="","",BI23+N($M23)*N(BH23))</f>
        <v>19.2388448582909</v>
      </c>
      <c r="BK23" s="13" t="n">
        <f aca="false">IFERROR(BD23/AL23,1)</f>
        <v>1.02533204266242</v>
      </c>
    </row>
    <row r="24" customFormat="false" ht="15" hidden="false" customHeight="false" outlineLevel="0" collapsed="false">
      <c r="A24" s="0" t="s">
        <v>697</v>
      </c>
      <c r="B24" s="0" t="s">
        <v>568</v>
      </c>
      <c r="C24" s="0" t="s">
        <v>583</v>
      </c>
      <c r="D24" s="0" t="s">
        <v>588</v>
      </c>
      <c r="E24" s="0" t="s">
        <v>696</v>
      </c>
      <c r="F24" s="0" t="s">
        <v>808</v>
      </c>
      <c r="G24" s="0" t="str">
        <f aca="false">IFERROR(IF(INDEX(Matches!$W$5:$W$10,MATCH($C24,Matches!$A$5:$A$10,0))="","",INDEX(Matches!$W$5:$W$10,MATCH($C24,Matches!$A$5:$A$10,0))),"")</f>
        <v>Anubis</v>
      </c>
      <c r="H24" s="0" t="str">
        <f aca="false">IFERROR(IF(INDEX(Matches!$X$5:$X$10,MATCH($C24,Matches!$A$5:$A$10,0))="","",INDEX(Matches!$X$5:$X$10,MATCH($C24,Matches!$A$5:$A$10,0))),"")</f>
        <v>Dust2</v>
      </c>
      <c r="I24" s="0" t="str">
        <f aca="false">IFERROR(IF(INDEX(Matches!$Y$5:$Y$10,MATCH($C24,Matches!$A$5:$A$10,0))="","",INDEX(Matches!$Y$5:$Y$10,MATCH($C24,Matches!$A$5:$A$10,0))),"")</f>
        <v>Mirage</v>
      </c>
      <c r="J24" s="11" t="n">
        <f aca="false">IFERROR(IF(INDEX(Matches!$Z$5:$Z$10,MATCH($C24,Matches!$A$5:$A$10,0))="","",INDEX(Matches!$Z$5:$Z$10,MATCH($C24,Matches!$A$5:$A$10,0))),"")</f>
        <v>21.03</v>
      </c>
      <c r="K24" s="11" t="n">
        <f aca="false">IFERROR(IF(INDEX(Matches!$AA$5:$AA$10,MATCH($C24,Matches!$A$5:$A$10,0))="","",INDEX(Matches!$AA$5:$AA$10,MATCH($C24,Matches!$A$5:$A$10,0))),"")</f>
        <v>20.99</v>
      </c>
      <c r="L24" s="11" t="n">
        <f aca="false">IFERROR(IF(INDEX(Matches!$AB$5:$AB$10,MATCH($C24,Matches!$A$5:$A$10,0))="","",INDEX(Matches!$AB$5:$AB$10,MATCH($C24,Matches!$A$5:$A$10,0))),"")</f>
        <v>21.5</v>
      </c>
      <c r="M24" s="10" t="n">
        <f aca="false">IFERROR(IF(INDEX(Matches!$AC$5:$AC$10,MATCH($C24,Matches!$A$5:$A$10,0))="","",INDEX(Matches!$AC$5:$AC$10,MATCH($C24,Matches!$A$5:$A$10,0))),"")</f>
        <v>0.4351</v>
      </c>
      <c r="N24" s="9" t="n">
        <f aca="false">IFERROR(INDEX(Players!$F$2:$F$42,MATCH($F24,Players!$A$2:$A$42,0)),0)</f>
        <v>30</v>
      </c>
      <c r="O24" s="13" t="n">
        <f aca="false">IFERROR(1/(1/INDEX(Players!$H$2:$H$42,MATCH($F24,Players!$A$2:$A$42,0))),"")</f>
        <v>0.76</v>
      </c>
      <c r="P24" s="10" t="n">
        <f aca="false">IFERROR(1/(1/INDEX(Players!$I$2:$I$42,MATCH($F24,Players!$A$2:$A$42,0))),"")</f>
        <v>0.325</v>
      </c>
      <c r="Q24" s="9" t="n">
        <f aca="false">IF($G24="",0,SUMIFS(Map_Stats!$F$2:$F$256,Map_Stats!$A$2:$A$256,$F24&amp;"|"&amp;$G24))</f>
        <v>6</v>
      </c>
      <c r="R24" s="13" t="n">
        <f aca="false">IF($G24="","",IFERROR(1/(1/INDEX(Map_Stats!$K$2:$K$256,MATCH($F24&amp;"|"&amp;$G24,Map_Stats!$A$2:$A$256,0))),$O24))</f>
        <v>0.73</v>
      </c>
      <c r="S24" s="10" t="n">
        <f aca="false">IF(OR($G24="",$P24=""),"",IFERROR(1/(1/INDEX(Map_Stats!$I$2:$I$256,MATCH($F24&amp;"|"&amp;$G24,Map_Stats!$A$2:$A$256,0))),$P24))</f>
        <v>0.361</v>
      </c>
      <c r="T24" s="13" t="n">
        <f aca="false">IF(OR($G24="",R24=""),"",IF($O24="",R24,(Q24*R24+Config!$B$4*$O24)/(Q24+Config!$B$4)))</f>
        <v>0.743636363636364</v>
      </c>
      <c r="U24" s="10" t="n">
        <f aca="false">IF(S24="","",(Q24*S24+Config!$B$4*$P24)/(Q24+Config!$B$4))</f>
        <v>0.344636363636364</v>
      </c>
      <c r="V24" s="17" t="n">
        <f aca="false">IF(OR(T24="",$J24=""),"",T24*$J24*($J24/Config!$B$10)^Config!$B$9)</f>
        <v>15.6386727272727</v>
      </c>
      <c r="W24" s="17" t="n">
        <f aca="false">IF(OR(V24="",U24=""),"",V24*U24)</f>
        <v>5.38965530082645</v>
      </c>
      <c r="X24" s="9" t="n">
        <f aca="false">IF($H24="",0,SUMIFS(Map_Stats!$F$2:$F$256,Map_Stats!$A$2:$A$256,$F24&amp;"|"&amp;$H24))</f>
        <v>5</v>
      </c>
      <c r="Y24" s="13" t="n">
        <f aca="false">IF($H24="","",IFERROR(1/(1/INDEX(Map_Stats!$K$2:$K$256,MATCH($F24&amp;"|"&amp;$H24,Map_Stats!$A$2:$A$256,0))),$O24))</f>
        <v>0.75</v>
      </c>
      <c r="Z24" s="10" t="n">
        <f aca="false">IF(OR($H24="",$P24=""),"",IFERROR(1/(1/INDEX(Map_Stats!$I$2:$I$256,MATCH($F24&amp;"|"&amp;$H24,Map_Stats!$A$2:$A$256,0))),$P24))</f>
        <v>0.324</v>
      </c>
      <c r="AA24" s="13" t="n">
        <f aca="false">IF(OR($H24="",Y24=""),"",IF($O24="",Y24,(X24*Y24+Config!$B$4*$O24)/(X24+Config!$B$4)))</f>
        <v>0.755</v>
      </c>
      <c r="AB24" s="10" t="n">
        <f aca="false">IF(Z24="","",(X24*Z24+Config!$B$4*$P24)/(X24+Config!$B$4))</f>
        <v>0.3245</v>
      </c>
      <c r="AC24" s="17" t="n">
        <f aca="false">IF(OR(AA24="",$K24=""),"",AA24*$K24*($K24/Config!$B$10)^Config!$B$9)</f>
        <v>15.84745</v>
      </c>
      <c r="AD24" s="17" t="n">
        <f aca="false">IF(OR(AC24="",AB24=""),"",AC24*AB24)</f>
        <v>5.142497525</v>
      </c>
      <c r="AE24" s="9" t="n">
        <f aca="false">IF($I24="",0,SUMIFS(Map_Stats!$F$2:$F$256,Map_Stats!$A$2:$A$256,$F24&amp;"|"&amp;$I24))</f>
        <v>8</v>
      </c>
      <c r="AF24" s="13" t="n">
        <f aca="false">IF($I24="","",IFERROR(1/(1/INDEX(Map_Stats!$K$2:$K$256,MATCH($F24&amp;"|"&amp;$I24,Map_Stats!$A$2:$A$256,0))),$O24))</f>
        <v>0.79</v>
      </c>
      <c r="AG24" s="10" t="n">
        <f aca="false">IF(OR($I24="",$P24=""),"",IFERROR(1/(1/INDEX(Map_Stats!$I$2:$I$256,MATCH($F24&amp;"|"&amp;$I24,Map_Stats!$A$2:$A$256,0))),$P24))</f>
        <v>0.359</v>
      </c>
      <c r="AH24" s="13" t="n">
        <f aca="false">IF(OR($I24="",AF24=""),"",IF($O24="",AF24,(AE24*AF24+Config!$B$4*$O24)/(AE24+Config!$B$4)))</f>
        <v>0.778461538461538</v>
      </c>
      <c r="AI24" s="10" t="n">
        <f aca="false">IF(AG24="","",(AE24*AG24+Config!$B$4*$P24)/(AE24+Config!$B$4))</f>
        <v>0.345923076923077</v>
      </c>
      <c r="AJ24" s="17" t="n">
        <f aca="false">IF(OR(AH24="",$L24=""),"",AH24*$L24*($L24/Config!$B$10)^Config!$B$9)</f>
        <v>16.7369230769231</v>
      </c>
      <c r="AK24" s="17" t="n">
        <f aca="false">IF(OR(AJ24="",AI24=""),"",AJ24*AI24)</f>
        <v>5.78968792899408</v>
      </c>
      <c r="AL24" s="17" t="n">
        <f aca="false">N(V24)+N(AC24)</f>
        <v>31.4861227272727</v>
      </c>
      <c r="AM24" s="17" t="n">
        <f aca="false">AL24+N($M24)*N(AJ24)</f>
        <v>38.768357958042</v>
      </c>
      <c r="AN24" s="17" t="n">
        <f aca="false">IF(W24="","",N(W24)+N(AD24))</f>
        <v>10.5321528258264</v>
      </c>
      <c r="AO24" s="17" t="n">
        <f aca="false">IF(AN24="","",AN24+N($M24)*N(AK24))</f>
        <v>13.0512460437318</v>
      </c>
      <c r="AP24" s="10" t="n">
        <f aca="false">IFERROR(AN24/AL24,"")</f>
        <v>0.334501422009122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IF($C24=Board!$B$2,COUNTIFS($C$2:$C$42,Board!$B$2,$AL$2:$AL$42,"&gt;"&amp;$AL24)+COUNTIFS($C$1:$C23,Board!$B$2,$AL$1:$AL23,$AL24)+1,"")</f>
        <v/>
      </c>
      <c r="AS24" s="0" t="str">
        <f aca="false">IFERROR(IF($D24=INDEX(Matches!$AD$5:$AD$10,MATCH($C24,Matches!$A$5:$A$10,0)),"A",IF($D24=INDEX(Matches!$AE$5:$AE$10,MATCH($C24,Matches!$A$5:$A$10,0)),"B","")),"")</f>
        <v>A</v>
      </c>
      <c r="AT24" s="10" t="n">
        <f aca="false">IF($AS24="","",IFERROR(IF($AS24="A",INDEX(Matches!$AI$5:$AI$10,MATCH($C24,Matches!$A$5:$A$10,0)),INDEX(Matches!$AJ$5:$AJ$10,MATCH($C24,Matches!$A$5:$A$10,0))),""))</f>
        <v>0.497097913925394</v>
      </c>
      <c r="AU24" s="10" t="n">
        <f aca="false">IF($AS24="","",IFERROR(IF(INDEX(Matches!$AP$5:$AP$10,MATCH($C24,Matches!$A$5:$A$10,0))="","",IF($AS24="A",INDEX(Matches!$AP$5:$AP$10,MATCH($C24,Matches!$A$5:$A$10,0)),1-INDEX(Matches!$AP$5:$AP$10,MATCH($C24,Matches!$A$5:$A$10,0)))),""))</f>
        <v>0.507828272494134</v>
      </c>
      <c r="AV24" s="13" t="n">
        <f aca="false">IF(OR($AU24="",$AT24=""),1,((Config!$B$14*$AU24+Config!$B$15*(1-$AU24))/(Config!$B$14*$AT24+Config!$B$15*(1-$AT24)))^Config!$B$13)</f>
        <v>1.00961376294735</v>
      </c>
      <c r="AW24" s="10" t="n">
        <f aca="false">IF($AS24="","",IFERROR(IF(INDEX(Matches!$AV$5:$AV$10,MATCH($C24,Matches!$A$5:$A$10,0))="","",IF($AS24="A",INDEX(Matches!$AV$5:$AV$10,MATCH($C24,Matches!$A$5:$A$10,0)),1-INDEX(Matches!$AV$5:$AV$10,MATCH($C24,Matches!$A$5:$A$10,0)))),""))</f>
        <v>0.542777041346047</v>
      </c>
      <c r="AX24" s="13" t="n">
        <f aca="false">IF(OR($AW24="",$AT24=""),1,((Config!$B$14*$AW24+Config!$B$15*(1-$AW24))/(Config!$B$14*$AT24+Config!$B$15*(1-$AT24)))^Config!$B$13)</f>
        <v>1.04092578079758</v>
      </c>
      <c r="AY24" s="10" t="n">
        <f aca="false">IF($AS24="","",IFERROR(IF(INDEX(Matches!$BB$5:$BB$10,MATCH($C24,Matches!$A$5:$A$10,0))="","",IF($AS24="A",INDEX(Matches!$BB$5:$BB$10,MATCH($C24,Matches!$A$5:$A$10,0)),1-INDEX(Matches!$BB$5:$BB$10,MATCH($C24,Matches!$A$5:$A$10,0)))),""))</f>
        <v>0.540666508676526</v>
      </c>
      <c r="AZ24" s="13" t="n">
        <f aca="false">IF(OR($AY24="",$AT24=""),1,((Config!$B$14*$AY24+Config!$B$15*(1-$AY24))/(Config!$B$14*$AT24+Config!$B$15*(1-$AT24)))^Config!$B$13)</f>
        <v>1.03903486907758</v>
      </c>
      <c r="BA24" s="17" t="n">
        <f aca="false">IF(V24="","",V24*$AV24)</f>
        <v>15.7890192196838</v>
      </c>
      <c r="BB24" s="17" t="n">
        <f aca="false">IF(AC24="","",AC24*$AX24)</f>
        <v>16.4960192649006</v>
      </c>
      <c r="BC24" s="17" t="n">
        <f aca="false">IF(AJ24="","",AJ24*$AZ24)</f>
        <v>17.3902466779924</v>
      </c>
      <c r="BD24" s="17" t="n">
        <f aca="false">N(BA24)+N(BB24)</f>
        <v>32.2850384845845</v>
      </c>
      <c r="BE24" s="17" t="n">
        <f aca="false">BD24+N($M24)*N(BC24)</f>
        <v>39.851534814179</v>
      </c>
      <c r="BF24" s="17" t="n">
        <f aca="false">IF(W24="","",W24*$AV24)</f>
        <v>5.44147016925649</v>
      </c>
      <c r="BG24" s="17" t="n">
        <f aca="false">IF(AD24="","",AD24*$AX24)</f>
        <v>5.35295825146025</v>
      </c>
      <c r="BH24" s="17" t="n">
        <f aca="false">IF(AK24="","",AK24*$AZ24)</f>
        <v>6.01568763930244</v>
      </c>
      <c r="BI24" s="17" t="n">
        <f aca="false">IF(BF24="","",N(BF24)+N(BG24))</f>
        <v>10.7944284207167</v>
      </c>
      <c r="BJ24" s="17" t="n">
        <f aca="false">IF(BI24="","",BI24+N($M24)*N(BH24))</f>
        <v>13.4118541125772</v>
      </c>
      <c r="BK24" s="13" t="n">
        <f aca="false">IFERROR(BD24/AL24,1)</f>
        <v>1.02537358328403</v>
      </c>
    </row>
    <row r="25" customFormat="false" ht="15" hidden="false" customHeight="false" outlineLevel="0" collapsed="false">
      <c r="A25" s="0" t="s">
        <v>699</v>
      </c>
      <c r="B25" s="0" t="s">
        <v>568</v>
      </c>
      <c r="C25" s="0" t="s">
        <v>583</v>
      </c>
      <c r="D25" s="0" t="s">
        <v>588</v>
      </c>
      <c r="E25" s="0" t="s">
        <v>698</v>
      </c>
      <c r="F25" s="0" t="s">
        <v>809</v>
      </c>
      <c r="G25" s="0" t="str">
        <f aca="false">IFERROR(IF(INDEX(Matches!$W$5:$W$10,MATCH($C25,Matches!$A$5:$A$10,0))="","",INDEX(Matches!$W$5:$W$10,MATCH($C25,Matches!$A$5:$A$10,0))),"")</f>
        <v>Anubis</v>
      </c>
      <c r="H25" s="0" t="str">
        <f aca="false">IFERROR(IF(INDEX(Matches!$X$5:$X$10,MATCH($C25,Matches!$A$5:$A$10,0))="","",INDEX(Matches!$X$5:$X$10,MATCH($C25,Matches!$A$5:$A$10,0))),"")</f>
        <v>Dust2</v>
      </c>
      <c r="I25" s="0" t="str">
        <f aca="false">IFERROR(IF(INDEX(Matches!$Y$5:$Y$10,MATCH($C25,Matches!$A$5:$A$10,0))="","",INDEX(Matches!$Y$5:$Y$10,MATCH($C25,Matches!$A$5:$A$10,0))),"")</f>
        <v>Mirage</v>
      </c>
      <c r="J25" s="11" t="n">
        <f aca="false">IFERROR(IF(INDEX(Matches!$Z$5:$Z$10,MATCH($C25,Matches!$A$5:$A$10,0))="","",INDEX(Matches!$Z$5:$Z$10,MATCH($C25,Matches!$A$5:$A$10,0))),"")</f>
        <v>21.03</v>
      </c>
      <c r="K25" s="11" t="n">
        <f aca="false">IFERROR(IF(INDEX(Matches!$AA$5:$AA$10,MATCH($C25,Matches!$A$5:$A$10,0))="","",INDEX(Matches!$AA$5:$AA$10,MATCH($C25,Matches!$A$5:$A$10,0))),"")</f>
        <v>20.99</v>
      </c>
      <c r="L25" s="11" t="n">
        <f aca="false">IFERROR(IF(INDEX(Matches!$AB$5:$AB$10,MATCH($C25,Matches!$A$5:$A$10,0))="","",INDEX(Matches!$AB$5:$AB$10,MATCH($C25,Matches!$A$5:$A$10,0))),"")</f>
        <v>21.5</v>
      </c>
      <c r="M25" s="10" t="n">
        <f aca="false">IFERROR(IF(INDEX(Matches!$AC$5:$AC$10,MATCH($C25,Matches!$A$5:$A$10,0))="","",INDEX(Matches!$AC$5:$AC$10,MATCH($C25,Matches!$A$5:$A$10,0))),"")</f>
        <v>0.4351</v>
      </c>
      <c r="N25" s="9" t="n">
        <f aca="false">IFERROR(INDEX(Players!$F$2:$F$42,MATCH($F25,Players!$A$2:$A$42,0)),0)</f>
        <v>30</v>
      </c>
      <c r="O25" s="13" t="n">
        <f aca="false">IFERROR(1/(1/INDEX(Players!$H$2:$H$42,MATCH($F25,Players!$A$2:$A$42,0))),"")</f>
        <v>0.58</v>
      </c>
      <c r="P25" s="10" t="n">
        <f aca="false">IFERROR(1/(1/INDEX(Players!$I$2:$I$42,MATCH($F25,Players!$A$2:$A$42,0))),"")</f>
        <v>0.523</v>
      </c>
      <c r="Q25" s="9" t="n">
        <f aca="false">IF($G25="",0,SUMIFS(Map_Stats!$F$2:$F$256,Map_Stats!$A$2:$A$256,$F25&amp;"|"&amp;$G25))</f>
        <v>6</v>
      </c>
      <c r="R25" s="13" t="n">
        <f aca="false">IF($G25="","",IFERROR(1/(1/INDEX(Map_Stats!$K$2:$K$256,MATCH($F25&amp;"|"&amp;$G25,Map_Stats!$A$2:$A$256,0))),$O25))</f>
        <v>0.63</v>
      </c>
      <c r="S25" s="10" t="n">
        <f aca="false">IF(OR($G25="",$P25=""),"",IFERROR(1/(1/INDEX(Map_Stats!$I$2:$I$256,MATCH($F25&amp;"|"&amp;$G25,Map_Stats!$A$2:$A$256,0))),$P25))</f>
        <v>0.59</v>
      </c>
      <c r="T25" s="13" t="n">
        <f aca="false">IF(OR($G25="",R25=""),"",IF($O25="",R25,(Q25*R25+Config!$B$4*$O25)/(Q25+Config!$B$4)))</f>
        <v>0.607272727272727</v>
      </c>
      <c r="U25" s="10" t="n">
        <f aca="false">IF(S25="","",(Q25*S25+Config!$B$4*$P25)/(Q25+Config!$B$4))</f>
        <v>0.559545454545455</v>
      </c>
      <c r="V25" s="17" t="n">
        <f aca="false">IF(OR(T25="",$J25=""),"",T25*$J25*($J25/Config!$B$10)^Config!$B$9)</f>
        <v>12.7709454545455</v>
      </c>
      <c r="W25" s="17" t="n">
        <f aca="false">IF(OR(V25="",U25=""),"",V25*U25)</f>
        <v>7.14592447933884</v>
      </c>
      <c r="X25" s="9" t="n">
        <f aca="false">IF($H25="",0,SUMIFS(Map_Stats!$F$2:$F$256,Map_Stats!$A$2:$A$256,$F25&amp;"|"&amp;$H25))</f>
        <v>5</v>
      </c>
      <c r="Y25" s="13" t="n">
        <f aca="false">IF($H25="","",IFERROR(1/(1/INDEX(Map_Stats!$K$2:$K$256,MATCH($F25&amp;"|"&amp;$H25,Map_Stats!$A$2:$A$256,0))),$O25))</f>
        <v>0.58</v>
      </c>
      <c r="Z25" s="10" t="n">
        <f aca="false">IF(OR($H25="",$P25=""),"",IFERROR(1/(1/INDEX(Map_Stats!$I$2:$I$256,MATCH($F25&amp;"|"&amp;$H25,Map_Stats!$A$2:$A$256,0))),$P25))</f>
        <v>0.468</v>
      </c>
      <c r="AA25" s="13" t="n">
        <f aca="false">IF(OR($H25="",Y25=""),"",IF($O25="",Y25,(X25*Y25+Config!$B$4*$O25)/(X25+Config!$B$4)))</f>
        <v>0.58</v>
      </c>
      <c r="AB25" s="10" t="n">
        <f aca="false">IF(Z25="","",(X25*Z25+Config!$B$4*$P25)/(X25+Config!$B$4))</f>
        <v>0.4955</v>
      </c>
      <c r="AC25" s="17" t="n">
        <f aca="false">IF(OR(AA25="",$K25=""),"",AA25*$K25*($K25/Config!$B$10)^Config!$B$9)</f>
        <v>12.1742</v>
      </c>
      <c r="AD25" s="17" t="n">
        <f aca="false">IF(OR(AC25="",AB25=""),"",AC25*AB25)</f>
        <v>6.0323161</v>
      </c>
      <c r="AE25" s="9" t="n">
        <f aca="false">IF($I25="",0,SUMIFS(Map_Stats!$F$2:$F$256,Map_Stats!$A$2:$A$256,$F25&amp;"|"&amp;$I25))</f>
        <v>8</v>
      </c>
      <c r="AF25" s="13" t="n">
        <f aca="false">IF($I25="","",IFERROR(1/(1/INDEX(Map_Stats!$K$2:$K$256,MATCH($F25&amp;"|"&amp;$I25,Map_Stats!$A$2:$A$256,0))),$O25))</f>
        <v>0.65</v>
      </c>
      <c r="AG25" s="10" t="n">
        <f aca="false">IF(OR($I25="",$P25=""),"",IFERROR(1/(1/INDEX(Map_Stats!$I$2:$I$256,MATCH($F25&amp;"|"&amp;$I25,Map_Stats!$A$2:$A$256,0))),$P25))</f>
        <v>0.519</v>
      </c>
      <c r="AH25" s="13" t="n">
        <f aca="false">IF(OR($I25="",AF25=""),"",IF($O25="",AF25,(AE25*AF25+Config!$B$4*$O25)/(AE25+Config!$B$4)))</f>
        <v>0.623076923076923</v>
      </c>
      <c r="AI25" s="10" t="n">
        <f aca="false">IF(AG25="","",(AE25*AG25+Config!$B$4*$P25)/(AE25+Config!$B$4))</f>
        <v>0.520538461538462</v>
      </c>
      <c r="AJ25" s="17" t="n">
        <f aca="false">IF(OR(AH25="",$L25=""),"",AH25*$L25*($L25/Config!$B$10)^Config!$B$9)</f>
        <v>13.3961538461538</v>
      </c>
      <c r="AK25" s="17" t="n">
        <f aca="false">IF(OR(AJ25="",AI25=""),"",AJ25*AI25)</f>
        <v>6.97321331360947</v>
      </c>
      <c r="AL25" s="17" t="n">
        <f aca="false">N(V25)+N(AC25)</f>
        <v>24.9451454545455</v>
      </c>
      <c r="AM25" s="17" t="n">
        <f aca="false">AL25+N($M25)*N(AJ25)</f>
        <v>30.773811993007</v>
      </c>
      <c r="AN25" s="17" t="n">
        <f aca="false">IF(W25="","",N(W25)+N(AD25))</f>
        <v>13.1782405793388</v>
      </c>
      <c r="AO25" s="17" t="n">
        <f aca="false">IF(AN25="","",AN25+N($M25)*N(AK25))</f>
        <v>16.2122856920903</v>
      </c>
      <c r="AP25" s="10" t="n">
        <f aca="false">IFERROR(AN25/AL25,"")</f>
        <v>0.528288784819955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IF($C25=Board!$B$2,COUNTIFS($C$2:$C$42,Board!$B$2,$AL$2:$AL$42,"&gt;"&amp;$AL25)+COUNTIFS($C$1:$C24,Board!$B$2,$AL$1:$AL24,$AL25)+1,"")</f>
        <v/>
      </c>
      <c r="AS25" s="0" t="str">
        <f aca="false">IFERROR(IF($D25=INDEX(Matches!$AD$5:$AD$10,MATCH($C25,Matches!$A$5:$A$10,0)),"A",IF($D25=INDEX(Matches!$AE$5:$AE$10,MATCH($C25,Matches!$A$5:$A$10,0)),"B","")),"")</f>
        <v>A</v>
      </c>
      <c r="AT25" s="10" t="n">
        <f aca="false">IF($AS25="","",IFERROR(IF($AS25="A",INDEX(Matches!$AI$5:$AI$10,MATCH($C25,Matches!$A$5:$A$10,0)),INDEX(Matches!$AJ$5:$AJ$10,MATCH($C25,Matches!$A$5:$A$10,0))),""))</f>
        <v>0.497097913925394</v>
      </c>
      <c r="AU25" s="10" t="n">
        <f aca="false">IF($AS25="","",IFERROR(IF(INDEX(Matches!$AP$5:$AP$10,MATCH($C25,Matches!$A$5:$A$10,0))="","",IF($AS25="A",INDEX(Matches!$AP$5:$AP$10,MATCH($C25,Matches!$A$5:$A$10,0)),1-INDEX(Matches!$AP$5:$AP$10,MATCH($C25,Matches!$A$5:$A$10,0)))),""))</f>
        <v>0.507828272494134</v>
      </c>
      <c r="AV25" s="13" t="n">
        <f aca="false">IF(OR($AU25="",$AT25=""),1,((Config!$B$14*$AU25+Config!$B$15*(1-$AU25))/(Config!$B$14*$AT25+Config!$B$15*(1-$AT25)))^Config!$B$13)</f>
        <v>1.00961376294735</v>
      </c>
      <c r="AW25" s="10" t="n">
        <f aca="false">IF($AS25="","",IFERROR(IF(INDEX(Matches!$AV$5:$AV$10,MATCH($C25,Matches!$A$5:$A$10,0))="","",IF($AS25="A",INDEX(Matches!$AV$5:$AV$10,MATCH($C25,Matches!$A$5:$A$10,0)),1-INDEX(Matches!$AV$5:$AV$10,MATCH($C25,Matches!$A$5:$A$10,0)))),""))</f>
        <v>0.542777041346047</v>
      </c>
      <c r="AX25" s="13" t="n">
        <f aca="false">IF(OR($AW25="",$AT25=""),1,((Config!$B$14*$AW25+Config!$B$15*(1-$AW25))/(Config!$B$14*$AT25+Config!$B$15*(1-$AT25)))^Config!$B$13)</f>
        <v>1.04092578079758</v>
      </c>
      <c r="AY25" s="10" t="n">
        <f aca="false">IF($AS25="","",IFERROR(IF(INDEX(Matches!$BB$5:$BB$10,MATCH($C25,Matches!$A$5:$A$10,0))="","",IF($AS25="A",INDEX(Matches!$BB$5:$BB$10,MATCH($C25,Matches!$A$5:$A$10,0)),1-INDEX(Matches!$BB$5:$BB$10,MATCH($C25,Matches!$A$5:$A$10,0)))),""))</f>
        <v>0.540666508676526</v>
      </c>
      <c r="AZ25" s="13" t="n">
        <f aca="false">IF(OR($AY25="",$AT25=""),1,((Config!$B$14*$AY25+Config!$B$15*(1-$AY25))/(Config!$B$14*$AT25+Config!$B$15*(1-$AT25)))^Config!$B$13)</f>
        <v>1.03903486907758</v>
      </c>
      <c r="BA25" s="17" t="n">
        <f aca="false">IF(V25="","",V25*$AV25)</f>
        <v>12.8937222967589</v>
      </c>
      <c r="BB25" s="17" t="n">
        <f aca="false">IF(AC25="","",AC25*$AX25)</f>
        <v>12.6724386405859</v>
      </c>
      <c r="BC25" s="17" t="n">
        <f aca="false">IF(AJ25="","",AJ25*$AZ25)</f>
        <v>13.9190709576816</v>
      </c>
      <c r="BD25" s="17" t="n">
        <f aca="false">N(BA25)+N(BB25)</f>
        <v>25.5661609373448</v>
      </c>
      <c r="BE25" s="17" t="n">
        <f aca="false">BD25+N($M25)*N(BC25)</f>
        <v>31.6223487110321</v>
      </c>
      <c r="BF25" s="17" t="n">
        <f aca="false">IF(W25="","",W25*$AV25)</f>
        <v>7.21462370332284</v>
      </c>
      <c r="BG25" s="17" t="n">
        <f aca="false">IF(AD25="","",AD25*$AX25)</f>
        <v>6.27919334641032</v>
      </c>
      <c r="BH25" s="17" t="n">
        <f aca="false">IF(AK25="","",AK25*$AZ25)</f>
        <v>7.24541178235629</v>
      </c>
      <c r="BI25" s="17" t="n">
        <f aca="false">IF(BF25="","",N(BF25)+N(BG25))</f>
        <v>13.4938170497332</v>
      </c>
      <c r="BJ25" s="17" t="n">
        <f aca="false">IF(BI25="","",BI25+N($M25)*N(BH25))</f>
        <v>16.6462957162364</v>
      </c>
      <c r="BK25" s="13" t="n">
        <f aca="false">IFERROR(BD25/AL25,1)</f>
        <v>1.02489524400373</v>
      </c>
    </row>
    <row r="26" customFormat="false" ht="15" hidden="false" customHeight="false" outlineLevel="0" collapsed="false">
      <c r="A26" s="0" t="s">
        <v>701</v>
      </c>
      <c r="B26" s="0" t="s">
        <v>568</v>
      </c>
      <c r="C26" s="0" t="s">
        <v>590</v>
      </c>
      <c r="D26" s="0" t="s">
        <v>596</v>
      </c>
      <c r="E26" s="0" t="s">
        <v>700</v>
      </c>
      <c r="F26" s="0" t="s">
        <v>810</v>
      </c>
      <c r="G26" s="0" t="str">
        <f aca="false">IFERROR(IF(INDEX(Matches!$W$5:$W$10,MATCH($C26,Matches!$A$5:$A$10,0))="","",INDEX(Matches!$W$5:$W$10,MATCH($C26,Matches!$A$5:$A$10,0))),"")</f>
        <v>Dust2</v>
      </c>
      <c r="H26" s="0" t="str">
        <f aca="false">IFERROR(IF(INDEX(Matches!$X$5:$X$10,MATCH($C26,Matches!$A$5:$A$10,0))="","",INDEX(Matches!$X$5:$X$10,MATCH($C26,Matches!$A$5:$A$10,0))),"")</f>
        <v>Ancient</v>
      </c>
      <c r="I26" s="0" t="str">
        <f aca="false">IFERROR(IF(INDEX(Matches!$Y$5:$Y$10,MATCH($C26,Matches!$A$5:$A$10,0))="","",INDEX(Matches!$Y$5:$Y$10,MATCH($C26,Matches!$A$5:$A$10,0))),"")</f>
        <v>Mirage</v>
      </c>
      <c r="J26" s="11" t="n">
        <f aca="false">IFERROR(IF(INDEX(Matches!$Z$5:$Z$10,MATCH($C26,Matches!$A$5:$A$10,0))="","",INDEX(Matches!$Z$5:$Z$10,MATCH($C26,Matches!$A$5:$A$10,0))),"")</f>
        <v>21.26</v>
      </c>
      <c r="K26" s="11" t="n">
        <f aca="false">IFERROR(IF(INDEX(Matches!$AA$5:$AA$10,MATCH($C26,Matches!$A$5:$A$10,0))="","",INDEX(Matches!$AA$5:$AA$10,MATCH($C26,Matches!$A$5:$A$10,0))),"")</f>
        <v>21.26</v>
      </c>
      <c r="L26" s="11" t="n">
        <f aca="false">IFERROR(IF(INDEX(Matches!$AB$5:$AB$10,MATCH($C26,Matches!$A$5:$A$10,0))="","",INDEX(Matches!$AB$5:$AB$10,MATCH($C26,Matches!$A$5:$A$10,0))),"")</f>
        <v>21.5</v>
      </c>
      <c r="M26" s="10" t="n">
        <f aca="false">IFERROR(IF(INDEX(Matches!$AC$5:$AC$10,MATCH($C26,Matches!$A$5:$A$10,0))="","",INDEX(Matches!$AC$5:$AC$10,MATCH($C26,Matches!$A$5:$A$10,0))),"")</f>
        <v>0.4761</v>
      </c>
      <c r="N26" s="9" t="n">
        <f aca="false">IFERROR(INDEX(Players!$F$2:$F$42,MATCH($F26,Players!$A$2:$A$42,0)),0)</f>
        <v>30</v>
      </c>
      <c r="O26" s="13" t="n">
        <f aca="false">IFERROR(1/(1/INDEX(Players!$H$2:$H$42,MATCH($F26,Players!$A$2:$A$42,0))),"")</f>
        <v>0.82</v>
      </c>
      <c r="P26" s="10" t="n">
        <f aca="false">IFERROR(1/(1/INDEX(Players!$I$2:$I$42,MATCH($F26,Players!$A$2:$A$42,0))),"")</f>
        <v>0.598</v>
      </c>
      <c r="Q26" s="9" t="n">
        <f aca="false">IF($G26="",0,SUMIFS(Map_Stats!$F$2:$F$256,Map_Stats!$A$2:$A$256,$F26&amp;"|"&amp;$G26))</f>
        <v>8</v>
      </c>
      <c r="R26" s="13" t="n">
        <f aca="false">IF($G26="","",IFERROR(1/(1/INDEX(Map_Stats!$K$2:$K$256,MATCH($F26&amp;"|"&amp;$G26,Map_Stats!$A$2:$A$256,0))),$O26))</f>
        <v>0.79</v>
      </c>
      <c r="S26" s="10" t="n">
        <f aca="false">IF(OR($G26="",$P26=""),"",IFERROR(1/(1/INDEX(Map_Stats!$I$2:$I$256,MATCH($F26&amp;"|"&amp;$G26,Map_Stats!$A$2:$A$256,0))),$P26))</f>
        <v>0.615</v>
      </c>
      <c r="T26" s="13" t="n">
        <f aca="false">IF(OR($G26="",R26=""),"",IF($O26="",R26,(Q26*R26+Config!$B$4*$O26)/(Q26+Config!$B$4)))</f>
        <v>0.801538461538462</v>
      </c>
      <c r="U26" s="10" t="n">
        <f aca="false">IF(S26="","",(Q26*S26+Config!$B$4*$P26)/(Q26+Config!$B$4))</f>
        <v>0.608461538461539</v>
      </c>
      <c r="V26" s="17" t="n">
        <f aca="false">IF(OR(T26="",$J26=""),"",T26*$J26*($J26/Config!$B$10)^Config!$B$9)</f>
        <v>17.0407076923077</v>
      </c>
      <c r="W26" s="17" t="n">
        <f aca="false">IF(OR(V26="",U26=""),"",V26*U26)</f>
        <v>10.3686152189349</v>
      </c>
      <c r="X26" s="9" t="n">
        <f aca="false">IF($H26="",0,SUMIFS(Map_Stats!$F$2:$F$256,Map_Stats!$A$2:$A$256,$F26&amp;"|"&amp;$H26))</f>
        <v>5</v>
      </c>
      <c r="Y26" s="13" t="n">
        <f aca="false">IF($H26="","",IFERROR(1/(1/INDEX(Map_Stats!$K$2:$K$256,MATCH($F26&amp;"|"&amp;$H26,Map_Stats!$A$2:$A$256,0))),$O26))</f>
        <v>0.95</v>
      </c>
      <c r="Z26" s="10" t="n">
        <f aca="false">IF(OR($H26="",$P26=""),"",IFERROR(1/(1/INDEX(Map_Stats!$I$2:$I$256,MATCH($F26&amp;"|"&amp;$H26,Map_Stats!$A$2:$A$256,0))),$P26))</f>
        <v>0.505</v>
      </c>
      <c r="AA26" s="13" t="n">
        <f aca="false">IF(OR($H26="",Y26=""),"",IF($O26="",Y26,(X26*Y26+Config!$B$4*$O26)/(X26+Config!$B$4)))</f>
        <v>0.885</v>
      </c>
      <c r="AB26" s="10" t="n">
        <f aca="false">IF(Z26="","",(X26*Z26+Config!$B$4*$P26)/(X26+Config!$B$4))</f>
        <v>0.5515</v>
      </c>
      <c r="AC26" s="17" t="n">
        <f aca="false">IF(OR(AA26="",$K26=""),"",AA26*$K26*($K26/Config!$B$10)^Config!$B$9)</f>
        <v>18.8151</v>
      </c>
      <c r="AD26" s="17" t="n">
        <f aca="false">IF(OR(AC26="",AB26=""),"",AC26*AB26)</f>
        <v>10.37652765</v>
      </c>
      <c r="AE26" s="9" t="n">
        <f aca="false">IF($I26="",0,SUMIFS(Map_Stats!$F$2:$F$256,Map_Stats!$A$2:$A$256,$F26&amp;"|"&amp;$I26))</f>
        <v>5</v>
      </c>
      <c r="AF26" s="13" t="n">
        <f aca="false">IF($I26="","",IFERROR(1/(1/INDEX(Map_Stats!$K$2:$K$256,MATCH($F26&amp;"|"&amp;$I26,Map_Stats!$A$2:$A$256,0))),$O26))</f>
        <v>0.73</v>
      </c>
      <c r="AG26" s="10" t="n">
        <f aca="false">IF(OR($I26="",$P26=""),"",IFERROR(1/(1/INDEX(Map_Stats!$I$2:$I$256,MATCH($F26&amp;"|"&amp;$I26,Map_Stats!$A$2:$A$256,0))),$P26))</f>
        <v>0.646</v>
      </c>
      <c r="AH26" s="13" t="n">
        <f aca="false">IF(OR($I26="",AF26=""),"",IF($O26="",AF26,(AE26*AF26+Config!$B$4*$O26)/(AE26+Config!$B$4)))</f>
        <v>0.775</v>
      </c>
      <c r="AI26" s="10" t="n">
        <f aca="false">IF(AG26="","",(AE26*AG26+Config!$B$4*$P26)/(AE26+Config!$B$4))</f>
        <v>0.622</v>
      </c>
      <c r="AJ26" s="17" t="n">
        <f aca="false">IF(OR(AH26="",$L26=""),"",AH26*$L26*($L26/Config!$B$10)^Config!$B$9)</f>
        <v>16.6625</v>
      </c>
      <c r="AK26" s="17" t="n">
        <f aca="false">IF(OR(AJ26="",AI26=""),"",AJ26*AI26)</f>
        <v>10.364075</v>
      </c>
      <c r="AL26" s="17" t="n">
        <f aca="false">N(V26)+N(AC26)</f>
        <v>35.8558076923077</v>
      </c>
      <c r="AM26" s="17" t="n">
        <f aca="false">AL26+N($M26)*N(AJ26)</f>
        <v>43.7888239423077</v>
      </c>
      <c r="AN26" s="17" t="n">
        <f aca="false">IF(W26="","",N(W26)+N(AD26))</f>
        <v>20.7451428689349</v>
      </c>
      <c r="AO26" s="17" t="n">
        <f aca="false">IF(AN26="","",AN26+N($M26)*N(AK26))</f>
        <v>25.6794789764349</v>
      </c>
      <c r="AP26" s="10" t="n">
        <f aca="false">IFERROR(AN26/AL26,"")</f>
        <v>0.578571344618893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IF($C26=Board!$B$2,COUNTIFS($C$2:$C$42,Board!$B$2,$AL$2:$AL$42,"&gt;"&amp;$AL26)+COUNTIFS($C$1:$C25,Board!$B$2,$AL$1:$AL25,$AL26)+1,"")</f>
        <v/>
      </c>
      <c r="AS26" s="0" t="str">
        <f aca="false">IFERROR(IF($D26=INDEX(Matches!$AD$5:$AD$10,MATCH($C26,Matches!$A$5:$A$10,0)),"A",IF($D26=INDEX(Matches!$AE$5:$AE$10,MATCH($C26,Matches!$A$5:$A$10,0)),"B","")),"")</f>
        <v>B</v>
      </c>
      <c r="AT26" s="10" t="n">
        <f aca="false">IF($AS26="","",IFERROR(IF($AS26="A",INDEX(Matches!$AI$5:$AI$10,MATCH($C26,Matches!$A$5:$A$10,0)),INDEX(Matches!$AJ$5:$AJ$10,MATCH($C26,Matches!$A$5:$A$10,0))),""))</f>
        <v>0.522349462248242</v>
      </c>
      <c r="AU26" s="10" t="n">
        <f aca="false">IF($AS26="","",IFERROR(IF(INDEX(Matches!$AP$5:$AP$10,MATCH($C26,Matches!$A$5:$A$10,0))="","",IF($AS26="A",INDEX(Matches!$AP$5:$AP$10,MATCH($C26,Matches!$A$5:$A$10,0)),1-INDEX(Matches!$AP$5:$AP$10,MATCH($C26,Matches!$A$5:$A$10,0)))),""))</f>
        <v>0.510289878731355</v>
      </c>
      <c r="AV26" s="13" t="n">
        <f aca="false">IF(OR($AU26="",$AT26=""),1,((Config!$B$14*$AU26+Config!$B$15*(1-$AU26))/(Config!$B$14*$AT26+Config!$B$15*(1-$AT26)))^Config!$B$13)</f>
        <v>0.989434366256487</v>
      </c>
      <c r="AW26" s="10" t="n">
        <f aca="false">IF($AS26="","",IFERROR(IF(INDEX(Matches!$AV$5:$AV$10,MATCH($C26,Matches!$A$5:$A$10,0))="","",IF($AS26="A",INDEX(Matches!$AV$5:$AV$10,MATCH($C26,Matches!$A$5:$A$10,0)),1-INDEX(Matches!$AV$5:$AV$10,MATCH($C26,Matches!$A$5:$A$10,0)))),""))</f>
        <v>0.505894241127179</v>
      </c>
      <c r="AX26" s="13" t="n">
        <f aca="false">IF(OR($AW26="",$AT26=""),1,((Config!$B$14*$AW26+Config!$B$15*(1-$AW26))/(Config!$B$14*$AT26+Config!$B$15*(1-$AT26)))^Config!$B$13)</f>
        <v>0.985583263361441</v>
      </c>
      <c r="AY26" s="10" t="n">
        <f aca="false">IF($AS26="","",IFERROR(IF(INDEX(Matches!$BB$5:$BB$10,MATCH($C26,Matches!$A$5:$A$10,0))="","",IF($AS26="A",INDEX(Matches!$BB$5:$BB$10,MATCH($C26,Matches!$A$5:$A$10,0)),1-INDEX(Matches!$BB$5:$BB$10,MATCH($C26,Matches!$A$5:$A$10,0)))),""))</f>
        <v>0.498487673273266</v>
      </c>
      <c r="AZ26" s="13" t="n">
        <f aca="false">IF(OR($AY26="",$AT26=""),1,((Config!$B$14*$AY26+Config!$B$15*(1-$AY26))/(Config!$B$14*$AT26+Config!$B$15*(1-$AT26)))^Config!$B$13)</f>
        <v>0.979094226395002</v>
      </c>
      <c r="BA26" s="17" t="n">
        <f aca="false">IF(V26="","",V26*$AV26)</f>
        <v>16.8606618161005</v>
      </c>
      <c r="BB26" s="17" t="n">
        <f aca="false">IF(AC26="","",AC26*$AX26)</f>
        <v>18.5438476584719</v>
      </c>
      <c r="BC26" s="17" t="n">
        <f aca="false">IF(AJ26="","",AJ26*$AZ26)</f>
        <v>16.3141575473067</v>
      </c>
      <c r="BD26" s="17" t="n">
        <f aca="false">N(BA26)+N(BB26)</f>
        <v>35.4045094745724</v>
      </c>
      <c r="BE26" s="17" t="n">
        <f aca="false">BD26+N($M26)*N(BC26)</f>
        <v>43.1716798828451</v>
      </c>
      <c r="BF26" s="17" t="n">
        <f aca="false">IF(W26="","",W26*$AV26)</f>
        <v>10.2590642281042</v>
      </c>
      <c r="BG26" s="17" t="n">
        <f aca="false">IF(AD26="","",AD26*$AX26)</f>
        <v>10.2269319836472</v>
      </c>
      <c r="BH26" s="17" t="n">
        <f aca="false">IF(AK26="","",AK26*$AZ26)</f>
        <v>10.1474059944248</v>
      </c>
      <c r="BI26" s="17" t="n">
        <f aca="false">IF(BF26="","",N(BF26)+N(BG26))</f>
        <v>20.4859962117515</v>
      </c>
      <c r="BJ26" s="17" t="n">
        <f aca="false">IF(BI26="","",BI26+N($M26)*N(BH26))</f>
        <v>25.3171762056971</v>
      </c>
      <c r="BK26" s="13" t="n">
        <f aca="false">IFERROR(BD26/AL26,1)</f>
        <v>0.987413525261846</v>
      </c>
    </row>
    <row r="27" customFormat="false" ht="15" hidden="false" customHeight="false" outlineLevel="0" collapsed="false">
      <c r="A27" s="0" t="s">
        <v>703</v>
      </c>
      <c r="B27" s="0" t="s">
        <v>568</v>
      </c>
      <c r="C27" s="0" t="s">
        <v>590</v>
      </c>
      <c r="D27" s="0" t="s">
        <v>596</v>
      </c>
      <c r="E27" s="0" t="s">
        <v>702</v>
      </c>
      <c r="F27" s="0" t="s">
        <v>811</v>
      </c>
      <c r="G27" s="0" t="str">
        <f aca="false">IFERROR(IF(INDEX(Matches!$W$5:$W$10,MATCH($C27,Matches!$A$5:$A$10,0))="","",INDEX(Matches!$W$5:$W$10,MATCH($C27,Matches!$A$5:$A$10,0))),"")</f>
        <v>Dust2</v>
      </c>
      <c r="H27" s="0" t="str">
        <f aca="false">IFERROR(IF(INDEX(Matches!$X$5:$X$10,MATCH($C27,Matches!$A$5:$A$10,0))="","",INDEX(Matches!$X$5:$X$10,MATCH($C27,Matches!$A$5:$A$10,0))),"")</f>
        <v>Ancient</v>
      </c>
      <c r="I27" s="0" t="str">
        <f aca="false">IFERROR(IF(INDEX(Matches!$Y$5:$Y$10,MATCH($C27,Matches!$A$5:$A$10,0))="","",INDEX(Matches!$Y$5:$Y$10,MATCH($C27,Matches!$A$5:$A$10,0))),"")</f>
        <v>Mirage</v>
      </c>
      <c r="J27" s="11" t="n">
        <f aca="false">IFERROR(IF(INDEX(Matches!$Z$5:$Z$10,MATCH($C27,Matches!$A$5:$A$10,0))="","",INDEX(Matches!$Z$5:$Z$10,MATCH($C27,Matches!$A$5:$A$10,0))),"")</f>
        <v>21.26</v>
      </c>
      <c r="K27" s="11" t="n">
        <f aca="false">IFERROR(IF(INDEX(Matches!$AA$5:$AA$10,MATCH($C27,Matches!$A$5:$A$10,0))="","",INDEX(Matches!$AA$5:$AA$10,MATCH($C27,Matches!$A$5:$A$10,0))),"")</f>
        <v>21.26</v>
      </c>
      <c r="L27" s="11" t="n">
        <f aca="false">IFERROR(IF(INDEX(Matches!$AB$5:$AB$10,MATCH($C27,Matches!$A$5:$A$10,0))="","",INDEX(Matches!$AB$5:$AB$10,MATCH($C27,Matches!$A$5:$A$10,0))),"")</f>
        <v>21.5</v>
      </c>
      <c r="M27" s="10" t="n">
        <f aca="false">IFERROR(IF(INDEX(Matches!$AC$5:$AC$10,MATCH($C27,Matches!$A$5:$A$10,0))="","",INDEX(Matches!$AC$5:$AC$10,MATCH($C27,Matches!$A$5:$A$10,0))),"")</f>
        <v>0.4761</v>
      </c>
      <c r="N27" s="9" t="n">
        <f aca="false">IFERROR(INDEX(Players!$F$2:$F$42,MATCH($F27,Players!$A$2:$A$42,0)),0)</f>
        <v>30</v>
      </c>
      <c r="O27" s="13" t="n">
        <f aca="false">IFERROR(1/(1/INDEX(Players!$H$2:$H$42,MATCH($F27,Players!$A$2:$A$42,0))),"")</f>
        <v>0.7</v>
      </c>
      <c r="P27" s="10" t="n">
        <f aca="false">IFERROR(1/(1/INDEX(Players!$I$2:$I$42,MATCH($F27,Players!$A$2:$A$42,0))),"")</f>
        <v>0.578</v>
      </c>
      <c r="Q27" s="9" t="n">
        <f aca="false">IF($G27="",0,SUMIFS(Map_Stats!$F$2:$F$256,Map_Stats!$A$2:$A$256,$F27&amp;"|"&amp;$G27))</f>
        <v>8</v>
      </c>
      <c r="R27" s="13" t="n">
        <f aca="false">IF($G27="","",IFERROR(1/(1/INDEX(Map_Stats!$K$2:$K$256,MATCH($F27&amp;"|"&amp;$G27,Map_Stats!$A$2:$A$256,0))),$O27))</f>
        <v>0.67</v>
      </c>
      <c r="S27" s="10" t="n">
        <f aca="false">IF(OR($G27="",$P27=""),"",IFERROR(1/(1/INDEX(Map_Stats!$I$2:$I$256,MATCH($F27&amp;"|"&amp;$G27,Map_Stats!$A$2:$A$256,0))),$P27))</f>
        <v>0.583</v>
      </c>
      <c r="T27" s="13" t="n">
        <f aca="false">IF(OR($G27="",R27=""),"",IF($O27="",R27,(Q27*R27+Config!$B$4*$O27)/(Q27+Config!$B$4)))</f>
        <v>0.681538461538462</v>
      </c>
      <c r="U27" s="10" t="n">
        <f aca="false">IF(S27="","",(Q27*S27+Config!$B$4*$P27)/(Q27+Config!$B$4))</f>
        <v>0.581076923076923</v>
      </c>
      <c r="V27" s="17" t="n">
        <f aca="false">IF(OR(T27="",$J27=""),"",T27*$J27*($J27/Config!$B$10)^Config!$B$9)</f>
        <v>14.4895076923077</v>
      </c>
      <c r="W27" s="17" t="n">
        <f aca="false">IF(OR(V27="",U27=""),"",V27*U27)</f>
        <v>8.41951854674556</v>
      </c>
      <c r="X27" s="9" t="n">
        <f aca="false">IF($H27="",0,SUMIFS(Map_Stats!$F$2:$F$256,Map_Stats!$A$2:$A$256,$F27&amp;"|"&amp;$H27))</f>
        <v>5</v>
      </c>
      <c r="Y27" s="13" t="n">
        <f aca="false">IF($H27="","",IFERROR(1/(1/INDEX(Map_Stats!$K$2:$K$256,MATCH($F27&amp;"|"&amp;$H27,Map_Stats!$A$2:$A$256,0))),$O27))</f>
        <v>0.83</v>
      </c>
      <c r="Z27" s="10" t="n">
        <f aca="false">IF(OR($H27="",$P27=""),"",IFERROR(1/(1/INDEX(Map_Stats!$I$2:$I$256,MATCH($F27&amp;"|"&amp;$H27,Map_Stats!$A$2:$A$256,0))),$P27))</f>
        <v>0.58</v>
      </c>
      <c r="AA27" s="13" t="n">
        <f aca="false">IF(OR($H27="",Y27=""),"",IF($O27="",Y27,(X27*Y27+Config!$B$4*$O27)/(X27+Config!$B$4)))</f>
        <v>0.765</v>
      </c>
      <c r="AB27" s="10" t="n">
        <f aca="false">IF(Z27="","",(X27*Z27+Config!$B$4*$P27)/(X27+Config!$B$4))</f>
        <v>0.579</v>
      </c>
      <c r="AC27" s="17" t="n">
        <f aca="false">IF(OR(AA27="",$K27=""),"",AA27*$K27*($K27/Config!$B$10)^Config!$B$9)</f>
        <v>16.2639</v>
      </c>
      <c r="AD27" s="17" t="n">
        <f aca="false">IF(OR(AC27="",AB27=""),"",AC27*AB27)</f>
        <v>9.4167981</v>
      </c>
      <c r="AE27" s="9" t="n">
        <f aca="false">IF($I27="",0,SUMIFS(Map_Stats!$F$2:$F$256,Map_Stats!$A$2:$A$256,$F27&amp;"|"&amp;$I27))</f>
        <v>5</v>
      </c>
      <c r="AF27" s="13" t="n">
        <f aca="false">IF($I27="","",IFERROR(1/(1/INDEX(Map_Stats!$K$2:$K$256,MATCH($F27&amp;"|"&amp;$I27,Map_Stats!$A$2:$A$256,0))),$O27))</f>
        <v>0.62</v>
      </c>
      <c r="AG27" s="10" t="n">
        <f aca="false">IF(OR($I27="",$P27=""),"",IFERROR(1/(1/INDEX(Map_Stats!$I$2:$I$256,MATCH($F27&amp;"|"&amp;$I27,Map_Stats!$A$2:$A$256,0))),$P27))</f>
        <v>0.6</v>
      </c>
      <c r="AH27" s="13" t="n">
        <f aca="false">IF(OR($I27="",AF27=""),"",IF($O27="",AF27,(AE27*AF27+Config!$B$4*$O27)/(AE27+Config!$B$4)))</f>
        <v>0.66</v>
      </c>
      <c r="AI27" s="10" t="n">
        <f aca="false">IF(AG27="","",(AE27*AG27+Config!$B$4*$P27)/(AE27+Config!$B$4))</f>
        <v>0.589</v>
      </c>
      <c r="AJ27" s="17" t="n">
        <f aca="false">IF(OR(AH27="",$L27=""),"",AH27*$L27*($L27/Config!$B$10)^Config!$B$9)</f>
        <v>14.19</v>
      </c>
      <c r="AK27" s="17" t="n">
        <f aca="false">IF(OR(AJ27="",AI27=""),"",AJ27*AI27)</f>
        <v>8.35791</v>
      </c>
      <c r="AL27" s="17" t="n">
        <f aca="false">N(V27)+N(AC27)</f>
        <v>30.7534076923077</v>
      </c>
      <c r="AM27" s="17" t="n">
        <f aca="false">AL27+N($M27)*N(AJ27)</f>
        <v>37.5092666923077</v>
      </c>
      <c r="AN27" s="17" t="n">
        <f aca="false">IF(W27="","",N(W27)+N(AD27))</f>
        <v>17.8363166467456</v>
      </c>
      <c r="AO27" s="17" t="n">
        <f aca="false">IF(AN27="","",AN27+N($M27)*N(AK27))</f>
        <v>21.8155175977456</v>
      </c>
      <c r="AP27" s="10" t="n">
        <f aca="false">IFERROR(AN27/AL27,"")</f>
        <v>0.57997854498599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IF($C27=Board!$B$2,COUNTIFS($C$2:$C$42,Board!$B$2,$AL$2:$AL$42,"&gt;"&amp;$AL27)+COUNTIFS($C$1:$C26,Board!$B$2,$AL$1:$AL26,$AL27)+1,"")</f>
        <v/>
      </c>
      <c r="AS27" s="0" t="str">
        <f aca="false">IFERROR(IF($D27=INDEX(Matches!$AD$5:$AD$10,MATCH($C27,Matches!$A$5:$A$10,0)),"A",IF($D27=INDEX(Matches!$AE$5:$AE$10,MATCH($C27,Matches!$A$5:$A$10,0)),"B","")),"")</f>
        <v>B</v>
      </c>
      <c r="AT27" s="10" t="n">
        <f aca="false">IF($AS27="","",IFERROR(IF($AS27="A",INDEX(Matches!$AI$5:$AI$10,MATCH($C27,Matches!$A$5:$A$10,0)),INDEX(Matches!$AJ$5:$AJ$10,MATCH($C27,Matches!$A$5:$A$10,0))),""))</f>
        <v>0.522349462248242</v>
      </c>
      <c r="AU27" s="10" t="n">
        <f aca="false">IF($AS27="","",IFERROR(IF(INDEX(Matches!$AP$5:$AP$10,MATCH($C27,Matches!$A$5:$A$10,0))="","",IF($AS27="A",INDEX(Matches!$AP$5:$AP$10,MATCH($C27,Matches!$A$5:$A$10,0)),1-INDEX(Matches!$AP$5:$AP$10,MATCH($C27,Matches!$A$5:$A$10,0)))),""))</f>
        <v>0.510289878731355</v>
      </c>
      <c r="AV27" s="13" t="n">
        <f aca="false">IF(OR($AU27="",$AT27=""),1,((Config!$B$14*$AU27+Config!$B$15*(1-$AU27))/(Config!$B$14*$AT27+Config!$B$15*(1-$AT27)))^Config!$B$13)</f>
        <v>0.989434366256487</v>
      </c>
      <c r="AW27" s="10" t="n">
        <f aca="false">IF($AS27="","",IFERROR(IF(INDEX(Matches!$AV$5:$AV$10,MATCH($C27,Matches!$A$5:$A$10,0))="","",IF($AS27="A",INDEX(Matches!$AV$5:$AV$10,MATCH($C27,Matches!$A$5:$A$10,0)),1-INDEX(Matches!$AV$5:$AV$10,MATCH($C27,Matches!$A$5:$A$10,0)))),""))</f>
        <v>0.505894241127179</v>
      </c>
      <c r="AX27" s="13" t="n">
        <f aca="false">IF(OR($AW27="",$AT27=""),1,((Config!$B$14*$AW27+Config!$B$15*(1-$AW27))/(Config!$B$14*$AT27+Config!$B$15*(1-$AT27)))^Config!$B$13)</f>
        <v>0.985583263361441</v>
      </c>
      <c r="AY27" s="10" t="n">
        <f aca="false">IF($AS27="","",IFERROR(IF(INDEX(Matches!$BB$5:$BB$10,MATCH($C27,Matches!$A$5:$A$10,0))="","",IF($AS27="A",INDEX(Matches!$BB$5:$BB$10,MATCH($C27,Matches!$A$5:$A$10,0)),1-INDEX(Matches!$BB$5:$BB$10,MATCH($C27,Matches!$A$5:$A$10,0)))),""))</f>
        <v>0.498487673273266</v>
      </c>
      <c r="AZ27" s="13" t="n">
        <f aca="false">IF(OR($AY27="",$AT27=""),1,((Config!$B$14*$AY27+Config!$B$15*(1-$AY27))/(Config!$B$14*$AT27+Config!$B$15*(1-$AT27)))^Config!$B$13)</f>
        <v>0.979094226395002</v>
      </c>
      <c r="BA27" s="17" t="n">
        <f aca="false">IF(V27="","",V27*$AV27)</f>
        <v>14.3364168609069</v>
      </c>
      <c r="BB27" s="17" t="n">
        <f aca="false">IF(AC27="","",AC27*$AX27)</f>
        <v>16.0294276369841</v>
      </c>
      <c r="BC27" s="17" t="n">
        <f aca="false">IF(AJ27="","",AJ27*$AZ27)</f>
        <v>13.8933470725451</v>
      </c>
      <c r="BD27" s="17" t="n">
        <f aca="false">N(BA27)+N(BB27)</f>
        <v>30.3658444978911</v>
      </c>
      <c r="BE27" s="17" t="n">
        <f aca="false">BD27+N($M27)*N(BC27)</f>
        <v>36.9804670391298</v>
      </c>
      <c r="BF27" s="17" t="n">
        <f aca="false">IF(W27="","",W27*$AV27)</f>
        <v>8.33056099748393</v>
      </c>
      <c r="BG27" s="17" t="n">
        <f aca="false">IF(AD27="","",AD27*$AX27)</f>
        <v>9.28103860181382</v>
      </c>
      <c r="BH27" s="17" t="n">
        <f aca="false">IF(AK27="","",AK27*$AZ27)</f>
        <v>8.18318142572905</v>
      </c>
      <c r="BI27" s="17" t="n">
        <f aca="false">IF(BF27="","",N(BF27)+N(BG27))</f>
        <v>17.6115995992977</v>
      </c>
      <c r="BJ27" s="17" t="n">
        <f aca="false">IF(BI27="","",BI27+N($M27)*N(BH27))</f>
        <v>21.5076122760874</v>
      </c>
      <c r="BK27" s="13" t="n">
        <f aca="false">IFERROR(BD27/AL27,1)</f>
        <v>0.987397715456634</v>
      </c>
    </row>
    <row r="28" customFormat="false" ht="15" hidden="false" customHeight="false" outlineLevel="0" collapsed="false">
      <c r="A28" s="0" t="s">
        <v>705</v>
      </c>
      <c r="B28" s="0" t="s">
        <v>568</v>
      </c>
      <c r="C28" s="0" t="s">
        <v>590</v>
      </c>
      <c r="D28" s="0" t="s">
        <v>596</v>
      </c>
      <c r="E28" s="0" t="s">
        <v>704</v>
      </c>
      <c r="F28" s="0" t="s">
        <v>812</v>
      </c>
      <c r="G28" s="0" t="str">
        <f aca="false">IFERROR(IF(INDEX(Matches!$W$5:$W$10,MATCH($C28,Matches!$A$5:$A$10,0))="","",INDEX(Matches!$W$5:$W$10,MATCH($C28,Matches!$A$5:$A$10,0))),"")</f>
        <v>Dust2</v>
      </c>
      <c r="H28" s="0" t="str">
        <f aca="false">IFERROR(IF(INDEX(Matches!$X$5:$X$10,MATCH($C28,Matches!$A$5:$A$10,0))="","",INDEX(Matches!$X$5:$X$10,MATCH($C28,Matches!$A$5:$A$10,0))),"")</f>
        <v>Ancient</v>
      </c>
      <c r="I28" s="0" t="str">
        <f aca="false">IFERROR(IF(INDEX(Matches!$Y$5:$Y$10,MATCH($C28,Matches!$A$5:$A$10,0))="","",INDEX(Matches!$Y$5:$Y$10,MATCH($C28,Matches!$A$5:$A$10,0))),"")</f>
        <v>Mirage</v>
      </c>
      <c r="J28" s="11" t="n">
        <f aca="false">IFERROR(IF(INDEX(Matches!$Z$5:$Z$10,MATCH($C28,Matches!$A$5:$A$10,0))="","",INDEX(Matches!$Z$5:$Z$10,MATCH($C28,Matches!$A$5:$A$10,0))),"")</f>
        <v>21.26</v>
      </c>
      <c r="K28" s="11" t="n">
        <f aca="false">IFERROR(IF(INDEX(Matches!$AA$5:$AA$10,MATCH($C28,Matches!$A$5:$A$10,0))="","",INDEX(Matches!$AA$5:$AA$10,MATCH($C28,Matches!$A$5:$A$10,0))),"")</f>
        <v>21.26</v>
      </c>
      <c r="L28" s="11" t="n">
        <f aca="false">IFERROR(IF(INDEX(Matches!$AB$5:$AB$10,MATCH($C28,Matches!$A$5:$A$10,0))="","",INDEX(Matches!$AB$5:$AB$10,MATCH($C28,Matches!$A$5:$A$10,0))),"")</f>
        <v>21.5</v>
      </c>
      <c r="M28" s="10" t="n">
        <f aca="false">IFERROR(IF(INDEX(Matches!$AC$5:$AC$10,MATCH($C28,Matches!$A$5:$A$10,0))="","",INDEX(Matches!$AC$5:$AC$10,MATCH($C28,Matches!$A$5:$A$10,0))),"")</f>
        <v>0.4761</v>
      </c>
      <c r="N28" s="9" t="n">
        <f aca="false">IFERROR(INDEX(Players!$F$2:$F$42,MATCH($F28,Players!$A$2:$A$42,0)),0)</f>
        <v>30</v>
      </c>
      <c r="O28" s="13" t="n">
        <f aca="false">IFERROR(1/(1/INDEX(Players!$H$2:$H$42,MATCH($F28,Players!$A$2:$A$42,0))),"")</f>
        <v>0.6</v>
      </c>
      <c r="P28" s="10" t="n">
        <f aca="false">IFERROR(1/(1/INDEX(Players!$I$2:$I$42,MATCH($F28,Players!$A$2:$A$42,0))),"")</f>
        <v>0.55</v>
      </c>
      <c r="Q28" s="9" t="n">
        <f aca="false">IF($G28="",0,SUMIFS(Map_Stats!$F$2:$F$256,Map_Stats!$A$2:$A$256,$F28&amp;"|"&amp;$G28))</f>
        <v>8</v>
      </c>
      <c r="R28" s="13" t="n">
        <f aca="false">IF($G28="","",IFERROR(1/(1/INDEX(Map_Stats!$K$2:$K$256,MATCH($F28&amp;"|"&amp;$G28,Map_Stats!$A$2:$A$256,0))),$O28))</f>
        <v>0.61</v>
      </c>
      <c r="S28" s="10" t="n">
        <f aca="false">IF(OR($G28="",$P28=""),"",IFERROR(1/(1/INDEX(Map_Stats!$I$2:$I$256,MATCH($F28&amp;"|"&amp;$G28,Map_Stats!$A$2:$A$256,0))),$P28))</f>
        <v>0.531</v>
      </c>
      <c r="T28" s="13" t="n">
        <f aca="false">IF(OR($G28="",R28=""),"",IF($O28="",R28,(Q28*R28+Config!$B$4*$O28)/(Q28+Config!$B$4)))</f>
        <v>0.606153846153846</v>
      </c>
      <c r="U28" s="10" t="n">
        <f aca="false">IF(S28="","",(Q28*S28+Config!$B$4*$P28)/(Q28+Config!$B$4))</f>
        <v>0.538307692307692</v>
      </c>
      <c r="V28" s="17" t="n">
        <f aca="false">IF(OR(T28="",$J28=""),"",T28*$J28*($J28/Config!$B$10)^Config!$B$9)</f>
        <v>12.8868307692308</v>
      </c>
      <c r="W28" s="17" t="n">
        <f aca="false">IF(OR(V28="",U28=""),"",V28*U28)</f>
        <v>6.93708013254438</v>
      </c>
      <c r="X28" s="9" t="n">
        <f aca="false">IF($H28="",0,SUMIFS(Map_Stats!$F$2:$F$256,Map_Stats!$A$2:$A$256,$F28&amp;"|"&amp;$H28))</f>
        <v>5</v>
      </c>
      <c r="Y28" s="13" t="n">
        <f aca="false">IF($H28="","",IFERROR(1/(1/INDEX(Map_Stats!$K$2:$K$256,MATCH($F28&amp;"|"&amp;$H28,Map_Stats!$A$2:$A$256,0))),$O28))</f>
        <v>0.62</v>
      </c>
      <c r="Z28" s="10" t="n">
        <f aca="false">IF(OR($H28="",$P28=""),"",IFERROR(1/(1/INDEX(Map_Stats!$I$2:$I$256,MATCH($F28&amp;"|"&amp;$H28,Map_Stats!$A$2:$A$256,0))),$P28))</f>
        <v>0.607</v>
      </c>
      <c r="AA28" s="13" t="n">
        <f aca="false">IF(OR($H28="",Y28=""),"",IF($O28="",Y28,(X28*Y28+Config!$B$4*$O28)/(X28+Config!$B$4)))</f>
        <v>0.61</v>
      </c>
      <c r="AB28" s="10" t="n">
        <f aca="false">IF(Z28="","",(X28*Z28+Config!$B$4*$P28)/(X28+Config!$B$4))</f>
        <v>0.5785</v>
      </c>
      <c r="AC28" s="17" t="n">
        <f aca="false">IF(OR(AA28="",$K28=""),"",AA28*$K28*($K28/Config!$B$10)^Config!$B$9)</f>
        <v>12.9686</v>
      </c>
      <c r="AD28" s="17" t="n">
        <f aca="false">IF(OR(AC28="",AB28=""),"",AC28*AB28)</f>
        <v>7.5023351</v>
      </c>
      <c r="AE28" s="9" t="n">
        <f aca="false">IF($I28="",0,SUMIFS(Map_Stats!$F$2:$F$256,Map_Stats!$A$2:$A$256,$F28&amp;"|"&amp;$I28))</f>
        <v>5</v>
      </c>
      <c r="AF28" s="13" t="n">
        <f aca="false">IF($I28="","",IFERROR(1/(1/INDEX(Map_Stats!$K$2:$K$256,MATCH($F28&amp;"|"&amp;$I28,Map_Stats!$A$2:$A$256,0))),$O28))</f>
        <v>0.57</v>
      </c>
      <c r="AG28" s="10" t="n">
        <f aca="false">IF(OR($I28="",$P28=""),"",IFERROR(1/(1/INDEX(Map_Stats!$I$2:$I$256,MATCH($F28&amp;"|"&amp;$I28,Map_Stats!$A$2:$A$256,0))),$P28))</f>
        <v>0.594</v>
      </c>
      <c r="AH28" s="13" t="n">
        <f aca="false">IF(OR($I28="",AF28=""),"",IF($O28="",AF28,(AE28*AF28+Config!$B$4*$O28)/(AE28+Config!$B$4)))</f>
        <v>0.585</v>
      </c>
      <c r="AI28" s="10" t="n">
        <f aca="false">IF(AG28="","",(AE28*AG28+Config!$B$4*$P28)/(AE28+Config!$B$4))</f>
        <v>0.572</v>
      </c>
      <c r="AJ28" s="17" t="n">
        <f aca="false">IF(OR(AH28="",$L28=""),"",AH28*$L28*($L28/Config!$B$10)^Config!$B$9)</f>
        <v>12.5775</v>
      </c>
      <c r="AK28" s="17" t="n">
        <f aca="false">IF(OR(AJ28="",AI28=""),"",AJ28*AI28)</f>
        <v>7.19433</v>
      </c>
      <c r="AL28" s="17" t="n">
        <f aca="false">N(V28)+N(AC28)</f>
        <v>25.8554307692308</v>
      </c>
      <c r="AM28" s="17" t="n">
        <f aca="false">AL28+N($M28)*N(AJ28)</f>
        <v>31.8435785192308</v>
      </c>
      <c r="AN28" s="17" t="n">
        <f aca="false">IF(W28="","",N(W28)+N(AD28))</f>
        <v>14.4394152325444</v>
      </c>
      <c r="AO28" s="17" t="n">
        <f aca="false">IF(AN28="","",AN28+N($M28)*N(AK28))</f>
        <v>17.8646357455444</v>
      </c>
      <c r="AP28" s="10" t="n">
        <f aca="false">IFERROR(AN28/AL28,"")</f>
        <v>0.558467401352601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IF($C28=Board!$B$2,COUNTIFS($C$2:$C$42,Board!$B$2,$AL$2:$AL$42,"&gt;"&amp;$AL28)+COUNTIFS($C$1:$C27,Board!$B$2,$AL$1:$AL27,$AL28)+1,"")</f>
        <v/>
      </c>
      <c r="AS28" s="0" t="str">
        <f aca="false">IFERROR(IF($D28=INDEX(Matches!$AD$5:$AD$10,MATCH($C28,Matches!$A$5:$A$10,0)),"A",IF($D28=INDEX(Matches!$AE$5:$AE$10,MATCH($C28,Matches!$A$5:$A$10,0)),"B","")),"")</f>
        <v>B</v>
      </c>
      <c r="AT28" s="10" t="n">
        <f aca="false">IF($AS28="","",IFERROR(IF($AS28="A",INDEX(Matches!$AI$5:$AI$10,MATCH($C28,Matches!$A$5:$A$10,0)),INDEX(Matches!$AJ$5:$AJ$10,MATCH($C28,Matches!$A$5:$A$10,0))),""))</f>
        <v>0.522349462248242</v>
      </c>
      <c r="AU28" s="10" t="n">
        <f aca="false">IF($AS28="","",IFERROR(IF(INDEX(Matches!$AP$5:$AP$10,MATCH($C28,Matches!$A$5:$A$10,0))="","",IF($AS28="A",INDEX(Matches!$AP$5:$AP$10,MATCH($C28,Matches!$A$5:$A$10,0)),1-INDEX(Matches!$AP$5:$AP$10,MATCH($C28,Matches!$A$5:$A$10,0)))),""))</f>
        <v>0.510289878731355</v>
      </c>
      <c r="AV28" s="13" t="n">
        <f aca="false">IF(OR($AU28="",$AT28=""),1,((Config!$B$14*$AU28+Config!$B$15*(1-$AU28))/(Config!$B$14*$AT28+Config!$B$15*(1-$AT28)))^Config!$B$13)</f>
        <v>0.989434366256487</v>
      </c>
      <c r="AW28" s="10" t="n">
        <f aca="false">IF($AS28="","",IFERROR(IF(INDEX(Matches!$AV$5:$AV$10,MATCH($C28,Matches!$A$5:$A$10,0))="","",IF($AS28="A",INDEX(Matches!$AV$5:$AV$10,MATCH($C28,Matches!$A$5:$A$10,0)),1-INDEX(Matches!$AV$5:$AV$10,MATCH($C28,Matches!$A$5:$A$10,0)))),""))</f>
        <v>0.505894241127179</v>
      </c>
      <c r="AX28" s="13" t="n">
        <f aca="false">IF(OR($AW28="",$AT28=""),1,((Config!$B$14*$AW28+Config!$B$15*(1-$AW28))/(Config!$B$14*$AT28+Config!$B$15*(1-$AT28)))^Config!$B$13)</f>
        <v>0.985583263361441</v>
      </c>
      <c r="AY28" s="10" t="n">
        <f aca="false">IF($AS28="","",IFERROR(IF(INDEX(Matches!$BB$5:$BB$10,MATCH($C28,Matches!$A$5:$A$10,0))="","",IF($AS28="A",INDEX(Matches!$BB$5:$BB$10,MATCH($C28,Matches!$A$5:$A$10,0)),1-INDEX(Matches!$BB$5:$BB$10,MATCH($C28,Matches!$A$5:$A$10,0)))),""))</f>
        <v>0.498487673273266</v>
      </c>
      <c r="AZ28" s="13" t="n">
        <f aca="false">IF(OR($AY28="",$AT28=""),1,((Config!$B$14*$AY28+Config!$B$15*(1-$AY28))/(Config!$B$14*$AT28+Config!$B$15*(1-$AT28)))^Config!$B$13)</f>
        <v>0.979094226395002</v>
      </c>
      <c r="BA28" s="17" t="n">
        <f aca="false">IF(V28="","",V28*$AV28)</f>
        <v>12.7506732352084</v>
      </c>
      <c r="BB28" s="17" t="n">
        <f aca="false">IF(AC28="","",AC28*$AX28)</f>
        <v>12.7816351092292</v>
      </c>
      <c r="BC28" s="17" t="n">
        <f aca="false">IF(AJ28="","",AJ28*$AZ28)</f>
        <v>12.3145576324831</v>
      </c>
      <c r="BD28" s="17" t="n">
        <f aca="false">N(BA28)+N(BB28)</f>
        <v>25.5323083444376</v>
      </c>
      <c r="BE28" s="17" t="n">
        <f aca="false">BD28+N($M28)*N(BC28)</f>
        <v>31.3952692332628</v>
      </c>
      <c r="BF28" s="17" t="n">
        <f aca="false">IF(W28="","",W28*$AV28)</f>
        <v>6.86378548461451</v>
      </c>
      <c r="BG28" s="17" t="n">
        <f aca="false">IF(AD28="","",AD28*$AX28)</f>
        <v>7.39417591068908</v>
      </c>
      <c r="BH28" s="17" t="n">
        <f aca="false">IF(AK28="","",AK28*$AZ28)</f>
        <v>7.04392696578036</v>
      </c>
      <c r="BI28" s="17" t="n">
        <f aca="false">IF(BF28="","",N(BF28)+N(BG28))</f>
        <v>14.2579613953036</v>
      </c>
      <c r="BJ28" s="17" t="n">
        <f aca="false">IF(BI28="","",BI28+N($M28)*N(BH28))</f>
        <v>17.6115750237116</v>
      </c>
      <c r="BK28" s="13" t="n">
        <f aca="false">IFERROR(BD28/AL28,1)</f>
        <v>0.987502725145942</v>
      </c>
    </row>
    <row r="29" customFormat="false" ht="15" hidden="false" customHeight="false" outlineLevel="0" collapsed="false">
      <c r="A29" s="0" t="s">
        <v>707</v>
      </c>
      <c r="B29" s="0" t="s">
        <v>568</v>
      </c>
      <c r="C29" s="0" t="s">
        <v>590</v>
      </c>
      <c r="D29" s="0" t="s">
        <v>596</v>
      </c>
      <c r="E29" s="0" t="s">
        <v>706</v>
      </c>
      <c r="F29" s="0" t="s">
        <v>813</v>
      </c>
      <c r="G29" s="0" t="str">
        <f aca="false">IFERROR(IF(INDEX(Matches!$W$5:$W$10,MATCH($C29,Matches!$A$5:$A$10,0))="","",INDEX(Matches!$W$5:$W$10,MATCH($C29,Matches!$A$5:$A$10,0))),"")</f>
        <v>Dust2</v>
      </c>
      <c r="H29" s="0" t="str">
        <f aca="false">IFERROR(IF(INDEX(Matches!$X$5:$X$10,MATCH($C29,Matches!$A$5:$A$10,0))="","",INDEX(Matches!$X$5:$X$10,MATCH($C29,Matches!$A$5:$A$10,0))),"")</f>
        <v>Ancient</v>
      </c>
      <c r="I29" s="0" t="str">
        <f aca="false">IFERROR(IF(INDEX(Matches!$Y$5:$Y$10,MATCH($C29,Matches!$A$5:$A$10,0))="","",INDEX(Matches!$Y$5:$Y$10,MATCH($C29,Matches!$A$5:$A$10,0))),"")</f>
        <v>Mirage</v>
      </c>
      <c r="J29" s="11" t="n">
        <f aca="false">IFERROR(IF(INDEX(Matches!$Z$5:$Z$10,MATCH($C29,Matches!$A$5:$A$10,0))="","",INDEX(Matches!$Z$5:$Z$10,MATCH($C29,Matches!$A$5:$A$10,0))),"")</f>
        <v>21.26</v>
      </c>
      <c r="K29" s="11" t="n">
        <f aca="false">IFERROR(IF(INDEX(Matches!$AA$5:$AA$10,MATCH($C29,Matches!$A$5:$A$10,0))="","",INDEX(Matches!$AA$5:$AA$10,MATCH($C29,Matches!$A$5:$A$10,0))),"")</f>
        <v>21.26</v>
      </c>
      <c r="L29" s="11" t="n">
        <f aca="false">IFERROR(IF(INDEX(Matches!$AB$5:$AB$10,MATCH($C29,Matches!$A$5:$A$10,0))="","",INDEX(Matches!$AB$5:$AB$10,MATCH($C29,Matches!$A$5:$A$10,0))),"")</f>
        <v>21.5</v>
      </c>
      <c r="M29" s="10" t="n">
        <f aca="false">IFERROR(IF(INDEX(Matches!$AC$5:$AC$10,MATCH($C29,Matches!$A$5:$A$10,0))="","",INDEX(Matches!$AC$5:$AC$10,MATCH($C29,Matches!$A$5:$A$10,0))),"")</f>
        <v>0.4761</v>
      </c>
      <c r="N29" s="9" t="n">
        <f aca="false">IFERROR(INDEX(Players!$F$2:$F$42,MATCH($F29,Players!$A$2:$A$42,0)),0)</f>
        <v>30</v>
      </c>
      <c r="O29" s="13" t="n">
        <f aca="false">IFERROR(1/(1/INDEX(Players!$H$2:$H$42,MATCH($F29,Players!$A$2:$A$42,0))),"")</f>
        <v>0.68</v>
      </c>
      <c r="P29" s="10" t="n">
        <f aca="false">IFERROR(1/(1/INDEX(Players!$I$2:$I$42,MATCH($F29,Players!$A$2:$A$42,0))),"")</f>
        <v>0.411</v>
      </c>
      <c r="Q29" s="9" t="n">
        <f aca="false">IF($G29="",0,SUMIFS(Map_Stats!$F$2:$F$256,Map_Stats!$A$2:$A$256,$F29&amp;"|"&amp;$G29))</f>
        <v>8</v>
      </c>
      <c r="R29" s="13" t="n">
        <f aca="false">IF($G29="","",IFERROR(1/(1/INDEX(Map_Stats!$K$2:$K$256,MATCH($F29&amp;"|"&amp;$G29,Map_Stats!$A$2:$A$256,0))),$O29))</f>
        <v>0.64</v>
      </c>
      <c r="S29" s="10" t="n">
        <f aca="false">IF(OR($G29="",$P29=""),"",IFERROR(1/(1/INDEX(Map_Stats!$I$2:$I$256,MATCH($F29&amp;"|"&amp;$G29,Map_Stats!$A$2:$A$256,0))),$P29))</f>
        <v>0.372</v>
      </c>
      <c r="T29" s="13" t="n">
        <f aca="false">IF(OR($G29="",R29=""),"",IF($O29="",R29,(Q29*R29+Config!$B$4*$O29)/(Q29+Config!$B$4)))</f>
        <v>0.655384615384615</v>
      </c>
      <c r="U29" s="10" t="n">
        <f aca="false">IF(S29="","",(Q29*S29+Config!$B$4*$P29)/(Q29+Config!$B$4))</f>
        <v>0.387</v>
      </c>
      <c r="V29" s="17" t="n">
        <f aca="false">IF(OR(T29="",$J29=""),"",T29*$J29*($J29/Config!$B$10)^Config!$B$9)</f>
        <v>13.9334769230769</v>
      </c>
      <c r="W29" s="17" t="n">
        <f aca="false">IF(OR(V29="",U29=""),"",V29*U29)</f>
        <v>5.39225556923077</v>
      </c>
      <c r="X29" s="9" t="n">
        <f aca="false">IF($H29="",0,SUMIFS(Map_Stats!$F$2:$F$256,Map_Stats!$A$2:$A$256,$F29&amp;"|"&amp;$H29))</f>
        <v>5</v>
      </c>
      <c r="Y29" s="13" t="n">
        <f aca="false">IF($H29="","",IFERROR(1/(1/INDEX(Map_Stats!$K$2:$K$256,MATCH($F29&amp;"|"&amp;$H29,Map_Stats!$A$2:$A$256,0))),$O29))</f>
        <v>0.89</v>
      </c>
      <c r="Z29" s="10" t="n">
        <f aca="false">IF(OR($H29="",$P29=""),"",IFERROR(1/(1/INDEX(Map_Stats!$I$2:$I$256,MATCH($F29&amp;"|"&amp;$H29,Map_Stats!$A$2:$A$256,0))),$P29))</f>
        <v>0.333</v>
      </c>
      <c r="AA29" s="13" t="n">
        <f aca="false">IF(OR($H29="",Y29=""),"",IF($O29="",Y29,(X29*Y29+Config!$B$4*$O29)/(X29+Config!$B$4)))</f>
        <v>0.785</v>
      </c>
      <c r="AB29" s="10" t="n">
        <f aca="false">IF(Z29="","",(X29*Z29+Config!$B$4*$P29)/(X29+Config!$B$4))</f>
        <v>0.372</v>
      </c>
      <c r="AC29" s="17" t="n">
        <f aca="false">IF(OR(AA29="",$K29=""),"",AA29*$K29*($K29/Config!$B$10)^Config!$B$9)</f>
        <v>16.6891</v>
      </c>
      <c r="AD29" s="17" t="n">
        <f aca="false">IF(OR(AC29="",AB29=""),"",AC29*AB29)</f>
        <v>6.2083452</v>
      </c>
      <c r="AE29" s="9" t="n">
        <f aca="false">IF($I29="",0,SUMIFS(Map_Stats!$F$2:$F$256,Map_Stats!$A$2:$A$256,$F29&amp;"|"&amp;$I29))</f>
        <v>5</v>
      </c>
      <c r="AF29" s="13" t="n">
        <f aca="false">IF($I29="","",IFERROR(1/(1/INDEX(Map_Stats!$K$2:$K$256,MATCH($F29&amp;"|"&amp;$I29,Map_Stats!$A$2:$A$256,0))),$O29))</f>
        <v>0.73</v>
      </c>
      <c r="AG29" s="10" t="n">
        <f aca="false">IF(OR($I29="",$P29=""),"",IFERROR(1/(1/INDEX(Map_Stats!$I$2:$I$256,MATCH($F29&amp;"|"&amp;$I29,Map_Stats!$A$2:$A$256,0))),$P29))</f>
        <v>0.5</v>
      </c>
      <c r="AH29" s="13" t="n">
        <f aca="false">IF(OR($I29="",AF29=""),"",IF($O29="",AF29,(AE29*AF29+Config!$B$4*$O29)/(AE29+Config!$B$4)))</f>
        <v>0.705</v>
      </c>
      <c r="AI29" s="10" t="n">
        <f aca="false">IF(AG29="","",(AE29*AG29+Config!$B$4*$P29)/(AE29+Config!$B$4))</f>
        <v>0.4555</v>
      </c>
      <c r="AJ29" s="17" t="n">
        <f aca="false">IF(OR(AH29="",$L29=""),"",AH29*$L29*($L29/Config!$B$10)^Config!$B$9)</f>
        <v>15.1575</v>
      </c>
      <c r="AK29" s="17" t="n">
        <f aca="false">IF(OR(AJ29="",AI29=""),"",AJ29*AI29)</f>
        <v>6.90424125</v>
      </c>
      <c r="AL29" s="17" t="n">
        <f aca="false">N(V29)+N(AC29)</f>
        <v>30.6225769230769</v>
      </c>
      <c r="AM29" s="17" t="n">
        <f aca="false">AL29+N($M29)*N(AJ29)</f>
        <v>37.8390626730769</v>
      </c>
      <c r="AN29" s="17" t="n">
        <f aca="false">IF(W29="","",N(W29)+N(AD29))</f>
        <v>11.6006007692308</v>
      </c>
      <c r="AO29" s="17" t="n">
        <f aca="false">IF(AN29="","",AN29+N($M29)*N(AK29))</f>
        <v>14.8877100283558</v>
      </c>
      <c r="AP29" s="10" t="n">
        <f aca="false">IFERROR(AN29/AL29,"")</f>
        <v>0.378825100133511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IF($C29=Board!$B$2,COUNTIFS($C$2:$C$42,Board!$B$2,$AL$2:$AL$42,"&gt;"&amp;$AL29)+COUNTIFS($C$1:$C28,Board!$B$2,$AL$1:$AL28,$AL29)+1,"")</f>
        <v/>
      </c>
      <c r="AS29" s="0" t="str">
        <f aca="false">IFERROR(IF($D29=INDEX(Matches!$AD$5:$AD$10,MATCH($C29,Matches!$A$5:$A$10,0)),"A",IF($D29=INDEX(Matches!$AE$5:$AE$10,MATCH($C29,Matches!$A$5:$A$10,0)),"B","")),"")</f>
        <v>B</v>
      </c>
      <c r="AT29" s="10" t="n">
        <f aca="false">IF($AS29="","",IFERROR(IF($AS29="A",INDEX(Matches!$AI$5:$AI$10,MATCH($C29,Matches!$A$5:$A$10,0)),INDEX(Matches!$AJ$5:$AJ$10,MATCH($C29,Matches!$A$5:$A$10,0))),""))</f>
        <v>0.522349462248242</v>
      </c>
      <c r="AU29" s="10" t="n">
        <f aca="false">IF($AS29="","",IFERROR(IF(INDEX(Matches!$AP$5:$AP$10,MATCH($C29,Matches!$A$5:$A$10,0))="","",IF($AS29="A",INDEX(Matches!$AP$5:$AP$10,MATCH($C29,Matches!$A$5:$A$10,0)),1-INDEX(Matches!$AP$5:$AP$10,MATCH($C29,Matches!$A$5:$A$10,0)))),""))</f>
        <v>0.510289878731355</v>
      </c>
      <c r="AV29" s="13" t="n">
        <f aca="false">IF(OR($AU29="",$AT29=""),1,((Config!$B$14*$AU29+Config!$B$15*(1-$AU29))/(Config!$B$14*$AT29+Config!$B$15*(1-$AT29)))^Config!$B$13)</f>
        <v>0.989434366256487</v>
      </c>
      <c r="AW29" s="10" t="n">
        <f aca="false">IF($AS29="","",IFERROR(IF(INDEX(Matches!$AV$5:$AV$10,MATCH($C29,Matches!$A$5:$A$10,0))="","",IF($AS29="A",INDEX(Matches!$AV$5:$AV$10,MATCH($C29,Matches!$A$5:$A$10,0)),1-INDEX(Matches!$AV$5:$AV$10,MATCH($C29,Matches!$A$5:$A$10,0)))),""))</f>
        <v>0.505894241127179</v>
      </c>
      <c r="AX29" s="13" t="n">
        <f aca="false">IF(OR($AW29="",$AT29=""),1,((Config!$B$14*$AW29+Config!$B$15*(1-$AW29))/(Config!$B$14*$AT29+Config!$B$15*(1-$AT29)))^Config!$B$13)</f>
        <v>0.985583263361441</v>
      </c>
      <c r="AY29" s="10" t="n">
        <f aca="false">IF($AS29="","",IFERROR(IF(INDEX(Matches!$BB$5:$BB$10,MATCH($C29,Matches!$A$5:$A$10,0))="","",IF($AS29="A",INDEX(Matches!$BB$5:$BB$10,MATCH($C29,Matches!$A$5:$A$10,0)),1-INDEX(Matches!$BB$5:$BB$10,MATCH($C29,Matches!$A$5:$A$10,0)))),""))</f>
        <v>0.498487673273266</v>
      </c>
      <c r="AZ29" s="13" t="n">
        <f aca="false">IF(OR($AY29="",$AT29=""),1,((Config!$B$14*$AY29+Config!$B$15*(1-$AY29))/(Config!$B$14*$AT29+Config!$B$15*(1-$AT29)))^Config!$B$13)</f>
        <v>0.979094226395002</v>
      </c>
      <c r="BA29" s="17" t="n">
        <f aca="false">IF(V29="","",V29*$AV29)</f>
        <v>13.786260909134</v>
      </c>
      <c r="BB29" s="17" t="n">
        <f aca="false">IF(AC29="","",AC29*$AX29)</f>
        <v>16.4484976405654</v>
      </c>
      <c r="BC29" s="17" t="n">
        <f aca="false">IF(AJ29="","",AJ29*$AZ29)</f>
        <v>14.8406207365823</v>
      </c>
      <c r="BD29" s="17" t="n">
        <f aca="false">N(BA29)+N(BB29)</f>
        <v>30.2347585496994</v>
      </c>
      <c r="BE29" s="17" t="n">
        <f aca="false">BD29+N($M29)*N(BC29)</f>
        <v>37.3003780823862</v>
      </c>
      <c r="BF29" s="17" t="n">
        <f aca="false">IF(W29="","",W29*$AV29)</f>
        <v>5.33528297183486</v>
      </c>
      <c r="BG29" s="17" t="n">
        <f aca="false">IF(AD29="","",AD29*$AX29)</f>
        <v>6.11884112229034</v>
      </c>
      <c r="BH29" s="17" t="n">
        <f aca="false">IF(AK29="","",AK29*$AZ29)</f>
        <v>6.75990274551321</v>
      </c>
      <c r="BI29" s="17" t="n">
        <f aca="false">IF(BF29="","",N(BF29)+N(BG29))</f>
        <v>11.4541240941252</v>
      </c>
      <c r="BJ29" s="17" t="n">
        <f aca="false">IF(BI29="","",BI29+N($M29)*N(BH29))</f>
        <v>14.672513791264</v>
      </c>
      <c r="BK29" s="13" t="n">
        <f aca="false">IFERROR(BD29/AL29,1)</f>
        <v>0.987335540886984</v>
      </c>
    </row>
    <row r="30" customFormat="false" ht="15" hidden="false" customHeight="false" outlineLevel="0" collapsed="false">
      <c r="A30" s="0" t="s">
        <v>709</v>
      </c>
      <c r="B30" s="0" t="s">
        <v>568</v>
      </c>
      <c r="C30" s="0" t="s">
        <v>590</v>
      </c>
      <c r="D30" s="0" t="s">
        <v>596</v>
      </c>
      <c r="E30" s="0" t="s">
        <v>708</v>
      </c>
      <c r="F30" s="0" t="s">
        <v>814</v>
      </c>
      <c r="G30" s="0" t="str">
        <f aca="false">IFERROR(IF(INDEX(Matches!$W$5:$W$10,MATCH($C30,Matches!$A$5:$A$10,0))="","",INDEX(Matches!$W$5:$W$10,MATCH($C30,Matches!$A$5:$A$10,0))),"")</f>
        <v>Dust2</v>
      </c>
      <c r="H30" s="0" t="str">
        <f aca="false">IFERROR(IF(INDEX(Matches!$X$5:$X$10,MATCH($C30,Matches!$A$5:$A$10,0))="","",INDEX(Matches!$X$5:$X$10,MATCH($C30,Matches!$A$5:$A$10,0))),"")</f>
        <v>Ancient</v>
      </c>
      <c r="I30" s="0" t="str">
        <f aca="false">IFERROR(IF(INDEX(Matches!$Y$5:$Y$10,MATCH($C30,Matches!$A$5:$A$10,0))="","",INDEX(Matches!$Y$5:$Y$10,MATCH($C30,Matches!$A$5:$A$10,0))),"")</f>
        <v>Mirage</v>
      </c>
      <c r="J30" s="11" t="n">
        <f aca="false">IFERROR(IF(INDEX(Matches!$Z$5:$Z$10,MATCH($C30,Matches!$A$5:$A$10,0))="","",INDEX(Matches!$Z$5:$Z$10,MATCH($C30,Matches!$A$5:$A$10,0))),"")</f>
        <v>21.26</v>
      </c>
      <c r="K30" s="11" t="n">
        <f aca="false">IFERROR(IF(INDEX(Matches!$AA$5:$AA$10,MATCH($C30,Matches!$A$5:$A$10,0))="","",INDEX(Matches!$AA$5:$AA$10,MATCH($C30,Matches!$A$5:$A$10,0))),"")</f>
        <v>21.26</v>
      </c>
      <c r="L30" s="11" t="n">
        <f aca="false">IFERROR(IF(INDEX(Matches!$AB$5:$AB$10,MATCH($C30,Matches!$A$5:$A$10,0))="","",INDEX(Matches!$AB$5:$AB$10,MATCH($C30,Matches!$A$5:$A$10,0))),"")</f>
        <v>21.5</v>
      </c>
      <c r="M30" s="10" t="n">
        <f aca="false">IFERROR(IF(INDEX(Matches!$AC$5:$AC$10,MATCH($C30,Matches!$A$5:$A$10,0))="","",INDEX(Matches!$AC$5:$AC$10,MATCH($C30,Matches!$A$5:$A$10,0))),"")</f>
        <v>0.4761</v>
      </c>
      <c r="N30" s="9" t="n">
        <f aca="false">IFERROR(INDEX(Players!$F$2:$F$42,MATCH($F30,Players!$A$2:$A$42,0)),0)</f>
        <v>30</v>
      </c>
      <c r="O30" s="13" t="n">
        <f aca="false">IFERROR(1/(1/INDEX(Players!$H$2:$H$42,MATCH($F30,Players!$A$2:$A$42,0))),"")</f>
        <v>0.69</v>
      </c>
      <c r="P30" s="10" t="n">
        <f aca="false">IFERROR(1/(1/INDEX(Players!$I$2:$I$42,MATCH($F30,Players!$A$2:$A$42,0))),"")</f>
        <v>0.549</v>
      </c>
      <c r="Q30" s="9" t="n">
        <f aca="false">IF($G30="",0,SUMIFS(Map_Stats!$F$2:$F$256,Map_Stats!$A$2:$A$256,$F30&amp;"|"&amp;$G30))</f>
        <v>8</v>
      </c>
      <c r="R30" s="13" t="n">
        <f aca="false">IF($G30="","",IFERROR(1/(1/INDEX(Map_Stats!$K$2:$K$256,MATCH($F30&amp;"|"&amp;$G30,Map_Stats!$A$2:$A$256,0))),$O30))</f>
        <v>0.63</v>
      </c>
      <c r="S30" s="10" t="n">
        <f aca="false">IF(OR($G30="",$P30=""),"",IFERROR(1/(1/INDEX(Map_Stats!$I$2:$I$256,MATCH($F30&amp;"|"&amp;$G30,Map_Stats!$A$2:$A$256,0))),$P30))</f>
        <v>0.515</v>
      </c>
      <c r="T30" s="13" t="n">
        <f aca="false">IF(OR($G30="",R30=""),"",IF($O30="",R30,(Q30*R30+Config!$B$4*$O30)/(Q30+Config!$B$4)))</f>
        <v>0.653076923076923</v>
      </c>
      <c r="U30" s="10" t="n">
        <f aca="false">IF(S30="","",(Q30*S30+Config!$B$4*$P30)/(Q30+Config!$B$4))</f>
        <v>0.528076923076923</v>
      </c>
      <c r="V30" s="17" t="n">
        <f aca="false">IF(OR(T30="",$J30=""),"",T30*$J30*($J30/Config!$B$10)^Config!$B$9)</f>
        <v>13.8844153846154</v>
      </c>
      <c r="W30" s="17" t="n">
        <f aca="false">IF(OR(V30="",U30=""),"",V30*U30)</f>
        <v>7.33203935502959</v>
      </c>
      <c r="X30" s="9" t="n">
        <f aca="false">IF($H30="",0,SUMIFS(Map_Stats!$F$2:$F$256,Map_Stats!$A$2:$A$256,$F30&amp;"|"&amp;$H30))</f>
        <v>5</v>
      </c>
      <c r="Y30" s="13" t="n">
        <f aca="false">IF($H30="","",IFERROR(1/(1/INDEX(Map_Stats!$K$2:$K$256,MATCH($F30&amp;"|"&amp;$H30,Map_Stats!$A$2:$A$256,0))),$O30))</f>
        <v>0.76</v>
      </c>
      <c r="Z30" s="10" t="n">
        <f aca="false">IF(OR($H30="",$P30=""),"",IFERROR(1/(1/INDEX(Map_Stats!$I$2:$I$256,MATCH($F30&amp;"|"&amp;$H30,Map_Stats!$A$2:$A$256,0))),$P30))</f>
        <v>0.541</v>
      </c>
      <c r="AA30" s="13" t="n">
        <f aca="false">IF(OR($H30="",Y30=""),"",IF($O30="",Y30,(X30*Y30+Config!$B$4*$O30)/(X30+Config!$B$4)))</f>
        <v>0.725</v>
      </c>
      <c r="AB30" s="10" t="n">
        <f aca="false">IF(Z30="","",(X30*Z30+Config!$B$4*$P30)/(X30+Config!$B$4))</f>
        <v>0.545</v>
      </c>
      <c r="AC30" s="17" t="n">
        <f aca="false">IF(OR(AA30="",$K30=""),"",AA30*$K30*($K30/Config!$B$10)^Config!$B$9)</f>
        <v>15.4135</v>
      </c>
      <c r="AD30" s="17" t="n">
        <f aca="false">IF(OR(AC30="",AB30=""),"",AC30*AB30)</f>
        <v>8.4003575</v>
      </c>
      <c r="AE30" s="9" t="n">
        <f aca="false">IF($I30="",0,SUMIFS(Map_Stats!$F$2:$F$256,Map_Stats!$A$2:$A$256,$F30&amp;"|"&amp;$I30))</f>
        <v>5</v>
      </c>
      <c r="AF30" s="13" t="n">
        <f aca="false">IF($I30="","",IFERROR(1/(1/INDEX(Map_Stats!$K$2:$K$256,MATCH($F30&amp;"|"&amp;$I30,Map_Stats!$A$2:$A$256,0))),$O30))</f>
        <v>0.69</v>
      </c>
      <c r="AG30" s="10" t="n">
        <f aca="false">IF(OR($I30="",$P30=""),"",IFERROR(1/(1/INDEX(Map_Stats!$I$2:$I$256,MATCH($F30&amp;"|"&amp;$I30,Map_Stats!$A$2:$A$256,0))),$P30))</f>
        <v>0.551</v>
      </c>
      <c r="AH30" s="13" t="n">
        <f aca="false">IF(OR($I30="",AF30=""),"",IF($O30="",AF30,(AE30*AF30+Config!$B$4*$O30)/(AE30+Config!$B$4)))</f>
        <v>0.69</v>
      </c>
      <c r="AI30" s="10" t="n">
        <f aca="false">IF(AG30="","",(AE30*AG30+Config!$B$4*$P30)/(AE30+Config!$B$4))</f>
        <v>0.55</v>
      </c>
      <c r="AJ30" s="17" t="n">
        <f aca="false">IF(OR(AH30="",$L30=""),"",AH30*$L30*($L30/Config!$B$10)^Config!$B$9)</f>
        <v>14.835</v>
      </c>
      <c r="AK30" s="17" t="n">
        <f aca="false">IF(OR(AJ30="",AI30=""),"",AJ30*AI30)</f>
        <v>8.15925</v>
      </c>
      <c r="AL30" s="17" t="n">
        <f aca="false">N(V30)+N(AC30)</f>
        <v>29.2979153846154</v>
      </c>
      <c r="AM30" s="17" t="n">
        <f aca="false">AL30+N($M30)*N(AJ30)</f>
        <v>36.3608588846154</v>
      </c>
      <c r="AN30" s="17" t="n">
        <f aca="false">IF(W30="","",N(W30)+N(AD30))</f>
        <v>15.7323968550296</v>
      </c>
      <c r="AO30" s="17" t="n">
        <f aca="false">IF(AN30="","",AN30+N($M30)*N(AK30))</f>
        <v>19.6170157800296</v>
      </c>
      <c r="AP30" s="10" t="n">
        <f aca="false">IFERROR(AN30/AL30,"")</f>
        <v>0.53698007685867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IF($C30=Board!$B$2,COUNTIFS($C$2:$C$42,Board!$B$2,$AL$2:$AL$42,"&gt;"&amp;$AL30)+COUNTIFS($C$1:$C29,Board!$B$2,$AL$1:$AL29,$AL30)+1,"")</f>
        <v/>
      </c>
      <c r="AS30" s="0" t="str">
        <f aca="false">IFERROR(IF($D30=INDEX(Matches!$AD$5:$AD$10,MATCH($C30,Matches!$A$5:$A$10,0)),"A",IF($D30=INDEX(Matches!$AE$5:$AE$10,MATCH($C30,Matches!$A$5:$A$10,0)),"B","")),"")</f>
        <v>B</v>
      </c>
      <c r="AT30" s="10" t="n">
        <f aca="false">IF($AS30="","",IFERROR(IF($AS30="A",INDEX(Matches!$AI$5:$AI$10,MATCH($C30,Matches!$A$5:$A$10,0)),INDEX(Matches!$AJ$5:$AJ$10,MATCH($C30,Matches!$A$5:$A$10,0))),""))</f>
        <v>0.522349462248242</v>
      </c>
      <c r="AU30" s="10" t="n">
        <f aca="false">IF($AS30="","",IFERROR(IF(INDEX(Matches!$AP$5:$AP$10,MATCH($C30,Matches!$A$5:$A$10,0))="","",IF($AS30="A",INDEX(Matches!$AP$5:$AP$10,MATCH($C30,Matches!$A$5:$A$10,0)),1-INDEX(Matches!$AP$5:$AP$10,MATCH($C30,Matches!$A$5:$A$10,0)))),""))</f>
        <v>0.510289878731355</v>
      </c>
      <c r="AV30" s="13" t="n">
        <f aca="false">IF(OR($AU30="",$AT30=""),1,((Config!$B$14*$AU30+Config!$B$15*(1-$AU30))/(Config!$B$14*$AT30+Config!$B$15*(1-$AT30)))^Config!$B$13)</f>
        <v>0.989434366256487</v>
      </c>
      <c r="AW30" s="10" t="n">
        <f aca="false">IF($AS30="","",IFERROR(IF(INDEX(Matches!$AV$5:$AV$10,MATCH($C30,Matches!$A$5:$A$10,0))="","",IF($AS30="A",INDEX(Matches!$AV$5:$AV$10,MATCH($C30,Matches!$A$5:$A$10,0)),1-INDEX(Matches!$AV$5:$AV$10,MATCH($C30,Matches!$A$5:$A$10,0)))),""))</f>
        <v>0.505894241127179</v>
      </c>
      <c r="AX30" s="13" t="n">
        <f aca="false">IF(OR($AW30="",$AT30=""),1,((Config!$B$14*$AW30+Config!$B$15*(1-$AW30))/(Config!$B$14*$AT30+Config!$B$15*(1-$AT30)))^Config!$B$13)</f>
        <v>0.985583263361441</v>
      </c>
      <c r="AY30" s="10" t="n">
        <f aca="false">IF($AS30="","",IFERROR(IF(INDEX(Matches!$BB$5:$BB$10,MATCH($C30,Matches!$A$5:$A$10,0))="","",IF($AS30="A",INDEX(Matches!$BB$5:$BB$10,MATCH($C30,Matches!$A$5:$A$10,0)),1-INDEX(Matches!$BB$5:$BB$10,MATCH($C30,Matches!$A$5:$A$10,0)))),""))</f>
        <v>0.498487673273266</v>
      </c>
      <c r="AZ30" s="13" t="n">
        <f aca="false">IF(OR($AY30="",$AT30=""),1,((Config!$B$14*$AY30+Config!$B$15*(1-$AY30))/(Config!$B$14*$AT30+Config!$B$15*(1-$AT30)))^Config!$B$13)</f>
        <v>0.979094226395002</v>
      </c>
      <c r="BA30" s="17" t="n">
        <f aca="false">IF(V30="","",V30*$AV30)</f>
        <v>13.7377177369187</v>
      </c>
      <c r="BB30" s="17" t="n">
        <f aca="false">IF(AC30="","",AC30*$AX30)</f>
        <v>15.1912876298216</v>
      </c>
      <c r="BC30" s="17" t="n">
        <f aca="false">IF(AJ30="","",AJ30*$AZ30)</f>
        <v>14.5248628485699</v>
      </c>
      <c r="BD30" s="17" t="n">
        <f aca="false">N(BA30)+N(BB30)</f>
        <v>28.9290053667403</v>
      </c>
      <c r="BE30" s="17" t="n">
        <f aca="false">BD30+N($M30)*N(BC30)</f>
        <v>35.8442925689444</v>
      </c>
      <c r="BF30" s="17" t="n">
        <f aca="false">IF(W30="","",W30*$AV30)</f>
        <v>7.25457171261132</v>
      </c>
      <c r="BG30" s="17" t="n">
        <f aca="false">IF(AD30="","",AD30*$AX30)</f>
        <v>8.27925175825276</v>
      </c>
      <c r="BH30" s="17" t="n">
        <f aca="false">IF(AK30="","",AK30*$AZ30)</f>
        <v>7.98867456671342</v>
      </c>
      <c r="BI30" s="17" t="n">
        <f aca="false">IF(BF30="","",N(BF30)+N(BG30))</f>
        <v>15.5338234708641</v>
      </c>
      <c r="BJ30" s="17" t="n">
        <f aca="false">IF(BI30="","",BI30+N($M30)*N(BH30))</f>
        <v>19.3372314320763</v>
      </c>
      <c r="BK30" s="13" t="n">
        <f aca="false">IFERROR(BD30/AL30,1)</f>
        <v>0.987408318543073</v>
      </c>
    </row>
    <row r="31" customFormat="false" ht="15" hidden="false" customHeight="false" outlineLevel="0" collapsed="false">
      <c r="A31" s="0" t="s">
        <v>711</v>
      </c>
      <c r="B31" s="0" t="s">
        <v>568</v>
      </c>
      <c r="C31" s="0" t="s">
        <v>590</v>
      </c>
      <c r="D31" s="0" t="s">
        <v>595</v>
      </c>
      <c r="E31" s="0" t="s">
        <v>710</v>
      </c>
      <c r="F31" s="0" t="s">
        <v>815</v>
      </c>
      <c r="G31" s="0" t="str">
        <f aca="false">IFERROR(IF(INDEX(Matches!$W$5:$W$10,MATCH($C31,Matches!$A$5:$A$10,0))="","",INDEX(Matches!$W$5:$W$10,MATCH($C31,Matches!$A$5:$A$10,0))),"")</f>
        <v>Dust2</v>
      </c>
      <c r="H31" s="0" t="str">
        <f aca="false">IFERROR(IF(INDEX(Matches!$X$5:$X$10,MATCH($C31,Matches!$A$5:$A$10,0))="","",INDEX(Matches!$X$5:$X$10,MATCH($C31,Matches!$A$5:$A$10,0))),"")</f>
        <v>Ancient</v>
      </c>
      <c r="I31" s="0" t="str">
        <f aca="false">IFERROR(IF(INDEX(Matches!$Y$5:$Y$10,MATCH($C31,Matches!$A$5:$A$10,0))="","",INDEX(Matches!$Y$5:$Y$10,MATCH($C31,Matches!$A$5:$A$10,0))),"")</f>
        <v>Mirage</v>
      </c>
      <c r="J31" s="11" t="n">
        <f aca="false">IFERROR(IF(INDEX(Matches!$Z$5:$Z$10,MATCH($C31,Matches!$A$5:$A$10,0))="","",INDEX(Matches!$Z$5:$Z$10,MATCH($C31,Matches!$A$5:$A$10,0))),"")</f>
        <v>21.26</v>
      </c>
      <c r="K31" s="11" t="n">
        <f aca="false">IFERROR(IF(INDEX(Matches!$AA$5:$AA$10,MATCH($C31,Matches!$A$5:$A$10,0))="","",INDEX(Matches!$AA$5:$AA$10,MATCH($C31,Matches!$A$5:$A$10,0))),"")</f>
        <v>21.26</v>
      </c>
      <c r="L31" s="11" t="n">
        <f aca="false">IFERROR(IF(INDEX(Matches!$AB$5:$AB$10,MATCH($C31,Matches!$A$5:$A$10,0))="","",INDEX(Matches!$AB$5:$AB$10,MATCH($C31,Matches!$A$5:$A$10,0))),"")</f>
        <v>21.5</v>
      </c>
      <c r="M31" s="10" t="n">
        <f aca="false">IFERROR(IF(INDEX(Matches!$AC$5:$AC$10,MATCH($C31,Matches!$A$5:$A$10,0))="","",INDEX(Matches!$AC$5:$AC$10,MATCH($C31,Matches!$A$5:$A$10,0))),"")</f>
        <v>0.4761</v>
      </c>
      <c r="N31" s="9" t="n">
        <f aca="false">IFERROR(INDEX(Players!$F$2:$F$42,MATCH($F31,Players!$A$2:$A$42,0)),0)</f>
        <v>30</v>
      </c>
      <c r="O31" s="13" t="n">
        <f aca="false">IFERROR(1/(1/INDEX(Players!$H$2:$H$42,MATCH($F31,Players!$A$2:$A$42,0))),"")</f>
        <v>0.68</v>
      </c>
      <c r="P31" s="10" t="n">
        <f aca="false">IFERROR(1/(1/INDEX(Players!$I$2:$I$42,MATCH($F31,Players!$A$2:$A$42,0))),"")</f>
        <v>0.584</v>
      </c>
      <c r="Q31" s="9" t="n">
        <f aca="false">IF($G31="",0,SUMIFS(Map_Stats!$F$2:$F$256,Map_Stats!$A$2:$A$256,$F31&amp;"|"&amp;$G31))</f>
        <v>6</v>
      </c>
      <c r="R31" s="13" t="n">
        <f aca="false">IF($G31="","",IFERROR(1/(1/INDEX(Map_Stats!$K$2:$K$256,MATCH($F31&amp;"|"&amp;$G31,Map_Stats!$A$2:$A$256,0))),$O31))</f>
        <v>0.66</v>
      </c>
      <c r="S31" s="10" t="n">
        <f aca="false">IF(OR($G31="",$P31=""),"",IFERROR(1/(1/INDEX(Map_Stats!$I$2:$I$256,MATCH($F31&amp;"|"&amp;$G31,Map_Stats!$A$2:$A$256,0))),$P31))</f>
        <v>0.579</v>
      </c>
      <c r="T31" s="13" t="n">
        <f aca="false">IF(OR($G31="",R31=""),"",IF($O31="",R31,(Q31*R31+Config!$B$4*$O31)/(Q31+Config!$B$4)))</f>
        <v>0.669090909090909</v>
      </c>
      <c r="U31" s="10" t="n">
        <f aca="false">IF(S31="","",(Q31*S31+Config!$B$4*$P31)/(Q31+Config!$B$4))</f>
        <v>0.581272727272727</v>
      </c>
      <c r="V31" s="17" t="n">
        <f aca="false">IF(OR(T31="",$J31=""),"",T31*$J31*($J31/Config!$B$10)^Config!$B$9)</f>
        <v>14.2248727272727</v>
      </c>
      <c r="W31" s="17" t="n">
        <f aca="false">IF(OR(V31="",U31=""),"",V31*U31)</f>
        <v>8.26853056528926</v>
      </c>
      <c r="X31" s="9" t="n">
        <f aca="false">IF($H31="",0,SUMIFS(Map_Stats!$F$2:$F$256,Map_Stats!$A$2:$A$256,$F31&amp;"|"&amp;$H31))</f>
        <v>3</v>
      </c>
      <c r="Y31" s="13" t="n">
        <f aca="false">IF($H31="","",IFERROR(1/(1/INDEX(Map_Stats!$K$2:$K$256,MATCH($F31&amp;"|"&amp;$H31,Map_Stats!$A$2:$A$256,0))),$O31))</f>
        <v>0.61</v>
      </c>
      <c r="Z31" s="10" t="n">
        <f aca="false">IF(OR($H31="",$P31=""),"",IFERROR(1/(1/INDEX(Map_Stats!$I$2:$I$256,MATCH($F31&amp;"|"&amp;$H31,Map_Stats!$A$2:$A$256,0))),$P31))</f>
        <v>0.595</v>
      </c>
      <c r="AA31" s="13" t="n">
        <f aca="false">IF(OR($H31="",Y31=""),"",IF($O31="",Y31,(X31*Y31+Config!$B$4*$O31)/(X31+Config!$B$4)))</f>
        <v>0.65375</v>
      </c>
      <c r="AB31" s="10" t="n">
        <f aca="false">IF(Z31="","",(X31*Z31+Config!$B$4*$P31)/(X31+Config!$B$4))</f>
        <v>0.588125</v>
      </c>
      <c r="AC31" s="17" t="n">
        <f aca="false">IF(OR(AA31="",$K31=""),"",AA31*$K31*($K31/Config!$B$10)^Config!$B$9)</f>
        <v>13.898725</v>
      </c>
      <c r="AD31" s="17" t="n">
        <f aca="false">IF(OR(AC31="",AB31=""),"",AC31*AB31)</f>
        <v>8.174187640625</v>
      </c>
      <c r="AE31" s="9" t="n">
        <f aca="false">IF($I31="",0,SUMIFS(Map_Stats!$F$2:$F$256,Map_Stats!$A$2:$A$256,$F31&amp;"|"&amp;$I31))</f>
        <v>10</v>
      </c>
      <c r="AF31" s="13" t="n">
        <f aca="false">IF($I31="","",IFERROR(1/(1/INDEX(Map_Stats!$K$2:$K$256,MATCH($F31&amp;"|"&amp;$I31,Map_Stats!$A$2:$A$256,0))),$O31))</f>
        <v>0.73</v>
      </c>
      <c r="AG31" s="10" t="n">
        <f aca="false">IF(OR($I31="",$P31=""),"",IFERROR(1/(1/INDEX(Map_Stats!$I$2:$I$256,MATCH($F31&amp;"|"&amp;$I31,Map_Stats!$A$2:$A$256,0))),$P31))</f>
        <v>0.589</v>
      </c>
      <c r="AH31" s="13" t="n">
        <f aca="false">IF(OR($I31="",AF31=""),"",IF($O31="",AF31,(AE31*AF31+Config!$B$4*$O31)/(AE31+Config!$B$4)))</f>
        <v>0.713333333333333</v>
      </c>
      <c r="AI31" s="10" t="n">
        <f aca="false">IF(AG31="","",(AE31*AG31+Config!$B$4*$P31)/(AE31+Config!$B$4))</f>
        <v>0.587333333333333</v>
      </c>
      <c r="AJ31" s="17" t="n">
        <f aca="false">IF(OR(AH31="",$L31=""),"",AH31*$L31*($L31/Config!$B$10)^Config!$B$9)</f>
        <v>15.3366666666667</v>
      </c>
      <c r="AK31" s="17" t="n">
        <f aca="false">IF(OR(AJ31="",AI31=""),"",AJ31*AI31)</f>
        <v>9.00773555555556</v>
      </c>
      <c r="AL31" s="17" t="n">
        <f aca="false">N(V31)+N(AC31)</f>
        <v>28.1235977272727</v>
      </c>
      <c r="AM31" s="17" t="n">
        <f aca="false">AL31+N($M31)*N(AJ31)</f>
        <v>35.4253847272727</v>
      </c>
      <c r="AN31" s="17" t="n">
        <f aca="false">IF(W31="","",N(W31)+N(AD31))</f>
        <v>16.4427182059143</v>
      </c>
      <c r="AO31" s="17" t="n">
        <f aca="false">IF(AN31="","",AN31+N($M31)*N(AK31))</f>
        <v>20.7313011039143</v>
      </c>
      <c r="AP31" s="10" t="n">
        <f aca="false">IFERROR(AN31/AL31,"")</f>
        <v>0.584659130932207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IF($C31=Board!$B$2,COUNTIFS($C$2:$C$42,Board!$B$2,$AL$2:$AL$42,"&gt;"&amp;$AL31)+COUNTIFS($C$1:$C30,Board!$B$2,$AL$1:$AL30,$AL31)+1,"")</f>
        <v/>
      </c>
      <c r="AS31" s="0" t="str">
        <f aca="false">IFERROR(IF($D31=INDEX(Matches!$AD$5:$AD$10,MATCH($C31,Matches!$A$5:$A$10,0)),"A",IF($D31=INDEX(Matches!$AE$5:$AE$10,MATCH($C31,Matches!$A$5:$A$10,0)),"B","")),"")</f>
        <v>A</v>
      </c>
      <c r="AT31" s="10" t="n">
        <f aca="false">IF($AS31="","",IFERROR(IF($AS31="A",INDEX(Matches!$AI$5:$AI$10,MATCH($C31,Matches!$A$5:$A$10,0)),INDEX(Matches!$AJ$5:$AJ$10,MATCH($C31,Matches!$A$5:$A$10,0))),""))</f>
        <v>0.519388000817192</v>
      </c>
      <c r="AU31" s="10" t="n">
        <f aca="false">IF($AS31="","",IFERROR(IF(INDEX(Matches!$AP$5:$AP$10,MATCH($C31,Matches!$A$5:$A$10,0))="","",IF($AS31="A",INDEX(Matches!$AP$5:$AP$10,MATCH($C31,Matches!$A$5:$A$10,0)),1-INDEX(Matches!$AP$5:$AP$10,MATCH($C31,Matches!$A$5:$A$10,0)))),""))</f>
        <v>0.489710121268646</v>
      </c>
      <c r="AV31" s="13" t="n">
        <f aca="false">IF(OR($AU31="",$AT31=""),1,((Config!$B$14*$AU31+Config!$B$15*(1-$AU31))/(Config!$B$14*$AT31+Config!$B$15*(1-$AT31)))^Config!$B$13)</f>
        <v>0.973930998792825</v>
      </c>
      <c r="AW31" s="10" t="n">
        <f aca="false">IF($AS31="","",IFERROR(IF(INDEX(Matches!$AV$5:$AV$10,MATCH($C31,Matches!$A$5:$A$10,0))="","",IF($AS31="A",INDEX(Matches!$AV$5:$AV$10,MATCH($C31,Matches!$A$5:$A$10,0)),1-INDEX(Matches!$AV$5:$AV$10,MATCH($C31,Matches!$A$5:$A$10,0)))),""))</f>
        <v>0.494105758872821</v>
      </c>
      <c r="AX31" s="13" t="n">
        <f aca="false">IF(OR($AW31="",$AT31=""),1,((Config!$B$14*$AW31+Config!$B$15*(1-$AW31))/(Config!$B$14*$AT31+Config!$B$15*(1-$AT31)))^Config!$B$13)</f>
        <v>0.977792119727092</v>
      </c>
      <c r="AY31" s="10" t="n">
        <f aca="false">IF($AS31="","",IFERROR(IF(INDEX(Matches!$BB$5:$BB$10,MATCH($C31,Matches!$A$5:$A$10,0))="","",IF($AS31="A",INDEX(Matches!$BB$5:$BB$10,MATCH($C31,Matches!$A$5:$A$10,0)),1-INDEX(Matches!$BB$5:$BB$10,MATCH($C31,Matches!$A$5:$A$10,0)))),""))</f>
        <v>0.501512326726735</v>
      </c>
      <c r="AZ31" s="13" t="n">
        <f aca="false">IF(OR($AY31="",$AT31=""),1,((Config!$B$14*$AY31+Config!$B$15*(1-$AY31))/(Config!$B$14*$AT31+Config!$B$15*(1-$AT31)))^Config!$B$13)</f>
        <v>0.984298036903852</v>
      </c>
      <c r="BA31" s="17" t="n">
        <f aca="false">IF(V31="","",V31*$AV31)</f>
        <v>13.8540445029735</v>
      </c>
      <c r="BB31" s="17" t="n">
        <f aca="false">IF(AC31="","",AC31*$AX31)</f>
        <v>13.5900637792539</v>
      </c>
      <c r="BC31" s="17" t="n">
        <f aca="false">IF(AJ31="","",AJ31*$AZ31)</f>
        <v>15.0958508926487</v>
      </c>
      <c r="BD31" s="17" t="n">
        <f aca="false">N(BA31)+N(BB31)</f>
        <v>27.4441082822275</v>
      </c>
      <c r="BE31" s="17" t="n">
        <f aca="false">BD31+N($M31)*N(BC31)</f>
        <v>34.6312428922176</v>
      </c>
      <c r="BF31" s="17" t="n">
        <f aca="false">IF(W31="","",W31*$AV31)</f>
        <v>8.05297823200117</v>
      </c>
      <c r="BG31" s="17" t="n">
        <f aca="false">IF(AD31="","",AD31*$AX31)</f>
        <v>7.99265626017372</v>
      </c>
      <c r="BH31" s="17" t="n">
        <f aca="false">IF(AK31="","",AK31*$AZ31)</f>
        <v>8.86629642428236</v>
      </c>
      <c r="BI31" s="17" t="n">
        <f aca="false">IF(BF31="","",N(BF31)+N(BG31))</f>
        <v>16.0456344921749</v>
      </c>
      <c r="BJ31" s="17" t="n">
        <f aca="false">IF(BI31="","",BI31+N($M31)*N(BH31))</f>
        <v>20.2668782197757</v>
      </c>
      <c r="BK31" s="13" t="n">
        <f aca="false">IFERROR(BD31/AL31,1)</f>
        <v>0.975839170662496</v>
      </c>
    </row>
    <row r="32" customFormat="false" ht="15" hidden="false" customHeight="false" outlineLevel="0" collapsed="false">
      <c r="A32" s="0" t="s">
        <v>713</v>
      </c>
      <c r="B32" s="0" t="s">
        <v>568</v>
      </c>
      <c r="C32" s="0" t="s">
        <v>590</v>
      </c>
      <c r="D32" s="0" t="s">
        <v>595</v>
      </c>
      <c r="E32" s="0" t="s">
        <v>712</v>
      </c>
      <c r="F32" s="0" t="s">
        <v>816</v>
      </c>
      <c r="G32" s="0" t="str">
        <f aca="false">IFERROR(IF(INDEX(Matches!$W$5:$W$10,MATCH($C32,Matches!$A$5:$A$10,0))="","",INDEX(Matches!$W$5:$W$10,MATCH($C32,Matches!$A$5:$A$10,0))),"")</f>
        <v>Dust2</v>
      </c>
      <c r="H32" s="0" t="str">
        <f aca="false">IFERROR(IF(INDEX(Matches!$X$5:$X$10,MATCH($C32,Matches!$A$5:$A$10,0))="","",INDEX(Matches!$X$5:$X$10,MATCH($C32,Matches!$A$5:$A$10,0))),"")</f>
        <v>Ancient</v>
      </c>
      <c r="I32" s="0" t="str">
        <f aca="false">IFERROR(IF(INDEX(Matches!$Y$5:$Y$10,MATCH($C32,Matches!$A$5:$A$10,0))="","",INDEX(Matches!$Y$5:$Y$10,MATCH($C32,Matches!$A$5:$A$10,0))),"")</f>
        <v>Mirage</v>
      </c>
      <c r="J32" s="11" t="n">
        <f aca="false">IFERROR(IF(INDEX(Matches!$Z$5:$Z$10,MATCH($C32,Matches!$A$5:$A$10,0))="","",INDEX(Matches!$Z$5:$Z$10,MATCH($C32,Matches!$A$5:$A$10,0))),"")</f>
        <v>21.26</v>
      </c>
      <c r="K32" s="11" t="n">
        <f aca="false">IFERROR(IF(INDEX(Matches!$AA$5:$AA$10,MATCH($C32,Matches!$A$5:$A$10,0))="","",INDEX(Matches!$AA$5:$AA$10,MATCH($C32,Matches!$A$5:$A$10,0))),"")</f>
        <v>21.26</v>
      </c>
      <c r="L32" s="11" t="n">
        <f aca="false">IFERROR(IF(INDEX(Matches!$AB$5:$AB$10,MATCH($C32,Matches!$A$5:$A$10,0))="","",INDEX(Matches!$AB$5:$AB$10,MATCH($C32,Matches!$A$5:$A$10,0))),"")</f>
        <v>21.5</v>
      </c>
      <c r="M32" s="10" t="n">
        <f aca="false">IFERROR(IF(INDEX(Matches!$AC$5:$AC$10,MATCH($C32,Matches!$A$5:$A$10,0))="","",INDEX(Matches!$AC$5:$AC$10,MATCH($C32,Matches!$A$5:$A$10,0))),"")</f>
        <v>0.4761</v>
      </c>
      <c r="N32" s="9" t="n">
        <f aca="false">IFERROR(INDEX(Players!$F$2:$F$42,MATCH($F32,Players!$A$2:$A$42,0)),0)</f>
        <v>30</v>
      </c>
      <c r="O32" s="13" t="n">
        <f aca="false">IFERROR(1/(1/INDEX(Players!$H$2:$H$42,MATCH($F32,Players!$A$2:$A$42,0))),"")</f>
        <v>0.66</v>
      </c>
      <c r="P32" s="10" t="n">
        <f aca="false">IFERROR(1/(1/INDEX(Players!$I$2:$I$42,MATCH($F32,Players!$A$2:$A$42,0))),"")</f>
        <v>0.517</v>
      </c>
      <c r="Q32" s="9" t="n">
        <f aca="false">IF($G32="",0,SUMIFS(Map_Stats!$F$2:$F$256,Map_Stats!$A$2:$A$256,$F32&amp;"|"&amp;$G32))</f>
        <v>6</v>
      </c>
      <c r="R32" s="13" t="n">
        <f aca="false">IF($G32="","",IFERROR(1/(1/INDEX(Map_Stats!$K$2:$K$256,MATCH($F32&amp;"|"&amp;$G32,Map_Stats!$A$2:$A$256,0))),$O32))</f>
        <v>0.71</v>
      </c>
      <c r="S32" s="10" t="n">
        <f aca="false">IF(OR($G32="",$P32=""),"",IFERROR(1/(1/INDEX(Map_Stats!$I$2:$I$256,MATCH($F32&amp;"|"&amp;$G32,Map_Stats!$A$2:$A$256,0))),$P32))</f>
        <v>0.485</v>
      </c>
      <c r="T32" s="13" t="n">
        <f aca="false">IF(OR($G32="",R32=""),"",IF($O32="",R32,(Q32*R32+Config!$B$4*$O32)/(Q32+Config!$B$4)))</f>
        <v>0.687272727272727</v>
      </c>
      <c r="U32" s="10" t="n">
        <f aca="false">IF(S32="","",(Q32*S32+Config!$B$4*$P32)/(Q32+Config!$B$4))</f>
        <v>0.499545454545454</v>
      </c>
      <c r="V32" s="17" t="n">
        <f aca="false">IF(OR(T32="",$J32=""),"",T32*$J32*($J32/Config!$B$10)^Config!$B$9)</f>
        <v>14.6114181818182</v>
      </c>
      <c r="W32" s="17" t="n">
        <f aca="false">IF(OR(V32="",U32=""),"",V32*U32)</f>
        <v>7.29906753719008</v>
      </c>
      <c r="X32" s="9" t="n">
        <f aca="false">IF($H32="",0,SUMIFS(Map_Stats!$F$2:$F$256,Map_Stats!$A$2:$A$256,$F32&amp;"|"&amp;$H32))</f>
        <v>3</v>
      </c>
      <c r="Y32" s="13" t="n">
        <f aca="false">IF($H32="","",IFERROR(1/(1/INDEX(Map_Stats!$K$2:$K$256,MATCH($F32&amp;"|"&amp;$H32,Map_Stats!$A$2:$A$256,0))),$O32))</f>
        <v>0.66</v>
      </c>
      <c r="Z32" s="10" t="n">
        <f aca="false">IF(OR($H32="",$P32=""),"",IFERROR(1/(1/INDEX(Map_Stats!$I$2:$I$256,MATCH($F32&amp;"|"&amp;$H32,Map_Stats!$A$2:$A$256,0))),$P32))</f>
        <v>0.525</v>
      </c>
      <c r="AA32" s="13" t="n">
        <f aca="false">IF(OR($H32="",Y32=""),"",IF($O32="",Y32,(X32*Y32+Config!$B$4*$O32)/(X32+Config!$B$4)))</f>
        <v>0.66</v>
      </c>
      <c r="AB32" s="10" t="n">
        <f aca="false">IF(Z32="","",(X32*Z32+Config!$B$4*$P32)/(X32+Config!$B$4))</f>
        <v>0.52</v>
      </c>
      <c r="AC32" s="17" t="n">
        <f aca="false">IF(OR(AA32="",$K32=""),"",AA32*$K32*($K32/Config!$B$10)^Config!$B$9)</f>
        <v>14.0316</v>
      </c>
      <c r="AD32" s="17" t="n">
        <f aca="false">IF(OR(AC32="",AB32=""),"",AC32*AB32)</f>
        <v>7.296432</v>
      </c>
      <c r="AE32" s="9" t="n">
        <f aca="false">IF($I32="",0,SUMIFS(Map_Stats!$F$2:$F$256,Map_Stats!$A$2:$A$256,$F32&amp;"|"&amp;$I32))</f>
        <v>10</v>
      </c>
      <c r="AF32" s="13" t="n">
        <f aca="false">IF($I32="","",IFERROR(1/(1/INDEX(Map_Stats!$K$2:$K$256,MATCH($F32&amp;"|"&amp;$I32,Map_Stats!$A$2:$A$256,0))),$O32))</f>
        <v>0.71</v>
      </c>
      <c r="AG32" s="10" t="n">
        <f aca="false">IF(OR($I32="",$P32=""),"",IFERROR(1/(1/INDEX(Map_Stats!$I$2:$I$256,MATCH($F32&amp;"|"&amp;$I32,Map_Stats!$A$2:$A$256,0))),$P32))</f>
        <v>0.511</v>
      </c>
      <c r="AH32" s="13" t="n">
        <f aca="false">IF(OR($I32="",AF32=""),"",IF($O32="",AF32,(AE32*AF32+Config!$B$4*$O32)/(AE32+Config!$B$4)))</f>
        <v>0.693333333333333</v>
      </c>
      <c r="AI32" s="10" t="n">
        <f aca="false">IF(AG32="","",(AE32*AG32+Config!$B$4*$P32)/(AE32+Config!$B$4))</f>
        <v>0.513</v>
      </c>
      <c r="AJ32" s="17" t="n">
        <f aca="false">IF(OR(AH32="",$L32=""),"",AH32*$L32*($L32/Config!$B$10)^Config!$B$9)</f>
        <v>14.9066666666667</v>
      </c>
      <c r="AK32" s="17" t="n">
        <f aca="false">IF(OR(AJ32="",AI32=""),"",AJ32*AI32)</f>
        <v>7.64712</v>
      </c>
      <c r="AL32" s="17" t="n">
        <f aca="false">N(V32)+N(AC32)</f>
        <v>28.6430181818182</v>
      </c>
      <c r="AM32" s="17" t="n">
        <f aca="false">AL32+N($M32)*N(AJ32)</f>
        <v>35.7400821818182</v>
      </c>
      <c r="AN32" s="17" t="n">
        <f aca="false">IF(W32="","",N(W32)+N(AD32))</f>
        <v>14.5954995371901</v>
      </c>
      <c r="AO32" s="17" t="n">
        <f aca="false">IF(AN32="","",AN32+N($M32)*N(AK32))</f>
        <v>18.2362933691901</v>
      </c>
      <c r="AP32" s="10" t="n">
        <f aca="false">IFERROR(AN32/AL32,"")</f>
        <v>0.509565697460434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IF($C32=Board!$B$2,COUNTIFS($C$2:$C$42,Board!$B$2,$AL$2:$AL$42,"&gt;"&amp;$AL32)+COUNTIFS($C$1:$C31,Board!$B$2,$AL$1:$AL31,$AL32)+1,"")</f>
        <v/>
      </c>
      <c r="AS32" s="0" t="str">
        <f aca="false">IFERROR(IF($D32=INDEX(Matches!$AD$5:$AD$10,MATCH($C32,Matches!$A$5:$A$10,0)),"A",IF($D32=INDEX(Matches!$AE$5:$AE$10,MATCH($C32,Matches!$A$5:$A$10,0)),"B","")),"")</f>
        <v>A</v>
      </c>
      <c r="AT32" s="10" t="n">
        <f aca="false">IF($AS32="","",IFERROR(IF($AS32="A",INDEX(Matches!$AI$5:$AI$10,MATCH($C32,Matches!$A$5:$A$10,0)),INDEX(Matches!$AJ$5:$AJ$10,MATCH($C32,Matches!$A$5:$A$10,0))),""))</f>
        <v>0.519388000817192</v>
      </c>
      <c r="AU32" s="10" t="n">
        <f aca="false">IF($AS32="","",IFERROR(IF(INDEX(Matches!$AP$5:$AP$10,MATCH($C32,Matches!$A$5:$A$10,0))="","",IF($AS32="A",INDEX(Matches!$AP$5:$AP$10,MATCH($C32,Matches!$A$5:$A$10,0)),1-INDEX(Matches!$AP$5:$AP$10,MATCH($C32,Matches!$A$5:$A$10,0)))),""))</f>
        <v>0.489710121268646</v>
      </c>
      <c r="AV32" s="13" t="n">
        <f aca="false">IF(OR($AU32="",$AT32=""),1,((Config!$B$14*$AU32+Config!$B$15*(1-$AU32))/(Config!$B$14*$AT32+Config!$B$15*(1-$AT32)))^Config!$B$13)</f>
        <v>0.973930998792825</v>
      </c>
      <c r="AW32" s="10" t="n">
        <f aca="false">IF($AS32="","",IFERROR(IF(INDEX(Matches!$AV$5:$AV$10,MATCH($C32,Matches!$A$5:$A$10,0))="","",IF($AS32="A",INDEX(Matches!$AV$5:$AV$10,MATCH($C32,Matches!$A$5:$A$10,0)),1-INDEX(Matches!$AV$5:$AV$10,MATCH($C32,Matches!$A$5:$A$10,0)))),""))</f>
        <v>0.494105758872821</v>
      </c>
      <c r="AX32" s="13" t="n">
        <f aca="false">IF(OR($AW32="",$AT32=""),1,((Config!$B$14*$AW32+Config!$B$15*(1-$AW32))/(Config!$B$14*$AT32+Config!$B$15*(1-$AT32)))^Config!$B$13)</f>
        <v>0.977792119727092</v>
      </c>
      <c r="AY32" s="10" t="n">
        <f aca="false">IF($AS32="","",IFERROR(IF(INDEX(Matches!$BB$5:$BB$10,MATCH($C32,Matches!$A$5:$A$10,0))="","",IF($AS32="A",INDEX(Matches!$BB$5:$BB$10,MATCH($C32,Matches!$A$5:$A$10,0)),1-INDEX(Matches!$BB$5:$BB$10,MATCH($C32,Matches!$A$5:$A$10,0)))),""))</f>
        <v>0.501512326726735</v>
      </c>
      <c r="AZ32" s="13" t="n">
        <f aca="false">IF(OR($AY32="",$AT32=""),1,((Config!$B$14*$AY32+Config!$B$15*(1-$AY32))/(Config!$B$14*$AT32+Config!$B$15*(1-$AT32)))^Config!$B$13)</f>
        <v>0.984298036903852</v>
      </c>
      <c r="BA32" s="17" t="n">
        <f aca="false">IF(V32="","",V32*$AV32)</f>
        <v>14.2305131035978</v>
      </c>
      <c r="BB32" s="17" t="n">
        <f aca="false">IF(AC32="","",AC32*$AX32)</f>
        <v>13.7199879071627</v>
      </c>
      <c r="BC32" s="17" t="n">
        <f aca="false">IF(AJ32="","",AJ32*$AZ32)</f>
        <v>14.6726027367801</v>
      </c>
      <c r="BD32" s="17" t="n">
        <f aca="false">N(BA32)+N(BB32)</f>
        <v>27.9505010107605</v>
      </c>
      <c r="BE32" s="17" t="n">
        <f aca="false">BD32+N($M32)*N(BC32)</f>
        <v>34.9361271737415</v>
      </c>
      <c r="BF32" s="17" t="n">
        <f aca="false">IF(W32="","",W32*$AV32)</f>
        <v>7.10878813675183</v>
      </c>
      <c r="BG32" s="17" t="n">
        <f aca="false">IF(AD32="","",AD32*$AX32)</f>
        <v>7.13439371172459</v>
      </c>
      <c r="BH32" s="17" t="n">
        <f aca="false">IF(AK32="","",AK32*$AZ32)</f>
        <v>7.52704520396819</v>
      </c>
      <c r="BI32" s="17" t="n">
        <f aca="false">IF(BF32="","",N(BF32)+N(BG32))</f>
        <v>14.2431818484764</v>
      </c>
      <c r="BJ32" s="17" t="n">
        <f aca="false">IF(BI32="","",BI32+N($M32)*N(BH32))</f>
        <v>17.8268080700857</v>
      </c>
      <c r="BK32" s="13" t="n">
        <f aca="false">IFERROR(BD32/AL32,1)</f>
        <v>0.975822479088559</v>
      </c>
    </row>
    <row r="33" customFormat="false" ht="15" hidden="false" customHeight="false" outlineLevel="0" collapsed="false">
      <c r="A33" s="0" t="s">
        <v>715</v>
      </c>
      <c r="B33" s="0" t="s">
        <v>568</v>
      </c>
      <c r="C33" s="0" t="s">
        <v>590</v>
      </c>
      <c r="D33" s="0" t="s">
        <v>595</v>
      </c>
      <c r="E33" s="0" t="s">
        <v>714</v>
      </c>
      <c r="F33" s="0" t="s">
        <v>817</v>
      </c>
      <c r="G33" s="0" t="str">
        <f aca="false">IFERROR(IF(INDEX(Matches!$W$5:$W$10,MATCH($C33,Matches!$A$5:$A$10,0))="","",INDEX(Matches!$W$5:$W$10,MATCH($C33,Matches!$A$5:$A$10,0))),"")</f>
        <v>Dust2</v>
      </c>
      <c r="H33" s="0" t="str">
        <f aca="false">IFERROR(IF(INDEX(Matches!$X$5:$X$10,MATCH($C33,Matches!$A$5:$A$10,0))="","",INDEX(Matches!$X$5:$X$10,MATCH($C33,Matches!$A$5:$A$10,0))),"")</f>
        <v>Ancient</v>
      </c>
      <c r="I33" s="0" t="str">
        <f aca="false">IFERROR(IF(INDEX(Matches!$Y$5:$Y$10,MATCH($C33,Matches!$A$5:$A$10,0))="","",INDEX(Matches!$Y$5:$Y$10,MATCH($C33,Matches!$A$5:$A$10,0))),"")</f>
        <v>Mirage</v>
      </c>
      <c r="J33" s="11" t="n">
        <f aca="false">IFERROR(IF(INDEX(Matches!$Z$5:$Z$10,MATCH($C33,Matches!$A$5:$A$10,0))="","",INDEX(Matches!$Z$5:$Z$10,MATCH($C33,Matches!$A$5:$A$10,0))),"")</f>
        <v>21.26</v>
      </c>
      <c r="K33" s="11" t="n">
        <f aca="false">IFERROR(IF(INDEX(Matches!$AA$5:$AA$10,MATCH($C33,Matches!$A$5:$A$10,0))="","",INDEX(Matches!$AA$5:$AA$10,MATCH($C33,Matches!$A$5:$A$10,0))),"")</f>
        <v>21.26</v>
      </c>
      <c r="L33" s="11" t="n">
        <f aca="false">IFERROR(IF(INDEX(Matches!$AB$5:$AB$10,MATCH($C33,Matches!$A$5:$A$10,0))="","",INDEX(Matches!$AB$5:$AB$10,MATCH($C33,Matches!$A$5:$A$10,0))),"")</f>
        <v>21.5</v>
      </c>
      <c r="M33" s="10" t="n">
        <f aca="false">IFERROR(IF(INDEX(Matches!$AC$5:$AC$10,MATCH($C33,Matches!$A$5:$A$10,0))="","",INDEX(Matches!$AC$5:$AC$10,MATCH($C33,Matches!$A$5:$A$10,0))),"")</f>
        <v>0.4761</v>
      </c>
      <c r="N33" s="9" t="n">
        <f aca="false">IFERROR(INDEX(Players!$F$2:$F$42,MATCH($F33,Players!$A$2:$A$42,0)),0)</f>
        <v>30</v>
      </c>
      <c r="O33" s="13" t="n">
        <f aca="false">IFERROR(1/(1/INDEX(Players!$H$2:$H$42,MATCH($F33,Players!$A$2:$A$42,0))),"")</f>
        <v>0.65</v>
      </c>
      <c r="P33" s="10" t="n">
        <f aca="false">IFERROR(1/(1/INDEX(Players!$I$2:$I$42,MATCH($F33,Players!$A$2:$A$42,0))),"")</f>
        <v>0.311</v>
      </c>
      <c r="Q33" s="9" t="n">
        <f aca="false">IF($G33="",0,SUMIFS(Map_Stats!$F$2:$F$256,Map_Stats!$A$2:$A$256,$F33&amp;"|"&amp;$G33))</f>
        <v>6</v>
      </c>
      <c r="R33" s="13" t="n">
        <f aca="false">IF($G33="","",IFERROR(1/(1/INDEX(Map_Stats!$K$2:$K$256,MATCH($F33&amp;"|"&amp;$G33,Map_Stats!$A$2:$A$256,0))),$O33))</f>
        <v>0.72</v>
      </c>
      <c r="S33" s="10" t="n">
        <f aca="false">IF(OR($G33="",$P33=""),"",IFERROR(1/(1/INDEX(Map_Stats!$I$2:$I$256,MATCH($F33&amp;"|"&amp;$G33,Map_Stats!$A$2:$A$256,0))),$P33))</f>
        <v>0.288</v>
      </c>
      <c r="T33" s="13" t="n">
        <f aca="false">IF(OR($G33="",R33=""),"",IF($O33="",R33,(Q33*R33+Config!$B$4*$O33)/(Q33+Config!$B$4)))</f>
        <v>0.688181818181818</v>
      </c>
      <c r="U33" s="10" t="n">
        <f aca="false">IF(S33="","",(Q33*S33+Config!$B$4*$P33)/(Q33+Config!$B$4))</f>
        <v>0.298454545454545</v>
      </c>
      <c r="V33" s="17" t="n">
        <f aca="false">IF(OR(T33="",$J33=""),"",T33*$J33*($J33/Config!$B$10)^Config!$B$9)</f>
        <v>14.6307454545455</v>
      </c>
      <c r="W33" s="17" t="n">
        <f aca="false">IF(OR(V33="",U33=""),"",V33*U33)</f>
        <v>4.36661248429752</v>
      </c>
      <c r="X33" s="9" t="n">
        <f aca="false">IF($H33="",0,SUMIFS(Map_Stats!$F$2:$F$256,Map_Stats!$A$2:$A$256,$F33&amp;"|"&amp;$H33))</f>
        <v>3</v>
      </c>
      <c r="Y33" s="13" t="n">
        <f aca="false">IF($H33="","",IFERROR(1/(1/INDEX(Map_Stats!$K$2:$K$256,MATCH($F33&amp;"|"&amp;$H33,Map_Stats!$A$2:$A$256,0))),$O33))</f>
        <v>0.69</v>
      </c>
      <c r="Z33" s="10" t="n">
        <f aca="false">IF(OR($H33="",$P33=""),"",IFERROR(1/(1/INDEX(Map_Stats!$I$2:$I$256,MATCH($F33&amp;"|"&amp;$H33,Map_Stats!$A$2:$A$256,0))),$P33))</f>
        <v>0.31</v>
      </c>
      <c r="AA33" s="13" t="n">
        <f aca="false">IF(OR($H33="",Y33=""),"",IF($O33="",Y33,(X33*Y33+Config!$B$4*$O33)/(X33+Config!$B$4)))</f>
        <v>0.665</v>
      </c>
      <c r="AB33" s="10" t="n">
        <f aca="false">IF(Z33="","",(X33*Z33+Config!$B$4*$P33)/(X33+Config!$B$4))</f>
        <v>0.310625</v>
      </c>
      <c r="AC33" s="17" t="n">
        <f aca="false">IF(OR(AA33="",$K33=""),"",AA33*$K33*($K33/Config!$B$10)^Config!$B$9)</f>
        <v>14.1379</v>
      </c>
      <c r="AD33" s="17" t="n">
        <f aca="false">IF(OR(AC33="",AB33=""),"",AC33*AB33)</f>
        <v>4.3915851875</v>
      </c>
      <c r="AE33" s="9" t="n">
        <f aca="false">IF($I33="",0,SUMIFS(Map_Stats!$F$2:$F$256,Map_Stats!$A$2:$A$256,$F33&amp;"|"&amp;$I33))</f>
        <v>10</v>
      </c>
      <c r="AF33" s="13" t="n">
        <f aca="false">IF($I33="","",IFERROR(1/(1/INDEX(Map_Stats!$K$2:$K$256,MATCH($F33&amp;"|"&amp;$I33,Map_Stats!$A$2:$A$256,0))),$O33))</f>
        <v>0.7</v>
      </c>
      <c r="AG33" s="10" t="n">
        <f aca="false">IF(OR($I33="",$P33=""),"",IFERROR(1/(1/INDEX(Map_Stats!$I$2:$I$256,MATCH($F33&amp;"|"&amp;$I33,Map_Stats!$A$2:$A$256,0))),$P33))</f>
        <v>0.336</v>
      </c>
      <c r="AH33" s="13" t="n">
        <f aca="false">IF(OR($I33="",AF33=""),"",IF($O33="",AF33,(AE33*AF33+Config!$B$4*$O33)/(AE33+Config!$B$4)))</f>
        <v>0.683333333333333</v>
      </c>
      <c r="AI33" s="10" t="n">
        <f aca="false">IF(AG33="","",(AE33*AG33+Config!$B$4*$P33)/(AE33+Config!$B$4))</f>
        <v>0.327666666666667</v>
      </c>
      <c r="AJ33" s="17" t="n">
        <f aca="false">IF(OR(AH33="",$L33=""),"",AH33*$L33*($L33/Config!$B$10)^Config!$B$9)</f>
        <v>14.6916666666667</v>
      </c>
      <c r="AK33" s="17" t="n">
        <f aca="false">IF(OR(AJ33="",AI33=""),"",AJ33*AI33)</f>
        <v>4.81396944444444</v>
      </c>
      <c r="AL33" s="17" t="n">
        <f aca="false">N(V33)+N(AC33)</f>
        <v>28.7686454545455</v>
      </c>
      <c r="AM33" s="17" t="n">
        <f aca="false">AL33+N($M33)*N(AJ33)</f>
        <v>35.7633479545455</v>
      </c>
      <c r="AN33" s="17" t="n">
        <f aca="false">IF(W33="","",N(W33)+N(AD33))</f>
        <v>8.75819767179752</v>
      </c>
      <c r="AO33" s="17" t="n">
        <f aca="false">IF(AN33="","",AN33+N($M33)*N(AK33))</f>
        <v>11.0501285242975</v>
      </c>
      <c r="AP33" s="10" t="n">
        <f aca="false">IFERROR(AN33/AL33,"")</f>
        <v>0.30443552462821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IF($C33=Board!$B$2,COUNTIFS($C$2:$C$42,Board!$B$2,$AL$2:$AL$42,"&gt;"&amp;$AL33)+COUNTIFS($C$1:$C32,Board!$B$2,$AL$1:$AL32,$AL33)+1,"")</f>
        <v/>
      </c>
      <c r="AS33" s="0" t="str">
        <f aca="false">IFERROR(IF($D33=INDEX(Matches!$AD$5:$AD$10,MATCH($C33,Matches!$A$5:$A$10,0)),"A",IF($D33=INDEX(Matches!$AE$5:$AE$10,MATCH($C33,Matches!$A$5:$A$10,0)),"B","")),"")</f>
        <v>A</v>
      </c>
      <c r="AT33" s="10" t="n">
        <f aca="false">IF($AS33="","",IFERROR(IF($AS33="A",INDEX(Matches!$AI$5:$AI$10,MATCH($C33,Matches!$A$5:$A$10,0)),INDEX(Matches!$AJ$5:$AJ$10,MATCH($C33,Matches!$A$5:$A$10,0))),""))</f>
        <v>0.519388000817192</v>
      </c>
      <c r="AU33" s="10" t="n">
        <f aca="false">IF($AS33="","",IFERROR(IF(INDEX(Matches!$AP$5:$AP$10,MATCH($C33,Matches!$A$5:$A$10,0))="","",IF($AS33="A",INDEX(Matches!$AP$5:$AP$10,MATCH($C33,Matches!$A$5:$A$10,0)),1-INDEX(Matches!$AP$5:$AP$10,MATCH($C33,Matches!$A$5:$A$10,0)))),""))</f>
        <v>0.489710121268646</v>
      </c>
      <c r="AV33" s="13" t="n">
        <f aca="false">IF(OR($AU33="",$AT33=""),1,((Config!$B$14*$AU33+Config!$B$15*(1-$AU33))/(Config!$B$14*$AT33+Config!$B$15*(1-$AT33)))^Config!$B$13)</f>
        <v>0.973930998792825</v>
      </c>
      <c r="AW33" s="10" t="n">
        <f aca="false">IF($AS33="","",IFERROR(IF(INDEX(Matches!$AV$5:$AV$10,MATCH($C33,Matches!$A$5:$A$10,0))="","",IF($AS33="A",INDEX(Matches!$AV$5:$AV$10,MATCH($C33,Matches!$A$5:$A$10,0)),1-INDEX(Matches!$AV$5:$AV$10,MATCH($C33,Matches!$A$5:$A$10,0)))),""))</f>
        <v>0.494105758872821</v>
      </c>
      <c r="AX33" s="13" t="n">
        <f aca="false">IF(OR($AW33="",$AT33=""),1,((Config!$B$14*$AW33+Config!$B$15*(1-$AW33))/(Config!$B$14*$AT33+Config!$B$15*(1-$AT33)))^Config!$B$13)</f>
        <v>0.977792119727092</v>
      </c>
      <c r="AY33" s="10" t="n">
        <f aca="false">IF($AS33="","",IFERROR(IF(INDEX(Matches!$BB$5:$BB$10,MATCH($C33,Matches!$A$5:$A$10,0))="","",IF($AS33="A",INDEX(Matches!$BB$5:$BB$10,MATCH($C33,Matches!$A$5:$A$10,0)),1-INDEX(Matches!$BB$5:$BB$10,MATCH($C33,Matches!$A$5:$A$10,0)))),""))</f>
        <v>0.501512326726735</v>
      </c>
      <c r="AZ33" s="13" t="n">
        <f aca="false">IF(OR($AY33="",$AT33=""),1,((Config!$B$14*$AY33+Config!$B$15*(1-$AY33))/(Config!$B$14*$AT33+Config!$B$15*(1-$AT33)))^Config!$B$13)</f>
        <v>0.984298036903852</v>
      </c>
      <c r="BA33" s="17" t="n">
        <f aca="false">IF(V33="","",V33*$AV33)</f>
        <v>14.249336533629</v>
      </c>
      <c r="BB33" s="17" t="n">
        <f aca="false">IF(AC33="","",AC33*$AX33)</f>
        <v>13.8239272094897</v>
      </c>
      <c r="BC33" s="17" t="n">
        <f aca="false">IF(AJ33="","",AJ33*$AZ33)</f>
        <v>14.4609786588458</v>
      </c>
      <c r="BD33" s="17" t="n">
        <f aca="false">N(BA33)+N(BB33)</f>
        <v>28.0732637431187</v>
      </c>
      <c r="BE33" s="17" t="n">
        <f aca="false">BD33+N($M33)*N(BC33)</f>
        <v>34.9581356825952</v>
      </c>
      <c r="BF33" s="17" t="n">
        <f aca="false">IF(W33="","",W33*$AV33)</f>
        <v>4.2527792581731</v>
      </c>
      <c r="BG33" s="17" t="n">
        <f aca="false">IF(AD33="","",AD33*$AX33)</f>
        <v>4.29405738944773</v>
      </c>
      <c r="BH33" s="17" t="n">
        <f aca="false">IF(AK33="","",AK33*$AZ33)</f>
        <v>4.73838067388179</v>
      </c>
      <c r="BI33" s="17" t="n">
        <f aca="false">IF(BF33="","",N(BF33)+N(BG33))</f>
        <v>8.54683664762083</v>
      </c>
      <c r="BJ33" s="17" t="n">
        <f aca="false">IF(BI33="","",BI33+N($M33)*N(BH33))</f>
        <v>10.802779686456</v>
      </c>
      <c r="BK33" s="13" t="n">
        <f aca="false">IFERROR(BD33/AL33,1)</f>
        <v>0.975828486171674</v>
      </c>
    </row>
    <row r="34" customFormat="false" ht="15" hidden="false" customHeight="false" outlineLevel="0" collapsed="false">
      <c r="A34" s="0" t="s">
        <v>717</v>
      </c>
      <c r="B34" s="0" t="s">
        <v>568</v>
      </c>
      <c r="C34" s="0" t="s">
        <v>590</v>
      </c>
      <c r="D34" s="0" t="s">
        <v>595</v>
      </c>
      <c r="E34" s="0" t="s">
        <v>716</v>
      </c>
      <c r="F34" s="0" t="s">
        <v>818</v>
      </c>
      <c r="G34" s="0" t="str">
        <f aca="false">IFERROR(IF(INDEX(Matches!$W$5:$W$10,MATCH($C34,Matches!$A$5:$A$10,0))="","",INDEX(Matches!$W$5:$W$10,MATCH($C34,Matches!$A$5:$A$10,0))),"")</f>
        <v>Dust2</v>
      </c>
      <c r="H34" s="0" t="str">
        <f aca="false">IFERROR(IF(INDEX(Matches!$X$5:$X$10,MATCH($C34,Matches!$A$5:$A$10,0))="","",INDEX(Matches!$X$5:$X$10,MATCH($C34,Matches!$A$5:$A$10,0))),"")</f>
        <v>Ancient</v>
      </c>
      <c r="I34" s="0" t="str">
        <f aca="false">IFERROR(IF(INDEX(Matches!$Y$5:$Y$10,MATCH($C34,Matches!$A$5:$A$10,0))="","",INDEX(Matches!$Y$5:$Y$10,MATCH($C34,Matches!$A$5:$A$10,0))),"")</f>
        <v>Mirage</v>
      </c>
      <c r="J34" s="11" t="n">
        <f aca="false">IFERROR(IF(INDEX(Matches!$Z$5:$Z$10,MATCH($C34,Matches!$A$5:$A$10,0))="","",INDEX(Matches!$Z$5:$Z$10,MATCH($C34,Matches!$A$5:$A$10,0))),"")</f>
        <v>21.26</v>
      </c>
      <c r="K34" s="11" t="n">
        <f aca="false">IFERROR(IF(INDEX(Matches!$AA$5:$AA$10,MATCH($C34,Matches!$A$5:$A$10,0))="","",INDEX(Matches!$AA$5:$AA$10,MATCH($C34,Matches!$A$5:$A$10,0))),"")</f>
        <v>21.26</v>
      </c>
      <c r="L34" s="11" t="n">
        <f aca="false">IFERROR(IF(INDEX(Matches!$AB$5:$AB$10,MATCH($C34,Matches!$A$5:$A$10,0))="","",INDEX(Matches!$AB$5:$AB$10,MATCH($C34,Matches!$A$5:$A$10,0))),"")</f>
        <v>21.5</v>
      </c>
      <c r="M34" s="10" t="n">
        <f aca="false">IFERROR(IF(INDEX(Matches!$AC$5:$AC$10,MATCH($C34,Matches!$A$5:$A$10,0))="","",INDEX(Matches!$AC$5:$AC$10,MATCH($C34,Matches!$A$5:$A$10,0))),"")</f>
        <v>0.4761</v>
      </c>
      <c r="N34" s="9" t="n">
        <f aca="false">IFERROR(INDEX(Players!$F$2:$F$42,MATCH($F34,Players!$A$2:$A$42,0)),0)</f>
        <v>30</v>
      </c>
      <c r="O34" s="13" t="n">
        <f aca="false">IFERROR(1/(1/INDEX(Players!$H$2:$H$42,MATCH($F34,Players!$A$2:$A$42,0))),"")</f>
        <v>0.69</v>
      </c>
      <c r="P34" s="10" t="n">
        <f aca="false">IFERROR(1/(1/INDEX(Players!$I$2:$I$42,MATCH($F34,Players!$A$2:$A$42,0))),"")</f>
        <v>0.593</v>
      </c>
      <c r="Q34" s="9" t="n">
        <f aca="false">IF($G34="",0,SUMIFS(Map_Stats!$F$2:$F$256,Map_Stats!$A$2:$A$256,$F34&amp;"|"&amp;$G34))</f>
        <v>6</v>
      </c>
      <c r="R34" s="13" t="n">
        <f aca="false">IF($G34="","",IFERROR(1/(1/INDEX(Map_Stats!$K$2:$K$256,MATCH($F34&amp;"|"&amp;$G34,Map_Stats!$A$2:$A$256,0))),$O34))</f>
        <v>0.82</v>
      </c>
      <c r="S34" s="10" t="n">
        <f aca="false">IF(OR($G34="",$P34=""),"",IFERROR(1/(1/INDEX(Map_Stats!$I$2:$I$256,MATCH($F34&amp;"|"&amp;$G34,Map_Stats!$A$2:$A$256,0))),$P34))</f>
        <v>0.605</v>
      </c>
      <c r="T34" s="13" t="n">
        <f aca="false">IF(OR($G34="",R34=""),"",IF($O34="",R34,(Q34*R34+Config!$B$4*$O34)/(Q34+Config!$B$4)))</f>
        <v>0.760909090909091</v>
      </c>
      <c r="U34" s="10" t="n">
        <f aca="false">IF(S34="","",(Q34*S34+Config!$B$4*$P34)/(Q34+Config!$B$4))</f>
        <v>0.599545454545455</v>
      </c>
      <c r="V34" s="17" t="n">
        <f aca="false">IF(OR(T34="",$J34=""),"",T34*$J34*($J34/Config!$B$10)^Config!$B$9)</f>
        <v>16.1769272727273</v>
      </c>
      <c r="W34" s="17" t="n">
        <f aca="false">IF(OR(V34="",U34=""),"",V34*U34)</f>
        <v>9.69880321487603</v>
      </c>
      <c r="X34" s="9" t="n">
        <f aca="false">IF($H34="",0,SUMIFS(Map_Stats!$F$2:$F$256,Map_Stats!$A$2:$A$256,$F34&amp;"|"&amp;$H34))</f>
        <v>3</v>
      </c>
      <c r="Y34" s="13" t="n">
        <f aca="false">IF($H34="","",IFERROR(1/(1/INDEX(Map_Stats!$K$2:$K$256,MATCH($F34&amp;"|"&amp;$H34,Map_Stats!$A$2:$A$256,0))),$O34))</f>
        <v>0.79</v>
      </c>
      <c r="Z34" s="10" t="n">
        <f aca="false">IF(OR($H34="",$P34=""),"",IFERROR(1/(1/INDEX(Map_Stats!$I$2:$I$256,MATCH($F34&amp;"|"&amp;$H34,Map_Stats!$A$2:$A$256,0))),$P34))</f>
        <v>0.542</v>
      </c>
      <c r="AA34" s="13" t="n">
        <f aca="false">IF(OR($H34="",Y34=""),"",IF($O34="",Y34,(X34*Y34+Config!$B$4*$O34)/(X34+Config!$B$4)))</f>
        <v>0.7275</v>
      </c>
      <c r="AB34" s="10" t="n">
        <f aca="false">IF(Z34="","",(X34*Z34+Config!$B$4*$P34)/(X34+Config!$B$4))</f>
        <v>0.573875</v>
      </c>
      <c r="AC34" s="17" t="n">
        <f aca="false">IF(OR(AA34="",$K34=""),"",AA34*$K34*($K34/Config!$B$10)^Config!$B$9)</f>
        <v>15.46665</v>
      </c>
      <c r="AD34" s="17" t="n">
        <f aca="false">IF(OR(AC34="",AB34=""),"",AC34*AB34)</f>
        <v>8.87592376875</v>
      </c>
      <c r="AE34" s="9" t="n">
        <f aca="false">IF($I34="",0,SUMIFS(Map_Stats!$F$2:$F$256,Map_Stats!$A$2:$A$256,$F34&amp;"|"&amp;$I34))</f>
        <v>10</v>
      </c>
      <c r="AF34" s="13" t="n">
        <f aca="false">IF($I34="","",IFERROR(1/(1/INDEX(Map_Stats!$K$2:$K$256,MATCH($F34&amp;"|"&amp;$I34,Map_Stats!$A$2:$A$256,0))),$O34))</f>
        <v>0.61</v>
      </c>
      <c r="AG34" s="10" t="n">
        <f aca="false">IF(OR($I34="",$P34=""),"",IFERROR(1/(1/INDEX(Map_Stats!$I$2:$I$256,MATCH($F34&amp;"|"&amp;$I34,Map_Stats!$A$2:$A$256,0))),$P34))</f>
        <v>0.574</v>
      </c>
      <c r="AH34" s="13" t="n">
        <f aca="false">IF(OR($I34="",AF34=""),"",IF($O34="",AF34,(AE34*AF34+Config!$B$4*$O34)/(AE34+Config!$B$4)))</f>
        <v>0.636666666666667</v>
      </c>
      <c r="AI34" s="10" t="n">
        <f aca="false">IF(AG34="","",(AE34*AG34+Config!$B$4*$P34)/(AE34+Config!$B$4))</f>
        <v>0.580333333333333</v>
      </c>
      <c r="AJ34" s="17" t="n">
        <f aca="false">IF(OR(AH34="",$L34=""),"",AH34*$L34*($L34/Config!$B$10)^Config!$B$9)</f>
        <v>13.6883333333333</v>
      </c>
      <c r="AK34" s="17" t="n">
        <f aca="false">IF(OR(AJ34="",AI34=""),"",AJ34*AI34)</f>
        <v>7.94379611111111</v>
      </c>
      <c r="AL34" s="17" t="n">
        <f aca="false">N(V34)+N(AC34)</f>
        <v>31.6435772727273</v>
      </c>
      <c r="AM34" s="17" t="n">
        <f aca="false">AL34+N($M34)*N(AJ34)</f>
        <v>38.1605927727273</v>
      </c>
      <c r="AN34" s="17" t="n">
        <f aca="false">IF(W34="","",N(W34)+N(AD34))</f>
        <v>18.574726983626</v>
      </c>
      <c r="AO34" s="17" t="n">
        <f aca="false">IF(AN34="","",AN34+N($M34)*N(AK34))</f>
        <v>22.356768312126</v>
      </c>
      <c r="AP34" s="10" t="n">
        <f aca="false">IFERROR(AN34/AL34,"")</f>
        <v>0.586998329030109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IF($C34=Board!$B$2,COUNTIFS($C$2:$C$42,Board!$B$2,$AL$2:$AL$42,"&gt;"&amp;$AL34)+COUNTIFS($C$1:$C33,Board!$B$2,$AL$1:$AL33,$AL34)+1,"")</f>
        <v/>
      </c>
      <c r="AS34" s="0" t="str">
        <f aca="false">IFERROR(IF($D34=INDEX(Matches!$AD$5:$AD$10,MATCH($C34,Matches!$A$5:$A$10,0)),"A",IF($D34=INDEX(Matches!$AE$5:$AE$10,MATCH($C34,Matches!$A$5:$A$10,0)),"B","")),"")</f>
        <v>A</v>
      </c>
      <c r="AT34" s="10" t="n">
        <f aca="false">IF($AS34="","",IFERROR(IF($AS34="A",INDEX(Matches!$AI$5:$AI$10,MATCH($C34,Matches!$A$5:$A$10,0)),INDEX(Matches!$AJ$5:$AJ$10,MATCH($C34,Matches!$A$5:$A$10,0))),""))</f>
        <v>0.519388000817192</v>
      </c>
      <c r="AU34" s="10" t="n">
        <f aca="false">IF($AS34="","",IFERROR(IF(INDEX(Matches!$AP$5:$AP$10,MATCH($C34,Matches!$A$5:$A$10,0))="","",IF($AS34="A",INDEX(Matches!$AP$5:$AP$10,MATCH($C34,Matches!$A$5:$A$10,0)),1-INDEX(Matches!$AP$5:$AP$10,MATCH($C34,Matches!$A$5:$A$10,0)))),""))</f>
        <v>0.489710121268646</v>
      </c>
      <c r="AV34" s="13" t="n">
        <f aca="false">IF(OR($AU34="",$AT34=""),1,((Config!$B$14*$AU34+Config!$B$15*(1-$AU34))/(Config!$B$14*$AT34+Config!$B$15*(1-$AT34)))^Config!$B$13)</f>
        <v>0.973930998792825</v>
      </c>
      <c r="AW34" s="10" t="n">
        <f aca="false">IF($AS34="","",IFERROR(IF(INDEX(Matches!$AV$5:$AV$10,MATCH($C34,Matches!$A$5:$A$10,0))="","",IF($AS34="A",INDEX(Matches!$AV$5:$AV$10,MATCH($C34,Matches!$A$5:$A$10,0)),1-INDEX(Matches!$AV$5:$AV$10,MATCH($C34,Matches!$A$5:$A$10,0)))),""))</f>
        <v>0.494105758872821</v>
      </c>
      <c r="AX34" s="13" t="n">
        <f aca="false">IF(OR($AW34="",$AT34=""),1,((Config!$B$14*$AW34+Config!$B$15*(1-$AW34))/(Config!$B$14*$AT34+Config!$B$15*(1-$AT34)))^Config!$B$13)</f>
        <v>0.977792119727092</v>
      </c>
      <c r="AY34" s="10" t="n">
        <f aca="false">IF($AS34="","",IFERROR(IF(INDEX(Matches!$BB$5:$BB$10,MATCH($C34,Matches!$A$5:$A$10,0))="","",IF($AS34="A",INDEX(Matches!$BB$5:$BB$10,MATCH($C34,Matches!$A$5:$A$10,0)),1-INDEX(Matches!$BB$5:$BB$10,MATCH($C34,Matches!$A$5:$A$10,0)))),""))</f>
        <v>0.501512326726735</v>
      </c>
      <c r="AZ34" s="13" t="n">
        <f aca="false">IF(OR($AY34="",$AT34=""),1,((Config!$B$14*$AY34+Config!$B$15*(1-$AY34))/(Config!$B$14*$AT34+Config!$B$15*(1-$AT34)))^Config!$B$13)</f>
        <v>0.984298036903852</v>
      </c>
      <c r="BA34" s="17" t="n">
        <f aca="false">IF(V34="","",V34*$AV34)</f>
        <v>15.7552109361262</v>
      </c>
      <c r="BB34" s="17" t="n">
        <f aca="false">IF(AC34="","",AC34*$AX34)</f>
        <v>15.123168488577</v>
      </c>
      <c r="BC34" s="17" t="n">
        <f aca="false">IF(AJ34="","",AJ34*$AZ34)</f>
        <v>13.4733996284856</v>
      </c>
      <c r="BD34" s="17" t="n">
        <f aca="false">N(BA34)+N(BB34)</f>
        <v>30.8783794247032</v>
      </c>
      <c r="BE34" s="17" t="n">
        <f aca="false">BD34+N($M34)*N(BC34)</f>
        <v>37.2930649878252</v>
      </c>
      <c r="BF34" s="17" t="n">
        <f aca="false">IF(W34="","",W34*$AV34)</f>
        <v>9.44596510215928</v>
      </c>
      <c r="BG34" s="17" t="n">
        <f aca="false">IF(AD34="","",AD34*$AX34)</f>
        <v>8.67880831638214</v>
      </c>
      <c r="BH34" s="17" t="n">
        <f aca="false">IF(AK34="","",AK34*$AZ34)</f>
        <v>7.81906291773112</v>
      </c>
      <c r="BI34" s="17" t="n">
        <f aca="false">IF(BF34="","",N(BF34)+N(BG34))</f>
        <v>18.1247734185414</v>
      </c>
      <c r="BJ34" s="17" t="n">
        <f aca="false">IF(BI34="","",BI34+N($M34)*N(BH34))</f>
        <v>21.8474292736732</v>
      </c>
      <c r="BK34" s="13" t="n">
        <f aca="false">IFERROR(BD34/AL34,1)</f>
        <v>0.975818225561888</v>
      </c>
    </row>
    <row r="35" customFormat="false" ht="15" hidden="false" customHeight="false" outlineLevel="0" collapsed="false">
      <c r="A35" s="0" t="s">
        <v>719</v>
      </c>
      <c r="B35" s="0" t="s">
        <v>568</v>
      </c>
      <c r="C35" s="0" t="s">
        <v>590</v>
      </c>
      <c r="D35" s="0" t="s">
        <v>595</v>
      </c>
      <c r="E35" s="0" t="s">
        <v>718</v>
      </c>
      <c r="F35" s="0" t="s">
        <v>819</v>
      </c>
      <c r="G35" s="0" t="str">
        <f aca="false">IFERROR(IF(INDEX(Matches!$W$5:$W$10,MATCH($C35,Matches!$A$5:$A$10,0))="","",INDEX(Matches!$W$5:$W$10,MATCH($C35,Matches!$A$5:$A$10,0))),"")</f>
        <v>Dust2</v>
      </c>
      <c r="H35" s="0" t="str">
        <f aca="false">IFERROR(IF(INDEX(Matches!$X$5:$X$10,MATCH($C35,Matches!$A$5:$A$10,0))="","",INDEX(Matches!$X$5:$X$10,MATCH($C35,Matches!$A$5:$A$10,0))),"")</f>
        <v>Ancient</v>
      </c>
      <c r="I35" s="0" t="str">
        <f aca="false">IFERROR(IF(INDEX(Matches!$Y$5:$Y$10,MATCH($C35,Matches!$A$5:$A$10,0))="","",INDEX(Matches!$Y$5:$Y$10,MATCH($C35,Matches!$A$5:$A$10,0))),"")</f>
        <v>Mirage</v>
      </c>
      <c r="J35" s="11" t="n">
        <f aca="false">IFERROR(IF(INDEX(Matches!$Z$5:$Z$10,MATCH($C35,Matches!$A$5:$A$10,0))="","",INDEX(Matches!$Z$5:$Z$10,MATCH($C35,Matches!$A$5:$A$10,0))),"")</f>
        <v>21.26</v>
      </c>
      <c r="K35" s="11" t="n">
        <f aca="false">IFERROR(IF(INDEX(Matches!$AA$5:$AA$10,MATCH($C35,Matches!$A$5:$A$10,0))="","",INDEX(Matches!$AA$5:$AA$10,MATCH($C35,Matches!$A$5:$A$10,0))),"")</f>
        <v>21.26</v>
      </c>
      <c r="L35" s="11" t="n">
        <f aca="false">IFERROR(IF(INDEX(Matches!$AB$5:$AB$10,MATCH($C35,Matches!$A$5:$A$10,0))="","",INDEX(Matches!$AB$5:$AB$10,MATCH($C35,Matches!$A$5:$A$10,0))),"")</f>
        <v>21.5</v>
      </c>
      <c r="M35" s="10" t="n">
        <f aca="false">IFERROR(IF(INDEX(Matches!$AC$5:$AC$10,MATCH($C35,Matches!$A$5:$A$10,0))="","",INDEX(Matches!$AC$5:$AC$10,MATCH($C35,Matches!$A$5:$A$10,0))),"")</f>
        <v>0.4761</v>
      </c>
      <c r="N35" s="9" t="n">
        <f aca="false">IFERROR(INDEX(Players!$F$2:$F$42,MATCH($F35,Players!$A$2:$A$42,0)),0)</f>
        <v>30</v>
      </c>
      <c r="O35" s="13" t="n">
        <f aca="false">IFERROR(1/(1/INDEX(Players!$H$2:$H$42,MATCH($F35,Players!$A$2:$A$42,0))),"")</f>
        <v>0.75</v>
      </c>
      <c r="P35" s="10" t="n">
        <f aca="false">IFERROR(1/(1/INDEX(Players!$I$2:$I$42,MATCH($F35,Players!$A$2:$A$42,0))),"")</f>
        <v>0.554</v>
      </c>
      <c r="Q35" s="9" t="n">
        <f aca="false">IF($G35="",0,SUMIFS(Map_Stats!$F$2:$F$256,Map_Stats!$A$2:$A$256,$F35&amp;"|"&amp;$G35))</f>
        <v>6</v>
      </c>
      <c r="R35" s="13" t="n">
        <f aca="false">IF($G35="","",IFERROR(1/(1/INDEX(Map_Stats!$K$2:$K$256,MATCH($F35&amp;"|"&amp;$G35,Map_Stats!$A$2:$A$256,0))),$O35))</f>
        <v>0.67</v>
      </c>
      <c r="S35" s="10" t="n">
        <f aca="false">IF(OR($G35="",$P35=""),"",IFERROR(1/(1/INDEX(Map_Stats!$I$2:$I$256,MATCH($F35&amp;"|"&amp;$G35,Map_Stats!$A$2:$A$256,0))),$P35))</f>
        <v>0.588</v>
      </c>
      <c r="T35" s="13" t="n">
        <f aca="false">IF(OR($G35="",R35=""),"",IF($O35="",R35,(Q35*R35+Config!$B$4*$O35)/(Q35+Config!$B$4)))</f>
        <v>0.706363636363636</v>
      </c>
      <c r="U35" s="10" t="n">
        <f aca="false">IF(S35="","",(Q35*S35+Config!$B$4*$P35)/(Q35+Config!$B$4))</f>
        <v>0.572545454545455</v>
      </c>
      <c r="V35" s="17" t="n">
        <f aca="false">IF(OR(T35="",$J35=""),"",T35*$J35*($J35/Config!$B$10)^Config!$B$9)</f>
        <v>15.0172909090909</v>
      </c>
      <c r="W35" s="17" t="n">
        <f aca="false">IF(OR(V35="",U35=""),"",V35*U35)</f>
        <v>8.59808164958678</v>
      </c>
      <c r="X35" s="9" t="n">
        <f aca="false">IF($H35="",0,SUMIFS(Map_Stats!$F$2:$F$256,Map_Stats!$A$2:$A$256,$F35&amp;"|"&amp;$H35))</f>
        <v>3</v>
      </c>
      <c r="Y35" s="13" t="n">
        <f aca="false">IF($H35="","",IFERROR(1/(1/INDEX(Map_Stats!$K$2:$K$256,MATCH($F35&amp;"|"&amp;$H35,Map_Stats!$A$2:$A$256,0))),$O35))</f>
        <v>0.79</v>
      </c>
      <c r="Z35" s="10" t="n">
        <f aca="false">IF(OR($H35="",$P35=""),"",IFERROR(1/(1/INDEX(Map_Stats!$I$2:$I$256,MATCH($F35&amp;"|"&amp;$H35,Map_Stats!$A$2:$A$256,0))),$P35))</f>
        <v>0.479</v>
      </c>
      <c r="AA35" s="13" t="n">
        <f aca="false">IF(OR($H35="",Y35=""),"",IF($O35="",Y35,(X35*Y35+Config!$B$4*$O35)/(X35+Config!$B$4)))</f>
        <v>0.765</v>
      </c>
      <c r="AB35" s="10" t="n">
        <f aca="false">IF(Z35="","",(X35*Z35+Config!$B$4*$P35)/(X35+Config!$B$4))</f>
        <v>0.525875</v>
      </c>
      <c r="AC35" s="17" t="n">
        <f aca="false">IF(OR(AA35="",$K35=""),"",AA35*$K35*($K35/Config!$B$10)^Config!$B$9)</f>
        <v>16.2639</v>
      </c>
      <c r="AD35" s="17" t="n">
        <f aca="false">IF(OR(AC35="",AB35=""),"",AC35*AB35)</f>
        <v>8.5527784125</v>
      </c>
      <c r="AE35" s="9" t="n">
        <f aca="false">IF($I35="",0,SUMIFS(Map_Stats!$F$2:$F$256,Map_Stats!$A$2:$A$256,$F35&amp;"|"&amp;$I35))</f>
        <v>10</v>
      </c>
      <c r="AF35" s="13" t="n">
        <f aca="false">IF($I35="","",IFERROR(1/(1/INDEX(Map_Stats!$K$2:$K$256,MATCH($F35&amp;"|"&amp;$I35,Map_Stats!$A$2:$A$256,0))),$O35))</f>
        <v>0.86</v>
      </c>
      <c r="AG35" s="10" t="n">
        <f aca="false">IF(OR($I35="",$P35=""),"",IFERROR(1/(1/INDEX(Map_Stats!$I$2:$I$256,MATCH($F35&amp;"|"&amp;$I35,Map_Stats!$A$2:$A$256,0))),$P35))</f>
        <v>0.544</v>
      </c>
      <c r="AH35" s="13" t="n">
        <f aca="false">IF(OR($I35="",AF35=""),"",IF($O35="",AF35,(AE35*AF35+Config!$B$4*$O35)/(AE35+Config!$B$4)))</f>
        <v>0.823333333333333</v>
      </c>
      <c r="AI35" s="10" t="n">
        <f aca="false">IF(AG35="","",(AE35*AG35+Config!$B$4*$P35)/(AE35+Config!$B$4))</f>
        <v>0.547333333333333</v>
      </c>
      <c r="AJ35" s="17" t="n">
        <f aca="false">IF(OR(AH35="",$L35=""),"",AH35*$L35*($L35/Config!$B$10)^Config!$B$9)</f>
        <v>17.7016666666667</v>
      </c>
      <c r="AK35" s="17" t="n">
        <f aca="false">IF(OR(AJ35="",AI35=""),"",AJ35*AI35)</f>
        <v>9.68871222222222</v>
      </c>
      <c r="AL35" s="17" t="n">
        <f aca="false">N(V35)+N(AC35)</f>
        <v>31.2811909090909</v>
      </c>
      <c r="AM35" s="17" t="n">
        <f aca="false">AL35+N($M35)*N(AJ35)</f>
        <v>39.7089544090909</v>
      </c>
      <c r="AN35" s="17" t="n">
        <f aca="false">IF(W35="","",N(W35)+N(AD35))</f>
        <v>17.1508600620868</v>
      </c>
      <c r="AO35" s="17" t="n">
        <f aca="false">IF(AN35="","",AN35+N($M35)*N(AK35))</f>
        <v>21.7636559510868</v>
      </c>
      <c r="AP35" s="10" t="n">
        <f aca="false">IFERROR(AN35/AL35,"")</f>
        <v>0.548280278456483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IF($C35=Board!$B$2,COUNTIFS($C$2:$C$42,Board!$B$2,$AL$2:$AL$42,"&gt;"&amp;$AL35)+COUNTIFS($C$1:$C34,Board!$B$2,$AL$1:$AL34,$AL35)+1,"")</f>
        <v/>
      </c>
      <c r="AS35" s="0" t="str">
        <f aca="false">IFERROR(IF($D35=INDEX(Matches!$AD$5:$AD$10,MATCH($C35,Matches!$A$5:$A$10,0)),"A",IF($D35=INDEX(Matches!$AE$5:$AE$10,MATCH($C35,Matches!$A$5:$A$10,0)),"B","")),"")</f>
        <v>A</v>
      </c>
      <c r="AT35" s="10" t="n">
        <f aca="false">IF($AS35="","",IFERROR(IF($AS35="A",INDEX(Matches!$AI$5:$AI$10,MATCH($C35,Matches!$A$5:$A$10,0)),INDEX(Matches!$AJ$5:$AJ$10,MATCH($C35,Matches!$A$5:$A$10,0))),""))</f>
        <v>0.519388000817192</v>
      </c>
      <c r="AU35" s="10" t="n">
        <f aca="false">IF($AS35="","",IFERROR(IF(INDEX(Matches!$AP$5:$AP$10,MATCH($C35,Matches!$A$5:$A$10,0))="","",IF($AS35="A",INDEX(Matches!$AP$5:$AP$10,MATCH($C35,Matches!$A$5:$A$10,0)),1-INDEX(Matches!$AP$5:$AP$10,MATCH($C35,Matches!$A$5:$A$10,0)))),""))</f>
        <v>0.489710121268646</v>
      </c>
      <c r="AV35" s="13" t="n">
        <f aca="false">IF(OR($AU35="",$AT35=""),1,((Config!$B$14*$AU35+Config!$B$15*(1-$AU35))/(Config!$B$14*$AT35+Config!$B$15*(1-$AT35)))^Config!$B$13)</f>
        <v>0.973930998792825</v>
      </c>
      <c r="AW35" s="10" t="n">
        <f aca="false">IF($AS35="","",IFERROR(IF(INDEX(Matches!$AV$5:$AV$10,MATCH($C35,Matches!$A$5:$A$10,0))="","",IF($AS35="A",INDEX(Matches!$AV$5:$AV$10,MATCH($C35,Matches!$A$5:$A$10,0)),1-INDEX(Matches!$AV$5:$AV$10,MATCH($C35,Matches!$A$5:$A$10,0)))),""))</f>
        <v>0.494105758872821</v>
      </c>
      <c r="AX35" s="13" t="n">
        <f aca="false">IF(OR($AW35="",$AT35=""),1,((Config!$B$14*$AW35+Config!$B$15*(1-$AW35))/(Config!$B$14*$AT35+Config!$B$15*(1-$AT35)))^Config!$B$13)</f>
        <v>0.977792119727092</v>
      </c>
      <c r="AY35" s="10" t="n">
        <f aca="false">IF($AS35="","",IFERROR(IF(INDEX(Matches!$BB$5:$BB$10,MATCH($C35,Matches!$A$5:$A$10,0))="","",IF($AS35="A",INDEX(Matches!$BB$5:$BB$10,MATCH($C35,Matches!$A$5:$A$10,0)),1-INDEX(Matches!$BB$5:$BB$10,MATCH($C35,Matches!$A$5:$A$10,0)))),""))</f>
        <v>0.501512326726735</v>
      </c>
      <c r="AZ35" s="13" t="n">
        <f aca="false">IF(OR($AY35="",$AT35=""),1,((Config!$B$14*$AY35+Config!$B$15*(1-$AY35))/(Config!$B$14*$AT35+Config!$B$15*(1-$AT35)))^Config!$B$13)</f>
        <v>0.984298036903852</v>
      </c>
      <c r="BA35" s="17" t="n">
        <f aca="false">IF(V35="","",V35*$AV35)</f>
        <v>14.6258051342533</v>
      </c>
      <c r="BB35" s="17" t="n">
        <f aca="false">IF(AC35="","",AC35*$AX35)</f>
        <v>15.9027132560295</v>
      </c>
      <c r="BC35" s="17" t="n">
        <f aca="false">IF(AJ35="","",AJ35*$AZ35)</f>
        <v>17.4237157499264</v>
      </c>
      <c r="BD35" s="17" t="n">
        <f aca="false">N(BA35)+N(BB35)</f>
        <v>30.5285183902828</v>
      </c>
      <c r="BE35" s="17" t="n">
        <f aca="false">BD35+N($M35)*N(BC35)</f>
        <v>38.8239494588227</v>
      </c>
      <c r="BF35" s="17" t="n">
        <f aca="false">IF(W35="","",W35*$AV35)</f>
        <v>8.37393824868431</v>
      </c>
      <c r="BG35" s="17" t="n">
        <f aca="false">IF(AD35="","",AD35*$AX35)</f>
        <v>8.36283933351449</v>
      </c>
      <c r="BH35" s="17" t="n">
        <f aca="false">IF(AK35="","",AK35*$AZ35)</f>
        <v>9.53658042045969</v>
      </c>
      <c r="BI35" s="17" t="n">
        <f aca="false">IF(BF35="","",N(BF35)+N(BG35))</f>
        <v>16.7367775821988</v>
      </c>
      <c r="BJ35" s="17" t="n">
        <f aca="false">IF(BI35="","",BI35+N($M35)*N(BH35))</f>
        <v>21.2771435203797</v>
      </c>
      <c r="BK35" s="13" t="n">
        <f aca="false">IFERROR(BD35/AL35,1)</f>
        <v>0.975938495404617</v>
      </c>
    </row>
    <row r="36" customFormat="false" ht="15" hidden="false" customHeight="false" outlineLevel="0" collapsed="false">
      <c r="A36" s="0" t="s">
        <v>721</v>
      </c>
      <c r="B36" s="0" t="s">
        <v>598</v>
      </c>
      <c r="C36" s="0" t="s">
        <v>597</v>
      </c>
      <c r="D36" s="0" t="s">
        <v>604</v>
      </c>
      <c r="E36" s="0" t="s">
        <v>720</v>
      </c>
      <c r="F36" s="0" t="s">
        <v>820</v>
      </c>
      <c r="G36" s="0" t="str">
        <f aca="false">IFERROR(IF(INDEX(Matches!$W$5:$W$10,MATCH($C36,Matches!$A$5:$A$10,0))="","",INDEX(Matches!$W$5:$W$10,MATCH($C36,Matches!$A$5:$A$10,0))),"")</f>
        <v>Split</v>
      </c>
      <c r="H36" s="0" t="str">
        <f aca="false">IFERROR(IF(INDEX(Matches!$X$5:$X$10,MATCH($C36,Matches!$A$5:$A$10,0))="","",INDEX(Matches!$X$5:$X$10,MATCH($C36,Matches!$A$5:$A$10,0))),"")</f>
        <v>Sunset</v>
      </c>
      <c r="I36" s="0" t="str">
        <f aca="false">IFERROR(IF(INDEX(Matches!$Y$5:$Y$10,MATCH($C36,Matches!$A$5:$A$10,0))="","",INDEX(Matches!$Y$5:$Y$10,MATCH($C36,Matches!$A$5:$A$10,0))),"")</f>
        <v>Lotus</v>
      </c>
      <c r="J36" s="11" t="n">
        <f aca="false">IFERROR(IF(INDEX(Matches!$Z$5:$Z$10,MATCH($C36,Matches!$A$5:$A$10,0))="","",INDEX(Matches!$Z$5:$Z$10,MATCH($C36,Matches!$A$5:$A$10,0))),"")</f>
        <v>21.33</v>
      </c>
      <c r="K36" s="11" t="n">
        <f aca="false">IFERROR(IF(INDEX(Matches!$AA$5:$AA$10,MATCH($C36,Matches!$A$5:$A$10,0))="","",INDEX(Matches!$AA$5:$AA$10,MATCH($C36,Matches!$A$5:$A$10,0))),"")</f>
        <v>21.29</v>
      </c>
      <c r="L36" s="11" t="n">
        <f aca="false">IFERROR(IF(INDEX(Matches!$AB$5:$AB$10,MATCH($C36,Matches!$A$5:$A$10,0))="","",INDEX(Matches!$AB$5:$AB$10,MATCH($C36,Matches!$A$5:$A$10,0))),"")</f>
        <v>22.5</v>
      </c>
      <c r="M36" s="10" t="n">
        <f aca="false">IFERROR(IF(INDEX(Matches!$AC$5:$AC$10,MATCH($C36,Matches!$A$5:$A$10,0))="","",INDEX(Matches!$AC$5:$AC$10,MATCH($C36,Matches!$A$5:$A$10,0))),"")</f>
        <v>0.4418</v>
      </c>
      <c r="N36" s="9" t="n">
        <f aca="false">IFERROR(INDEX(Players!$F$2:$F$42,MATCH($F36,Players!$A$2:$A$42,0)),0)</f>
        <v>4</v>
      </c>
      <c r="O36" s="13" t="n">
        <f aca="false">IFERROR(1/(1/INDEX(Players!$H$2:$H$42,MATCH($F36,Players!$A$2:$A$42,0))),"")</f>
        <v>0.69</v>
      </c>
      <c r="P36" s="10" t="str">
        <f aca="false">IFERROR(1/(1/INDEX(Players!$I$2:$I$42,MATCH($F36,Players!$A$2:$A$42,0))),"")</f>
        <v/>
      </c>
      <c r="Q36" s="9" t="n">
        <f aca="false">IF($G36="",0,SUMIFS(Map_Stats!$F$2:$F$256,Map_Stats!$A$2:$A$256,$F36&amp;"|"&amp;$G36))</f>
        <v>0</v>
      </c>
      <c r="R36" s="13" t="n">
        <f aca="false">IF($G36="","",IFERROR(1/(1/INDEX(Map_Stats!$K$2:$K$256,MATCH($F36&amp;"|"&amp;$G36,Map_Stats!$A$2:$A$256,0))),$O36))</f>
        <v>0.69</v>
      </c>
      <c r="S36" s="10" t="str">
        <f aca="false">IF(OR($G36="",$P36=""),"",IFERROR(1/(1/INDEX(Map_Stats!$I$2:$I$256,MATCH($F36&amp;"|"&amp;$G36,Map_Stats!$A$2:$A$256,0))),$P36))</f>
        <v/>
      </c>
      <c r="T36" s="13" t="n">
        <f aca="false">IF(OR($G36="",R36=""),"",IF($O36="",R36,(Q36*R36+Config!$B$4*$O36)/(Q36+Config!$B$4)))</f>
        <v>0.69</v>
      </c>
      <c r="U36" s="10" t="str">
        <f aca="false">IF(S36="","",(Q36*S36+Config!$B$4*$P36)/(Q36+Config!$B$4))</f>
        <v/>
      </c>
      <c r="V36" s="17" t="n">
        <f aca="false">IF(OR(T36="",$J36=""),"",T36*$J36*($J36/Config!$B$11)^Config!$B$9)</f>
        <v>14.7177</v>
      </c>
      <c r="W36" s="17" t="str">
        <f aca="false">IF(OR(V36="",U36=""),"",V36*U36)</f>
        <v/>
      </c>
      <c r="X36" s="9" t="n">
        <f aca="false">IF($H36="",0,SUMIFS(Map_Stats!$F$2:$F$256,Map_Stats!$A$2:$A$256,$F36&amp;"|"&amp;$H36))</f>
        <v>1</v>
      </c>
      <c r="Y36" s="13" t="n">
        <f aca="false">IF($H36="","",IFERROR(1/(1/INDEX(Map_Stats!$K$2:$K$256,MATCH($F36&amp;"|"&amp;$H36,Map_Stats!$A$2:$A$256,0))),$O36))</f>
        <v>0.730588235294118</v>
      </c>
      <c r="Z36" s="10" t="str">
        <f aca="false">IF(OR($H36="",$P36=""),"",IFERROR(1/(1/INDEX(Map_Stats!$I$2:$I$256,MATCH($F36&amp;"|"&amp;$H36,Map_Stats!$A$2:$A$256,0))),$P36))</f>
        <v/>
      </c>
      <c r="AA36" s="13" t="n">
        <f aca="false">IF(OR($H36="",Y36=""),"",IF($O36="",Y36,(X36*Y36+Config!$B$4*$O36)/(X36+Config!$B$4)))</f>
        <v>0.696764705882353</v>
      </c>
      <c r="AB36" s="10" t="str">
        <f aca="false">IF(Z36="","",(X36*Z36+Config!$B$4*$P36)/(X36+Config!$B$4))</f>
        <v/>
      </c>
      <c r="AC36" s="17" t="n">
        <f aca="false">IF(OR(AA36="",$K36=""),"",AA36*$K36*($K36/Config!$B$11)^Config!$B$9)</f>
        <v>14.8341205882353</v>
      </c>
      <c r="AD36" s="17" t="str">
        <f aca="false">IF(OR(AC36="",AB36=""),"",AC36*AB36)</f>
        <v/>
      </c>
      <c r="AE36" s="9" t="n">
        <f aca="false">IF($I36="",0,SUMIFS(Map_Stats!$F$2:$F$256,Map_Stats!$A$2:$A$256,$F36&amp;"|"&amp;$I36))</f>
        <v>2</v>
      </c>
      <c r="AF36" s="13" t="n">
        <f aca="false">IF($I36="","",IFERROR(1/(1/INDEX(Map_Stats!$K$2:$K$256,MATCH($F36&amp;"|"&amp;$I36,Map_Stats!$A$2:$A$256,0))),$O36))</f>
        <v>0.791470588235294</v>
      </c>
      <c r="AG36" s="10" t="str">
        <f aca="false">IF(OR($I36="",$P36=""),"",IFERROR(1/(1/INDEX(Map_Stats!$I$2:$I$256,MATCH($F36&amp;"|"&amp;$I36,Map_Stats!$A$2:$A$256,0))),$P36))</f>
        <v/>
      </c>
      <c r="AH36" s="13" t="n">
        <f aca="false">IF(OR($I36="",AF36=""),"",IF($O36="",AF36,(AE36*AF36+Config!$B$4*$O36)/(AE36+Config!$B$4)))</f>
        <v>0.718991596638655</v>
      </c>
      <c r="AI36" s="10" t="str">
        <f aca="false">IF(AG36="","",(AE36*AG36+Config!$B$4*$P36)/(AE36+Config!$B$4))</f>
        <v/>
      </c>
      <c r="AJ36" s="17" t="n">
        <f aca="false">IF(OR(AH36="",$L36=""),"",AH36*$L36*($L36/Config!$B$11)^Config!$B$9)</f>
        <v>16.1773109243697</v>
      </c>
      <c r="AK36" s="17" t="str">
        <f aca="false">IF(OR(AJ36="",AI36=""),"",AJ36*AI36)</f>
        <v/>
      </c>
      <c r="AL36" s="17" t="n">
        <f aca="false">N(V36)+N(AC36)</f>
        <v>29.5518205882353</v>
      </c>
      <c r="AM36" s="17" t="n">
        <f aca="false">AL36+N($M36)*N(AJ36)</f>
        <v>36.6989565546218</v>
      </c>
      <c r="AN36" s="17" t="str">
        <f aca="false">IF(W36="","",N(W36)+N(AD36))</f>
        <v/>
      </c>
      <c r="AO36" s="17" t="str">
        <f aca="false">IF(AN36="","",AN36+N($M36)*N(AK36))</f>
        <v/>
      </c>
      <c r="AP36" s="10" t="str">
        <f aca="false">IFERROR(AN36/AL36,"")</f>
        <v/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>thin sample (4 maps) · M1 unplayed→overall KPR ·</v>
      </c>
      <c r="AR36" s="0" t="str">
        <f aca="false">IF($C36=Board!$B$2,COUNTIFS($C$2:$C$42,Board!$B$2,$AL$2:$AL$42,"&gt;"&amp;$AL36)+COUNTIFS($C$1:$C35,Board!$B$2,$AL$1:$AL35,$AL36)+1,"")</f>
        <v/>
      </c>
      <c r="AS36" s="0" t="str">
        <f aca="false">IFERROR(IF($D36=INDEX(Matches!$AD$5:$AD$10,MATCH($C36,Matches!$A$5:$A$10,0)),"A",IF($D36=INDEX(Matches!$AE$5:$AE$10,MATCH($C36,Matches!$A$5:$A$10,0)),"B","")),"")</f>
        <v>A</v>
      </c>
      <c r="AT36" s="10" t="n">
        <f aca="false">IF($AS36="","",IFERROR(IF($AS36="A",INDEX(Matches!$AI$5:$AI$10,MATCH($C36,Matches!$A$5:$A$10,0)),INDEX(Matches!$AJ$5:$AJ$10,MATCH($C36,Matches!$A$5:$A$10,0))),""))</f>
        <v>0</v>
      </c>
      <c r="AU36" s="10" t="str">
        <f aca="false">IF($AS36="","",IFERROR(IF(INDEX(Matches!$AP$5:$AP$10,MATCH($C36,Matches!$A$5:$A$10,0))="","",IF($AS36="A",INDEX(Matches!$AP$5:$AP$10,MATCH($C36,Matches!$A$5:$A$10,0)),1-INDEX(Matches!$AP$5:$AP$10,MATCH($C36,Matches!$A$5:$A$10,0)))),""))</f>
        <v/>
      </c>
      <c r="AV36" s="13" t="n">
        <f aca="false">IF(OR($AU36="",$AT36=""),1,((Config!$B$14*$AU36+Config!$B$15*(1-$AU36))/(Config!$B$14*$AT36+Config!$B$15*(1-$AT36)))^Config!$B$13)</f>
        <v>1</v>
      </c>
      <c r="AW36" s="10" t="str">
        <f aca="false">IF($AS36="","",IFERROR(IF(INDEX(Matches!$AV$5:$AV$10,MATCH($C36,Matches!$A$5:$A$10,0))="","",IF($AS36="A",INDEX(Matches!$AV$5:$AV$10,MATCH($C36,Matches!$A$5:$A$10,0)),1-INDEX(Matches!$AV$5:$AV$10,MATCH($C36,Matches!$A$5:$A$10,0)))),""))</f>
        <v/>
      </c>
      <c r="AX36" s="13" t="n">
        <f aca="false">IF(OR($AW36="",$AT36=""),1,((Config!$B$14*$AW36+Config!$B$15*(1-$AW36))/(Config!$B$14*$AT36+Config!$B$15*(1-$AT36)))^Config!$B$13)</f>
        <v>1</v>
      </c>
      <c r="AY36" s="10" t="str">
        <f aca="false">IF($AS36="","",IFERROR(IF(INDEX(Matches!$BB$5:$BB$10,MATCH($C36,Matches!$A$5:$A$10,0))="","",IF($AS36="A",INDEX(Matches!$BB$5:$BB$10,MATCH($C36,Matches!$A$5:$A$10,0)),1-INDEX(Matches!$BB$5:$BB$10,MATCH($C36,Matches!$A$5:$A$10,0)))),""))</f>
        <v/>
      </c>
      <c r="AZ36" s="13" t="n">
        <f aca="false">IF(OR($AY36="",$AT36=""),1,((Config!$B$14*$AY36+Config!$B$15*(1-$AY36))/(Config!$B$14*$AT36+Config!$B$15*(1-$AT36)))^Config!$B$13)</f>
        <v>1</v>
      </c>
      <c r="BA36" s="17" t="n">
        <f aca="false">IF(V36="","",V36*$AV36)</f>
        <v>14.7177</v>
      </c>
      <c r="BB36" s="17" t="n">
        <f aca="false">IF(AC36="","",AC36*$AX36)</f>
        <v>14.8341205882353</v>
      </c>
      <c r="BC36" s="17" t="n">
        <f aca="false">IF(AJ36="","",AJ36*$AZ36)</f>
        <v>16.1773109243697</v>
      </c>
      <c r="BD36" s="17" t="n">
        <f aca="false">N(BA36)+N(BB36)</f>
        <v>29.5518205882353</v>
      </c>
      <c r="BE36" s="17" t="n">
        <f aca="false">BD36+N($M36)*N(BC36)</f>
        <v>36.6989565546218</v>
      </c>
      <c r="BF36" s="17" t="str">
        <f aca="false">IF(W36="","",W36*$AV36)</f>
        <v/>
      </c>
      <c r="BG36" s="17" t="str">
        <f aca="false">IF(AD36="","",AD36*$AX36)</f>
        <v/>
      </c>
      <c r="BH36" s="17" t="str">
        <f aca="false">IF(AK36="","",AK36*$AZ36)</f>
        <v/>
      </c>
      <c r="BI36" s="17" t="str">
        <f aca="false">IF(BF36="","",N(BF36)+N(BG36))</f>
        <v/>
      </c>
      <c r="BJ36" s="17" t="str">
        <f aca="false">IF(BI36="","",BI36+N($M36)*N(BH36))</f>
        <v/>
      </c>
      <c r="BK36" s="13" t="n">
        <f aca="false">IFERROR(BD36/AL36,1)</f>
        <v>1</v>
      </c>
    </row>
    <row r="37" customFormat="false" ht="15" hidden="false" customHeight="false" outlineLevel="0" collapsed="false">
      <c r="A37" s="0" t="s">
        <v>723</v>
      </c>
      <c r="B37" s="0" t="s">
        <v>598</v>
      </c>
      <c r="C37" s="0" t="s">
        <v>597</v>
      </c>
      <c r="D37" s="0" t="s">
        <v>604</v>
      </c>
      <c r="E37" s="0" t="s">
        <v>722</v>
      </c>
      <c r="F37" s="0" t="s">
        <v>821</v>
      </c>
      <c r="G37" s="0" t="str">
        <f aca="false">IFERROR(IF(INDEX(Matches!$W$5:$W$10,MATCH($C37,Matches!$A$5:$A$10,0))="","",INDEX(Matches!$W$5:$W$10,MATCH($C37,Matches!$A$5:$A$10,0))),"")</f>
        <v>Split</v>
      </c>
      <c r="H37" s="0" t="str">
        <f aca="false">IFERROR(IF(INDEX(Matches!$X$5:$X$10,MATCH($C37,Matches!$A$5:$A$10,0))="","",INDEX(Matches!$X$5:$X$10,MATCH($C37,Matches!$A$5:$A$10,0))),"")</f>
        <v>Sunset</v>
      </c>
      <c r="I37" s="0" t="str">
        <f aca="false">IFERROR(IF(INDEX(Matches!$Y$5:$Y$10,MATCH($C37,Matches!$A$5:$A$10,0))="","",INDEX(Matches!$Y$5:$Y$10,MATCH($C37,Matches!$A$5:$A$10,0))),"")</f>
        <v>Lotus</v>
      </c>
      <c r="J37" s="11" t="n">
        <f aca="false">IFERROR(IF(INDEX(Matches!$Z$5:$Z$10,MATCH($C37,Matches!$A$5:$A$10,0))="","",INDEX(Matches!$Z$5:$Z$10,MATCH($C37,Matches!$A$5:$A$10,0))),"")</f>
        <v>21.33</v>
      </c>
      <c r="K37" s="11" t="n">
        <f aca="false">IFERROR(IF(INDEX(Matches!$AA$5:$AA$10,MATCH($C37,Matches!$A$5:$A$10,0))="","",INDEX(Matches!$AA$5:$AA$10,MATCH($C37,Matches!$A$5:$A$10,0))),"")</f>
        <v>21.29</v>
      </c>
      <c r="L37" s="11" t="n">
        <f aca="false">IFERROR(IF(INDEX(Matches!$AB$5:$AB$10,MATCH($C37,Matches!$A$5:$A$10,0))="","",INDEX(Matches!$AB$5:$AB$10,MATCH($C37,Matches!$A$5:$A$10,0))),"")</f>
        <v>22.5</v>
      </c>
      <c r="M37" s="10" t="n">
        <f aca="false">IFERROR(IF(INDEX(Matches!$AC$5:$AC$10,MATCH($C37,Matches!$A$5:$A$10,0))="","",INDEX(Matches!$AC$5:$AC$10,MATCH($C37,Matches!$A$5:$A$10,0))),"")</f>
        <v>0.4418</v>
      </c>
      <c r="N37" s="9" t="n">
        <f aca="false">IFERROR(INDEX(Players!$F$2:$F$42,MATCH($F37,Players!$A$2:$A$42,0)),0)</f>
        <v>30</v>
      </c>
      <c r="O37" s="13" t="n">
        <f aca="false">IFERROR(1/(1/INDEX(Players!$H$2:$H$42,MATCH($F37,Players!$A$2:$A$42,0))),"")</f>
        <v>0.84</v>
      </c>
      <c r="P37" s="10" t="str">
        <f aca="false">IFERROR(1/(1/INDEX(Players!$I$2:$I$42,MATCH($F37,Players!$A$2:$A$42,0))),"")</f>
        <v/>
      </c>
      <c r="Q37" s="9" t="n">
        <f aca="false">IF($G37="",0,SUMIFS(Map_Stats!$F$2:$F$256,Map_Stats!$A$2:$A$256,$F37&amp;"|"&amp;$G37))</f>
        <v>7</v>
      </c>
      <c r="R37" s="13" t="n">
        <f aca="false">IF($G37="","",IFERROR(1/(1/INDEX(Map_Stats!$K$2:$K$256,MATCH($F37&amp;"|"&amp;$G37,Map_Stats!$A$2:$A$256,0))),$O37))</f>
        <v>0.794098360655738</v>
      </c>
      <c r="S37" s="10" t="str">
        <f aca="false">IF(OR($G37="",$P37=""),"",IFERROR(1/(1/INDEX(Map_Stats!$I$2:$I$256,MATCH($F37&amp;"|"&amp;$G37,Map_Stats!$A$2:$A$256,0))),$P37))</f>
        <v/>
      </c>
      <c r="T37" s="13" t="n">
        <f aca="false">IF(OR($G37="",R37=""),"",IF($O37="",R37,(Q37*R37+Config!$B$4*$O37)/(Q37+Config!$B$4)))</f>
        <v>0.813224043715847</v>
      </c>
      <c r="U37" s="10" t="str">
        <f aca="false">IF(S37="","",(Q37*S37+Config!$B$4*$P37)/(Q37+Config!$B$4))</f>
        <v/>
      </c>
      <c r="V37" s="17" t="n">
        <f aca="false">IF(OR(T37="",$J37=""),"",T37*$J37*($J37/Config!$B$11)^Config!$B$9)</f>
        <v>17.346068852459</v>
      </c>
      <c r="W37" s="17" t="str">
        <f aca="false">IF(OR(V37="",U37=""),"",V37*U37)</f>
        <v/>
      </c>
      <c r="X37" s="9" t="n">
        <f aca="false">IF($H37="",0,SUMIFS(Map_Stats!$F$2:$F$256,Map_Stats!$A$2:$A$256,$F37&amp;"|"&amp;$H37))</f>
        <v>7</v>
      </c>
      <c r="Y37" s="13" t="n">
        <f aca="false">IF($H37="","",IFERROR(1/(1/INDEX(Map_Stats!$K$2:$K$256,MATCH($F37&amp;"|"&amp;$H37,Map_Stats!$A$2:$A$256,0))),$O37))</f>
        <v>0.977704918032787</v>
      </c>
      <c r="Z37" s="10" t="str">
        <f aca="false">IF(OR($H37="",$P37=""),"",IFERROR(1/(1/INDEX(Map_Stats!$I$2:$I$256,MATCH($F37&amp;"|"&amp;$H37,Map_Stats!$A$2:$A$256,0))),$P37))</f>
        <v/>
      </c>
      <c r="AA37" s="13" t="n">
        <f aca="false">IF(OR($H37="",Y37=""),"",IF($O37="",Y37,(X37*Y37+Config!$B$4*$O37)/(X37+Config!$B$4)))</f>
        <v>0.920327868852459</v>
      </c>
      <c r="AB37" s="10" t="str">
        <f aca="false">IF(Z37="","",(X37*Z37+Config!$B$4*$P37)/(X37+Config!$B$4))</f>
        <v/>
      </c>
      <c r="AC37" s="17" t="n">
        <f aca="false">IF(OR(AA37="",$K37=""),"",AA37*$K37*($K37/Config!$B$11)^Config!$B$9)</f>
        <v>19.5937803278689</v>
      </c>
      <c r="AD37" s="17" t="str">
        <f aca="false">IF(OR(AC37="",AB37=""),"",AC37*AB37)</f>
        <v/>
      </c>
      <c r="AE37" s="9" t="n">
        <f aca="false">IF($I37="",0,SUMIFS(Map_Stats!$F$2:$F$256,Map_Stats!$A$2:$A$256,$F37&amp;"|"&amp;$I37))</f>
        <v>0</v>
      </c>
      <c r="AF37" s="13" t="n">
        <f aca="false">IF($I37="","",IFERROR(1/(1/INDEX(Map_Stats!$K$2:$K$256,MATCH($F37&amp;"|"&amp;$I37,Map_Stats!$A$2:$A$256,0))),$O37))</f>
        <v>0.84</v>
      </c>
      <c r="AG37" s="10" t="str">
        <f aca="false">IF(OR($I37="",$P37=""),"",IFERROR(1/(1/INDEX(Map_Stats!$I$2:$I$256,MATCH($F37&amp;"|"&amp;$I37,Map_Stats!$A$2:$A$256,0))),$P37))</f>
        <v/>
      </c>
      <c r="AH37" s="13" t="n">
        <f aca="false">IF(OR($I37="",AF37=""),"",IF($O37="",AF37,(AE37*AF37+Config!$B$4*$O37)/(AE37+Config!$B$4)))</f>
        <v>0.84</v>
      </c>
      <c r="AI37" s="10" t="str">
        <f aca="false">IF(AG37="","",(AE37*AG37+Config!$B$4*$P37)/(AE37+Config!$B$4))</f>
        <v/>
      </c>
      <c r="AJ37" s="17" t="n">
        <f aca="false">IF(OR(AH37="",$L37=""),"",AH37*$L37*($L37/Config!$B$11)^Config!$B$9)</f>
        <v>18.9</v>
      </c>
      <c r="AK37" s="17" t="str">
        <f aca="false">IF(OR(AJ37="",AI37=""),"",AJ37*AI37)</f>
        <v/>
      </c>
      <c r="AL37" s="17" t="n">
        <f aca="false">N(V37)+N(AC37)</f>
        <v>36.9398491803279</v>
      </c>
      <c r="AM37" s="17" t="n">
        <f aca="false">AL37+N($M37)*N(AJ37)</f>
        <v>45.2898691803279</v>
      </c>
      <c r="AN37" s="17" t="str">
        <f aca="false">IF(W37="","",N(W37)+N(AD37))</f>
        <v/>
      </c>
      <c r="AO37" s="17" t="str">
        <f aca="false">IF(AN37="","",AN37+N($M37)*N(AK37))</f>
        <v/>
      </c>
      <c r="AP37" s="10" t="str">
        <f aca="false">IFERROR(AN37/AL37,"")</f>
        <v/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IF($C37=Board!$B$2,COUNTIFS($C$2:$C$42,Board!$B$2,$AL$2:$AL$42,"&gt;"&amp;$AL37)+COUNTIFS($C$1:$C36,Board!$B$2,$AL$1:$AL36,$AL37)+1,"")</f>
        <v/>
      </c>
      <c r="AS37" s="0" t="str">
        <f aca="false">IFERROR(IF($D37=INDEX(Matches!$AD$5:$AD$10,MATCH($C37,Matches!$A$5:$A$10,0)),"A",IF($D37=INDEX(Matches!$AE$5:$AE$10,MATCH($C37,Matches!$A$5:$A$10,0)),"B","")),"")</f>
        <v>A</v>
      </c>
      <c r="AT37" s="10" t="n">
        <f aca="false">IF($AS37="","",IFERROR(IF($AS37="A",INDEX(Matches!$AI$5:$AI$10,MATCH($C37,Matches!$A$5:$A$10,0)),INDEX(Matches!$AJ$5:$AJ$10,MATCH($C37,Matches!$A$5:$A$10,0))),""))</f>
        <v>0</v>
      </c>
      <c r="AU37" s="10" t="str">
        <f aca="false">IF($AS37="","",IFERROR(IF(INDEX(Matches!$AP$5:$AP$10,MATCH($C37,Matches!$A$5:$A$10,0))="","",IF($AS37="A",INDEX(Matches!$AP$5:$AP$10,MATCH($C37,Matches!$A$5:$A$10,0)),1-INDEX(Matches!$AP$5:$AP$10,MATCH($C37,Matches!$A$5:$A$10,0)))),""))</f>
        <v/>
      </c>
      <c r="AV37" s="13" t="n">
        <f aca="false">IF(OR($AU37="",$AT37=""),1,((Config!$B$14*$AU37+Config!$B$15*(1-$AU37))/(Config!$B$14*$AT37+Config!$B$15*(1-$AT37)))^Config!$B$13)</f>
        <v>1</v>
      </c>
      <c r="AW37" s="10" t="str">
        <f aca="false">IF($AS37="","",IFERROR(IF(INDEX(Matches!$AV$5:$AV$10,MATCH($C37,Matches!$A$5:$A$10,0))="","",IF($AS37="A",INDEX(Matches!$AV$5:$AV$10,MATCH($C37,Matches!$A$5:$A$10,0)),1-INDEX(Matches!$AV$5:$AV$10,MATCH($C37,Matches!$A$5:$A$10,0)))),""))</f>
        <v/>
      </c>
      <c r="AX37" s="13" t="n">
        <f aca="false">IF(OR($AW37="",$AT37=""),1,((Config!$B$14*$AW37+Config!$B$15*(1-$AW37))/(Config!$B$14*$AT37+Config!$B$15*(1-$AT37)))^Config!$B$13)</f>
        <v>1</v>
      </c>
      <c r="AY37" s="10" t="str">
        <f aca="false">IF($AS37="","",IFERROR(IF(INDEX(Matches!$BB$5:$BB$10,MATCH($C37,Matches!$A$5:$A$10,0))="","",IF($AS37="A",INDEX(Matches!$BB$5:$BB$10,MATCH($C37,Matches!$A$5:$A$10,0)),1-INDEX(Matches!$BB$5:$BB$10,MATCH($C37,Matches!$A$5:$A$10,0)))),""))</f>
        <v/>
      </c>
      <c r="AZ37" s="13" t="n">
        <f aca="false">IF(OR($AY37="",$AT37=""),1,((Config!$B$14*$AY37+Config!$B$15*(1-$AY37))/(Config!$B$14*$AT37+Config!$B$15*(1-$AT37)))^Config!$B$13)</f>
        <v>1</v>
      </c>
      <c r="BA37" s="17" t="n">
        <f aca="false">IF(V37="","",V37*$AV37)</f>
        <v>17.346068852459</v>
      </c>
      <c r="BB37" s="17" t="n">
        <f aca="false">IF(AC37="","",AC37*$AX37)</f>
        <v>19.5937803278689</v>
      </c>
      <c r="BC37" s="17" t="n">
        <f aca="false">IF(AJ37="","",AJ37*$AZ37)</f>
        <v>18.9</v>
      </c>
      <c r="BD37" s="17" t="n">
        <f aca="false">N(BA37)+N(BB37)</f>
        <v>36.9398491803279</v>
      </c>
      <c r="BE37" s="17" t="n">
        <f aca="false">BD37+N($M37)*N(BC37)</f>
        <v>45.2898691803279</v>
      </c>
      <c r="BF37" s="17" t="str">
        <f aca="false">IF(W37="","",W37*$AV37)</f>
        <v/>
      </c>
      <c r="BG37" s="17" t="str">
        <f aca="false">IF(AD37="","",AD37*$AX37)</f>
        <v/>
      </c>
      <c r="BH37" s="17" t="str">
        <f aca="false">IF(AK37="","",AK37*$AZ37)</f>
        <v/>
      </c>
      <c r="BI37" s="17" t="str">
        <f aca="false">IF(BF37="","",N(BF37)+N(BG37))</f>
        <v/>
      </c>
      <c r="BJ37" s="17" t="str">
        <f aca="false">IF(BI37="","",BI37+N($M37)*N(BH37))</f>
        <v/>
      </c>
      <c r="BK37" s="13" t="n">
        <f aca="false">IFERROR(BD37/AL37,1)</f>
        <v>1</v>
      </c>
    </row>
    <row r="38" customFormat="false" ht="15" hidden="false" customHeight="false" outlineLevel="0" collapsed="false">
      <c r="A38" s="0" t="s">
        <v>725</v>
      </c>
      <c r="B38" s="0" t="s">
        <v>598</v>
      </c>
      <c r="C38" s="0" t="s">
        <v>597</v>
      </c>
      <c r="D38" s="0" t="s">
        <v>605</v>
      </c>
      <c r="E38" s="0" t="s">
        <v>724</v>
      </c>
      <c r="F38" s="0" t="s">
        <v>822</v>
      </c>
      <c r="G38" s="0" t="str">
        <f aca="false">IFERROR(IF(INDEX(Matches!$W$5:$W$10,MATCH($C38,Matches!$A$5:$A$10,0))="","",INDEX(Matches!$W$5:$W$10,MATCH($C38,Matches!$A$5:$A$10,0))),"")</f>
        <v>Split</v>
      </c>
      <c r="H38" s="0" t="str">
        <f aca="false">IFERROR(IF(INDEX(Matches!$X$5:$X$10,MATCH($C38,Matches!$A$5:$A$10,0))="","",INDEX(Matches!$X$5:$X$10,MATCH($C38,Matches!$A$5:$A$10,0))),"")</f>
        <v>Sunset</v>
      </c>
      <c r="I38" s="0" t="str">
        <f aca="false">IFERROR(IF(INDEX(Matches!$Y$5:$Y$10,MATCH($C38,Matches!$A$5:$A$10,0))="","",INDEX(Matches!$Y$5:$Y$10,MATCH($C38,Matches!$A$5:$A$10,0))),"")</f>
        <v>Lotus</v>
      </c>
      <c r="J38" s="11" t="n">
        <f aca="false">IFERROR(IF(INDEX(Matches!$Z$5:$Z$10,MATCH($C38,Matches!$A$5:$A$10,0))="","",INDEX(Matches!$Z$5:$Z$10,MATCH($C38,Matches!$A$5:$A$10,0))),"")</f>
        <v>21.33</v>
      </c>
      <c r="K38" s="11" t="n">
        <f aca="false">IFERROR(IF(INDEX(Matches!$AA$5:$AA$10,MATCH($C38,Matches!$A$5:$A$10,0))="","",INDEX(Matches!$AA$5:$AA$10,MATCH($C38,Matches!$A$5:$A$10,0))),"")</f>
        <v>21.29</v>
      </c>
      <c r="L38" s="11" t="n">
        <f aca="false">IFERROR(IF(INDEX(Matches!$AB$5:$AB$10,MATCH($C38,Matches!$A$5:$A$10,0))="","",INDEX(Matches!$AB$5:$AB$10,MATCH($C38,Matches!$A$5:$A$10,0))),"")</f>
        <v>22.5</v>
      </c>
      <c r="M38" s="10" t="n">
        <f aca="false">IFERROR(IF(INDEX(Matches!$AC$5:$AC$10,MATCH($C38,Matches!$A$5:$A$10,0))="","",INDEX(Matches!$AC$5:$AC$10,MATCH($C38,Matches!$A$5:$A$10,0))),"")</f>
        <v>0.4418</v>
      </c>
      <c r="N38" s="9" t="n">
        <f aca="false">IFERROR(INDEX(Players!$F$2:$F$42,MATCH($F38,Players!$A$2:$A$42,0)),0)</f>
        <v>16</v>
      </c>
      <c r="O38" s="13" t="n">
        <f aca="false">IFERROR(1/(1/INDEX(Players!$H$2:$H$42,MATCH($F38,Players!$A$2:$A$42,0))),"")</f>
        <v>0.85</v>
      </c>
      <c r="P38" s="10" t="str">
        <f aca="false">IFERROR(1/(1/INDEX(Players!$I$2:$I$42,MATCH($F38,Players!$A$2:$A$42,0))),"")</f>
        <v/>
      </c>
      <c r="Q38" s="9" t="n">
        <f aca="false">IF($G38="",0,SUMIFS(Map_Stats!$F$2:$F$256,Map_Stats!$A$2:$A$256,$F38&amp;"|"&amp;$G38))</f>
        <v>4</v>
      </c>
      <c r="R38" s="13" t="n">
        <f aca="false">IF($G38="","",IFERROR(1/(1/INDEX(Map_Stats!$K$2:$K$256,MATCH($F38&amp;"|"&amp;$G38,Map_Stats!$A$2:$A$256,0))),$O38))</f>
        <v>0.866594360086768</v>
      </c>
      <c r="S38" s="10" t="str">
        <f aca="false">IF(OR($G38="",$P38=""),"",IFERROR(1/(1/INDEX(Map_Stats!$I$2:$I$256,MATCH($F38&amp;"|"&amp;$G38,Map_Stats!$A$2:$A$256,0))),$P38))</f>
        <v/>
      </c>
      <c r="T38" s="13" t="n">
        <f aca="false">IF(OR($G38="",R38=""),"",IF($O38="",R38,(Q38*R38+Config!$B$4*$O38)/(Q38+Config!$B$4)))</f>
        <v>0.857375271149675</v>
      </c>
      <c r="U38" s="10" t="str">
        <f aca="false">IF(S38="","",(Q38*S38+Config!$B$4*$P38)/(Q38+Config!$B$4))</f>
        <v/>
      </c>
      <c r="V38" s="17" t="n">
        <f aca="false">IF(OR(T38="",$J38=""),"",T38*$J38*($J38/Config!$B$11)^Config!$B$9)</f>
        <v>18.2878145336226</v>
      </c>
      <c r="W38" s="17" t="str">
        <f aca="false">IF(OR(V38="",U38=""),"",V38*U38)</f>
        <v/>
      </c>
      <c r="X38" s="9" t="n">
        <f aca="false">IF($H38="",0,SUMIFS(Map_Stats!$F$2:$F$256,Map_Stats!$A$2:$A$256,$F38&amp;"|"&amp;$H38))</f>
        <v>1</v>
      </c>
      <c r="Y38" s="13" t="n">
        <f aca="false">IF($H38="","",IFERROR(1/(1/INDEX(Map_Stats!$K$2:$K$256,MATCH($F38&amp;"|"&amp;$H38,Map_Stats!$A$2:$A$256,0))),$O38))</f>
        <v>0.829718004338395</v>
      </c>
      <c r="Z38" s="10" t="str">
        <f aca="false">IF(OR($H38="",$P38=""),"",IFERROR(1/(1/INDEX(Map_Stats!$I$2:$I$256,MATCH($F38&amp;"|"&amp;$H38,Map_Stats!$A$2:$A$256,0))),$P38))</f>
        <v/>
      </c>
      <c r="AA38" s="13" t="n">
        <f aca="false">IF(OR($H38="",Y38=""),"",IF($O38="",Y38,(X38*Y38+Config!$B$4*$O38)/(X38+Config!$B$4)))</f>
        <v>0.846619667389732</v>
      </c>
      <c r="AB38" s="10" t="str">
        <f aca="false">IF(Z38="","",(X38*Z38+Config!$B$4*$P38)/(X38+Config!$B$4))</f>
        <v/>
      </c>
      <c r="AC38" s="17" t="n">
        <f aca="false">IF(OR(AA38="",$K38=""),"",AA38*$K38*($K38/Config!$B$11)^Config!$B$9)</f>
        <v>18.0245327187274</v>
      </c>
      <c r="AD38" s="17" t="str">
        <f aca="false">IF(OR(AC38="",AB38=""),"",AC38*AB38)</f>
        <v/>
      </c>
      <c r="AE38" s="9" t="n">
        <f aca="false">IF($I38="",0,SUMIFS(Map_Stats!$F$2:$F$256,Map_Stats!$A$2:$A$256,$F38&amp;"|"&amp;$I38))</f>
        <v>4</v>
      </c>
      <c r="AF38" s="13" t="n">
        <f aca="false">IF($I38="","",IFERROR(1/(1/INDEX(Map_Stats!$K$2:$K$256,MATCH($F38&amp;"|"&amp;$I38,Map_Stats!$A$2:$A$256,0))),$O38))</f>
        <v>0.958785249457701</v>
      </c>
      <c r="AG38" s="10" t="str">
        <f aca="false">IF(OR($I38="",$P38=""),"",IFERROR(1/(1/INDEX(Map_Stats!$I$2:$I$256,MATCH($F38&amp;"|"&amp;$I38,Map_Stats!$A$2:$A$256,0))),$P38))</f>
        <v/>
      </c>
      <c r="AH38" s="13" t="n">
        <f aca="false">IF(OR($I38="",AF38=""),"",IF($O38="",AF38,(AE38*AF38+Config!$B$4*$O38)/(AE38+Config!$B$4)))</f>
        <v>0.898348999758978</v>
      </c>
      <c r="AI38" s="10" t="str">
        <f aca="false">IF(AG38="","",(AE38*AG38+Config!$B$4*$P38)/(AE38+Config!$B$4))</f>
        <v/>
      </c>
      <c r="AJ38" s="17" t="n">
        <f aca="false">IF(OR(AH38="",$L38=""),"",AH38*$L38*($L38/Config!$B$11)^Config!$B$9)</f>
        <v>20.212852494577</v>
      </c>
      <c r="AK38" s="17" t="str">
        <f aca="false">IF(OR(AJ38="",AI38=""),"",AJ38*AI38)</f>
        <v/>
      </c>
      <c r="AL38" s="17" t="n">
        <f aca="false">N(V38)+N(AC38)</f>
        <v>36.31234725235</v>
      </c>
      <c r="AM38" s="17" t="n">
        <f aca="false">AL38+N($M38)*N(AJ38)</f>
        <v>45.2423854844541</v>
      </c>
      <c r="AN38" s="17" t="str">
        <f aca="false">IF(W38="","",N(W38)+N(AD38))</f>
        <v/>
      </c>
      <c r="AO38" s="17" t="str">
        <f aca="false">IF(AN38="","",AN38+N($M38)*N(AK38))</f>
        <v/>
      </c>
      <c r="AP38" s="10" t="str">
        <f aca="false">IFERROR(AN38/AL38,"")</f>
        <v/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IF($C38=Board!$B$2,COUNTIFS($C$2:$C$42,Board!$B$2,$AL$2:$AL$42,"&gt;"&amp;$AL38)+COUNTIFS($C$1:$C37,Board!$B$2,$AL$1:$AL37,$AL38)+1,"")</f>
        <v/>
      </c>
      <c r="AS38" s="0" t="str">
        <f aca="false">IFERROR(IF($D38=INDEX(Matches!$AD$5:$AD$10,MATCH($C38,Matches!$A$5:$A$10,0)),"A",IF($D38=INDEX(Matches!$AE$5:$AE$10,MATCH($C38,Matches!$A$5:$A$10,0)),"B","")),"")</f>
        <v>B</v>
      </c>
      <c r="AT38" s="10" t="n">
        <f aca="false">IF($AS38="","",IFERROR(IF($AS38="A",INDEX(Matches!$AI$5:$AI$10,MATCH($C38,Matches!$A$5:$A$10,0)),INDEX(Matches!$AJ$5:$AJ$10,MATCH($C38,Matches!$A$5:$A$10,0))),""))</f>
        <v>0</v>
      </c>
      <c r="AU38" s="10" t="str">
        <f aca="false">IF($AS38="","",IFERROR(IF(INDEX(Matches!$AP$5:$AP$10,MATCH($C38,Matches!$A$5:$A$10,0))="","",IF($AS38="A",INDEX(Matches!$AP$5:$AP$10,MATCH($C38,Matches!$A$5:$A$10,0)),1-INDEX(Matches!$AP$5:$AP$10,MATCH($C38,Matches!$A$5:$A$10,0)))),""))</f>
        <v/>
      </c>
      <c r="AV38" s="13" t="n">
        <f aca="false">IF(OR($AU38="",$AT38=""),1,((Config!$B$14*$AU38+Config!$B$15*(1-$AU38))/(Config!$B$14*$AT38+Config!$B$15*(1-$AT38)))^Config!$B$13)</f>
        <v>1</v>
      </c>
      <c r="AW38" s="10" t="str">
        <f aca="false">IF($AS38="","",IFERROR(IF(INDEX(Matches!$AV$5:$AV$10,MATCH($C38,Matches!$A$5:$A$10,0))="","",IF($AS38="A",INDEX(Matches!$AV$5:$AV$10,MATCH($C38,Matches!$A$5:$A$10,0)),1-INDEX(Matches!$AV$5:$AV$10,MATCH($C38,Matches!$A$5:$A$10,0)))),""))</f>
        <v/>
      </c>
      <c r="AX38" s="13" t="n">
        <f aca="false">IF(OR($AW38="",$AT38=""),1,((Config!$B$14*$AW38+Config!$B$15*(1-$AW38))/(Config!$B$14*$AT38+Config!$B$15*(1-$AT38)))^Config!$B$13)</f>
        <v>1</v>
      </c>
      <c r="AY38" s="10" t="str">
        <f aca="false">IF($AS38="","",IFERROR(IF(INDEX(Matches!$BB$5:$BB$10,MATCH($C38,Matches!$A$5:$A$10,0))="","",IF($AS38="A",INDEX(Matches!$BB$5:$BB$10,MATCH($C38,Matches!$A$5:$A$10,0)),1-INDEX(Matches!$BB$5:$BB$10,MATCH($C38,Matches!$A$5:$A$10,0)))),""))</f>
        <v/>
      </c>
      <c r="AZ38" s="13" t="n">
        <f aca="false">IF(OR($AY38="",$AT38=""),1,((Config!$B$14*$AY38+Config!$B$15*(1-$AY38))/(Config!$B$14*$AT38+Config!$B$15*(1-$AT38)))^Config!$B$13)</f>
        <v>1</v>
      </c>
      <c r="BA38" s="17" t="n">
        <f aca="false">IF(V38="","",V38*$AV38)</f>
        <v>18.2878145336226</v>
      </c>
      <c r="BB38" s="17" t="n">
        <f aca="false">IF(AC38="","",AC38*$AX38)</f>
        <v>18.0245327187274</v>
      </c>
      <c r="BC38" s="17" t="n">
        <f aca="false">IF(AJ38="","",AJ38*$AZ38)</f>
        <v>20.212852494577</v>
      </c>
      <c r="BD38" s="17" t="n">
        <f aca="false">N(BA38)+N(BB38)</f>
        <v>36.31234725235</v>
      </c>
      <c r="BE38" s="17" t="n">
        <f aca="false">BD38+N($M38)*N(BC38)</f>
        <v>45.2423854844541</v>
      </c>
      <c r="BF38" s="17" t="str">
        <f aca="false">IF(W38="","",W38*$AV38)</f>
        <v/>
      </c>
      <c r="BG38" s="17" t="str">
        <f aca="false">IF(AD38="","",AD38*$AX38)</f>
        <v/>
      </c>
      <c r="BH38" s="17" t="str">
        <f aca="false">IF(AK38="","",AK38*$AZ38)</f>
        <v/>
      </c>
      <c r="BI38" s="17" t="str">
        <f aca="false">IF(BF38="","",N(BF38)+N(BG38))</f>
        <v/>
      </c>
      <c r="BJ38" s="17" t="str">
        <f aca="false">IF(BI38="","",BI38+N($M38)*N(BH38))</f>
        <v/>
      </c>
      <c r="BK38" s="13" t="n">
        <f aca="false">IFERROR(BD38/AL38,1)</f>
        <v>1</v>
      </c>
    </row>
    <row r="39" customFormat="false" ht="15" hidden="false" customHeight="false" outlineLevel="0" collapsed="false">
      <c r="A39" s="0" t="s">
        <v>727</v>
      </c>
      <c r="B39" s="0" t="s">
        <v>598</v>
      </c>
      <c r="C39" s="0" t="s">
        <v>597</v>
      </c>
      <c r="D39" s="0" t="s">
        <v>605</v>
      </c>
      <c r="E39" s="0" t="s">
        <v>726</v>
      </c>
      <c r="F39" s="0" t="s">
        <v>823</v>
      </c>
      <c r="G39" s="0" t="str">
        <f aca="false">IFERROR(IF(INDEX(Matches!$W$5:$W$10,MATCH($C39,Matches!$A$5:$A$10,0))="","",INDEX(Matches!$W$5:$W$10,MATCH($C39,Matches!$A$5:$A$10,0))),"")</f>
        <v>Split</v>
      </c>
      <c r="H39" s="0" t="str">
        <f aca="false">IFERROR(IF(INDEX(Matches!$X$5:$X$10,MATCH($C39,Matches!$A$5:$A$10,0))="","",INDEX(Matches!$X$5:$X$10,MATCH($C39,Matches!$A$5:$A$10,0))),"")</f>
        <v>Sunset</v>
      </c>
      <c r="I39" s="0" t="str">
        <f aca="false">IFERROR(IF(INDEX(Matches!$Y$5:$Y$10,MATCH($C39,Matches!$A$5:$A$10,0))="","",INDEX(Matches!$Y$5:$Y$10,MATCH($C39,Matches!$A$5:$A$10,0))),"")</f>
        <v>Lotus</v>
      </c>
      <c r="J39" s="11" t="n">
        <f aca="false">IFERROR(IF(INDEX(Matches!$Z$5:$Z$10,MATCH($C39,Matches!$A$5:$A$10,0))="","",INDEX(Matches!$Z$5:$Z$10,MATCH($C39,Matches!$A$5:$A$10,0))),"")</f>
        <v>21.33</v>
      </c>
      <c r="K39" s="11" t="n">
        <f aca="false">IFERROR(IF(INDEX(Matches!$AA$5:$AA$10,MATCH($C39,Matches!$A$5:$A$10,0))="","",INDEX(Matches!$AA$5:$AA$10,MATCH($C39,Matches!$A$5:$A$10,0))),"")</f>
        <v>21.29</v>
      </c>
      <c r="L39" s="11" t="n">
        <f aca="false">IFERROR(IF(INDEX(Matches!$AB$5:$AB$10,MATCH($C39,Matches!$A$5:$A$10,0))="","",INDEX(Matches!$AB$5:$AB$10,MATCH($C39,Matches!$A$5:$A$10,0))),"")</f>
        <v>22.5</v>
      </c>
      <c r="M39" s="10" t="n">
        <f aca="false">IFERROR(IF(INDEX(Matches!$AC$5:$AC$10,MATCH($C39,Matches!$A$5:$A$10,0))="","",INDEX(Matches!$AC$5:$AC$10,MATCH($C39,Matches!$A$5:$A$10,0))),"")</f>
        <v>0.4418</v>
      </c>
      <c r="N39" s="9" t="n">
        <f aca="false">IFERROR(INDEX(Players!$F$2:$F$42,MATCH($F39,Players!$A$2:$A$42,0)),0)</f>
        <v>4</v>
      </c>
      <c r="O39" s="13" t="n">
        <f aca="false">IFERROR(1/(1/INDEX(Players!$H$2:$H$42,MATCH($F39,Players!$A$2:$A$42,0))),"")</f>
        <v>0.4</v>
      </c>
      <c r="P39" s="10" t="str">
        <f aca="false">IFERROR(1/(1/INDEX(Players!$I$2:$I$42,MATCH($F39,Players!$A$2:$A$42,0))),"")</f>
        <v/>
      </c>
      <c r="Q39" s="9" t="n">
        <f aca="false">IF($G39="",0,SUMIFS(Map_Stats!$F$2:$F$256,Map_Stats!$A$2:$A$256,$F39&amp;"|"&amp;$G39))</f>
        <v>0</v>
      </c>
      <c r="R39" s="13" t="n">
        <f aca="false">IF($G39="","",IFERROR(1/(1/INDEX(Map_Stats!$K$2:$K$256,MATCH($F39&amp;"|"&amp;$G39,Map_Stats!$A$2:$A$256,0))),$O39))</f>
        <v>0.4</v>
      </c>
      <c r="S39" s="10" t="str">
        <f aca="false">IF(OR($G39="",$P39=""),"",IFERROR(1/(1/INDEX(Map_Stats!$I$2:$I$256,MATCH($F39&amp;"|"&amp;$G39,Map_Stats!$A$2:$A$256,0))),$P39))</f>
        <v/>
      </c>
      <c r="T39" s="13" t="n">
        <f aca="false">IF(OR($G39="",R39=""),"",IF($O39="",R39,(Q39*R39+Config!$B$4*$O39)/(Q39+Config!$B$4)))</f>
        <v>0.4</v>
      </c>
      <c r="U39" s="10" t="str">
        <f aca="false">IF(S39="","",(Q39*S39+Config!$B$4*$P39)/(Q39+Config!$B$4))</f>
        <v/>
      </c>
      <c r="V39" s="17" t="n">
        <f aca="false">IF(OR(T39="",$J39=""),"",T39*$J39*($J39/Config!$B$11)^Config!$B$9)</f>
        <v>8.532</v>
      </c>
      <c r="W39" s="17" t="str">
        <f aca="false">IF(OR(V39="",U39=""),"",V39*U39)</f>
        <v/>
      </c>
      <c r="X39" s="9" t="n">
        <f aca="false">IF($H39="",0,SUMIFS(Map_Stats!$F$2:$F$256,Map_Stats!$A$2:$A$256,$F39&amp;"|"&amp;$H39))</f>
        <v>0</v>
      </c>
      <c r="Y39" s="13" t="n">
        <f aca="false">IF($H39="","",IFERROR(1/(1/INDEX(Map_Stats!$K$2:$K$256,MATCH($F39&amp;"|"&amp;$H39,Map_Stats!$A$2:$A$256,0))),$O39))</f>
        <v>0.4</v>
      </c>
      <c r="Z39" s="10" t="str">
        <f aca="false">IF(OR($H39="",$P39=""),"",IFERROR(1/(1/INDEX(Map_Stats!$I$2:$I$256,MATCH($F39&amp;"|"&amp;$H39,Map_Stats!$A$2:$A$256,0))),$P39))</f>
        <v/>
      </c>
      <c r="AA39" s="13" t="n">
        <f aca="false">IF(OR($H39="",Y39=""),"",IF($O39="",Y39,(X39*Y39+Config!$B$4*$O39)/(X39+Config!$B$4)))</f>
        <v>0.4</v>
      </c>
      <c r="AB39" s="10" t="str">
        <f aca="false">IF(Z39="","",(X39*Z39+Config!$B$4*$P39)/(X39+Config!$B$4))</f>
        <v/>
      </c>
      <c r="AC39" s="17" t="n">
        <f aca="false">IF(OR(AA39="",$K39=""),"",AA39*$K39*($K39/Config!$B$11)^Config!$B$9)</f>
        <v>8.516</v>
      </c>
      <c r="AD39" s="17" t="str">
        <f aca="false">IF(OR(AC39="",AB39=""),"",AC39*AB39)</f>
        <v/>
      </c>
      <c r="AE39" s="9" t="n">
        <f aca="false">IF($I39="",0,SUMIFS(Map_Stats!$F$2:$F$256,Map_Stats!$A$2:$A$256,$F39&amp;"|"&amp;$I39))</f>
        <v>2</v>
      </c>
      <c r="AF39" s="13" t="n">
        <f aca="false">IF($I39="","",IFERROR(1/(1/INDEX(Map_Stats!$K$2:$K$256,MATCH($F39&amp;"|"&amp;$I39,Map_Stats!$A$2:$A$256,0))),$O39))</f>
        <v>0.283870967741936</v>
      </c>
      <c r="AG39" s="10" t="str">
        <f aca="false">IF(OR($I39="",$P39=""),"",IFERROR(1/(1/INDEX(Map_Stats!$I$2:$I$256,MATCH($F39&amp;"|"&amp;$I39,Map_Stats!$A$2:$A$256,0))),$P39))</f>
        <v/>
      </c>
      <c r="AH39" s="13" t="n">
        <f aca="false">IF(OR($I39="",AF39=""),"",IF($O39="",AF39,(AE39*AF39+Config!$B$4*$O39)/(AE39+Config!$B$4)))</f>
        <v>0.366820276497696</v>
      </c>
      <c r="AI39" s="10" t="str">
        <f aca="false">IF(AG39="","",(AE39*AG39+Config!$B$4*$P39)/(AE39+Config!$B$4))</f>
        <v/>
      </c>
      <c r="AJ39" s="17" t="n">
        <f aca="false">IF(OR(AH39="",$L39=""),"",AH39*$L39*($L39/Config!$B$11)^Config!$B$9)</f>
        <v>8.25345622119816</v>
      </c>
      <c r="AK39" s="17" t="str">
        <f aca="false">IF(OR(AJ39="",AI39=""),"",AJ39*AI39)</f>
        <v/>
      </c>
      <c r="AL39" s="17" t="n">
        <f aca="false">N(V39)+N(AC39)</f>
        <v>17.048</v>
      </c>
      <c r="AM39" s="17" t="n">
        <f aca="false">AL39+N($M39)*N(AJ39)</f>
        <v>20.6943769585253</v>
      </c>
      <c r="AN39" s="17" t="str">
        <f aca="false">IF(W39="","",N(W39)+N(AD39))</f>
        <v/>
      </c>
      <c r="AO39" s="17" t="str">
        <f aca="false">IF(AN39="","",AN39+N($M39)*N(AK39))</f>
        <v/>
      </c>
      <c r="AP39" s="10" t="str">
        <f aca="false">IFERROR(AN39/AL39,"")</f>
        <v/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>thin sample (4 maps) · M1 unplayed→overall KPR · M2 unplayed→overall KPR ·</v>
      </c>
      <c r="AR39" s="0" t="str">
        <f aca="false">IF($C39=Board!$B$2,COUNTIFS($C$2:$C$42,Board!$B$2,$AL$2:$AL$42,"&gt;"&amp;$AL39)+COUNTIFS($C$1:$C38,Board!$B$2,$AL$1:$AL38,$AL39)+1,"")</f>
        <v/>
      </c>
      <c r="AS39" s="0" t="str">
        <f aca="false">IFERROR(IF($D39=INDEX(Matches!$AD$5:$AD$10,MATCH($C39,Matches!$A$5:$A$10,0)),"A",IF($D39=INDEX(Matches!$AE$5:$AE$10,MATCH($C39,Matches!$A$5:$A$10,0)),"B","")),"")</f>
        <v>B</v>
      </c>
      <c r="AT39" s="10" t="n">
        <f aca="false">IF($AS39="","",IFERROR(IF($AS39="A",INDEX(Matches!$AI$5:$AI$10,MATCH($C39,Matches!$A$5:$A$10,0)),INDEX(Matches!$AJ$5:$AJ$10,MATCH($C39,Matches!$A$5:$A$10,0))),""))</f>
        <v>0</v>
      </c>
      <c r="AU39" s="10" t="str">
        <f aca="false">IF($AS39="","",IFERROR(IF(INDEX(Matches!$AP$5:$AP$10,MATCH($C39,Matches!$A$5:$A$10,0))="","",IF($AS39="A",INDEX(Matches!$AP$5:$AP$10,MATCH($C39,Matches!$A$5:$A$10,0)),1-INDEX(Matches!$AP$5:$AP$10,MATCH($C39,Matches!$A$5:$A$10,0)))),""))</f>
        <v/>
      </c>
      <c r="AV39" s="13" t="n">
        <f aca="false">IF(OR($AU39="",$AT39=""),1,((Config!$B$14*$AU39+Config!$B$15*(1-$AU39))/(Config!$B$14*$AT39+Config!$B$15*(1-$AT39)))^Config!$B$13)</f>
        <v>1</v>
      </c>
      <c r="AW39" s="10" t="str">
        <f aca="false">IF($AS39="","",IFERROR(IF(INDEX(Matches!$AV$5:$AV$10,MATCH($C39,Matches!$A$5:$A$10,0))="","",IF($AS39="A",INDEX(Matches!$AV$5:$AV$10,MATCH($C39,Matches!$A$5:$A$10,0)),1-INDEX(Matches!$AV$5:$AV$10,MATCH($C39,Matches!$A$5:$A$10,0)))),""))</f>
        <v/>
      </c>
      <c r="AX39" s="13" t="n">
        <f aca="false">IF(OR($AW39="",$AT39=""),1,((Config!$B$14*$AW39+Config!$B$15*(1-$AW39))/(Config!$B$14*$AT39+Config!$B$15*(1-$AT39)))^Config!$B$13)</f>
        <v>1</v>
      </c>
      <c r="AY39" s="10" t="str">
        <f aca="false">IF($AS39="","",IFERROR(IF(INDEX(Matches!$BB$5:$BB$10,MATCH($C39,Matches!$A$5:$A$10,0))="","",IF($AS39="A",INDEX(Matches!$BB$5:$BB$10,MATCH($C39,Matches!$A$5:$A$10,0)),1-INDEX(Matches!$BB$5:$BB$10,MATCH($C39,Matches!$A$5:$A$10,0)))),""))</f>
        <v/>
      </c>
      <c r="AZ39" s="13" t="n">
        <f aca="false">IF(OR($AY39="",$AT39=""),1,((Config!$B$14*$AY39+Config!$B$15*(1-$AY39))/(Config!$B$14*$AT39+Config!$B$15*(1-$AT39)))^Config!$B$13)</f>
        <v>1</v>
      </c>
      <c r="BA39" s="17" t="n">
        <f aca="false">IF(V39="","",V39*$AV39)</f>
        <v>8.532</v>
      </c>
      <c r="BB39" s="17" t="n">
        <f aca="false">IF(AC39="","",AC39*$AX39)</f>
        <v>8.516</v>
      </c>
      <c r="BC39" s="17" t="n">
        <f aca="false">IF(AJ39="","",AJ39*$AZ39)</f>
        <v>8.25345622119816</v>
      </c>
      <c r="BD39" s="17" t="n">
        <f aca="false">N(BA39)+N(BB39)</f>
        <v>17.048</v>
      </c>
      <c r="BE39" s="17" t="n">
        <f aca="false">BD39+N($M39)*N(BC39)</f>
        <v>20.6943769585253</v>
      </c>
      <c r="BF39" s="17" t="str">
        <f aca="false">IF(W39="","",W39*$AV39)</f>
        <v/>
      </c>
      <c r="BG39" s="17" t="str">
        <f aca="false">IF(AD39="","",AD39*$AX39)</f>
        <v/>
      </c>
      <c r="BH39" s="17" t="str">
        <f aca="false">IF(AK39="","",AK39*$AZ39)</f>
        <v/>
      </c>
      <c r="BI39" s="17" t="str">
        <f aca="false">IF(BF39="","",N(BF39)+N(BG39))</f>
        <v/>
      </c>
      <c r="BJ39" s="17" t="str">
        <f aca="false">IF(BI39="","",BI39+N($M39)*N(BH39))</f>
        <v/>
      </c>
      <c r="BK39" s="13" t="n">
        <f aca="false">IFERROR(BD39/AL39,1)</f>
        <v>1</v>
      </c>
    </row>
    <row r="40" customFormat="false" ht="15" hidden="false" customHeight="false" outlineLevel="0" collapsed="false">
      <c r="A40" s="0" t="s">
        <v>729</v>
      </c>
      <c r="B40" s="0" t="s">
        <v>598</v>
      </c>
      <c r="C40" s="0" t="s">
        <v>606</v>
      </c>
      <c r="D40" s="0" t="s">
        <v>612</v>
      </c>
      <c r="E40" s="0" t="s">
        <v>728</v>
      </c>
      <c r="F40" s="0" t="s">
        <v>824</v>
      </c>
      <c r="G40" s="0" t="str">
        <f aca="false">IFERROR(IF(INDEX(Matches!$W$5:$W$10,MATCH($C40,Matches!$A$5:$A$10,0))="","",INDEX(Matches!$W$5:$W$10,MATCH($C40,Matches!$A$5:$A$10,0))),"")</f>
        <v>Lotus</v>
      </c>
      <c r="H40" s="0" t="str">
        <f aca="false">IFERROR(IF(INDEX(Matches!$X$5:$X$10,MATCH($C40,Matches!$A$5:$A$10,0))="","",INDEX(Matches!$X$5:$X$10,MATCH($C40,Matches!$A$5:$A$10,0))),"")</f>
        <v>Ascent</v>
      </c>
      <c r="I40" s="0" t="str">
        <f aca="false">IFERROR(IF(INDEX(Matches!$Y$5:$Y$10,MATCH($C40,Matches!$A$5:$A$10,0))="","",INDEX(Matches!$Y$5:$Y$10,MATCH($C40,Matches!$A$5:$A$10,0))),"")</f>
        <v>Bind</v>
      </c>
      <c r="J40" s="11" t="n">
        <f aca="false">IFERROR(IF(INDEX(Matches!$Z$5:$Z$10,MATCH($C40,Matches!$A$5:$A$10,0))="","",INDEX(Matches!$Z$5:$Z$10,MATCH($C40,Matches!$A$5:$A$10,0))),"")</f>
        <v>21.02</v>
      </c>
      <c r="K40" s="11" t="n">
        <f aca="false">IFERROR(IF(INDEX(Matches!$AA$5:$AA$10,MATCH($C40,Matches!$A$5:$A$10,0))="","",INDEX(Matches!$AA$5:$AA$10,MATCH($C40,Matches!$A$5:$A$10,0))),"")</f>
        <v>20.99</v>
      </c>
      <c r="L40" s="11" t="n">
        <f aca="false">IFERROR(IF(INDEX(Matches!$AB$5:$AB$10,MATCH($C40,Matches!$A$5:$A$10,0))="","",INDEX(Matches!$AB$5:$AB$10,MATCH($C40,Matches!$A$5:$A$10,0))),"")</f>
        <v>22.5</v>
      </c>
      <c r="M40" s="10" t="n">
        <f aca="false">IFERROR(IF(INDEX(Matches!$AC$5:$AC$10,MATCH($C40,Matches!$A$5:$A$10,0))="","",INDEX(Matches!$AC$5:$AC$10,MATCH($C40,Matches!$A$5:$A$10,0))),"")</f>
        <v>0.397</v>
      </c>
      <c r="N40" s="9" t="n">
        <f aca="false">IFERROR(INDEX(Players!$F$2:$F$42,MATCH($F40,Players!$A$2:$A$42,0)),0)</f>
        <v>37</v>
      </c>
      <c r="O40" s="13" t="n">
        <f aca="false">IFERROR(1/(1/INDEX(Players!$H$2:$H$42,MATCH($F40,Players!$A$2:$A$42,0))),"")</f>
        <v>0.77</v>
      </c>
      <c r="P40" s="10" t="str">
        <f aca="false">IFERROR(1/(1/INDEX(Players!$I$2:$I$42,MATCH($F40,Players!$A$2:$A$42,0))),"")</f>
        <v/>
      </c>
      <c r="Q40" s="9" t="n">
        <f aca="false">IF($G40="",0,SUMIFS(Map_Stats!$F$2:$F$256,Map_Stats!$A$2:$A$256,$F40&amp;"|"&amp;$G40))</f>
        <v>7</v>
      </c>
      <c r="R40" s="13" t="n">
        <f aca="false">IF($G40="","",IFERROR(1/(1/INDEX(Map_Stats!$K$2:$K$256,MATCH($F40&amp;"|"&amp;$G40,Map_Stats!$A$2:$A$256,0))),$O40))</f>
        <v>0.831943628890194</v>
      </c>
      <c r="S40" s="10" t="str">
        <f aca="false">IF(OR($G40="",$P40=""),"",IFERROR(1/(1/INDEX(Map_Stats!$I$2:$I$256,MATCH($F40&amp;"|"&amp;$G40,Map_Stats!$A$2:$A$256,0))),$P40))</f>
        <v/>
      </c>
      <c r="T40" s="13" t="n">
        <f aca="false">IF(OR($G40="",R40=""),"",IF($O40="",R40,(Q40*R40+Config!$B$4*$O40)/(Q40+Config!$B$4)))</f>
        <v>0.80613378351928</v>
      </c>
      <c r="U40" s="10" t="str">
        <f aca="false">IF(S40="","",(Q40*S40+Config!$B$4*$P40)/(Q40+Config!$B$4))</f>
        <v/>
      </c>
      <c r="V40" s="17" t="n">
        <f aca="false">IF(OR(T40="",$J40=""),"",T40*$J40*($J40/Config!$B$11)^Config!$B$9)</f>
        <v>16.9449321295753</v>
      </c>
      <c r="W40" s="17" t="str">
        <f aca="false">IF(OR(V40="",U40=""),"",V40*U40)</f>
        <v/>
      </c>
      <c r="X40" s="9" t="n">
        <f aca="false">IF($H40="",0,SUMIFS(Map_Stats!$F$2:$F$256,Map_Stats!$A$2:$A$256,$F40&amp;"|"&amp;$H40))</f>
        <v>8</v>
      </c>
      <c r="Y40" s="13" t="n">
        <f aca="false">IF($H40="","",IFERROR(1/(1/INDEX(Map_Stats!$K$2:$K$256,MATCH($F40&amp;"|"&amp;$H40,Map_Stats!$A$2:$A$256,0))),$O40))</f>
        <v>0.646564885496183</v>
      </c>
      <c r="Z40" s="10" t="str">
        <f aca="false">IF(OR($H40="",$P40=""),"",IFERROR(1/(1/INDEX(Map_Stats!$I$2:$I$256,MATCH($F40&amp;"|"&amp;$H40,Map_Stats!$A$2:$A$256,0))),$P40))</f>
        <v/>
      </c>
      <c r="AA40" s="13" t="n">
        <f aca="false">IF(OR($H40="",Y40=""),"",IF($O40="",Y40,(X40*Y40+Config!$B$4*$O40)/(X40+Config!$B$4)))</f>
        <v>0.694039929536113</v>
      </c>
      <c r="AB40" s="10" t="str">
        <f aca="false">IF(Z40="","",(X40*Z40+Config!$B$4*$P40)/(X40+Config!$B$4))</f>
        <v/>
      </c>
      <c r="AC40" s="17" t="n">
        <f aca="false">IF(OR(AA40="",$K40=""),"",AA40*$K40*($K40/Config!$B$11)^Config!$B$9)</f>
        <v>14.567898120963</v>
      </c>
      <c r="AD40" s="17" t="str">
        <f aca="false">IF(OR(AC40="",AB40=""),"",AC40*AB40)</f>
        <v/>
      </c>
      <c r="AE40" s="9" t="n">
        <f aca="false">IF($I40="",0,SUMIFS(Map_Stats!$F$2:$F$256,Map_Stats!$A$2:$A$256,$F40&amp;"|"&amp;$I40))</f>
        <v>4</v>
      </c>
      <c r="AF40" s="13" t="n">
        <f aca="false">IF($I40="","",IFERROR(1/(1/INDEX(Map_Stats!$K$2:$K$256,MATCH($F40&amp;"|"&amp;$I40,Map_Stats!$A$2:$A$256,0))),$O40))</f>
        <v>0.827422196124486</v>
      </c>
      <c r="AG40" s="10" t="str">
        <f aca="false">IF(OR($I40="",$P40=""),"",IFERROR(1/(1/INDEX(Map_Stats!$I$2:$I$256,MATCH($F40&amp;"|"&amp;$I40,Map_Stats!$A$2:$A$256,0))),$P40))</f>
        <v/>
      </c>
      <c r="AH40" s="13" t="n">
        <f aca="false">IF(OR($I40="",AF40=""),"",IF($O40="",AF40,(AE40*AF40+Config!$B$4*$O40)/(AE40+Config!$B$4)))</f>
        <v>0.795520976055327</v>
      </c>
      <c r="AI40" s="10" t="str">
        <f aca="false">IF(AG40="","",(AE40*AG40+Config!$B$4*$P40)/(AE40+Config!$B$4))</f>
        <v/>
      </c>
      <c r="AJ40" s="17" t="n">
        <f aca="false">IF(OR(AH40="",$L40=""),"",AH40*$L40*($L40/Config!$B$11)^Config!$B$9)</f>
        <v>17.8992219612449</v>
      </c>
      <c r="AK40" s="17" t="str">
        <f aca="false">IF(OR(AJ40="",AI40=""),"",AJ40*AI40)</f>
        <v/>
      </c>
      <c r="AL40" s="17" t="n">
        <f aca="false">N(V40)+N(AC40)</f>
        <v>31.5128302505383</v>
      </c>
      <c r="AM40" s="17" t="n">
        <f aca="false">AL40+N($M40)*N(AJ40)</f>
        <v>38.6188213691525</v>
      </c>
      <c r="AN40" s="17" t="str">
        <f aca="false">IF(W40="","",N(W40)+N(AD40))</f>
        <v/>
      </c>
      <c r="AO40" s="17" t="str">
        <f aca="false">IF(AN40="","",AN40+N($M40)*N(AK40))</f>
        <v/>
      </c>
      <c r="AP40" s="10" t="str">
        <f aca="false">IFERROR(AN40/AL40,"")</f>
        <v/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IF($C40=Board!$B$2,COUNTIFS($C$2:$C$42,Board!$B$2,$AL$2:$AL$42,"&gt;"&amp;$AL40)+COUNTIFS($C$1:$C39,Board!$B$2,$AL$1:$AL39,$AL40)+1,"")</f>
        <v/>
      </c>
      <c r="AS40" s="0" t="str">
        <f aca="false">IFERROR(IF($D40=INDEX(Matches!$AD$5:$AD$10,MATCH($C40,Matches!$A$5:$A$10,0)),"A",IF($D40=INDEX(Matches!$AE$5:$AE$10,MATCH($C40,Matches!$A$5:$A$10,0)),"B","")),"")</f>
        <v>B</v>
      </c>
      <c r="AT40" s="10" t="n">
        <f aca="false">IF($AS40="","",IFERROR(IF($AS40="A",INDEX(Matches!$AI$5:$AI$10,MATCH($C40,Matches!$A$5:$A$10,0)),INDEX(Matches!$AJ$5:$AJ$10,MATCH($C40,Matches!$A$5:$A$10,0))),""))</f>
        <v>0</v>
      </c>
      <c r="AU40" s="10" t="str">
        <f aca="false">IF($AS40="","",IFERROR(IF(INDEX(Matches!$AP$5:$AP$10,MATCH($C40,Matches!$A$5:$A$10,0))="","",IF($AS40="A",INDEX(Matches!$AP$5:$AP$10,MATCH($C40,Matches!$A$5:$A$10,0)),1-INDEX(Matches!$AP$5:$AP$10,MATCH($C40,Matches!$A$5:$A$10,0)))),""))</f>
        <v/>
      </c>
      <c r="AV40" s="13" t="n">
        <f aca="false">IF(OR($AU40="",$AT40=""),1,((Config!$B$14*$AU40+Config!$B$15*(1-$AU40))/(Config!$B$14*$AT40+Config!$B$15*(1-$AT40)))^Config!$B$13)</f>
        <v>1</v>
      </c>
      <c r="AW40" s="10" t="str">
        <f aca="false">IF($AS40="","",IFERROR(IF(INDEX(Matches!$AV$5:$AV$10,MATCH($C40,Matches!$A$5:$A$10,0))="","",IF($AS40="A",INDEX(Matches!$AV$5:$AV$10,MATCH($C40,Matches!$A$5:$A$10,0)),1-INDEX(Matches!$AV$5:$AV$10,MATCH($C40,Matches!$A$5:$A$10,0)))),""))</f>
        <v/>
      </c>
      <c r="AX40" s="13" t="n">
        <f aca="false">IF(OR($AW40="",$AT40=""),1,((Config!$B$14*$AW40+Config!$B$15*(1-$AW40))/(Config!$B$14*$AT40+Config!$B$15*(1-$AT40)))^Config!$B$13)</f>
        <v>1</v>
      </c>
      <c r="AY40" s="10" t="str">
        <f aca="false">IF($AS40="","",IFERROR(IF(INDEX(Matches!$BB$5:$BB$10,MATCH($C40,Matches!$A$5:$A$10,0))="","",IF($AS40="A",INDEX(Matches!$BB$5:$BB$10,MATCH($C40,Matches!$A$5:$A$10,0)),1-INDEX(Matches!$BB$5:$BB$10,MATCH($C40,Matches!$A$5:$A$10,0)))),""))</f>
        <v/>
      </c>
      <c r="AZ40" s="13" t="n">
        <f aca="false">IF(OR($AY40="",$AT40=""),1,((Config!$B$14*$AY40+Config!$B$15*(1-$AY40))/(Config!$B$14*$AT40+Config!$B$15*(1-$AT40)))^Config!$B$13)</f>
        <v>1</v>
      </c>
      <c r="BA40" s="17" t="n">
        <f aca="false">IF(V40="","",V40*$AV40)</f>
        <v>16.9449321295753</v>
      </c>
      <c r="BB40" s="17" t="n">
        <f aca="false">IF(AC40="","",AC40*$AX40)</f>
        <v>14.567898120963</v>
      </c>
      <c r="BC40" s="17" t="n">
        <f aca="false">IF(AJ40="","",AJ40*$AZ40)</f>
        <v>17.8992219612449</v>
      </c>
      <c r="BD40" s="17" t="n">
        <f aca="false">N(BA40)+N(BB40)</f>
        <v>31.5128302505383</v>
      </c>
      <c r="BE40" s="17" t="n">
        <f aca="false">BD40+N($M40)*N(BC40)</f>
        <v>38.6188213691525</v>
      </c>
      <c r="BF40" s="17" t="str">
        <f aca="false">IF(W40="","",W40*$AV40)</f>
        <v/>
      </c>
      <c r="BG40" s="17" t="str">
        <f aca="false">IF(AD40="","",AD40*$AX40)</f>
        <v/>
      </c>
      <c r="BH40" s="17" t="str">
        <f aca="false">IF(AK40="","",AK40*$AZ40)</f>
        <v/>
      </c>
      <c r="BI40" s="17" t="str">
        <f aca="false">IF(BF40="","",N(BF40)+N(BG40))</f>
        <v/>
      </c>
      <c r="BJ40" s="17" t="str">
        <f aca="false">IF(BI40="","",BI40+N($M40)*N(BH40))</f>
        <v/>
      </c>
      <c r="BK40" s="13" t="n">
        <f aca="false">IFERROR(BD40/AL40,1)</f>
        <v>1</v>
      </c>
    </row>
    <row r="41" customFormat="false" ht="15" hidden="false" customHeight="false" outlineLevel="0" collapsed="false">
      <c r="A41" s="0" t="s">
        <v>731</v>
      </c>
      <c r="B41" s="0" t="s">
        <v>598</v>
      </c>
      <c r="C41" s="0" t="s">
        <v>606</v>
      </c>
      <c r="D41" s="0" t="s">
        <v>612</v>
      </c>
      <c r="E41" s="0" t="s">
        <v>730</v>
      </c>
      <c r="F41" s="0" t="s">
        <v>825</v>
      </c>
      <c r="G41" s="0" t="str">
        <f aca="false">IFERROR(IF(INDEX(Matches!$W$5:$W$10,MATCH($C41,Matches!$A$5:$A$10,0))="","",INDEX(Matches!$W$5:$W$10,MATCH($C41,Matches!$A$5:$A$10,0))),"")</f>
        <v>Lotus</v>
      </c>
      <c r="H41" s="0" t="str">
        <f aca="false">IFERROR(IF(INDEX(Matches!$X$5:$X$10,MATCH($C41,Matches!$A$5:$A$10,0))="","",INDEX(Matches!$X$5:$X$10,MATCH($C41,Matches!$A$5:$A$10,0))),"")</f>
        <v>Ascent</v>
      </c>
      <c r="I41" s="0" t="str">
        <f aca="false">IFERROR(IF(INDEX(Matches!$Y$5:$Y$10,MATCH($C41,Matches!$A$5:$A$10,0))="","",INDEX(Matches!$Y$5:$Y$10,MATCH($C41,Matches!$A$5:$A$10,0))),"")</f>
        <v>Bind</v>
      </c>
      <c r="J41" s="11" t="n">
        <f aca="false">IFERROR(IF(INDEX(Matches!$Z$5:$Z$10,MATCH($C41,Matches!$A$5:$A$10,0))="","",INDEX(Matches!$Z$5:$Z$10,MATCH($C41,Matches!$A$5:$A$10,0))),"")</f>
        <v>21.02</v>
      </c>
      <c r="K41" s="11" t="n">
        <f aca="false">IFERROR(IF(INDEX(Matches!$AA$5:$AA$10,MATCH($C41,Matches!$A$5:$A$10,0))="","",INDEX(Matches!$AA$5:$AA$10,MATCH($C41,Matches!$A$5:$A$10,0))),"")</f>
        <v>20.99</v>
      </c>
      <c r="L41" s="11" t="n">
        <f aca="false">IFERROR(IF(INDEX(Matches!$AB$5:$AB$10,MATCH($C41,Matches!$A$5:$A$10,0))="","",INDEX(Matches!$AB$5:$AB$10,MATCH($C41,Matches!$A$5:$A$10,0))),"")</f>
        <v>22.5</v>
      </c>
      <c r="M41" s="10" t="n">
        <f aca="false">IFERROR(IF(INDEX(Matches!$AC$5:$AC$10,MATCH($C41,Matches!$A$5:$A$10,0))="","",INDEX(Matches!$AC$5:$AC$10,MATCH($C41,Matches!$A$5:$A$10,0))),"")</f>
        <v>0.397</v>
      </c>
      <c r="N41" s="9" t="n">
        <f aca="false">IFERROR(INDEX(Players!$F$2:$F$42,MATCH($F41,Players!$A$2:$A$42,0)),0)</f>
        <v>41</v>
      </c>
      <c r="O41" s="13" t="n">
        <f aca="false">IFERROR(1/(1/INDEX(Players!$H$2:$H$42,MATCH($F41,Players!$A$2:$A$42,0))),"")</f>
        <v>0.56</v>
      </c>
      <c r="P41" s="10" t="str">
        <f aca="false">IFERROR(1/(1/INDEX(Players!$I$2:$I$42,MATCH($F41,Players!$A$2:$A$42,0))),"")</f>
        <v/>
      </c>
      <c r="Q41" s="9" t="n">
        <f aca="false">IF($G41="",0,SUMIFS(Map_Stats!$F$2:$F$256,Map_Stats!$A$2:$A$256,$F41&amp;"|"&amp;$G41))</f>
        <v>6</v>
      </c>
      <c r="R41" s="13" t="n">
        <f aca="false">IF($G41="","",IFERROR(1/(1/INDEX(Map_Stats!$K$2:$K$256,MATCH($F41&amp;"|"&amp;$G41,Map_Stats!$A$2:$A$256,0))),$O41))</f>
        <v>0.478672199170125</v>
      </c>
      <c r="S41" s="10" t="str">
        <f aca="false">IF(OR($G41="",$P41=""),"",IFERROR(1/(1/INDEX(Map_Stats!$I$2:$I$256,MATCH($F41&amp;"|"&amp;$G41,Map_Stats!$A$2:$A$256,0))),$P41))</f>
        <v/>
      </c>
      <c r="T41" s="13" t="n">
        <f aca="false">IF(OR($G41="",R41=""),"",IF($O41="",R41,(Q41*R41+Config!$B$4*$O41)/(Q41+Config!$B$4)))</f>
        <v>0.515639381365523</v>
      </c>
      <c r="U41" s="10" t="str">
        <f aca="false">IF(S41="","",(Q41*S41+Config!$B$4*$P41)/(Q41+Config!$B$4))</f>
        <v/>
      </c>
      <c r="V41" s="17" t="n">
        <f aca="false">IF(OR(T41="",$J41=""),"",T41*$J41*($J41/Config!$B$11)^Config!$B$9)</f>
        <v>10.8387397963033</v>
      </c>
      <c r="W41" s="17" t="str">
        <f aca="false">IF(OR(V41="",U41=""),"",V41*U41)</f>
        <v/>
      </c>
      <c r="X41" s="9" t="n">
        <f aca="false">IF($H41="",0,SUMIFS(Map_Stats!$F$2:$F$256,Map_Stats!$A$2:$A$256,$F41&amp;"|"&amp;$H41))</f>
        <v>3</v>
      </c>
      <c r="Y41" s="13" t="n">
        <f aca="false">IF($H41="","",IFERROR(1/(1/INDEX(Map_Stats!$K$2:$K$256,MATCH($F41&amp;"|"&amp;$H41,Map_Stats!$A$2:$A$256,0))),$O41))</f>
        <v>0.636680497925311</v>
      </c>
      <c r="Z41" s="10" t="str">
        <f aca="false">IF(OR($H41="",$P41=""),"",IFERROR(1/(1/INDEX(Map_Stats!$I$2:$I$256,MATCH($F41&amp;"|"&amp;$H41,Map_Stats!$A$2:$A$256,0))),$P41))</f>
        <v/>
      </c>
      <c r="AA41" s="13" t="n">
        <f aca="false">IF(OR($H41="",Y41=""),"",IF($O41="",Y41,(X41*Y41+Config!$B$4*$O41)/(X41+Config!$B$4)))</f>
        <v>0.588755186721992</v>
      </c>
      <c r="AB41" s="10" t="str">
        <f aca="false">IF(Z41="","",(X41*Z41+Config!$B$4*$P41)/(X41+Config!$B$4))</f>
        <v/>
      </c>
      <c r="AC41" s="17" t="n">
        <f aca="false">IF(OR(AA41="",$K41=""),"",AA41*$K41*($K41/Config!$B$11)^Config!$B$9)</f>
        <v>12.3579713692946</v>
      </c>
      <c r="AD41" s="17" t="str">
        <f aca="false">IF(OR(AC41="",AB41=""),"",AC41*AB41)</f>
        <v/>
      </c>
      <c r="AE41" s="9" t="n">
        <f aca="false">IF($I41="",0,SUMIFS(Map_Stats!$F$2:$F$256,Map_Stats!$A$2:$A$256,$F41&amp;"|"&amp;$I41))</f>
        <v>7</v>
      </c>
      <c r="AF41" s="13" t="n">
        <f aca="false">IF($I41="","",IFERROR(1/(1/INDEX(Map_Stats!$K$2:$K$256,MATCH($F41&amp;"|"&amp;$I41,Map_Stats!$A$2:$A$256,0))),$O41))</f>
        <v>0.562323651452282</v>
      </c>
      <c r="AG41" s="10" t="str">
        <f aca="false">IF(OR($I41="",$P41=""),"",IFERROR(1/(1/INDEX(Map_Stats!$I$2:$I$256,MATCH($F41&amp;"|"&amp;$I41,Map_Stats!$A$2:$A$256,0))),$P41))</f>
        <v/>
      </c>
      <c r="AH41" s="13" t="n">
        <f aca="false">IF(OR($I41="",AF41=""),"",IF($O41="",AF41,(AE41*AF41+Config!$B$4*$O41)/(AE41+Config!$B$4)))</f>
        <v>0.561355463347165</v>
      </c>
      <c r="AI41" s="10" t="str">
        <f aca="false">IF(AG41="","",(AE41*AG41+Config!$B$4*$P41)/(AE41+Config!$B$4))</f>
        <v/>
      </c>
      <c r="AJ41" s="17" t="n">
        <f aca="false">IF(OR(AH41="",$L41=""),"",AH41*$L41*($L41/Config!$B$11)^Config!$B$9)</f>
        <v>12.6304979253112</v>
      </c>
      <c r="AK41" s="17" t="str">
        <f aca="false">IF(OR(AJ41="",AI41=""),"",AJ41*AI41)</f>
        <v/>
      </c>
      <c r="AL41" s="17" t="n">
        <f aca="false">N(V41)+N(AC41)</f>
        <v>23.1967111655979</v>
      </c>
      <c r="AM41" s="17" t="n">
        <f aca="false">AL41+N($M41)*N(AJ41)</f>
        <v>28.2110188419464</v>
      </c>
      <c r="AN41" s="17" t="str">
        <f aca="false">IF(W41="","",N(W41)+N(AD41))</f>
        <v/>
      </c>
      <c r="AO41" s="17" t="str">
        <f aca="false">IF(AN41="","",AN41+N($M41)*N(AK41))</f>
        <v/>
      </c>
      <c r="AP41" s="10" t="str">
        <f aca="false">IFERROR(AN41/AL41,"")</f>
        <v/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IF($C41=Board!$B$2,COUNTIFS($C$2:$C$42,Board!$B$2,$AL$2:$AL$42,"&gt;"&amp;$AL41)+COUNTIFS($C$1:$C40,Board!$B$2,$AL$1:$AL40,$AL41)+1,"")</f>
        <v/>
      </c>
      <c r="AS41" s="0" t="str">
        <f aca="false">IFERROR(IF($D41=INDEX(Matches!$AD$5:$AD$10,MATCH($C41,Matches!$A$5:$A$10,0)),"A",IF($D41=INDEX(Matches!$AE$5:$AE$10,MATCH($C41,Matches!$A$5:$A$10,0)),"B","")),"")</f>
        <v>B</v>
      </c>
      <c r="AT41" s="10" t="n">
        <f aca="false">IF($AS41="","",IFERROR(IF($AS41="A",INDEX(Matches!$AI$5:$AI$10,MATCH($C41,Matches!$A$5:$A$10,0)),INDEX(Matches!$AJ$5:$AJ$10,MATCH($C41,Matches!$A$5:$A$10,0))),""))</f>
        <v>0</v>
      </c>
      <c r="AU41" s="10" t="str">
        <f aca="false">IF($AS41="","",IFERROR(IF(INDEX(Matches!$AP$5:$AP$10,MATCH($C41,Matches!$A$5:$A$10,0))="","",IF($AS41="A",INDEX(Matches!$AP$5:$AP$10,MATCH($C41,Matches!$A$5:$A$10,0)),1-INDEX(Matches!$AP$5:$AP$10,MATCH($C41,Matches!$A$5:$A$10,0)))),""))</f>
        <v/>
      </c>
      <c r="AV41" s="13" t="n">
        <f aca="false">IF(OR($AU41="",$AT41=""),1,((Config!$B$14*$AU41+Config!$B$15*(1-$AU41))/(Config!$B$14*$AT41+Config!$B$15*(1-$AT41)))^Config!$B$13)</f>
        <v>1</v>
      </c>
      <c r="AW41" s="10" t="str">
        <f aca="false">IF($AS41="","",IFERROR(IF(INDEX(Matches!$AV$5:$AV$10,MATCH($C41,Matches!$A$5:$A$10,0))="","",IF($AS41="A",INDEX(Matches!$AV$5:$AV$10,MATCH($C41,Matches!$A$5:$A$10,0)),1-INDEX(Matches!$AV$5:$AV$10,MATCH($C41,Matches!$A$5:$A$10,0)))),""))</f>
        <v/>
      </c>
      <c r="AX41" s="13" t="n">
        <f aca="false">IF(OR($AW41="",$AT41=""),1,((Config!$B$14*$AW41+Config!$B$15*(1-$AW41))/(Config!$B$14*$AT41+Config!$B$15*(1-$AT41)))^Config!$B$13)</f>
        <v>1</v>
      </c>
      <c r="AY41" s="10" t="str">
        <f aca="false">IF($AS41="","",IFERROR(IF(INDEX(Matches!$BB$5:$BB$10,MATCH($C41,Matches!$A$5:$A$10,0))="","",IF($AS41="A",INDEX(Matches!$BB$5:$BB$10,MATCH($C41,Matches!$A$5:$A$10,0)),1-INDEX(Matches!$BB$5:$BB$10,MATCH($C41,Matches!$A$5:$A$10,0)))),""))</f>
        <v/>
      </c>
      <c r="AZ41" s="13" t="n">
        <f aca="false">IF(OR($AY41="",$AT41=""),1,((Config!$B$14*$AY41+Config!$B$15*(1-$AY41))/(Config!$B$14*$AT41+Config!$B$15*(1-$AT41)))^Config!$B$13)</f>
        <v>1</v>
      </c>
      <c r="BA41" s="17" t="n">
        <f aca="false">IF(V41="","",V41*$AV41)</f>
        <v>10.8387397963033</v>
      </c>
      <c r="BB41" s="17" t="n">
        <f aca="false">IF(AC41="","",AC41*$AX41)</f>
        <v>12.3579713692946</v>
      </c>
      <c r="BC41" s="17" t="n">
        <f aca="false">IF(AJ41="","",AJ41*$AZ41)</f>
        <v>12.6304979253112</v>
      </c>
      <c r="BD41" s="17" t="n">
        <f aca="false">N(BA41)+N(BB41)</f>
        <v>23.1967111655979</v>
      </c>
      <c r="BE41" s="17" t="n">
        <f aca="false">BD41+N($M41)*N(BC41)</f>
        <v>28.2110188419464</v>
      </c>
      <c r="BF41" s="17" t="str">
        <f aca="false">IF(W41="","",W41*$AV41)</f>
        <v/>
      </c>
      <c r="BG41" s="17" t="str">
        <f aca="false">IF(AD41="","",AD41*$AX41)</f>
        <v/>
      </c>
      <c r="BH41" s="17" t="str">
        <f aca="false">IF(AK41="","",AK41*$AZ41)</f>
        <v/>
      </c>
      <c r="BI41" s="17" t="str">
        <f aca="false">IF(BF41="","",N(BF41)+N(BG41))</f>
        <v/>
      </c>
      <c r="BJ41" s="17" t="str">
        <f aca="false">IF(BI41="","",BI41+N($M41)*N(BH41))</f>
        <v/>
      </c>
      <c r="BK41" s="13" t="n">
        <f aca="false">IFERROR(BD41/AL41,1)</f>
        <v>1</v>
      </c>
    </row>
    <row r="42" customFormat="false" ht="15" hidden="false" customHeight="false" outlineLevel="0" collapsed="false">
      <c r="A42" s="0" t="s">
        <v>733</v>
      </c>
      <c r="B42" s="0" t="s">
        <v>598</v>
      </c>
      <c r="C42" s="0" t="s">
        <v>606</v>
      </c>
      <c r="D42" s="0" t="s">
        <v>612</v>
      </c>
      <c r="E42" s="0" t="s">
        <v>732</v>
      </c>
      <c r="F42" s="0" t="s">
        <v>826</v>
      </c>
      <c r="G42" s="0" t="str">
        <f aca="false">IFERROR(IF(INDEX(Matches!$W$5:$W$10,MATCH($C42,Matches!$A$5:$A$10,0))="","",INDEX(Matches!$W$5:$W$10,MATCH($C42,Matches!$A$5:$A$10,0))),"")</f>
        <v>Lotus</v>
      </c>
      <c r="H42" s="0" t="str">
        <f aca="false">IFERROR(IF(INDEX(Matches!$X$5:$X$10,MATCH($C42,Matches!$A$5:$A$10,0))="","",INDEX(Matches!$X$5:$X$10,MATCH($C42,Matches!$A$5:$A$10,0))),"")</f>
        <v>Ascent</v>
      </c>
      <c r="I42" s="0" t="str">
        <f aca="false">IFERROR(IF(INDEX(Matches!$Y$5:$Y$10,MATCH($C42,Matches!$A$5:$A$10,0))="","",INDEX(Matches!$Y$5:$Y$10,MATCH($C42,Matches!$A$5:$A$10,0))),"")</f>
        <v>Bind</v>
      </c>
      <c r="J42" s="11" t="n">
        <f aca="false">IFERROR(IF(INDEX(Matches!$Z$5:$Z$10,MATCH($C42,Matches!$A$5:$A$10,0))="","",INDEX(Matches!$Z$5:$Z$10,MATCH($C42,Matches!$A$5:$A$10,0))),"")</f>
        <v>21.02</v>
      </c>
      <c r="K42" s="11" t="n">
        <f aca="false">IFERROR(IF(INDEX(Matches!$AA$5:$AA$10,MATCH($C42,Matches!$A$5:$A$10,0))="","",INDEX(Matches!$AA$5:$AA$10,MATCH($C42,Matches!$A$5:$A$10,0))),"")</f>
        <v>20.99</v>
      </c>
      <c r="L42" s="11" t="n">
        <f aca="false">IFERROR(IF(INDEX(Matches!$AB$5:$AB$10,MATCH($C42,Matches!$A$5:$A$10,0))="","",INDEX(Matches!$AB$5:$AB$10,MATCH($C42,Matches!$A$5:$A$10,0))),"")</f>
        <v>22.5</v>
      </c>
      <c r="M42" s="10" t="n">
        <f aca="false">IFERROR(IF(INDEX(Matches!$AC$5:$AC$10,MATCH($C42,Matches!$A$5:$A$10,0))="","",INDEX(Matches!$AC$5:$AC$10,MATCH($C42,Matches!$A$5:$A$10,0))),"")</f>
        <v>0.397</v>
      </c>
      <c r="N42" s="9" t="n">
        <f aca="false">IFERROR(INDEX(Players!$F$2:$F$42,MATCH($F42,Players!$A$2:$A$42,0)),0)</f>
        <v>16</v>
      </c>
      <c r="O42" s="13" t="n">
        <f aca="false">IFERROR(1/(1/INDEX(Players!$H$2:$H$42,MATCH($F42,Players!$A$2:$A$42,0))),"")</f>
        <v>0.73</v>
      </c>
      <c r="P42" s="10" t="str">
        <f aca="false">IFERROR(1/(1/INDEX(Players!$I$2:$I$42,MATCH($F42,Players!$A$2:$A$42,0))),"")</f>
        <v/>
      </c>
      <c r="Q42" s="9" t="n">
        <f aca="false">IF($G42="",0,SUMIFS(Map_Stats!$F$2:$F$256,Map_Stats!$A$2:$A$256,$F42&amp;"|"&amp;$G42))</f>
        <v>4</v>
      </c>
      <c r="R42" s="13" t="n">
        <f aca="false">IF($G42="","",IFERROR(1/(1/INDEX(Map_Stats!$K$2:$K$256,MATCH($F42&amp;"|"&amp;$G42,Map_Stats!$A$2:$A$256,0))),$O42))</f>
        <v>0.673483870967742</v>
      </c>
      <c r="S42" s="10" t="str">
        <f aca="false">IF(OR($G42="",$P42=""),"",IFERROR(1/(1/INDEX(Map_Stats!$I$2:$I$256,MATCH($F42&amp;"|"&amp;$G42,Map_Stats!$A$2:$A$256,0))),$P42))</f>
        <v/>
      </c>
      <c r="T42" s="13" t="n">
        <f aca="false">IF(OR($G42="",R42=""),"",IF($O42="",R42,(Q42*R42+Config!$B$4*$O42)/(Q42+Config!$B$4)))</f>
        <v>0.704881720430108</v>
      </c>
      <c r="U42" s="10" t="str">
        <f aca="false">IF(S42="","",(Q42*S42+Config!$B$4*$P42)/(Q42+Config!$B$4))</f>
        <v/>
      </c>
      <c r="V42" s="17" t="n">
        <f aca="false">IF(OR(T42="",$J42=""),"",T42*$J42*($J42/Config!$B$11)^Config!$B$9)</f>
        <v>14.8166137634409</v>
      </c>
      <c r="W42" s="17" t="str">
        <f aca="false">IF(OR(V42="",U42=""),"",V42*U42)</f>
        <v/>
      </c>
      <c r="X42" s="9" t="n">
        <f aca="false">IF($H42="",0,SUMIFS(Map_Stats!$F$2:$F$256,Map_Stats!$A$2:$A$256,$F42&amp;"|"&amp;$H42))</f>
        <v>5</v>
      </c>
      <c r="Y42" s="13" t="n">
        <f aca="false">IF($H42="","",IFERROR(1/(1/INDEX(Map_Stats!$K$2:$K$256,MATCH($F42&amp;"|"&amp;$H42,Map_Stats!$A$2:$A$256,0))),$O42))</f>
        <v>0.800645161290323</v>
      </c>
      <c r="Z42" s="10" t="str">
        <f aca="false">IF(OR($H42="",$P42=""),"",IFERROR(1/(1/INDEX(Map_Stats!$I$2:$I$256,MATCH($F42&amp;"|"&amp;$H42,Map_Stats!$A$2:$A$256,0))),$P42))</f>
        <v/>
      </c>
      <c r="AA42" s="13" t="n">
        <f aca="false">IF(OR($H42="",Y42=""),"",IF($O42="",Y42,(X42*Y42+Config!$B$4*$O42)/(X42+Config!$B$4)))</f>
        <v>0.765322580645161</v>
      </c>
      <c r="AB42" s="10" t="str">
        <f aca="false">IF(Z42="","",(X42*Z42+Config!$B$4*$P42)/(X42+Config!$B$4))</f>
        <v/>
      </c>
      <c r="AC42" s="17" t="n">
        <f aca="false">IF(OR(AA42="",$K42=""),"",AA42*$K42*($K42/Config!$B$11)^Config!$B$9)</f>
        <v>16.0641209677419</v>
      </c>
      <c r="AD42" s="17" t="str">
        <f aca="false">IF(OR(AC42="",AB42=""),"",AC42*AB42)</f>
        <v/>
      </c>
      <c r="AE42" s="9" t="n">
        <f aca="false">IF($I42="",0,SUMIFS(Map_Stats!$F$2:$F$256,Map_Stats!$A$2:$A$256,$F42&amp;"|"&amp;$I42))</f>
        <v>2</v>
      </c>
      <c r="AF42" s="13" t="n">
        <f aca="false">IF($I42="","",IFERROR(1/(1/INDEX(Map_Stats!$K$2:$K$256,MATCH($F42&amp;"|"&amp;$I42,Map_Stats!$A$2:$A$256,0))),$O42))</f>
        <v>0.73</v>
      </c>
      <c r="AG42" s="10" t="str">
        <f aca="false">IF(OR($I42="",$P42=""),"",IFERROR(1/(1/INDEX(Map_Stats!$I$2:$I$256,MATCH($F42&amp;"|"&amp;$I42,Map_Stats!$A$2:$A$256,0))),$P42))</f>
        <v/>
      </c>
      <c r="AH42" s="13" t="n">
        <f aca="false">IF(OR($I42="",AF42=""),"",IF($O42="",AF42,(AE42*AF42+Config!$B$4*$O42)/(AE42+Config!$B$4)))</f>
        <v>0.73</v>
      </c>
      <c r="AI42" s="10" t="str">
        <f aca="false">IF(AG42="","",(AE42*AG42+Config!$B$4*$P42)/(AE42+Config!$B$4))</f>
        <v/>
      </c>
      <c r="AJ42" s="17" t="n">
        <f aca="false">IF(OR(AH42="",$L42=""),"",AH42*$L42*($L42/Config!$B$11)^Config!$B$9)</f>
        <v>16.425</v>
      </c>
      <c r="AK42" s="17" t="str">
        <f aca="false">IF(OR(AJ42="",AI42=""),"",AJ42*AI42)</f>
        <v/>
      </c>
      <c r="AL42" s="17" t="n">
        <f aca="false">N(V42)+N(AC42)</f>
        <v>30.8807347311828</v>
      </c>
      <c r="AM42" s="17" t="n">
        <f aca="false">AL42+N($M42)*N(AJ42)</f>
        <v>37.4014597311828</v>
      </c>
      <c r="AN42" s="17" t="str">
        <f aca="false">IF(W42="","",N(W42)+N(AD42))</f>
        <v/>
      </c>
      <c r="AO42" s="17" t="str">
        <f aca="false">IF(AN42="","",AN42+N($M42)*N(AK42))</f>
        <v/>
      </c>
      <c r="AP42" s="10" t="str">
        <f aca="false">IFERROR(AN42/AL42,"")</f>
        <v/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IF($C42=Board!$B$2,COUNTIFS($C$2:$C$42,Board!$B$2,$AL$2:$AL$42,"&gt;"&amp;$AL42)+COUNTIFS($C$1:$C41,Board!$B$2,$AL$1:$AL41,$AL42)+1,"")</f>
        <v/>
      </c>
      <c r="AS42" s="0" t="str">
        <f aca="false">IFERROR(IF($D42=INDEX(Matches!$AD$5:$AD$10,MATCH($C42,Matches!$A$5:$A$10,0)),"A",IF($D42=INDEX(Matches!$AE$5:$AE$10,MATCH($C42,Matches!$A$5:$A$10,0)),"B","")),"")</f>
        <v>B</v>
      </c>
      <c r="AT42" s="10" t="n">
        <f aca="false">IF($AS42="","",IFERROR(IF($AS42="A",INDEX(Matches!$AI$5:$AI$10,MATCH($C42,Matches!$A$5:$A$10,0)),INDEX(Matches!$AJ$5:$AJ$10,MATCH($C42,Matches!$A$5:$A$10,0))),""))</f>
        <v>0</v>
      </c>
      <c r="AU42" s="10" t="str">
        <f aca="false">IF($AS42="","",IFERROR(IF(INDEX(Matches!$AP$5:$AP$10,MATCH($C42,Matches!$A$5:$A$10,0))="","",IF($AS42="A",INDEX(Matches!$AP$5:$AP$10,MATCH($C42,Matches!$A$5:$A$10,0)),1-INDEX(Matches!$AP$5:$AP$10,MATCH($C42,Matches!$A$5:$A$10,0)))),""))</f>
        <v/>
      </c>
      <c r="AV42" s="13" t="n">
        <f aca="false">IF(OR($AU42="",$AT42=""),1,((Config!$B$14*$AU42+Config!$B$15*(1-$AU42))/(Config!$B$14*$AT42+Config!$B$15*(1-$AT42)))^Config!$B$13)</f>
        <v>1</v>
      </c>
      <c r="AW42" s="10" t="str">
        <f aca="false">IF($AS42="","",IFERROR(IF(INDEX(Matches!$AV$5:$AV$10,MATCH($C42,Matches!$A$5:$A$10,0))="","",IF($AS42="A",INDEX(Matches!$AV$5:$AV$10,MATCH($C42,Matches!$A$5:$A$10,0)),1-INDEX(Matches!$AV$5:$AV$10,MATCH($C42,Matches!$A$5:$A$10,0)))),""))</f>
        <v/>
      </c>
      <c r="AX42" s="13" t="n">
        <f aca="false">IF(OR($AW42="",$AT42=""),1,((Config!$B$14*$AW42+Config!$B$15*(1-$AW42))/(Config!$B$14*$AT42+Config!$B$15*(1-$AT42)))^Config!$B$13)</f>
        <v>1</v>
      </c>
      <c r="AY42" s="10" t="str">
        <f aca="false">IF($AS42="","",IFERROR(IF(INDEX(Matches!$BB$5:$BB$10,MATCH($C42,Matches!$A$5:$A$10,0))="","",IF($AS42="A",INDEX(Matches!$BB$5:$BB$10,MATCH($C42,Matches!$A$5:$A$10,0)),1-INDEX(Matches!$BB$5:$BB$10,MATCH($C42,Matches!$A$5:$A$10,0)))),""))</f>
        <v/>
      </c>
      <c r="AZ42" s="13" t="n">
        <f aca="false">IF(OR($AY42="",$AT42=""),1,((Config!$B$14*$AY42+Config!$B$15*(1-$AY42))/(Config!$B$14*$AT42+Config!$B$15*(1-$AT42)))^Config!$B$13)</f>
        <v>1</v>
      </c>
      <c r="BA42" s="17" t="n">
        <f aca="false">IF(V42="","",V42*$AV42)</f>
        <v>14.8166137634409</v>
      </c>
      <c r="BB42" s="17" t="n">
        <f aca="false">IF(AC42="","",AC42*$AX42)</f>
        <v>16.0641209677419</v>
      </c>
      <c r="BC42" s="17" t="n">
        <f aca="false">IF(AJ42="","",AJ42*$AZ42)</f>
        <v>16.425</v>
      </c>
      <c r="BD42" s="17" t="n">
        <f aca="false">N(BA42)+N(BB42)</f>
        <v>30.8807347311828</v>
      </c>
      <c r="BE42" s="17" t="n">
        <f aca="false">BD42+N($M42)*N(BC42)</f>
        <v>37.4014597311828</v>
      </c>
      <c r="BF42" s="17" t="str">
        <f aca="false">IF(W42="","",W42*$AV42)</f>
        <v/>
      </c>
      <c r="BG42" s="17" t="str">
        <f aca="false">IF(AD42="","",AD42*$AX42)</f>
        <v/>
      </c>
      <c r="BH42" s="17" t="str">
        <f aca="false">IF(AK42="","",AK42*$AZ42)</f>
        <v/>
      </c>
      <c r="BI42" s="17" t="str">
        <f aca="false">IF(BF42="","",N(BF42)+N(BG42))</f>
        <v/>
      </c>
      <c r="BJ42" s="17" t="str">
        <f aca="false">IF(BI42="","",BI42+N($M42)*N(BH42))</f>
        <v/>
      </c>
      <c r="BK42" s="13" t="n">
        <f aca="false">IFERROR(BD42/AL42,1)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827</v>
      </c>
    </row>
    <row r="3" customFormat="false" ht="15" hidden="false" customHeight="false" outlineLevel="0" collapsed="false">
      <c r="A3" s="12" t="s">
        <v>828</v>
      </c>
      <c r="B3" s="12" t="s">
        <v>829</v>
      </c>
      <c r="C3" s="12" t="s">
        <v>830</v>
      </c>
      <c r="E3" s="18" t="s">
        <v>831</v>
      </c>
      <c r="F3" s="18" t="s">
        <v>832</v>
      </c>
    </row>
    <row r="4" customFormat="false" ht="41.75" hidden="false" customHeight="false" outlineLevel="0" collapsed="false">
      <c r="A4" s="3" t="s">
        <v>833</v>
      </c>
      <c r="B4" s="19" t="n">
        <v>5</v>
      </c>
      <c r="C4" s="4" t="s">
        <v>834</v>
      </c>
      <c r="E4" s="9" t="s">
        <v>195</v>
      </c>
      <c r="F4" s="9" t="s">
        <v>86</v>
      </c>
    </row>
    <row r="5" customFormat="false" ht="41.75" hidden="false" customHeight="false" outlineLevel="0" collapsed="false">
      <c r="A5" s="3" t="s">
        <v>835</v>
      </c>
      <c r="B5" s="19" t="n">
        <v>1.4</v>
      </c>
      <c r="C5" s="4" t="s">
        <v>836</v>
      </c>
      <c r="E5" s="9" t="s">
        <v>338</v>
      </c>
      <c r="F5" s="9" t="s">
        <v>91</v>
      </c>
    </row>
    <row r="6" customFormat="false" ht="28.35" hidden="false" customHeight="false" outlineLevel="0" collapsed="false">
      <c r="A6" s="3" t="s">
        <v>837</v>
      </c>
      <c r="B6" s="19" t="n">
        <v>0.04</v>
      </c>
      <c r="C6" s="4" t="s">
        <v>838</v>
      </c>
      <c r="E6" s="9" t="s">
        <v>161</v>
      </c>
      <c r="F6" s="9" t="s">
        <v>610</v>
      </c>
    </row>
    <row r="7" customFormat="false" ht="15" hidden="false" customHeight="false" outlineLevel="0" collapsed="false">
      <c r="A7" s="3" t="s">
        <v>839</v>
      </c>
      <c r="B7" s="19" t="n">
        <v>21.5</v>
      </c>
      <c r="C7" s="4" t="s">
        <v>840</v>
      </c>
      <c r="E7" s="9" t="s">
        <v>184</v>
      </c>
      <c r="F7" s="9" t="s">
        <v>841</v>
      </c>
    </row>
    <row r="8" customFormat="false" ht="15" hidden="false" customHeight="false" outlineLevel="0" collapsed="false">
      <c r="A8" s="3" t="s">
        <v>842</v>
      </c>
      <c r="B8" s="19" t="n">
        <v>22.5</v>
      </c>
      <c r="C8" s="4" t="s">
        <v>843</v>
      </c>
      <c r="E8" s="9" t="s">
        <v>147</v>
      </c>
      <c r="F8" s="9" t="s">
        <v>844</v>
      </c>
    </row>
    <row r="9" customFormat="false" ht="28.35" hidden="false" customHeight="false" outlineLevel="0" collapsed="false">
      <c r="A9" s="3" t="s">
        <v>845</v>
      </c>
      <c r="B9" s="19" t="n">
        <v>0</v>
      </c>
      <c r="C9" s="4" t="s">
        <v>846</v>
      </c>
      <c r="E9" s="9" t="s">
        <v>174</v>
      </c>
      <c r="F9" s="9" t="s">
        <v>99</v>
      </c>
    </row>
    <row r="10" customFormat="false" ht="15" hidden="false" customHeight="false" outlineLevel="0" collapsed="false">
      <c r="A10" s="3" t="s">
        <v>847</v>
      </c>
      <c r="B10" s="19" t="n">
        <v>21.5</v>
      </c>
      <c r="C10" s="4" t="s">
        <v>848</v>
      </c>
      <c r="E10" s="9" t="s">
        <v>208</v>
      </c>
      <c r="F10" s="9" t="s">
        <v>849</v>
      </c>
    </row>
    <row r="11" customFormat="false" ht="15" hidden="false" customHeight="false" outlineLevel="0" collapsed="false">
      <c r="A11" s="3" t="s">
        <v>850</v>
      </c>
      <c r="B11" s="19" t="n">
        <v>22.5</v>
      </c>
      <c r="C11" s="4" t="s">
        <v>843</v>
      </c>
      <c r="E11" s="9" t="s">
        <v>851</v>
      </c>
      <c r="F11" s="9" t="s">
        <v>81</v>
      </c>
    </row>
    <row r="12" customFormat="false" ht="15" hidden="false" customHeight="false" outlineLevel="0" collapsed="false">
      <c r="A12" s="3" t="s">
        <v>852</v>
      </c>
      <c r="B12" s="19" t="n">
        <v>15</v>
      </c>
      <c r="C12" s="4" t="s">
        <v>853</v>
      </c>
      <c r="F12" s="9" t="s">
        <v>854</v>
      </c>
    </row>
    <row r="13" customFormat="false" ht="41.75" hidden="false" customHeight="false" outlineLevel="0" collapsed="false">
      <c r="A13" s="3" t="s">
        <v>855</v>
      </c>
      <c r="B13" s="19" t="n">
        <v>1</v>
      </c>
      <c r="C13" s="4" t="s">
        <v>856</v>
      </c>
      <c r="F13" s="9" t="s">
        <v>68</v>
      </c>
    </row>
    <row r="14" customFormat="false" ht="28.35" hidden="false" customHeight="false" outlineLevel="0" collapsed="false">
      <c r="A14" s="3" t="s">
        <v>857</v>
      </c>
      <c r="B14" s="19" t="n">
        <v>4.76</v>
      </c>
      <c r="C14" s="4" t="s">
        <v>858</v>
      </c>
      <c r="F14" s="9" t="s">
        <v>75</v>
      </c>
    </row>
    <row r="15" customFormat="false" ht="15" hidden="false" customHeight="false" outlineLevel="0" collapsed="false">
      <c r="A15" s="3" t="s">
        <v>859</v>
      </c>
      <c r="B15" s="19" t="n">
        <v>1.82</v>
      </c>
      <c r="C15" s="4" t="s">
        <v>860</v>
      </c>
    </row>
    <row r="17" customFormat="false" ht="15" hidden="false" customHeight="false" outlineLevel="0" collapsed="false">
      <c r="A17" s="3" t="s">
        <v>861</v>
      </c>
    </row>
    <row r="18" customFormat="false" ht="15" hidden="false" customHeight="false" outlineLevel="0" collapsed="false">
      <c r="A18" s="0" t="s">
        <v>862</v>
      </c>
      <c r="B18" s="0" t="s">
        <v>863</v>
      </c>
    </row>
    <row r="19" customFormat="false" ht="15" hidden="false" customHeight="false" outlineLevel="0" collapsed="false">
      <c r="A19" s="0" t="s">
        <v>864</v>
      </c>
      <c r="B19" s="0" t="s">
        <v>865</v>
      </c>
    </row>
    <row r="20" customFormat="false" ht="15" hidden="false" customHeight="false" outlineLevel="0" collapsed="false">
      <c r="A20" s="0" t="s">
        <v>866</v>
      </c>
      <c r="C20" s="0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735</v>
      </c>
      <c r="B1" s="12" t="s">
        <v>506</v>
      </c>
      <c r="C1" s="12" t="s">
        <v>531</v>
      </c>
      <c r="D1" s="12" t="s">
        <v>505</v>
      </c>
      <c r="E1" s="12" t="s">
        <v>868</v>
      </c>
      <c r="F1" s="12" t="s">
        <v>869</v>
      </c>
      <c r="G1" s="12" t="s">
        <v>870</v>
      </c>
      <c r="H1" s="12" t="s">
        <v>871</v>
      </c>
      <c r="I1" s="12" t="s">
        <v>872</v>
      </c>
      <c r="J1" s="12" t="s">
        <v>873</v>
      </c>
      <c r="K1" s="12" t="s">
        <v>874</v>
      </c>
      <c r="L1" s="12" t="s">
        <v>875</v>
      </c>
      <c r="M1" s="12" t="s">
        <v>876</v>
      </c>
      <c r="N1" s="12" t="s">
        <v>877</v>
      </c>
      <c r="O1" s="12" t="s">
        <v>878</v>
      </c>
    </row>
    <row r="2" customFormat="false" ht="15" hidden="false" customHeight="false" outlineLevel="0" collapsed="false">
      <c r="A2" s="0" t="s">
        <v>786</v>
      </c>
      <c r="B2" s="0" t="s">
        <v>636</v>
      </c>
      <c r="C2" s="0" t="s">
        <v>568</v>
      </c>
      <c r="D2" s="0" t="s">
        <v>581</v>
      </c>
      <c r="E2" s="0" t="s">
        <v>879</v>
      </c>
      <c r="F2" s="0" t="n">
        <v>28</v>
      </c>
      <c r="G2" s="0" t="n">
        <v>13.25</v>
      </c>
      <c r="H2" s="0" t="n">
        <v>0.62</v>
      </c>
      <c r="I2" s="10" t="n">
        <v>0.518</v>
      </c>
      <c r="J2" s="0" t="n">
        <v>0.32</v>
      </c>
      <c r="K2" s="0" t="n">
        <v>0.91</v>
      </c>
      <c r="L2" s="0" t="n">
        <v>1.07</v>
      </c>
      <c r="M2" s="11" t="n">
        <f aca="false">IFERROR(G2/H2,"")</f>
        <v>21.3709677419355</v>
      </c>
      <c r="N2" s="9" t="s">
        <v>880</v>
      </c>
      <c r="O2" s="9" t="s">
        <v>881</v>
      </c>
    </row>
    <row r="3" customFormat="false" ht="15" hidden="false" customHeight="false" outlineLevel="0" collapsed="false">
      <c r="A3" s="0" t="s">
        <v>787</v>
      </c>
      <c r="B3" s="0" t="s">
        <v>643</v>
      </c>
      <c r="C3" s="0" t="s">
        <v>568</v>
      </c>
      <c r="D3" s="0" t="s">
        <v>581</v>
      </c>
      <c r="E3" s="0" t="s">
        <v>879</v>
      </c>
      <c r="F3" s="0" t="n">
        <v>29</v>
      </c>
      <c r="G3" s="0" t="n">
        <v>13.55</v>
      </c>
      <c r="H3" s="0" t="n">
        <v>0.61</v>
      </c>
      <c r="I3" s="10" t="n">
        <v>0.537</v>
      </c>
      <c r="J3" s="0" t="n">
        <v>0.33</v>
      </c>
      <c r="K3" s="0" t="n">
        <v>0.96</v>
      </c>
      <c r="L3" s="0" t="n">
        <v>1.02</v>
      </c>
      <c r="M3" s="11" t="n">
        <f aca="false">IFERROR(G3/H3,"")</f>
        <v>22.2131147540984</v>
      </c>
      <c r="N3" s="9" t="s">
        <v>880</v>
      </c>
      <c r="O3" s="9" t="s">
        <v>882</v>
      </c>
    </row>
    <row r="4" customFormat="false" ht="15" hidden="false" customHeight="false" outlineLevel="0" collapsed="false">
      <c r="A4" s="0" t="s">
        <v>788</v>
      </c>
      <c r="B4" s="0" t="s">
        <v>647</v>
      </c>
      <c r="C4" s="0" t="s">
        <v>568</v>
      </c>
      <c r="D4" s="0" t="s">
        <v>581</v>
      </c>
      <c r="E4" s="0" t="s">
        <v>879</v>
      </c>
      <c r="F4" s="0" t="n">
        <v>29</v>
      </c>
      <c r="G4" s="0" t="n">
        <v>15.52</v>
      </c>
      <c r="H4" s="0" t="n">
        <v>0.69</v>
      </c>
      <c r="I4" s="10" t="n">
        <v>0.711</v>
      </c>
      <c r="J4" s="0" t="n">
        <v>0.49</v>
      </c>
      <c r="K4" s="0" t="n">
        <v>1.11</v>
      </c>
      <c r="L4" s="0" t="n">
        <v>1.23</v>
      </c>
      <c r="M4" s="11" t="n">
        <f aca="false">IFERROR(G4/H4,"")</f>
        <v>22.4927536231884</v>
      </c>
      <c r="N4" s="9" t="s">
        <v>880</v>
      </c>
      <c r="O4" s="9" t="s">
        <v>883</v>
      </c>
    </row>
    <row r="5" customFormat="false" ht="15" hidden="false" customHeight="false" outlineLevel="0" collapsed="false">
      <c r="A5" s="0" t="s">
        <v>789</v>
      </c>
      <c r="B5" s="0" t="s">
        <v>651</v>
      </c>
      <c r="C5" s="0" t="s">
        <v>568</v>
      </c>
      <c r="D5" s="0" t="s">
        <v>581</v>
      </c>
      <c r="E5" s="0" t="s">
        <v>879</v>
      </c>
      <c r="F5" s="0" t="n">
        <v>29</v>
      </c>
      <c r="G5" s="0" t="n">
        <v>17.07</v>
      </c>
      <c r="H5" s="0" t="n">
        <v>0.76</v>
      </c>
      <c r="I5" s="10" t="n">
        <v>0.378</v>
      </c>
      <c r="J5" s="0" t="n">
        <v>0.29</v>
      </c>
      <c r="K5" s="0" t="n">
        <v>1.33</v>
      </c>
      <c r="L5" s="0" t="n">
        <v>1.23</v>
      </c>
      <c r="M5" s="11" t="n">
        <f aca="false">IFERROR(G5/H5,"")</f>
        <v>22.4605263157895</v>
      </c>
      <c r="N5" s="9" t="s">
        <v>880</v>
      </c>
      <c r="O5" s="9" t="s">
        <v>884</v>
      </c>
    </row>
    <row r="6" customFormat="false" ht="15" hidden="false" customHeight="false" outlineLevel="0" collapsed="false">
      <c r="A6" s="0" t="s">
        <v>790</v>
      </c>
      <c r="B6" s="0" t="s">
        <v>654</v>
      </c>
      <c r="C6" s="0" t="s">
        <v>568</v>
      </c>
      <c r="D6" s="0" t="s">
        <v>581</v>
      </c>
      <c r="E6" s="0" t="s">
        <v>879</v>
      </c>
      <c r="F6" s="0" t="n">
        <v>29</v>
      </c>
      <c r="G6" s="0" t="n">
        <v>16.72</v>
      </c>
      <c r="H6" s="0" t="n">
        <v>0.75</v>
      </c>
      <c r="I6" s="10" t="n">
        <v>0.604</v>
      </c>
      <c r="J6" s="0" t="n">
        <v>0.45</v>
      </c>
      <c r="K6" s="0" t="n">
        <v>1.13</v>
      </c>
      <c r="L6" s="0" t="n">
        <v>1.21</v>
      </c>
      <c r="M6" s="11" t="n">
        <f aca="false">IFERROR(G6/H6,"")</f>
        <v>22.2933333333333</v>
      </c>
      <c r="N6" s="9" t="s">
        <v>880</v>
      </c>
      <c r="O6" s="9" t="s">
        <v>885</v>
      </c>
    </row>
    <row r="7" customFormat="false" ht="15" hidden="false" customHeight="false" outlineLevel="0" collapsed="false">
      <c r="A7" s="0" t="s">
        <v>796</v>
      </c>
      <c r="B7" s="0" t="s">
        <v>671</v>
      </c>
      <c r="C7" s="0" t="s">
        <v>568</v>
      </c>
      <c r="D7" s="0" t="s">
        <v>574</v>
      </c>
      <c r="E7" s="0" t="s">
        <v>886</v>
      </c>
      <c r="F7" s="0" t="n">
        <v>37</v>
      </c>
      <c r="G7" s="0" t="n">
        <v>16.32</v>
      </c>
      <c r="H7" s="0" t="n">
        <v>0.75</v>
      </c>
      <c r="I7" s="10" t="n">
        <v>0.47</v>
      </c>
      <c r="J7" s="0" t="n">
        <v>0.35</v>
      </c>
      <c r="K7" s="0" t="n">
        <v>1.3</v>
      </c>
      <c r="L7" s="0" t="n">
        <v>1.22</v>
      </c>
      <c r="M7" s="11" t="n">
        <f aca="false">IFERROR(G7/H7,"")</f>
        <v>21.76</v>
      </c>
      <c r="N7" s="9" t="s">
        <v>880</v>
      </c>
      <c r="O7" s="9" t="s">
        <v>887</v>
      </c>
    </row>
    <row r="8" customFormat="false" ht="15" hidden="false" customHeight="false" outlineLevel="0" collapsed="false">
      <c r="A8" s="0" t="s">
        <v>797</v>
      </c>
      <c r="B8" s="0" t="s">
        <v>673</v>
      </c>
      <c r="C8" s="0" t="s">
        <v>568</v>
      </c>
      <c r="D8" s="0" t="s">
        <v>574</v>
      </c>
      <c r="E8" s="0" t="s">
        <v>886</v>
      </c>
      <c r="F8" s="0" t="n">
        <v>37</v>
      </c>
      <c r="G8" s="0" t="n">
        <v>14.16</v>
      </c>
      <c r="H8" s="0" t="n">
        <v>0.65</v>
      </c>
      <c r="I8" s="10" t="n">
        <v>0.601</v>
      </c>
      <c r="J8" s="0" t="n">
        <v>0.39</v>
      </c>
      <c r="K8" s="0" t="n">
        <v>0.97</v>
      </c>
      <c r="L8" s="0" t="n">
        <v>1.02</v>
      </c>
      <c r="M8" s="11" t="n">
        <f aca="false">IFERROR(G8/H8,"")</f>
        <v>21.7846153846154</v>
      </c>
      <c r="N8" s="9" t="s">
        <v>880</v>
      </c>
      <c r="O8" s="9" t="s">
        <v>888</v>
      </c>
    </row>
    <row r="9" customFormat="false" ht="15" hidden="false" customHeight="false" outlineLevel="0" collapsed="false">
      <c r="A9" s="0" t="s">
        <v>798</v>
      </c>
      <c r="B9" s="0" t="s">
        <v>676</v>
      </c>
      <c r="C9" s="0" t="s">
        <v>568</v>
      </c>
      <c r="D9" s="0" t="s">
        <v>574</v>
      </c>
      <c r="E9" s="0" t="s">
        <v>886</v>
      </c>
      <c r="F9" s="0" t="n">
        <v>37</v>
      </c>
      <c r="G9" s="0" t="n">
        <v>14.57</v>
      </c>
      <c r="H9" s="0" t="n">
        <v>0.67</v>
      </c>
      <c r="I9" s="10" t="n">
        <v>0.275</v>
      </c>
      <c r="J9" s="0" t="n">
        <v>0.18</v>
      </c>
      <c r="K9" s="0" t="n">
        <v>1.08</v>
      </c>
      <c r="L9" s="0" t="n">
        <v>1.06</v>
      </c>
      <c r="M9" s="11" t="n">
        <f aca="false">IFERROR(G9/H9,"")</f>
        <v>21.7462686567164</v>
      </c>
      <c r="N9" s="9" t="s">
        <v>880</v>
      </c>
      <c r="O9" s="9" t="s">
        <v>889</v>
      </c>
    </row>
    <row r="10" customFormat="false" ht="15" hidden="false" customHeight="false" outlineLevel="0" collapsed="false">
      <c r="A10" s="0" t="s">
        <v>799</v>
      </c>
      <c r="B10" s="0" t="s">
        <v>678</v>
      </c>
      <c r="C10" s="0" t="s">
        <v>568</v>
      </c>
      <c r="D10" s="0" t="s">
        <v>574</v>
      </c>
      <c r="E10" s="0" t="s">
        <v>886</v>
      </c>
      <c r="F10" s="0" t="n">
        <v>37</v>
      </c>
      <c r="G10" s="0" t="n">
        <v>13.27</v>
      </c>
      <c r="H10" s="0" t="n">
        <v>0.61</v>
      </c>
      <c r="I10" s="10" t="n">
        <v>0.552</v>
      </c>
      <c r="J10" s="0" t="n">
        <v>0.34</v>
      </c>
      <c r="K10" s="0" t="n">
        <v>0.87</v>
      </c>
      <c r="L10" s="0" t="n">
        <v>0.95</v>
      </c>
      <c r="M10" s="11" t="n">
        <f aca="false">IFERROR(G10/H10,"")</f>
        <v>21.7540983606557</v>
      </c>
      <c r="N10" s="9" t="s">
        <v>880</v>
      </c>
      <c r="O10" s="9" t="s">
        <v>890</v>
      </c>
    </row>
    <row r="11" customFormat="false" ht="15" hidden="false" customHeight="false" outlineLevel="0" collapsed="false">
      <c r="A11" s="0" t="s">
        <v>800</v>
      </c>
      <c r="B11" s="0" t="s">
        <v>680</v>
      </c>
      <c r="C11" s="0" t="s">
        <v>568</v>
      </c>
      <c r="D11" s="0" t="s">
        <v>574</v>
      </c>
      <c r="E11" s="0" t="s">
        <v>886</v>
      </c>
      <c r="F11" s="0" t="n">
        <v>37</v>
      </c>
      <c r="G11" s="0" t="n">
        <v>13.32</v>
      </c>
      <c r="H11" s="0" t="n">
        <v>0.61</v>
      </c>
      <c r="I11" s="10" t="n">
        <v>0.477</v>
      </c>
      <c r="J11" s="0" t="n">
        <v>0.29</v>
      </c>
      <c r="K11" s="0" t="n">
        <v>0.88</v>
      </c>
      <c r="L11" s="0" t="n">
        <v>1.01</v>
      </c>
      <c r="M11" s="11" t="n">
        <f aca="false">IFERROR(G11/H11,"")</f>
        <v>21.8360655737705</v>
      </c>
      <c r="N11" s="9" t="s">
        <v>880</v>
      </c>
      <c r="O11" s="9" t="s">
        <v>891</v>
      </c>
    </row>
    <row r="12" customFormat="false" ht="15" hidden="false" customHeight="false" outlineLevel="0" collapsed="false">
      <c r="A12" s="0" t="s">
        <v>810</v>
      </c>
      <c r="B12" s="0" t="s">
        <v>700</v>
      </c>
      <c r="C12" s="0" t="s">
        <v>568</v>
      </c>
      <c r="D12" s="0" t="s">
        <v>596</v>
      </c>
      <c r="E12" s="0" t="s">
        <v>892</v>
      </c>
      <c r="F12" s="0" t="n">
        <v>30</v>
      </c>
      <c r="G12" s="0" t="n">
        <v>18.97</v>
      </c>
      <c r="H12" s="0" t="n">
        <v>0.82</v>
      </c>
      <c r="I12" s="10" t="n">
        <v>0.598</v>
      </c>
      <c r="J12" s="0" t="n">
        <v>0.49</v>
      </c>
      <c r="K12" s="0" t="n">
        <v>1.26</v>
      </c>
      <c r="L12" s="0" t="n">
        <v>1.33</v>
      </c>
      <c r="M12" s="11" t="n">
        <f aca="false">IFERROR(G12/H12,"")</f>
        <v>23.1341463414634</v>
      </c>
      <c r="N12" s="9" t="s">
        <v>880</v>
      </c>
      <c r="O12" s="9" t="s">
        <v>893</v>
      </c>
    </row>
    <row r="13" customFormat="false" ht="15" hidden="false" customHeight="false" outlineLevel="0" collapsed="false">
      <c r="A13" s="0" t="s">
        <v>811</v>
      </c>
      <c r="B13" s="0" t="s">
        <v>702</v>
      </c>
      <c r="C13" s="0" t="s">
        <v>568</v>
      </c>
      <c r="D13" s="0" t="s">
        <v>596</v>
      </c>
      <c r="E13" s="0" t="s">
        <v>892</v>
      </c>
      <c r="F13" s="0" t="n">
        <v>30</v>
      </c>
      <c r="G13" s="0" t="n">
        <v>16.1</v>
      </c>
      <c r="H13" s="0" t="n">
        <v>0.7</v>
      </c>
      <c r="I13" s="10" t="n">
        <v>0.578</v>
      </c>
      <c r="J13" s="0" t="n">
        <v>0.4</v>
      </c>
      <c r="K13" s="0" t="n">
        <v>1.02</v>
      </c>
      <c r="L13" s="0" t="n">
        <v>1.09</v>
      </c>
      <c r="M13" s="11" t="n">
        <f aca="false">IFERROR(G13/H13,"")</f>
        <v>23</v>
      </c>
      <c r="N13" s="9" t="s">
        <v>880</v>
      </c>
      <c r="O13" s="9" t="s">
        <v>894</v>
      </c>
    </row>
    <row r="14" customFormat="false" ht="15" hidden="false" customHeight="false" outlineLevel="0" collapsed="false">
      <c r="A14" s="0" t="s">
        <v>812</v>
      </c>
      <c r="B14" s="0" t="s">
        <v>704</v>
      </c>
      <c r="C14" s="0" t="s">
        <v>568</v>
      </c>
      <c r="D14" s="0" t="s">
        <v>596</v>
      </c>
      <c r="E14" s="0" t="s">
        <v>892</v>
      </c>
      <c r="F14" s="0" t="n">
        <v>30</v>
      </c>
      <c r="G14" s="0" t="n">
        <v>13.77</v>
      </c>
      <c r="H14" s="0" t="n">
        <v>0.6</v>
      </c>
      <c r="I14" s="10" t="n">
        <v>0.55</v>
      </c>
      <c r="J14" s="0" t="n">
        <v>0.33</v>
      </c>
      <c r="K14" s="0" t="n">
        <v>0.88</v>
      </c>
      <c r="L14" s="0" t="n">
        <v>1</v>
      </c>
      <c r="M14" s="11" t="n">
        <f aca="false">IFERROR(G14/H14,"")</f>
        <v>22.95</v>
      </c>
      <c r="N14" s="9" t="s">
        <v>880</v>
      </c>
      <c r="O14" s="9" t="s">
        <v>895</v>
      </c>
    </row>
    <row r="15" customFormat="false" ht="15" hidden="false" customHeight="false" outlineLevel="0" collapsed="false">
      <c r="A15" s="0" t="s">
        <v>813</v>
      </c>
      <c r="B15" s="0" t="s">
        <v>706</v>
      </c>
      <c r="C15" s="0" t="s">
        <v>568</v>
      </c>
      <c r="D15" s="0" t="s">
        <v>596</v>
      </c>
      <c r="E15" s="0" t="s">
        <v>892</v>
      </c>
      <c r="F15" s="0" t="n">
        <v>30</v>
      </c>
      <c r="G15" s="0" t="n">
        <v>15.73</v>
      </c>
      <c r="H15" s="0" t="n">
        <v>0.68</v>
      </c>
      <c r="I15" s="10" t="n">
        <v>0.411</v>
      </c>
      <c r="J15" s="0" t="n">
        <v>0.28</v>
      </c>
      <c r="K15" s="0" t="n">
        <v>1.19</v>
      </c>
      <c r="L15" s="0" t="n">
        <v>1.13</v>
      </c>
      <c r="M15" s="11" t="n">
        <f aca="false">IFERROR(G15/H15,"")</f>
        <v>23.1323529411765</v>
      </c>
      <c r="N15" s="9" t="s">
        <v>880</v>
      </c>
      <c r="O15" s="9" t="s">
        <v>896</v>
      </c>
    </row>
    <row r="16" customFormat="false" ht="15" hidden="false" customHeight="false" outlineLevel="0" collapsed="false">
      <c r="A16" s="0" t="s">
        <v>814</v>
      </c>
      <c r="B16" s="0" t="s">
        <v>708</v>
      </c>
      <c r="C16" s="0" t="s">
        <v>568</v>
      </c>
      <c r="D16" s="0" t="s">
        <v>596</v>
      </c>
      <c r="E16" s="0" t="s">
        <v>892</v>
      </c>
      <c r="F16" s="0" t="n">
        <v>30</v>
      </c>
      <c r="G16" s="0" t="n">
        <v>15.83</v>
      </c>
      <c r="H16" s="0" t="n">
        <v>0.69</v>
      </c>
      <c r="I16" s="10" t="n">
        <v>0.549</v>
      </c>
      <c r="J16" s="0" t="n">
        <v>0.38</v>
      </c>
      <c r="K16" s="0" t="n">
        <v>1.03</v>
      </c>
      <c r="L16" s="0" t="n">
        <v>1.19</v>
      </c>
      <c r="M16" s="11" t="n">
        <f aca="false">IFERROR(G16/H16,"")</f>
        <v>22.9420289855073</v>
      </c>
      <c r="N16" s="9" t="s">
        <v>880</v>
      </c>
      <c r="O16" s="9" t="s">
        <v>897</v>
      </c>
    </row>
    <row r="17" customFormat="false" ht="15" hidden="false" customHeight="false" outlineLevel="0" collapsed="false">
      <c r="A17" s="0" t="s">
        <v>791</v>
      </c>
      <c r="B17" s="0" t="s">
        <v>657</v>
      </c>
      <c r="C17" s="0" t="s">
        <v>568</v>
      </c>
      <c r="D17" s="0" t="s">
        <v>582</v>
      </c>
      <c r="E17" s="0" t="s">
        <v>898</v>
      </c>
      <c r="F17" s="0" t="n">
        <v>37</v>
      </c>
      <c r="G17" s="0" t="n">
        <v>15.54</v>
      </c>
      <c r="H17" s="0" t="n">
        <v>0.67</v>
      </c>
      <c r="I17" s="10" t="n">
        <v>0.478</v>
      </c>
      <c r="J17" s="0" t="n">
        <v>0.32</v>
      </c>
      <c r="K17" s="0" t="n">
        <v>1.02</v>
      </c>
      <c r="L17" s="0" t="n">
        <v>1.15</v>
      </c>
      <c r="M17" s="11" t="n">
        <f aca="false">IFERROR(G17/H17,"")</f>
        <v>23.1940298507463</v>
      </c>
      <c r="N17" s="9" t="s">
        <v>880</v>
      </c>
      <c r="O17" s="9" t="s">
        <v>899</v>
      </c>
    </row>
    <row r="18" customFormat="false" ht="15" hidden="false" customHeight="false" outlineLevel="0" collapsed="false">
      <c r="A18" s="0" t="s">
        <v>792</v>
      </c>
      <c r="B18" s="0" t="s">
        <v>661</v>
      </c>
      <c r="C18" s="0" t="s">
        <v>568</v>
      </c>
      <c r="D18" s="0" t="s">
        <v>582</v>
      </c>
      <c r="E18" s="0" t="s">
        <v>898</v>
      </c>
      <c r="F18" s="0" t="n">
        <v>37</v>
      </c>
      <c r="G18" s="0" t="n">
        <v>15.97</v>
      </c>
      <c r="H18" s="0" t="n">
        <v>0.69</v>
      </c>
      <c r="I18" s="10" t="n">
        <v>0.381</v>
      </c>
      <c r="J18" s="0" t="n">
        <v>0.26</v>
      </c>
      <c r="K18" s="0" t="n">
        <v>1.16</v>
      </c>
      <c r="L18" s="0" t="n">
        <v>1.15</v>
      </c>
      <c r="M18" s="11" t="n">
        <f aca="false">IFERROR(G18/H18,"")</f>
        <v>23.1449275362319</v>
      </c>
      <c r="N18" s="9" t="s">
        <v>880</v>
      </c>
      <c r="O18" s="9" t="s">
        <v>900</v>
      </c>
    </row>
    <row r="19" customFormat="false" ht="15" hidden="false" customHeight="false" outlineLevel="0" collapsed="false">
      <c r="A19" s="0" t="s">
        <v>793</v>
      </c>
      <c r="B19" s="0" t="s">
        <v>663</v>
      </c>
      <c r="C19" s="0" t="s">
        <v>568</v>
      </c>
      <c r="D19" s="0" t="s">
        <v>582</v>
      </c>
      <c r="E19" s="0" t="s">
        <v>898</v>
      </c>
      <c r="F19" s="0" t="n">
        <v>37</v>
      </c>
      <c r="G19" s="0" t="n">
        <v>15.35</v>
      </c>
      <c r="H19" s="0" t="n">
        <v>0.66</v>
      </c>
      <c r="I19" s="10" t="n">
        <v>0.669</v>
      </c>
      <c r="J19" s="0" t="n">
        <v>0.44</v>
      </c>
      <c r="K19" s="0" t="n">
        <v>0.97</v>
      </c>
      <c r="L19" s="0" t="n">
        <v>1.12</v>
      </c>
      <c r="M19" s="11" t="n">
        <f aca="false">IFERROR(G19/H19,"")</f>
        <v>23.2575757575758</v>
      </c>
      <c r="N19" s="9" t="s">
        <v>880</v>
      </c>
      <c r="O19" s="9" t="s">
        <v>901</v>
      </c>
    </row>
    <row r="20" customFormat="false" ht="15" hidden="false" customHeight="false" outlineLevel="0" collapsed="false">
      <c r="A20" s="0" t="s">
        <v>794</v>
      </c>
      <c r="B20" s="0" t="s">
        <v>665</v>
      </c>
      <c r="C20" s="0" t="s">
        <v>568</v>
      </c>
      <c r="D20" s="0" t="s">
        <v>582</v>
      </c>
      <c r="E20" s="0" t="s">
        <v>898</v>
      </c>
      <c r="F20" s="0" t="n">
        <v>37</v>
      </c>
      <c r="G20" s="0" t="n">
        <v>13.59</v>
      </c>
      <c r="H20" s="0" t="n">
        <v>0.58</v>
      </c>
      <c r="I20" s="10" t="n">
        <v>0.517</v>
      </c>
      <c r="J20" s="0" t="n">
        <v>0.3</v>
      </c>
      <c r="K20" s="0" t="n">
        <v>0.89</v>
      </c>
      <c r="L20" s="0" t="n">
        <v>0.99</v>
      </c>
      <c r="M20" s="11" t="n">
        <f aca="false">IFERROR(G20/H20,"")</f>
        <v>23.4310344827586</v>
      </c>
      <c r="N20" s="9" t="s">
        <v>880</v>
      </c>
      <c r="O20" s="9" t="s">
        <v>902</v>
      </c>
    </row>
    <row r="21" customFormat="false" ht="15" hidden="false" customHeight="false" outlineLevel="0" collapsed="false">
      <c r="A21" s="0" t="s">
        <v>795</v>
      </c>
      <c r="B21" s="0" t="s">
        <v>668</v>
      </c>
      <c r="C21" s="0" t="s">
        <v>568</v>
      </c>
      <c r="D21" s="0" t="s">
        <v>582</v>
      </c>
      <c r="E21" s="0" t="s">
        <v>898</v>
      </c>
      <c r="F21" s="0" t="n">
        <v>37</v>
      </c>
      <c r="G21" s="0" t="n">
        <v>17.41</v>
      </c>
      <c r="H21" s="0" t="n">
        <v>0.75</v>
      </c>
      <c r="I21" s="10" t="n">
        <v>0.557</v>
      </c>
      <c r="J21" s="0" t="n">
        <v>0.42</v>
      </c>
      <c r="K21" s="0" t="n">
        <v>1.14</v>
      </c>
      <c r="L21" s="0" t="n">
        <v>1.21</v>
      </c>
      <c r="M21" s="11" t="n">
        <f aca="false">IFERROR(G21/H21,"")</f>
        <v>23.2133333333333</v>
      </c>
      <c r="N21" s="9" t="s">
        <v>880</v>
      </c>
      <c r="O21" s="9" t="s">
        <v>903</v>
      </c>
    </row>
    <row r="22" customFormat="false" ht="15" hidden="false" customHeight="false" outlineLevel="0" collapsed="false">
      <c r="A22" s="0" t="s">
        <v>806</v>
      </c>
      <c r="B22" s="0" t="s">
        <v>692</v>
      </c>
      <c r="C22" s="0" t="s">
        <v>568</v>
      </c>
      <c r="D22" s="0" t="s">
        <v>588</v>
      </c>
      <c r="E22" s="0" t="s">
        <v>904</v>
      </c>
      <c r="F22" s="0" t="n">
        <v>30</v>
      </c>
      <c r="G22" s="0" t="n">
        <v>15.33</v>
      </c>
      <c r="H22" s="0" t="n">
        <v>0.69</v>
      </c>
      <c r="I22" s="10" t="n">
        <v>0.57</v>
      </c>
      <c r="J22" s="0" t="n">
        <v>0.4</v>
      </c>
      <c r="K22" s="0" t="n">
        <v>1</v>
      </c>
      <c r="L22" s="0" t="n">
        <v>1.11</v>
      </c>
      <c r="M22" s="11" t="n">
        <f aca="false">IFERROR(G22/H22,"")</f>
        <v>22.2173913043478</v>
      </c>
      <c r="N22" s="9" t="s">
        <v>880</v>
      </c>
      <c r="O22" s="9" t="s">
        <v>905</v>
      </c>
    </row>
    <row r="23" customFormat="false" ht="15" hidden="false" customHeight="false" outlineLevel="0" collapsed="false">
      <c r="A23" s="0" t="s">
        <v>807</v>
      </c>
      <c r="B23" s="0" t="s">
        <v>694</v>
      </c>
      <c r="C23" s="0" t="s">
        <v>568</v>
      </c>
      <c r="D23" s="0" t="s">
        <v>588</v>
      </c>
      <c r="E23" s="0" t="s">
        <v>904</v>
      </c>
      <c r="F23" s="0" t="n">
        <v>30</v>
      </c>
      <c r="G23" s="0" t="n">
        <v>15.73</v>
      </c>
      <c r="H23" s="0" t="n">
        <v>0.71</v>
      </c>
      <c r="I23" s="10" t="n">
        <v>0.528</v>
      </c>
      <c r="J23" s="0" t="n">
        <v>0.38</v>
      </c>
      <c r="K23" s="0" t="n">
        <v>1.06</v>
      </c>
      <c r="L23" s="0" t="n">
        <v>1.08</v>
      </c>
      <c r="M23" s="11" t="n">
        <f aca="false">IFERROR(G23/H23,"")</f>
        <v>22.1549295774648</v>
      </c>
      <c r="N23" s="9" t="s">
        <v>880</v>
      </c>
      <c r="O23" s="9" t="s">
        <v>906</v>
      </c>
    </row>
    <row r="24" customFormat="false" ht="15" hidden="false" customHeight="false" outlineLevel="0" collapsed="false">
      <c r="A24" s="0" t="s">
        <v>808</v>
      </c>
      <c r="B24" s="0" t="s">
        <v>696</v>
      </c>
      <c r="C24" s="0" t="s">
        <v>568</v>
      </c>
      <c r="D24" s="0" t="s">
        <v>588</v>
      </c>
      <c r="E24" s="0" t="s">
        <v>904</v>
      </c>
      <c r="F24" s="0" t="n">
        <v>30</v>
      </c>
      <c r="G24" s="0" t="n">
        <v>16.73</v>
      </c>
      <c r="H24" s="0" t="n">
        <v>0.76</v>
      </c>
      <c r="I24" s="10" t="n">
        <v>0.325</v>
      </c>
      <c r="J24" s="0" t="n">
        <v>0.25</v>
      </c>
      <c r="K24" s="0" t="n">
        <v>1.26</v>
      </c>
      <c r="L24" s="0" t="n">
        <v>1.14</v>
      </c>
      <c r="M24" s="11" t="n">
        <f aca="false">IFERROR(G24/H24,"")</f>
        <v>22.0131578947368</v>
      </c>
      <c r="N24" s="9" t="s">
        <v>880</v>
      </c>
      <c r="O24" s="9" t="s">
        <v>907</v>
      </c>
    </row>
    <row r="25" customFormat="false" ht="15" hidden="false" customHeight="false" outlineLevel="0" collapsed="false">
      <c r="A25" s="0" t="s">
        <v>809</v>
      </c>
      <c r="B25" s="0" t="s">
        <v>698</v>
      </c>
      <c r="C25" s="0" t="s">
        <v>568</v>
      </c>
      <c r="D25" s="0" t="s">
        <v>588</v>
      </c>
      <c r="E25" s="0" t="s">
        <v>904</v>
      </c>
      <c r="F25" s="0" t="n">
        <v>30</v>
      </c>
      <c r="G25" s="0" t="n">
        <v>12.87</v>
      </c>
      <c r="H25" s="0" t="n">
        <v>0.58</v>
      </c>
      <c r="I25" s="10" t="n">
        <v>0.523</v>
      </c>
      <c r="J25" s="0" t="n">
        <v>0.3</v>
      </c>
      <c r="K25" s="0" t="n">
        <v>0.82</v>
      </c>
      <c r="L25" s="0" t="n">
        <v>0.97</v>
      </c>
      <c r="M25" s="11" t="n">
        <f aca="false">IFERROR(G25/H25,"")</f>
        <v>22.1896551724138</v>
      </c>
      <c r="N25" s="9" t="s">
        <v>880</v>
      </c>
      <c r="O25" s="9" t="s">
        <v>908</v>
      </c>
    </row>
    <row r="26" customFormat="false" ht="15" hidden="false" customHeight="false" outlineLevel="0" collapsed="false">
      <c r="A26" s="0" t="s">
        <v>801</v>
      </c>
      <c r="B26" s="0" t="s">
        <v>682</v>
      </c>
      <c r="C26" s="0" t="s">
        <v>568</v>
      </c>
      <c r="D26" s="0" t="s">
        <v>575</v>
      </c>
      <c r="E26" s="0" t="s">
        <v>909</v>
      </c>
      <c r="F26" s="0" t="n">
        <v>34</v>
      </c>
      <c r="G26" s="0" t="n">
        <v>16.85</v>
      </c>
      <c r="H26" s="0" t="n">
        <v>0.78</v>
      </c>
      <c r="I26" s="10" t="n">
        <v>0.372</v>
      </c>
      <c r="J26" s="0" t="n">
        <v>0.29</v>
      </c>
      <c r="K26" s="0" t="n">
        <v>1.22</v>
      </c>
      <c r="L26" s="0" t="n">
        <v>1.2</v>
      </c>
      <c r="M26" s="11" t="n">
        <f aca="false">IFERROR(G26/H26,"")</f>
        <v>21.6025641025641</v>
      </c>
      <c r="N26" s="9" t="s">
        <v>880</v>
      </c>
      <c r="O26" s="9" t="s">
        <v>910</v>
      </c>
    </row>
    <row r="27" customFormat="false" ht="15" hidden="false" customHeight="false" outlineLevel="0" collapsed="false">
      <c r="A27" s="0" t="s">
        <v>802</v>
      </c>
      <c r="B27" s="0" t="s">
        <v>684</v>
      </c>
      <c r="C27" s="0" t="s">
        <v>568</v>
      </c>
      <c r="D27" s="0" t="s">
        <v>575</v>
      </c>
      <c r="E27" s="0" t="s">
        <v>909</v>
      </c>
      <c r="F27" s="0" t="n">
        <v>34</v>
      </c>
      <c r="G27" s="0" t="n">
        <v>14.74</v>
      </c>
      <c r="H27" s="0" t="n">
        <v>0.68</v>
      </c>
      <c r="I27" s="10" t="n">
        <v>0.453</v>
      </c>
      <c r="J27" s="0" t="n">
        <v>0.31</v>
      </c>
      <c r="K27" s="0" t="n">
        <v>1</v>
      </c>
      <c r="L27" s="0" t="n">
        <v>1.1</v>
      </c>
      <c r="M27" s="11" t="n">
        <f aca="false">IFERROR(G27/H27,"")</f>
        <v>21.6764705882353</v>
      </c>
      <c r="N27" s="9" t="s">
        <v>880</v>
      </c>
      <c r="O27" s="9" t="s">
        <v>911</v>
      </c>
    </row>
    <row r="28" customFormat="false" ht="15" hidden="false" customHeight="false" outlineLevel="0" collapsed="false">
      <c r="A28" s="0" t="s">
        <v>803</v>
      </c>
      <c r="B28" s="0" t="s">
        <v>686</v>
      </c>
      <c r="C28" s="0" t="s">
        <v>568</v>
      </c>
      <c r="D28" s="0" t="s">
        <v>575</v>
      </c>
      <c r="E28" s="0" t="s">
        <v>909</v>
      </c>
      <c r="F28" s="0" t="n">
        <v>37</v>
      </c>
      <c r="G28" s="0" t="n">
        <v>15.78</v>
      </c>
      <c r="H28" s="0" t="n">
        <v>0.71</v>
      </c>
      <c r="I28" s="10" t="n">
        <v>0.596</v>
      </c>
      <c r="J28" s="0" t="n">
        <v>0.42</v>
      </c>
      <c r="K28" s="0" t="n">
        <v>1.08</v>
      </c>
      <c r="L28" s="0" t="n">
        <v>1.15</v>
      </c>
      <c r="M28" s="11" t="n">
        <f aca="false">IFERROR(G28/H28,"")</f>
        <v>22.2253521126761</v>
      </c>
      <c r="N28" s="9" t="s">
        <v>880</v>
      </c>
      <c r="O28" s="9" t="s">
        <v>912</v>
      </c>
    </row>
    <row r="29" customFormat="false" ht="15" hidden="false" customHeight="false" outlineLevel="0" collapsed="false">
      <c r="A29" s="0" t="s">
        <v>804</v>
      </c>
      <c r="B29" s="0" t="s">
        <v>688</v>
      </c>
      <c r="C29" s="0" t="s">
        <v>568</v>
      </c>
      <c r="D29" s="0" t="s">
        <v>575</v>
      </c>
      <c r="E29" s="0" t="s">
        <v>909</v>
      </c>
      <c r="F29" s="0" t="n">
        <v>35</v>
      </c>
      <c r="G29" s="0" t="n">
        <v>13.74</v>
      </c>
      <c r="H29" s="0" t="n">
        <v>0.66</v>
      </c>
      <c r="I29" s="10" t="n">
        <v>0.578</v>
      </c>
      <c r="J29" s="0" t="n">
        <v>0.38</v>
      </c>
      <c r="K29" s="0" t="n">
        <v>0.96</v>
      </c>
      <c r="L29" s="0" t="n">
        <v>1.05</v>
      </c>
      <c r="M29" s="11" t="n">
        <f aca="false">IFERROR(G29/H29,"")</f>
        <v>20.8181818181818</v>
      </c>
      <c r="N29" s="9" t="s">
        <v>880</v>
      </c>
      <c r="O29" s="9" t="s">
        <v>913</v>
      </c>
    </row>
    <row r="30" customFormat="false" ht="15" hidden="false" customHeight="false" outlineLevel="0" collapsed="false">
      <c r="A30" s="0" t="s">
        <v>805</v>
      </c>
      <c r="B30" s="0" t="s">
        <v>690</v>
      </c>
      <c r="C30" s="0" t="s">
        <v>568</v>
      </c>
      <c r="D30" s="0" t="s">
        <v>575</v>
      </c>
      <c r="E30" s="0" t="s">
        <v>909</v>
      </c>
      <c r="F30" s="0" t="n">
        <v>34</v>
      </c>
      <c r="G30" s="0" t="n">
        <v>11.97</v>
      </c>
      <c r="H30" s="0" t="n">
        <v>0.55</v>
      </c>
      <c r="I30" s="10" t="n">
        <v>0.612</v>
      </c>
      <c r="J30" s="0" t="n">
        <v>0.34</v>
      </c>
      <c r="K30" s="0" t="n">
        <v>0.84</v>
      </c>
      <c r="L30" s="0" t="n">
        <v>0.94</v>
      </c>
      <c r="M30" s="11" t="n">
        <f aca="false">IFERROR(G30/H30,"")</f>
        <v>21.7636363636364</v>
      </c>
      <c r="N30" s="9" t="s">
        <v>880</v>
      </c>
      <c r="O30" s="9" t="s">
        <v>914</v>
      </c>
    </row>
    <row r="31" customFormat="false" ht="15" hidden="false" customHeight="false" outlineLevel="0" collapsed="false">
      <c r="A31" s="0" t="s">
        <v>815</v>
      </c>
      <c r="B31" s="0" t="s">
        <v>710</v>
      </c>
      <c r="C31" s="0" t="s">
        <v>568</v>
      </c>
      <c r="D31" s="0" t="s">
        <v>595</v>
      </c>
      <c r="E31" s="0" t="s">
        <v>915</v>
      </c>
      <c r="F31" s="0" t="n">
        <v>30</v>
      </c>
      <c r="G31" s="0" t="n">
        <v>14.5</v>
      </c>
      <c r="H31" s="0" t="n">
        <v>0.68</v>
      </c>
      <c r="I31" s="10" t="n">
        <v>0.584</v>
      </c>
      <c r="J31" s="0" t="n">
        <v>0.4</v>
      </c>
      <c r="K31" s="0" t="n">
        <v>0.99</v>
      </c>
      <c r="L31" s="0" t="n">
        <v>1.11</v>
      </c>
      <c r="M31" s="11" t="n">
        <f aca="false">IFERROR(G31/H31,"")</f>
        <v>21.3235294117647</v>
      </c>
      <c r="N31" s="9" t="s">
        <v>880</v>
      </c>
      <c r="O31" s="9" t="s">
        <v>916</v>
      </c>
    </row>
    <row r="32" customFormat="false" ht="15" hidden="false" customHeight="false" outlineLevel="0" collapsed="false">
      <c r="A32" s="0" t="s">
        <v>816</v>
      </c>
      <c r="B32" s="0" t="s">
        <v>712</v>
      </c>
      <c r="C32" s="0" t="s">
        <v>568</v>
      </c>
      <c r="D32" s="0" t="s">
        <v>595</v>
      </c>
      <c r="E32" s="0" t="s">
        <v>915</v>
      </c>
      <c r="F32" s="0" t="n">
        <v>30</v>
      </c>
      <c r="G32" s="0" t="n">
        <v>14.07</v>
      </c>
      <c r="H32" s="0" t="n">
        <v>0.66</v>
      </c>
      <c r="I32" s="10" t="n">
        <v>0.517</v>
      </c>
      <c r="J32" s="0" t="n">
        <v>0.34</v>
      </c>
      <c r="K32" s="0" t="n">
        <v>0.95</v>
      </c>
      <c r="L32" s="0" t="n">
        <v>1.09</v>
      </c>
      <c r="M32" s="11" t="n">
        <f aca="false">IFERROR(G32/H32,"")</f>
        <v>21.3181818181818</v>
      </c>
      <c r="N32" s="9" t="s">
        <v>880</v>
      </c>
      <c r="O32" s="9" t="s">
        <v>917</v>
      </c>
    </row>
    <row r="33" customFormat="false" ht="15" hidden="false" customHeight="false" outlineLevel="0" collapsed="false">
      <c r="A33" s="0" t="s">
        <v>817</v>
      </c>
      <c r="B33" s="0" t="s">
        <v>714</v>
      </c>
      <c r="C33" s="0" t="s">
        <v>568</v>
      </c>
      <c r="D33" s="0" t="s">
        <v>595</v>
      </c>
      <c r="E33" s="0" t="s">
        <v>915</v>
      </c>
      <c r="F33" s="0" t="n">
        <v>30</v>
      </c>
      <c r="G33" s="0" t="n">
        <v>13.7</v>
      </c>
      <c r="H33" s="0" t="n">
        <v>0.65</v>
      </c>
      <c r="I33" s="10" t="n">
        <v>0.311</v>
      </c>
      <c r="J33" s="0" t="n">
        <v>0.2</v>
      </c>
      <c r="K33" s="0" t="n">
        <v>1.2</v>
      </c>
      <c r="L33" s="0" t="n">
        <v>1.03</v>
      </c>
      <c r="M33" s="11" t="n">
        <f aca="false">IFERROR(G33/H33,"")</f>
        <v>21.0769230769231</v>
      </c>
      <c r="N33" s="9" t="s">
        <v>880</v>
      </c>
      <c r="O33" s="9" t="s">
        <v>918</v>
      </c>
    </row>
    <row r="34" customFormat="false" ht="15" hidden="false" customHeight="false" outlineLevel="0" collapsed="false">
      <c r="A34" s="0" t="s">
        <v>818</v>
      </c>
      <c r="B34" s="0" t="s">
        <v>716</v>
      </c>
      <c r="C34" s="0" t="s">
        <v>568</v>
      </c>
      <c r="D34" s="0" t="s">
        <v>595</v>
      </c>
      <c r="E34" s="0" t="s">
        <v>915</v>
      </c>
      <c r="F34" s="0" t="n">
        <v>30</v>
      </c>
      <c r="G34" s="0" t="n">
        <v>14.73</v>
      </c>
      <c r="H34" s="0" t="n">
        <v>0.69</v>
      </c>
      <c r="I34" s="10" t="n">
        <v>0.593</v>
      </c>
      <c r="J34" s="0" t="n">
        <v>0.41</v>
      </c>
      <c r="K34" s="0" t="n">
        <v>1.14</v>
      </c>
      <c r="L34" s="0" t="n">
        <v>1.16</v>
      </c>
      <c r="M34" s="11" t="n">
        <f aca="false">IFERROR(G34/H34,"")</f>
        <v>21.3478260869565</v>
      </c>
      <c r="N34" s="9" t="s">
        <v>880</v>
      </c>
      <c r="O34" s="9" t="s">
        <v>919</v>
      </c>
    </row>
    <row r="35" customFormat="false" ht="15" hidden="false" customHeight="false" outlineLevel="0" collapsed="false">
      <c r="A35" s="0" t="s">
        <v>819</v>
      </c>
      <c r="B35" s="0" t="s">
        <v>718</v>
      </c>
      <c r="C35" s="0" t="s">
        <v>568</v>
      </c>
      <c r="D35" s="0" t="s">
        <v>595</v>
      </c>
      <c r="E35" s="0" t="s">
        <v>915</v>
      </c>
      <c r="F35" s="0" t="n">
        <v>30</v>
      </c>
      <c r="G35" s="0" t="n">
        <v>15.83</v>
      </c>
      <c r="H35" s="0" t="n">
        <v>0.75</v>
      </c>
      <c r="I35" s="10" t="n">
        <v>0.554</v>
      </c>
      <c r="J35" s="0" t="n">
        <v>0.41</v>
      </c>
      <c r="K35" s="0" t="n">
        <v>1.21</v>
      </c>
      <c r="L35" s="0" t="n">
        <v>1.29</v>
      </c>
      <c r="M35" s="11" t="n">
        <f aca="false">IFERROR(G35/H35,"")</f>
        <v>21.1066666666667</v>
      </c>
      <c r="N35" s="9" t="s">
        <v>880</v>
      </c>
      <c r="O35" s="9" t="s">
        <v>920</v>
      </c>
    </row>
    <row r="36" customFormat="false" ht="15" hidden="false" customHeight="false" outlineLevel="0" collapsed="false">
      <c r="A36" s="0" t="s">
        <v>824</v>
      </c>
      <c r="B36" s="0" t="s">
        <v>728</v>
      </c>
      <c r="C36" s="0" t="s">
        <v>598</v>
      </c>
      <c r="D36" s="0" t="s">
        <v>612</v>
      </c>
      <c r="E36" s="0" t="s">
        <v>921</v>
      </c>
      <c r="F36" s="0" t="n">
        <v>37</v>
      </c>
      <c r="G36" s="0" t="n">
        <v>17.03</v>
      </c>
      <c r="H36" s="0" t="n">
        <v>0.77</v>
      </c>
      <c r="I36" s="10"/>
      <c r="K36" s="0" t="n">
        <v>1.13</v>
      </c>
      <c r="M36" s="11" t="n">
        <f aca="false">IFERROR(G36/H36,"")</f>
        <v>22.1168831168831</v>
      </c>
      <c r="N36" s="9" t="s">
        <v>880</v>
      </c>
      <c r="O36" s="9" t="s">
        <v>922</v>
      </c>
    </row>
    <row r="37" customFormat="false" ht="15" hidden="false" customHeight="false" outlineLevel="0" collapsed="false">
      <c r="A37" s="0" t="s">
        <v>825</v>
      </c>
      <c r="B37" s="0" t="s">
        <v>730</v>
      </c>
      <c r="C37" s="0" t="s">
        <v>598</v>
      </c>
      <c r="D37" s="0" t="s">
        <v>612</v>
      </c>
      <c r="E37" s="0" t="s">
        <v>921</v>
      </c>
      <c r="F37" s="0" t="n">
        <v>41</v>
      </c>
      <c r="G37" s="0" t="n">
        <v>12.05</v>
      </c>
      <c r="H37" s="0" t="n">
        <v>0.56</v>
      </c>
      <c r="I37" s="10"/>
      <c r="K37" s="0" t="n">
        <v>0.83</v>
      </c>
      <c r="M37" s="11" t="n">
        <f aca="false">IFERROR(G37/H37,"")</f>
        <v>21.5178571428571</v>
      </c>
      <c r="N37" s="9" t="s">
        <v>880</v>
      </c>
      <c r="O37" s="9" t="s">
        <v>923</v>
      </c>
    </row>
    <row r="38" customFormat="false" ht="15" hidden="false" customHeight="false" outlineLevel="0" collapsed="false">
      <c r="A38" s="0" t="s">
        <v>826</v>
      </c>
      <c r="B38" s="0" t="s">
        <v>732</v>
      </c>
      <c r="C38" s="0" t="s">
        <v>598</v>
      </c>
      <c r="D38" s="0" t="s">
        <v>612</v>
      </c>
      <c r="E38" s="0" t="s">
        <v>921</v>
      </c>
      <c r="F38" s="0" t="n">
        <v>16</v>
      </c>
      <c r="G38" s="0" t="n">
        <v>15.5</v>
      </c>
      <c r="H38" s="0" t="n">
        <v>0.73</v>
      </c>
      <c r="I38" s="10"/>
      <c r="K38" s="0" t="n">
        <v>0.98</v>
      </c>
      <c r="M38" s="11" t="n">
        <f aca="false">IFERROR(G38/H38,"")</f>
        <v>21.2328767123288</v>
      </c>
      <c r="N38" s="9" t="s">
        <v>880</v>
      </c>
      <c r="O38" s="9" t="s">
        <v>924</v>
      </c>
    </row>
    <row r="39" customFormat="false" ht="15" hidden="false" customHeight="false" outlineLevel="0" collapsed="false">
      <c r="A39" s="0" t="s">
        <v>820</v>
      </c>
      <c r="B39" s="0" t="s">
        <v>720</v>
      </c>
      <c r="C39" s="0" t="s">
        <v>598</v>
      </c>
      <c r="D39" s="0" t="s">
        <v>604</v>
      </c>
      <c r="E39" s="0" t="s">
        <v>925</v>
      </c>
      <c r="F39" s="0" t="n">
        <v>4</v>
      </c>
      <c r="G39" s="0" t="n">
        <v>17</v>
      </c>
      <c r="H39" s="0" t="n">
        <v>0.69</v>
      </c>
      <c r="I39" s="10"/>
      <c r="K39" s="0" t="n">
        <v>0.88</v>
      </c>
      <c r="M39" s="11" t="n">
        <f aca="false">IFERROR(G39/H39,"")</f>
        <v>24.6376811594203</v>
      </c>
      <c r="N39" s="9" t="s">
        <v>880</v>
      </c>
      <c r="O39" s="9" t="s">
        <v>926</v>
      </c>
    </row>
    <row r="40" customFormat="false" ht="15" hidden="false" customHeight="false" outlineLevel="0" collapsed="false">
      <c r="A40" s="0" t="s">
        <v>821</v>
      </c>
      <c r="B40" s="0" t="s">
        <v>722</v>
      </c>
      <c r="C40" s="0" t="s">
        <v>598</v>
      </c>
      <c r="D40" s="0" t="s">
        <v>604</v>
      </c>
      <c r="E40" s="0" t="s">
        <v>925</v>
      </c>
      <c r="F40" s="0" t="n">
        <v>30</v>
      </c>
      <c r="G40" s="0" t="n">
        <v>18.3</v>
      </c>
      <c r="H40" s="0" t="n">
        <v>0.84</v>
      </c>
      <c r="I40" s="10"/>
      <c r="K40" s="0" t="n">
        <v>1.17</v>
      </c>
      <c r="M40" s="11" t="n">
        <f aca="false">IFERROR(G40/H40,"")</f>
        <v>21.7857142857143</v>
      </c>
      <c r="N40" s="9" t="s">
        <v>880</v>
      </c>
      <c r="O40" s="9" t="s">
        <v>927</v>
      </c>
    </row>
    <row r="41" customFormat="false" ht="15" hidden="false" customHeight="false" outlineLevel="0" collapsed="false">
      <c r="A41" s="0" t="s">
        <v>822</v>
      </c>
      <c r="B41" s="0" t="s">
        <v>724</v>
      </c>
      <c r="C41" s="0" t="s">
        <v>598</v>
      </c>
      <c r="D41" s="0" t="s">
        <v>605</v>
      </c>
      <c r="E41" s="0" t="s">
        <v>928</v>
      </c>
      <c r="F41" s="0" t="n">
        <v>16</v>
      </c>
      <c r="G41" s="0" t="n">
        <v>18.44</v>
      </c>
      <c r="H41" s="0" t="n">
        <v>0.85</v>
      </c>
      <c r="I41" s="10"/>
      <c r="K41" s="0" t="n">
        <v>1.23</v>
      </c>
      <c r="M41" s="11" t="n">
        <f aca="false">IFERROR(G41/H41,"")</f>
        <v>21.6941176470588</v>
      </c>
      <c r="N41" s="9" t="s">
        <v>880</v>
      </c>
      <c r="O41" s="9" t="s">
        <v>929</v>
      </c>
    </row>
    <row r="42" customFormat="false" ht="15" hidden="false" customHeight="false" outlineLevel="0" collapsed="false">
      <c r="A42" s="0" t="s">
        <v>823</v>
      </c>
      <c r="B42" s="0" t="s">
        <v>726</v>
      </c>
      <c r="C42" s="0" t="s">
        <v>598</v>
      </c>
      <c r="D42" s="0" t="s">
        <v>605</v>
      </c>
      <c r="E42" s="0" t="s">
        <v>928</v>
      </c>
      <c r="F42" s="0" t="n">
        <v>4</v>
      </c>
      <c r="G42" s="0" t="n">
        <v>7.75</v>
      </c>
      <c r="H42" s="0" t="n">
        <v>0.4</v>
      </c>
      <c r="I42" s="10"/>
      <c r="K42" s="0" t="n">
        <v>0.52</v>
      </c>
      <c r="M42" s="11" t="n">
        <f aca="false">IFERROR(G42/H42,"")</f>
        <v>19.375</v>
      </c>
      <c r="N42" s="9" t="s">
        <v>880</v>
      </c>
      <c r="O42" s="9" t="s">
        <v>930</v>
      </c>
    </row>
  </sheetData>
  <autoFilter ref="A1:O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734</v>
      </c>
      <c r="B1" s="12" t="s">
        <v>735</v>
      </c>
      <c r="C1" s="12" t="s">
        <v>506</v>
      </c>
      <c r="D1" s="12" t="s">
        <v>531</v>
      </c>
      <c r="E1" s="12" t="s">
        <v>58</v>
      </c>
      <c r="F1" s="12" t="s">
        <v>931</v>
      </c>
      <c r="G1" s="12" t="s">
        <v>932</v>
      </c>
      <c r="H1" s="12" t="s">
        <v>933</v>
      </c>
      <c r="I1" s="12" t="s">
        <v>872</v>
      </c>
      <c r="J1" s="12" t="s">
        <v>874</v>
      </c>
      <c r="K1" s="12" t="s">
        <v>934</v>
      </c>
    </row>
    <row r="2" customFormat="false" ht="15" hidden="false" customHeight="false" outlineLevel="0" collapsed="false">
      <c r="A2" s="0" t="s">
        <v>935</v>
      </c>
      <c r="B2" s="0" t="s">
        <v>806</v>
      </c>
      <c r="C2" s="0" t="s">
        <v>692</v>
      </c>
      <c r="D2" s="0" t="s">
        <v>568</v>
      </c>
      <c r="E2" s="0" t="s">
        <v>174</v>
      </c>
      <c r="F2" s="0" t="n">
        <v>8</v>
      </c>
      <c r="G2" s="0" t="n">
        <v>15</v>
      </c>
      <c r="H2" s="0" t="n">
        <v>0.72</v>
      </c>
      <c r="I2" s="10" t="n">
        <v>0.608</v>
      </c>
      <c r="J2" s="0" t="n">
        <v>1.11</v>
      </c>
      <c r="K2" s="13" t="n">
        <f aca="false">IF(H2&lt;&gt;"",H2,IFERROR(G2/INDEX(Players!$M$2:$M$42,MATCH(B2,Players!$A$2:$A$42,0)),""))</f>
        <v>0.72</v>
      </c>
    </row>
    <row r="3" customFormat="false" ht="15" hidden="false" customHeight="false" outlineLevel="0" collapsed="false">
      <c r="A3" s="0" t="s">
        <v>936</v>
      </c>
      <c r="B3" s="0" t="s">
        <v>806</v>
      </c>
      <c r="C3" s="0" t="s">
        <v>692</v>
      </c>
      <c r="D3" s="0" t="s">
        <v>568</v>
      </c>
      <c r="E3" s="0" t="s">
        <v>338</v>
      </c>
      <c r="F3" s="0" t="n">
        <v>6</v>
      </c>
      <c r="G3" s="0" t="n">
        <v>16.7</v>
      </c>
      <c r="H3" s="0" t="n">
        <v>0.76</v>
      </c>
      <c r="I3" s="10" t="n">
        <v>0.53</v>
      </c>
      <c r="J3" s="0" t="n">
        <v>1.16</v>
      </c>
      <c r="K3" s="13" t="n">
        <f aca="false">IF(H3&lt;&gt;"",H3,IFERROR(G3/INDEX(Players!$M$2:$M$42,MATCH(B3,Players!$A$2:$A$42,0)),""))</f>
        <v>0.76</v>
      </c>
    </row>
    <row r="4" customFormat="false" ht="15" hidden="false" customHeight="false" outlineLevel="0" collapsed="false">
      <c r="A4" s="0" t="s">
        <v>937</v>
      </c>
      <c r="B4" s="0" t="s">
        <v>806</v>
      </c>
      <c r="C4" s="0" t="s">
        <v>692</v>
      </c>
      <c r="D4" s="0" t="s">
        <v>568</v>
      </c>
      <c r="E4" s="0" t="s">
        <v>161</v>
      </c>
      <c r="F4" s="0" t="n">
        <v>5</v>
      </c>
      <c r="G4" s="0" t="n">
        <v>13</v>
      </c>
      <c r="H4" s="0" t="n">
        <v>0.66</v>
      </c>
      <c r="I4" s="10" t="n">
        <v>0.569</v>
      </c>
      <c r="J4" s="0" t="n">
        <v>0.89</v>
      </c>
      <c r="K4" s="13" t="n">
        <f aca="false">IF(H4&lt;&gt;"",H4,IFERROR(G4/INDEX(Players!$M$2:$M$42,MATCH(B4,Players!$A$2:$A$42,0)),""))</f>
        <v>0.66</v>
      </c>
    </row>
    <row r="5" customFormat="false" ht="15" hidden="false" customHeight="false" outlineLevel="0" collapsed="false">
      <c r="A5" s="0" t="s">
        <v>938</v>
      </c>
      <c r="B5" s="0" t="s">
        <v>806</v>
      </c>
      <c r="C5" s="0" t="s">
        <v>692</v>
      </c>
      <c r="D5" s="0" t="s">
        <v>568</v>
      </c>
      <c r="E5" s="0" t="s">
        <v>184</v>
      </c>
      <c r="F5" s="0" t="n">
        <v>5</v>
      </c>
      <c r="G5" s="0" t="n">
        <v>16.8</v>
      </c>
      <c r="H5" s="0" t="n">
        <v>0.62</v>
      </c>
      <c r="I5" s="10" t="n">
        <v>0.548</v>
      </c>
      <c r="J5" s="0" t="n">
        <v>0.82</v>
      </c>
      <c r="K5" s="13" t="n">
        <f aca="false">IF(H5&lt;&gt;"",H5,IFERROR(G5/INDEX(Players!$M$2:$M$42,MATCH(B5,Players!$A$2:$A$42,0)),""))</f>
        <v>0.62</v>
      </c>
    </row>
    <row r="6" customFormat="false" ht="15" hidden="false" customHeight="false" outlineLevel="0" collapsed="false">
      <c r="A6" s="0" t="s">
        <v>939</v>
      </c>
      <c r="B6" s="0" t="s">
        <v>806</v>
      </c>
      <c r="C6" s="0" t="s">
        <v>692</v>
      </c>
      <c r="D6" s="0" t="s">
        <v>568</v>
      </c>
      <c r="E6" s="0" t="s">
        <v>147</v>
      </c>
      <c r="F6" s="0" t="n">
        <v>4</v>
      </c>
      <c r="G6" s="0" t="n">
        <v>16.5</v>
      </c>
      <c r="H6" s="0" t="n">
        <v>0.79</v>
      </c>
      <c r="I6" s="10" t="n">
        <v>0.636</v>
      </c>
      <c r="J6" s="0" t="n">
        <v>1.08</v>
      </c>
      <c r="K6" s="13" t="n">
        <f aca="false">IF(H6&lt;&gt;"",H6,IFERROR(G6/INDEX(Players!$M$2:$M$42,MATCH(B6,Players!$A$2:$A$42,0)),""))</f>
        <v>0.79</v>
      </c>
    </row>
    <row r="7" customFormat="false" ht="15" hidden="false" customHeight="false" outlineLevel="0" collapsed="false">
      <c r="A7" s="0" t="s">
        <v>940</v>
      </c>
      <c r="B7" s="0" t="s">
        <v>806</v>
      </c>
      <c r="C7" s="0" t="s">
        <v>692</v>
      </c>
      <c r="D7" s="0" t="s">
        <v>568</v>
      </c>
      <c r="E7" s="0" t="s">
        <v>195</v>
      </c>
      <c r="F7" s="0" t="n">
        <v>2</v>
      </c>
      <c r="G7" s="0" t="n">
        <v>12.5</v>
      </c>
      <c r="H7" s="0" t="n">
        <v>0.54</v>
      </c>
      <c r="I7" s="10" t="n">
        <v>0.44</v>
      </c>
      <c r="J7" s="0" t="n">
        <v>0.81</v>
      </c>
      <c r="K7" s="13" t="n">
        <f aca="false">IF(H7&lt;&gt;"",H7,IFERROR(G7/INDEX(Players!$M$2:$M$42,MATCH(B7,Players!$A$2:$A$42,0)),""))</f>
        <v>0.54</v>
      </c>
    </row>
    <row r="8" customFormat="false" ht="15" hidden="false" customHeight="false" outlineLevel="0" collapsed="false">
      <c r="A8" s="0" t="s">
        <v>941</v>
      </c>
      <c r="B8" s="0" t="s">
        <v>801</v>
      </c>
      <c r="C8" s="0" t="s">
        <v>682</v>
      </c>
      <c r="D8" s="0" t="s">
        <v>568</v>
      </c>
      <c r="E8" s="0" t="s">
        <v>147</v>
      </c>
      <c r="F8" s="0" t="n">
        <v>10</v>
      </c>
      <c r="G8" s="0" t="n">
        <v>16.3</v>
      </c>
      <c r="H8" s="0" t="n">
        <v>0.79</v>
      </c>
      <c r="I8" s="10" t="n">
        <v>0.276</v>
      </c>
      <c r="J8" s="0" t="n">
        <v>1.26</v>
      </c>
      <c r="K8" s="13" t="n">
        <f aca="false">IF(H8&lt;&gt;"",H8,IFERROR(G8/INDEX(Players!$M$2:$M$42,MATCH(B8,Players!$A$2:$A$42,0)),""))</f>
        <v>0.79</v>
      </c>
    </row>
    <row r="9" customFormat="false" ht="15" hidden="false" customHeight="false" outlineLevel="0" collapsed="false">
      <c r="A9" s="0" t="s">
        <v>942</v>
      </c>
      <c r="B9" s="0" t="s">
        <v>801</v>
      </c>
      <c r="C9" s="0" t="s">
        <v>682</v>
      </c>
      <c r="D9" s="0" t="s">
        <v>568</v>
      </c>
      <c r="E9" s="0" t="s">
        <v>174</v>
      </c>
      <c r="F9" s="0" t="n">
        <v>6</v>
      </c>
      <c r="G9" s="0" t="n">
        <v>17.3</v>
      </c>
      <c r="H9" s="0" t="n">
        <v>0.87</v>
      </c>
      <c r="I9" s="10" t="n">
        <v>0.481</v>
      </c>
      <c r="J9" s="0" t="n">
        <v>1.32</v>
      </c>
      <c r="K9" s="13" t="n">
        <f aca="false">IF(H9&lt;&gt;"",H9,IFERROR(G9/INDEX(Players!$M$2:$M$42,MATCH(B9,Players!$A$2:$A$42,0)),""))</f>
        <v>0.87</v>
      </c>
    </row>
    <row r="10" customFormat="false" ht="15" hidden="false" customHeight="false" outlineLevel="0" collapsed="false">
      <c r="A10" s="0" t="s">
        <v>943</v>
      </c>
      <c r="B10" s="0" t="s">
        <v>801</v>
      </c>
      <c r="C10" s="0" t="s">
        <v>682</v>
      </c>
      <c r="D10" s="0" t="s">
        <v>568</v>
      </c>
      <c r="E10" s="0" t="s">
        <v>195</v>
      </c>
      <c r="F10" s="0" t="n">
        <v>5</v>
      </c>
      <c r="G10" s="0" t="n">
        <v>17.4</v>
      </c>
      <c r="H10" s="0" t="n">
        <v>0.84</v>
      </c>
      <c r="I10" s="10" t="n">
        <v>0.333</v>
      </c>
      <c r="J10" s="0" t="n">
        <v>1.43</v>
      </c>
      <c r="K10" s="13" t="n">
        <f aca="false">IF(H10&lt;&gt;"",H10,IFERROR(G10/INDEX(Players!$M$2:$M$42,MATCH(B10,Players!$A$2:$A$42,0)),""))</f>
        <v>0.84</v>
      </c>
    </row>
    <row r="11" customFormat="false" ht="15" hidden="false" customHeight="false" outlineLevel="0" collapsed="false">
      <c r="A11" s="0" t="s">
        <v>944</v>
      </c>
      <c r="B11" s="0" t="s">
        <v>801</v>
      </c>
      <c r="C11" s="0" t="s">
        <v>682</v>
      </c>
      <c r="D11" s="0" t="s">
        <v>568</v>
      </c>
      <c r="E11" s="0" t="s">
        <v>184</v>
      </c>
      <c r="F11" s="0" t="n">
        <v>5</v>
      </c>
      <c r="G11" s="0" t="n">
        <v>19.2</v>
      </c>
      <c r="H11" s="0" t="n">
        <v>0.77</v>
      </c>
      <c r="I11" s="10" t="n">
        <v>0.417</v>
      </c>
      <c r="J11" s="0" t="n">
        <v>1.22</v>
      </c>
      <c r="K11" s="13" t="n">
        <f aca="false">IF(H11&lt;&gt;"",H11,IFERROR(G11/INDEX(Players!$M$2:$M$42,MATCH(B11,Players!$A$2:$A$42,0)),""))</f>
        <v>0.77</v>
      </c>
    </row>
    <row r="12" customFormat="false" ht="15" hidden="false" customHeight="false" outlineLevel="0" collapsed="false">
      <c r="A12" s="0" t="s">
        <v>945</v>
      </c>
      <c r="B12" s="0" t="s">
        <v>801</v>
      </c>
      <c r="C12" s="0" t="s">
        <v>682</v>
      </c>
      <c r="D12" s="0" t="s">
        <v>568</v>
      </c>
      <c r="E12" s="0" t="s">
        <v>208</v>
      </c>
      <c r="F12" s="0" t="n">
        <v>5</v>
      </c>
      <c r="G12" s="0" t="n">
        <v>15.4</v>
      </c>
      <c r="H12" s="0" t="n">
        <v>0.67</v>
      </c>
      <c r="I12" s="10" t="n">
        <v>0.403</v>
      </c>
      <c r="J12" s="0" t="n">
        <v>0.94</v>
      </c>
      <c r="K12" s="13" t="n">
        <f aca="false">IF(H12&lt;&gt;"",H12,IFERROR(G12/INDEX(Players!$M$2:$M$42,MATCH(B12,Players!$A$2:$A$42,0)),""))</f>
        <v>0.67</v>
      </c>
    </row>
    <row r="13" customFormat="false" ht="15" hidden="false" customHeight="false" outlineLevel="0" collapsed="false">
      <c r="A13" s="0" t="s">
        <v>946</v>
      </c>
      <c r="B13" s="0" t="s">
        <v>801</v>
      </c>
      <c r="C13" s="0" t="s">
        <v>682</v>
      </c>
      <c r="D13" s="0" t="s">
        <v>568</v>
      </c>
      <c r="E13" s="0" t="s">
        <v>161</v>
      </c>
      <c r="F13" s="0" t="n">
        <v>2</v>
      </c>
      <c r="G13" s="0" t="n">
        <v>18</v>
      </c>
      <c r="H13" s="0" t="n">
        <v>0.86</v>
      </c>
      <c r="I13" s="10" t="n">
        <v>0.417</v>
      </c>
      <c r="J13" s="0" t="n">
        <v>1.44</v>
      </c>
      <c r="K13" s="13" t="n">
        <f aca="false">IF(H13&lt;&gt;"",H13,IFERROR(G13/INDEX(Players!$M$2:$M$42,MATCH(B13,Players!$A$2:$A$42,0)),""))</f>
        <v>0.86</v>
      </c>
    </row>
    <row r="14" customFormat="false" ht="15" hidden="false" customHeight="false" outlineLevel="0" collapsed="false">
      <c r="A14" s="0" t="s">
        <v>947</v>
      </c>
      <c r="B14" s="0" t="s">
        <v>801</v>
      </c>
      <c r="C14" s="0" t="s">
        <v>682</v>
      </c>
      <c r="D14" s="0" t="s">
        <v>568</v>
      </c>
      <c r="E14" s="0" t="s">
        <v>851</v>
      </c>
      <c r="F14" s="0" t="n">
        <v>1</v>
      </c>
      <c r="G14" s="0" t="n">
        <v>10</v>
      </c>
      <c r="H14" s="0" t="n">
        <v>0.48</v>
      </c>
      <c r="I14" s="10" t="n">
        <v>0.3</v>
      </c>
      <c r="J14" s="0" t="n">
        <v>0.71</v>
      </c>
      <c r="K14" s="13" t="n">
        <f aca="false">IF(H14&lt;&gt;"",H14,IFERROR(G14/INDEX(Players!$M$2:$M$42,MATCH(B14,Players!$A$2:$A$42,0)),""))</f>
        <v>0.48</v>
      </c>
    </row>
    <row r="15" customFormat="false" ht="15" hidden="false" customHeight="false" outlineLevel="0" collapsed="false">
      <c r="A15" s="0" t="s">
        <v>948</v>
      </c>
      <c r="B15" s="0" t="s">
        <v>786</v>
      </c>
      <c r="C15" s="0" t="s">
        <v>636</v>
      </c>
      <c r="D15" s="0" t="s">
        <v>568</v>
      </c>
      <c r="E15" s="0" t="s">
        <v>161</v>
      </c>
      <c r="F15" s="0" t="n">
        <v>7</v>
      </c>
      <c r="G15" s="0" t="n">
        <v>15</v>
      </c>
      <c r="H15" s="0" t="n">
        <v>0.61</v>
      </c>
      <c r="I15" s="10" t="n">
        <v>0.457</v>
      </c>
      <c r="J15" s="0" t="n">
        <v>0.94</v>
      </c>
      <c r="K15" s="13" t="n">
        <f aca="false">IF(H15&lt;&gt;"",H15,IFERROR(G15/INDEX(Players!$M$2:$M$42,MATCH(B15,Players!$A$2:$A$42,0)),""))</f>
        <v>0.61</v>
      </c>
    </row>
    <row r="16" customFormat="false" ht="15" hidden="false" customHeight="false" outlineLevel="0" collapsed="false">
      <c r="A16" s="0" t="s">
        <v>949</v>
      </c>
      <c r="B16" s="0" t="s">
        <v>786</v>
      </c>
      <c r="C16" s="0" t="s">
        <v>636</v>
      </c>
      <c r="D16" s="0" t="s">
        <v>568</v>
      </c>
      <c r="E16" s="0" t="s">
        <v>184</v>
      </c>
      <c r="F16" s="0" t="n">
        <v>5</v>
      </c>
      <c r="G16" s="0" t="n">
        <v>13</v>
      </c>
      <c r="H16" s="0" t="n">
        <v>0.64</v>
      </c>
      <c r="I16" s="10" t="n">
        <v>0.508</v>
      </c>
      <c r="J16" s="0" t="n">
        <v>1.05</v>
      </c>
      <c r="K16" s="13" t="n">
        <f aca="false">IF(H16&lt;&gt;"",H16,IFERROR(G16/INDEX(Players!$M$2:$M$42,MATCH(B16,Players!$A$2:$A$42,0)),""))</f>
        <v>0.64</v>
      </c>
    </row>
    <row r="17" customFormat="false" ht="15" hidden="false" customHeight="false" outlineLevel="0" collapsed="false">
      <c r="A17" s="0" t="s">
        <v>950</v>
      </c>
      <c r="B17" s="0" t="s">
        <v>786</v>
      </c>
      <c r="C17" s="0" t="s">
        <v>636</v>
      </c>
      <c r="D17" s="0" t="s">
        <v>568</v>
      </c>
      <c r="E17" s="0" t="s">
        <v>195</v>
      </c>
      <c r="F17" s="0" t="n">
        <v>5</v>
      </c>
      <c r="G17" s="0" t="n">
        <v>14</v>
      </c>
      <c r="H17" s="0" t="n">
        <v>0.72</v>
      </c>
      <c r="I17" s="10" t="n">
        <v>0.557</v>
      </c>
      <c r="J17" s="0" t="n">
        <v>1.03</v>
      </c>
      <c r="K17" s="13" t="n">
        <f aca="false">IF(H17&lt;&gt;"",H17,IFERROR(G17/INDEX(Players!$M$2:$M$42,MATCH(B17,Players!$A$2:$A$42,0)),""))</f>
        <v>0.72</v>
      </c>
    </row>
    <row r="18" customFormat="false" ht="15" hidden="false" customHeight="false" outlineLevel="0" collapsed="false">
      <c r="A18" s="0" t="s">
        <v>951</v>
      </c>
      <c r="B18" s="0" t="s">
        <v>786</v>
      </c>
      <c r="C18" s="0" t="s">
        <v>636</v>
      </c>
      <c r="D18" s="0" t="s">
        <v>568</v>
      </c>
      <c r="E18" s="0" t="s">
        <v>208</v>
      </c>
      <c r="F18" s="0" t="n">
        <v>4</v>
      </c>
      <c r="G18" s="0" t="n">
        <v>14</v>
      </c>
      <c r="H18" s="0" t="n">
        <v>0.58</v>
      </c>
      <c r="I18" s="10" t="n">
        <v>0.536</v>
      </c>
      <c r="J18" s="0" t="n">
        <v>0.84</v>
      </c>
      <c r="K18" s="13" t="n">
        <f aca="false">IF(H18&lt;&gt;"",H18,IFERROR(G18/INDEX(Players!$M$2:$M$42,MATCH(B18,Players!$A$2:$A$42,0)),""))</f>
        <v>0.58</v>
      </c>
    </row>
    <row r="19" customFormat="false" ht="15" hidden="false" customHeight="false" outlineLevel="0" collapsed="false">
      <c r="A19" s="0" t="s">
        <v>952</v>
      </c>
      <c r="B19" s="0" t="s">
        <v>786</v>
      </c>
      <c r="C19" s="0" t="s">
        <v>636</v>
      </c>
      <c r="D19" s="0" t="s">
        <v>568</v>
      </c>
      <c r="E19" s="0" t="s">
        <v>174</v>
      </c>
      <c r="F19" s="0" t="n">
        <v>4</v>
      </c>
      <c r="G19" s="0" t="n">
        <v>10.5</v>
      </c>
      <c r="H19" s="0" t="n">
        <v>0.53</v>
      </c>
      <c r="I19" s="10" t="n">
        <v>0.524</v>
      </c>
      <c r="J19" s="0" t="n">
        <v>0.72</v>
      </c>
      <c r="K19" s="13" t="n">
        <f aca="false">IF(H19&lt;&gt;"",H19,IFERROR(G19/INDEX(Players!$M$2:$M$42,MATCH(B19,Players!$A$2:$A$42,0)),""))</f>
        <v>0.53</v>
      </c>
    </row>
    <row r="20" customFormat="false" ht="15" hidden="false" customHeight="false" outlineLevel="0" collapsed="false">
      <c r="A20" s="0" t="s">
        <v>953</v>
      </c>
      <c r="B20" s="0" t="s">
        <v>786</v>
      </c>
      <c r="C20" s="0" t="s">
        <v>636</v>
      </c>
      <c r="D20" s="0" t="s">
        <v>568</v>
      </c>
      <c r="E20" s="0" t="s">
        <v>147</v>
      </c>
      <c r="F20" s="0" t="n">
        <v>3</v>
      </c>
      <c r="G20" s="0" t="n">
        <v>11</v>
      </c>
      <c r="H20" s="0" t="n">
        <v>0.57</v>
      </c>
      <c r="I20" s="10" t="n">
        <v>0.606</v>
      </c>
      <c r="J20" s="0" t="n">
        <v>0.79</v>
      </c>
      <c r="K20" s="13" t="n">
        <f aca="false">IF(H20&lt;&gt;"",H20,IFERROR(G20/INDEX(Players!$M$2:$M$42,MATCH(B20,Players!$A$2:$A$42,0)),""))</f>
        <v>0.57</v>
      </c>
    </row>
    <row r="21" customFormat="false" ht="15" hidden="false" customHeight="false" outlineLevel="0" collapsed="false">
      <c r="A21" s="0" t="s">
        <v>954</v>
      </c>
      <c r="B21" s="0" t="s">
        <v>815</v>
      </c>
      <c r="C21" s="0" t="s">
        <v>710</v>
      </c>
      <c r="D21" s="0" t="s">
        <v>568</v>
      </c>
      <c r="E21" s="0" t="s">
        <v>174</v>
      </c>
      <c r="F21" s="0" t="n">
        <v>10</v>
      </c>
      <c r="G21" s="0" t="n">
        <v>14.6</v>
      </c>
      <c r="H21" s="0" t="n">
        <v>0.73</v>
      </c>
      <c r="I21" s="10" t="n">
        <v>0.589</v>
      </c>
      <c r="J21" s="0" t="n">
        <v>1.11</v>
      </c>
      <c r="K21" s="13" t="n">
        <f aca="false">IF(H21&lt;&gt;"",H21,IFERROR(G21/INDEX(Players!$M$2:$M$42,MATCH(B21,Players!$A$2:$A$42,0)),""))</f>
        <v>0.73</v>
      </c>
    </row>
    <row r="22" customFormat="false" ht="15" hidden="false" customHeight="false" outlineLevel="0" collapsed="false">
      <c r="A22" s="0" t="s">
        <v>955</v>
      </c>
      <c r="B22" s="0" t="s">
        <v>815</v>
      </c>
      <c r="C22" s="0" t="s">
        <v>710</v>
      </c>
      <c r="D22" s="0" t="s">
        <v>568</v>
      </c>
      <c r="E22" s="0" t="s">
        <v>184</v>
      </c>
      <c r="F22" s="0" t="n">
        <v>6</v>
      </c>
      <c r="G22" s="0" t="n">
        <v>15.8</v>
      </c>
      <c r="H22" s="0" t="n">
        <v>0.66</v>
      </c>
      <c r="I22" s="10" t="n">
        <v>0.579</v>
      </c>
      <c r="J22" s="0" t="n">
        <v>0.9</v>
      </c>
      <c r="K22" s="13" t="n">
        <f aca="false">IF(H22&lt;&gt;"",H22,IFERROR(G22/INDEX(Players!$M$2:$M$42,MATCH(B22,Players!$A$2:$A$42,0)),""))</f>
        <v>0.66</v>
      </c>
    </row>
    <row r="23" customFormat="false" ht="15" hidden="false" customHeight="false" outlineLevel="0" collapsed="false">
      <c r="A23" s="0" t="s">
        <v>956</v>
      </c>
      <c r="B23" s="0" t="s">
        <v>815</v>
      </c>
      <c r="C23" s="0" t="s">
        <v>710</v>
      </c>
      <c r="D23" s="0" t="s">
        <v>568</v>
      </c>
      <c r="E23" s="0" t="s">
        <v>208</v>
      </c>
      <c r="F23" s="0" t="n">
        <v>6</v>
      </c>
      <c r="G23" s="0" t="n">
        <v>13.3</v>
      </c>
      <c r="H23" s="0" t="n">
        <v>0.67</v>
      </c>
      <c r="I23" s="10" t="n">
        <v>0.637</v>
      </c>
      <c r="J23" s="0" t="n">
        <v>0.89</v>
      </c>
      <c r="K23" s="13" t="n">
        <f aca="false">IF(H23&lt;&gt;"",H23,IFERROR(G23/INDEX(Players!$M$2:$M$42,MATCH(B23,Players!$A$2:$A$42,0)),""))</f>
        <v>0.67</v>
      </c>
    </row>
    <row r="24" customFormat="false" ht="15" hidden="false" customHeight="false" outlineLevel="0" collapsed="false">
      <c r="A24" s="0" t="s">
        <v>957</v>
      </c>
      <c r="B24" s="0" t="s">
        <v>815</v>
      </c>
      <c r="C24" s="0" t="s">
        <v>710</v>
      </c>
      <c r="D24" s="0" t="s">
        <v>568</v>
      </c>
      <c r="E24" s="0" t="s">
        <v>195</v>
      </c>
      <c r="F24" s="0" t="n">
        <v>3</v>
      </c>
      <c r="G24" s="0" t="n">
        <v>12.3</v>
      </c>
      <c r="H24" s="0" t="n">
        <v>0.61</v>
      </c>
      <c r="I24" s="10" t="n">
        <v>0.595</v>
      </c>
      <c r="J24" s="0" t="n">
        <v>0.95</v>
      </c>
      <c r="K24" s="13" t="n">
        <f aca="false">IF(H24&lt;&gt;"",H24,IFERROR(G24/INDEX(Players!$M$2:$M$42,MATCH(B24,Players!$A$2:$A$42,0)),""))</f>
        <v>0.61</v>
      </c>
    </row>
    <row r="25" customFormat="false" ht="15" hidden="false" customHeight="false" outlineLevel="0" collapsed="false">
      <c r="A25" s="0" t="s">
        <v>958</v>
      </c>
      <c r="B25" s="0" t="s">
        <v>815</v>
      </c>
      <c r="C25" s="0" t="s">
        <v>710</v>
      </c>
      <c r="D25" s="0" t="s">
        <v>568</v>
      </c>
      <c r="E25" s="0" t="s">
        <v>161</v>
      </c>
      <c r="F25" s="0" t="n">
        <v>3</v>
      </c>
      <c r="G25" s="0" t="n">
        <v>15.3</v>
      </c>
      <c r="H25" s="0" t="n">
        <v>0.63</v>
      </c>
      <c r="I25" s="10" t="n">
        <v>0.543</v>
      </c>
      <c r="J25" s="0" t="n">
        <v>0.88</v>
      </c>
      <c r="K25" s="13" t="n">
        <f aca="false">IF(H25&lt;&gt;"",H25,IFERROR(G25/INDEX(Players!$M$2:$M$42,MATCH(B25,Players!$A$2:$A$42,0)),""))</f>
        <v>0.63</v>
      </c>
    </row>
    <row r="26" customFormat="false" ht="15" hidden="false" customHeight="false" outlineLevel="0" collapsed="false">
      <c r="A26" s="0" t="s">
        <v>959</v>
      </c>
      <c r="B26" s="0" t="s">
        <v>815</v>
      </c>
      <c r="C26" s="0" t="s">
        <v>710</v>
      </c>
      <c r="D26" s="0" t="s">
        <v>568</v>
      </c>
      <c r="E26" s="0" t="s">
        <v>147</v>
      </c>
      <c r="F26" s="0" t="n">
        <v>2</v>
      </c>
      <c r="G26" s="0" t="n">
        <v>15.5</v>
      </c>
      <c r="H26" s="0" t="n">
        <v>0.82</v>
      </c>
      <c r="I26" s="10" t="n">
        <v>0.484</v>
      </c>
      <c r="J26" s="0" t="n">
        <v>1.55</v>
      </c>
      <c r="K26" s="13" t="n">
        <f aca="false">IF(H26&lt;&gt;"",H26,IFERROR(G26/INDEX(Players!$M$2:$M$42,MATCH(B26,Players!$A$2:$A$42,0)),""))</f>
        <v>0.82</v>
      </c>
    </row>
    <row r="27" customFormat="false" ht="15" hidden="false" customHeight="false" outlineLevel="0" collapsed="false">
      <c r="A27" s="0" t="s">
        <v>960</v>
      </c>
      <c r="B27" s="0" t="s">
        <v>796</v>
      </c>
      <c r="C27" s="0" t="s">
        <v>671</v>
      </c>
      <c r="D27" s="0" t="s">
        <v>568</v>
      </c>
      <c r="E27" s="0" t="s">
        <v>161</v>
      </c>
      <c r="F27" s="0" t="n">
        <v>13</v>
      </c>
      <c r="G27" s="0" t="n">
        <v>15.9</v>
      </c>
      <c r="H27" s="0" t="n">
        <v>0.75</v>
      </c>
      <c r="I27" s="10" t="n">
        <v>0.444</v>
      </c>
      <c r="J27" s="0" t="n">
        <v>1.24</v>
      </c>
      <c r="K27" s="13" t="n">
        <f aca="false">IF(H27&lt;&gt;"",H27,IFERROR(G27/INDEX(Players!$M$2:$M$42,MATCH(B27,Players!$A$2:$A$42,0)),""))</f>
        <v>0.75</v>
      </c>
    </row>
    <row r="28" customFormat="false" ht="15" hidden="false" customHeight="false" outlineLevel="0" collapsed="false">
      <c r="A28" s="0" t="s">
        <v>961</v>
      </c>
      <c r="B28" s="0" t="s">
        <v>796</v>
      </c>
      <c r="C28" s="0" t="s">
        <v>671</v>
      </c>
      <c r="D28" s="0" t="s">
        <v>568</v>
      </c>
      <c r="E28" s="0" t="s">
        <v>174</v>
      </c>
      <c r="F28" s="0" t="n">
        <v>8</v>
      </c>
      <c r="G28" s="0" t="n">
        <v>16.5</v>
      </c>
      <c r="H28" s="0" t="n">
        <v>0.78</v>
      </c>
      <c r="I28" s="10" t="n">
        <v>0.409</v>
      </c>
      <c r="J28" s="0" t="n">
        <v>1.39</v>
      </c>
      <c r="K28" s="13" t="n">
        <f aca="false">IF(H28&lt;&gt;"",H28,IFERROR(G28/INDEX(Players!$M$2:$M$42,MATCH(B28,Players!$A$2:$A$42,0)),""))</f>
        <v>0.78</v>
      </c>
    </row>
    <row r="29" customFormat="false" ht="15" hidden="false" customHeight="false" outlineLevel="0" collapsed="false">
      <c r="A29" s="0" t="s">
        <v>962</v>
      </c>
      <c r="B29" s="0" t="s">
        <v>796</v>
      </c>
      <c r="C29" s="0" t="s">
        <v>671</v>
      </c>
      <c r="D29" s="0" t="s">
        <v>568</v>
      </c>
      <c r="E29" s="0" t="s">
        <v>195</v>
      </c>
      <c r="F29" s="0" t="n">
        <v>6</v>
      </c>
      <c r="G29" s="0" t="n">
        <v>18.3</v>
      </c>
      <c r="H29" s="0" t="n">
        <v>0.76</v>
      </c>
      <c r="I29" s="10" t="n">
        <v>0.473</v>
      </c>
      <c r="J29" s="0" t="n">
        <v>1.33</v>
      </c>
      <c r="K29" s="13" t="n">
        <f aca="false">IF(H29&lt;&gt;"",H29,IFERROR(G29/INDEX(Players!$M$2:$M$42,MATCH(B29,Players!$A$2:$A$42,0)),""))</f>
        <v>0.76</v>
      </c>
    </row>
    <row r="30" customFormat="false" ht="15" hidden="false" customHeight="false" outlineLevel="0" collapsed="false">
      <c r="A30" s="0" t="s">
        <v>963</v>
      </c>
      <c r="B30" s="0" t="s">
        <v>796</v>
      </c>
      <c r="C30" s="0" t="s">
        <v>671</v>
      </c>
      <c r="D30" s="0" t="s">
        <v>568</v>
      </c>
      <c r="E30" s="0" t="s">
        <v>147</v>
      </c>
      <c r="F30" s="0" t="n">
        <v>5</v>
      </c>
      <c r="G30" s="0" t="n">
        <v>13.6</v>
      </c>
      <c r="H30" s="0" t="n">
        <v>0.64</v>
      </c>
      <c r="I30" s="10" t="n">
        <v>0.5</v>
      </c>
      <c r="J30" s="0" t="n">
        <v>1.06</v>
      </c>
      <c r="K30" s="13" t="n">
        <f aca="false">IF(H30&lt;&gt;"",H30,IFERROR(G30/INDEX(Players!$M$2:$M$42,MATCH(B30,Players!$A$2:$A$42,0)),""))</f>
        <v>0.64</v>
      </c>
    </row>
    <row r="31" customFormat="false" ht="15" hidden="false" customHeight="false" outlineLevel="0" collapsed="false">
      <c r="A31" s="0" t="s">
        <v>964</v>
      </c>
      <c r="B31" s="0" t="s">
        <v>796</v>
      </c>
      <c r="C31" s="0" t="s">
        <v>671</v>
      </c>
      <c r="D31" s="0" t="s">
        <v>568</v>
      </c>
      <c r="E31" s="0" t="s">
        <v>184</v>
      </c>
      <c r="F31" s="0" t="n">
        <v>3</v>
      </c>
      <c r="G31" s="0" t="n">
        <v>19</v>
      </c>
      <c r="H31" s="0" t="n">
        <v>0.92</v>
      </c>
      <c r="I31" s="10" t="n">
        <v>0.667</v>
      </c>
      <c r="J31" s="0" t="n">
        <v>1.73</v>
      </c>
      <c r="K31" s="13" t="n">
        <f aca="false">IF(H31&lt;&gt;"",H31,IFERROR(G31/INDEX(Players!$M$2:$M$42,MATCH(B31,Players!$A$2:$A$42,0)),""))</f>
        <v>0.92</v>
      </c>
    </row>
    <row r="32" customFormat="false" ht="15" hidden="false" customHeight="false" outlineLevel="0" collapsed="false">
      <c r="A32" s="0" t="s">
        <v>965</v>
      </c>
      <c r="B32" s="0" t="s">
        <v>796</v>
      </c>
      <c r="C32" s="0" t="s">
        <v>671</v>
      </c>
      <c r="D32" s="0" t="s">
        <v>568</v>
      </c>
      <c r="E32" s="0" t="s">
        <v>208</v>
      </c>
      <c r="F32" s="0" t="n">
        <v>2</v>
      </c>
      <c r="G32" s="0" t="n">
        <v>15</v>
      </c>
      <c r="H32" s="0" t="n">
        <v>0.65</v>
      </c>
      <c r="I32" s="10" t="n">
        <v>0.467</v>
      </c>
      <c r="J32" s="0" t="n">
        <v>1.25</v>
      </c>
      <c r="K32" s="13" t="n">
        <f aca="false">IF(H32&lt;&gt;"",H32,IFERROR(G32/INDEX(Players!$M$2:$M$42,MATCH(B32,Players!$A$2:$A$42,0)),""))</f>
        <v>0.65</v>
      </c>
    </row>
    <row r="33" customFormat="false" ht="15" hidden="false" customHeight="false" outlineLevel="0" collapsed="false">
      <c r="A33" s="0" t="s">
        <v>966</v>
      </c>
      <c r="B33" s="0" t="s">
        <v>802</v>
      </c>
      <c r="C33" s="0" t="s">
        <v>684</v>
      </c>
      <c r="D33" s="0" t="s">
        <v>568</v>
      </c>
      <c r="E33" s="0" t="s">
        <v>147</v>
      </c>
      <c r="F33" s="0" t="n">
        <v>10</v>
      </c>
      <c r="G33" s="0" t="n">
        <v>12.8</v>
      </c>
      <c r="H33" s="0" t="n">
        <v>0.62</v>
      </c>
      <c r="I33" s="10" t="n">
        <v>0.461</v>
      </c>
      <c r="J33" s="0" t="n">
        <v>0.91</v>
      </c>
      <c r="K33" s="13" t="n">
        <f aca="false">IF(H33&lt;&gt;"",H33,IFERROR(G33/INDEX(Players!$M$2:$M$42,MATCH(B33,Players!$A$2:$A$42,0)),""))</f>
        <v>0.62</v>
      </c>
    </row>
    <row r="34" customFormat="false" ht="15" hidden="false" customHeight="false" outlineLevel="0" collapsed="false">
      <c r="A34" s="0" t="s">
        <v>967</v>
      </c>
      <c r="B34" s="0" t="s">
        <v>802</v>
      </c>
      <c r="C34" s="0" t="s">
        <v>684</v>
      </c>
      <c r="D34" s="0" t="s">
        <v>568</v>
      </c>
      <c r="E34" s="0" t="s">
        <v>174</v>
      </c>
      <c r="F34" s="0" t="n">
        <v>6</v>
      </c>
      <c r="G34" s="0" t="n">
        <v>15</v>
      </c>
      <c r="H34" s="0" t="n">
        <v>0.75</v>
      </c>
      <c r="I34" s="10" t="n">
        <v>0.511</v>
      </c>
      <c r="J34" s="0" t="n">
        <v>1.14</v>
      </c>
      <c r="K34" s="13" t="n">
        <f aca="false">IF(H34&lt;&gt;"",H34,IFERROR(G34/INDEX(Players!$M$2:$M$42,MATCH(B34,Players!$A$2:$A$42,0)),""))</f>
        <v>0.75</v>
      </c>
    </row>
    <row r="35" customFormat="false" ht="15" hidden="false" customHeight="false" outlineLevel="0" collapsed="false">
      <c r="A35" s="0" t="s">
        <v>968</v>
      </c>
      <c r="B35" s="0" t="s">
        <v>802</v>
      </c>
      <c r="C35" s="0" t="s">
        <v>684</v>
      </c>
      <c r="D35" s="0" t="s">
        <v>568</v>
      </c>
      <c r="E35" s="0" t="s">
        <v>195</v>
      </c>
      <c r="F35" s="0" t="n">
        <v>5</v>
      </c>
      <c r="G35" s="0" t="n">
        <v>16.4</v>
      </c>
      <c r="H35" s="0" t="n">
        <v>0.79</v>
      </c>
      <c r="I35" s="10" t="n">
        <v>0.305</v>
      </c>
      <c r="J35" s="0" t="n">
        <v>1.21</v>
      </c>
      <c r="K35" s="13" t="n">
        <f aca="false">IF(H35&lt;&gt;"",H35,IFERROR(G35/INDEX(Players!$M$2:$M$42,MATCH(B35,Players!$A$2:$A$42,0)),""))</f>
        <v>0.79</v>
      </c>
    </row>
    <row r="36" customFormat="false" ht="15" hidden="false" customHeight="false" outlineLevel="0" collapsed="false">
      <c r="A36" s="0" t="s">
        <v>969</v>
      </c>
      <c r="B36" s="0" t="s">
        <v>802</v>
      </c>
      <c r="C36" s="0" t="s">
        <v>684</v>
      </c>
      <c r="D36" s="0" t="s">
        <v>568</v>
      </c>
      <c r="E36" s="0" t="s">
        <v>184</v>
      </c>
      <c r="F36" s="0" t="n">
        <v>5</v>
      </c>
      <c r="G36" s="0" t="n">
        <v>16.6</v>
      </c>
      <c r="H36" s="0" t="n">
        <v>0.66</v>
      </c>
      <c r="I36" s="10" t="n">
        <v>0.482</v>
      </c>
      <c r="J36" s="0" t="n">
        <v>1.05</v>
      </c>
      <c r="K36" s="13" t="n">
        <f aca="false">IF(H36&lt;&gt;"",H36,IFERROR(G36/INDEX(Players!$M$2:$M$42,MATCH(B36,Players!$A$2:$A$42,0)),""))</f>
        <v>0.66</v>
      </c>
    </row>
    <row r="37" customFormat="false" ht="15" hidden="false" customHeight="false" outlineLevel="0" collapsed="false">
      <c r="A37" s="0" t="s">
        <v>970</v>
      </c>
      <c r="B37" s="0" t="s">
        <v>802</v>
      </c>
      <c r="C37" s="0" t="s">
        <v>684</v>
      </c>
      <c r="D37" s="0" t="s">
        <v>568</v>
      </c>
      <c r="E37" s="0" t="s">
        <v>208</v>
      </c>
      <c r="F37" s="0" t="n">
        <v>5</v>
      </c>
      <c r="G37" s="0" t="n">
        <v>16</v>
      </c>
      <c r="H37" s="0" t="n">
        <v>0.7</v>
      </c>
      <c r="I37" s="10" t="n">
        <v>0.525</v>
      </c>
      <c r="J37" s="0" t="n">
        <v>0.91</v>
      </c>
      <c r="K37" s="13" t="n">
        <f aca="false">IF(H37&lt;&gt;"",H37,IFERROR(G37/INDEX(Players!$M$2:$M$42,MATCH(B37,Players!$A$2:$A$42,0)),""))</f>
        <v>0.7</v>
      </c>
    </row>
    <row r="38" customFormat="false" ht="15" hidden="false" customHeight="false" outlineLevel="0" collapsed="false">
      <c r="A38" s="0" t="s">
        <v>971</v>
      </c>
      <c r="B38" s="0" t="s">
        <v>802</v>
      </c>
      <c r="C38" s="0" t="s">
        <v>684</v>
      </c>
      <c r="D38" s="0" t="s">
        <v>568</v>
      </c>
      <c r="E38" s="0" t="s">
        <v>161</v>
      </c>
      <c r="F38" s="0" t="n">
        <v>2</v>
      </c>
      <c r="G38" s="0" t="n">
        <v>13.5</v>
      </c>
      <c r="H38" s="0" t="n">
        <v>0.64</v>
      </c>
      <c r="I38" s="10" t="n">
        <v>0.333</v>
      </c>
      <c r="J38" s="0" t="n">
        <v>0.96</v>
      </c>
      <c r="K38" s="13" t="n">
        <f aca="false">IF(H38&lt;&gt;"",H38,IFERROR(G38/INDEX(Players!$M$2:$M$42,MATCH(B38,Players!$A$2:$A$42,0)),""))</f>
        <v>0.64</v>
      </c>
    </row>
    <row r="39" customFormat="false" ht="15" hidden="false" customHeight="false" outlineLevel="0" collapsed="false">
      <c r="A39" s="0" t="s">
        <v>972</v>
      </c>
      <c r="B39" s="0" t="s">
        <v>802</v>
      </c>
      <c r="C39" s="0" t="s">
        <v>684</v>
      </c>
      <c r="D39" s="0" t="s">
        <v>568</v>
      </c>
      <c r="E39" s="0" t="s">
        <v>851</v>
      </c>
      <c r="F39" s="0" t="n">
        <v>1</v>
      </c>
      <c r="G39" s="0" t="n">
        <v>11</v>
      </c>
      <c r="H39" s="0" t="n">
        <v>0.52</v>
      </c>
      <c r="I39" s="10" t="n">
        <v>0.545</v>
      </c>
      <c r="J39" s="0" t="n">
        <v>0.65</v>
      </c>
      <c r="K39" s="13" t="n">
        <f aca="false">IF(H39&lt;&gt;"",H39,IFERROR(G39/INDEX(Players!$M$2:$M$42,MATCH(B39,Players!$A$2:$A$42,0)),""))</f>
        <v>0.52</v>
      </c>
    </row>
    <row r="40" customFormat="false" ht="15" hidden="false" customHeight="false" outlineLevel="0" collapsed="false">
      <c r="A40" s="0" t="s">
        <v>973</v>
      </c>
      <c r="B40" s="0" t="s">
        <v>807</v>
      </c>
      <c r="C40" s="0" t="s">
        <v>694</v>
      </c>
      <c r="D40" s="0" t="s">
        <v>568</v>
      </c>
      <c r="E40" s="0" t="s">
        <v>174</v>
      </c>
      <c r="F40" s="0" t="n">
        <v>8</v>
      </c>
      <c r="G40" s="0" t="n">
        <v>15.6</v>
      </c>
      <c r="H40" s="0" t="n">
        <v>0.75</v>
      </c>
      <c r="I40" s="10" t="n">
        <v>0.496</v>
      </c>
      <c r="J40" s="0" t="n">
        <v>1.15</v>
      </c>
      <c r="K40" s="13" t="n">
        <f aca="false">IF(H40&lt;&gt;"",H40,IFERROR(G40/INDEX(Players!$M$2:$M$42,MATCH(B40,Players!$A$2:$A$42,0)),""))</f>
        <v>0.75</v>
      </c>
    </row>
    <row r="41" customFormat="false" ht="15" hidden="false" customHeight="false" outlineLevel="0" collapsed="false">
      <c r="A41" s="0" t="s">
        <v>974</v>
      </c>
      <c r="B41" s="0" t="s">
        <v>807</v>
      </c>
      <c r="C41" s="0" t="s">
        <v>694</v>
      </c>
      <c r="D41" s="0" t="s">
        <v>568</v>
      </c>
      <c r="E41" s="0" t="s">
        <v>338</v>
      </c>
      <c r="F41" s="0" t="n">
        <v>6</v>
      </c>
      <c r="G41" s="0" t="n">
        <v>14.8</v>
      </c>
      <c r="H41" s="0" t="n">
        <v>0.67</v>
      </c>
      <c r="I41" s="10" t="n">
        <v>0.483</v>
      </c>
      <c r="J41" s="0" t="n">
        <v>1</v>
      </c>
      <c r="K41" s="13" t="n">
        <f aca="false">IF(H41&lt;&gt;"",H41,IFERROR(G41/INDEX(Players!$M$2:$M$42,MATCH(B41,Players!$A$2:$A$42,0)),""))</f>
        <v>0.67</v>
      </c>
    </row>
    <row r="42" customFormat="false" ht="15" hidden="false" customHeight="false" outlineLevel="0" collapsed="false">
      <c r="A42" s="0" t="s">
        <v>975</v>
      </c>
      <c r="B42" s="0" t="s">
        <v>807</v>
      </c>
      <c r="C42" s="0" t="s">
        <v>694</v>
      </c>
      <c r="D42" s="0" t="s">
        <v>568</v>
      </c>
      <c r="E42" s="0" t="s">
        <v>161</v>
      </c>
      <c r="F42" s="0" t="n">
        <v>5</v>
      </c>
      <c r="G42" s="0" t="n">
        <v>15.8</v>
      </c>
      <c r="H42" s="0" t="n">
        <v>0.8</v>
      </c>
      <c r="I42" s="10" t="n">
        <v>0.57</v>
      </c>
      <c r="J42" s="0" t="n">
        <v>1.13</v>
      </c>
      <c r="K42" s="13" t="n">
        <f aca="false">IF(H42&lt;&gt;"",H42,IFERROR(G42/INDEX(Players!$M$2:$M$42,MATCH(B42,Players!$A$2:$A$42,0)),""))</f>
        <v>0.8</v>
      </c>
    </row>
    <row r="43" customFormat="false" ht="15" hidden="false" customHeight="false" outlineLevel="0" collapsed="false">
      <c r="A43" s="0" t="s">
        <v>976</v>
      </c>
      <c r="B43" s="0" t="s">
        <v>807</v>
      </c>
      <c r="C43" s="0" t="s">
        <v>694</v>
      </c>
      <c r="D43" s="0" t="s">
        <v>568</v>
      </c>
      <c r="E43" s="0" t="s">
        <v>184</v>
      </c>
      <c r="F43" s="0" t="n">
        <v>5</v>
      </c>
      <c r="G43" s="0" t="n">
        <v>18.6</v>
      </c>
      <c r="H43" s="0" t="n">
        <v>0.68</v>
      </c>
      <c r="I43" s="10" t="n">
        <v>0.559</v>
      </c>
      <c r="J43" s="0" t="n">
        <v>1.01</v>
      </c>
      <c r="K43" s="13" t="n">
        <f aca="false">IF(H43&lt;&gt;"",H43,IFERROR(G43/INDEX(Players!$M$2:$M$42,MATCH(B43,Players!$A$2:$A$42,0)),""))</f>
        <v>0.68</v>
      </c>
    </row>
    <row r="44" customFormat="false" ht="15" hidden="false" customHeight="false" outlineLevel="0" collapsed="false">
      <c r="A44" s="0" t="s">
        <v>977</v>
      </c>
      <c r="B44" s="0" t="s">
        <v>807</v>
      </c>
      <c r="C44" s="0" t="s">
        <v>694</v>
      </c>
      <c r="D44" s="0" t="s">
        <v>568</v>
      </c>
      <c r="E44" s="0" t="s">
        <v>147</v>
      </c>
      <c r="F44" s="0" t="n">
        <v>4</v>
      </c>
      <c r="G44" s="0" t="n">
        <v>13.8</v>
      </c>
      <c r="H44" s="0" t="n">
        <v>0.65</v>
      </c>
      <c r="I44" s="10" t="n">
        <v>0.509</v>
      </c>
      <c r="J44" s="0" t="n">
        <v>1.04</v>
      </c>
      <c r="K44" s="13" t="n">
        <f aca="false">IF(H44&lt;&gt;"",H44,IFERROR(G44/INDEX(Players!$M$2:$M$42,MATCH(B44,Players!$A$2:$A$42,0)),""))</f>
        <v>0.65</v>
      </c>
    </row>
    <row r="45" customFormat="false" ht="15" hidden="false" customHeight="false" outlineLevel="0" collapsed="false">
      <c r="A45" s="0" t="s">
        <v>978</v>
      </c>
      <c r="B45" s="0" t="s">
        <v>807</v>
      </c>
      <c r="C45" s="0" t="s">
        <v>694</v>
      </c>
      <c r="D45" s="0" t="s">
        <v>568</v>
      </c>
      <c r="E45" s="0" t="s">
        <v>195</v>
      </c>
      <c r="F45" s="0" t="n">
        <v>2</v>
      </c>
      <c r="G45" s="0" t="n">
        <v>15.5</v>
      </c>
      <c r="H45" s="0" t="n">
        <v>0.67</v>
      </c>
      <c r="I45" s="10" t="n">
        <v>0.613</v>
      </c>
      <c r="J45" s="0" t="n">
        <v>1</v>
      </c>
      <c r="K45" s="13" t="n">
        <f aca="false">IF(H45&lt;&gt;"",H45,IFERROR(G45/INDEX(Players!$M$2:$M$42,MATCH(B45,Players!$A$2:$A$42,0)),""))</f>
        <v>0.67</v>
      </c>
    </row>
    <row r="46" customFormat="false" ht="15" hidden="false" customHeight="false" outlineLevel="0" collapsed="false">
      <c r="A46" s="0" t="s">
        <v>979</v>
      </c>
      <c r="B46" s="0" t="s">
        <v>803</v>
      </c>
      <c r="C46" s="0" t="s">
        <v>686</v>
      </c>
      <c r="D46" s="0" t="s">
        <v>568</v>
      </c>
      <c r="E46" s="0" t="s">
        <v>174</v>
      </c>
      <c r="F46" s="0" t="n">
        <v>10</v>
      </c>
      <c r="G46" s="0" t="n">
        <v>14.2</v>
      </c>
      <c r="H46" s="0" t="n">
        <v>0.65</v>
      </c>
      <c r="I46" s="10" t="n">
        <v>0.634</v>
      </c>
      <c r="J46" s="0" t="n">
        <v>0.93</v>
      </c>
      <c r="K46" s="13" t="n">
        <f aca="false">IF(H46&lt;&gt;"",H46,IFERROR(G46/INDEX(Players!$M$2:$M$42,MATCH(B46,Players!$A$2:$A$42,0)),""))</f>
        <v>0.65</v>
      </c>
    </row>
    <row r="47" customFormat="false" ht="15" hidden="false" customHeight="false" outlineLevel="0" collapsed="false">
      <c r="A47" s="0" t="s">
        <v>980</v>
      </c>
      <c r="B47" s="0" t="s">
        <v>803</v>
      </c>
      <c r="C47" s="0" t="s">
        <v>686</v>
      </c>
      <c r="D47" s="0" t="s">
        <v>568</v>
      </c>
      <c r="E47" s="0" t="s">
        <v>147</v>
      </c>
      <c r="F47" s="0" t="n">
        <v>8</v>
      </c>
      <c r="G47" s="0" t="n">
        <v>16.8</v>
      </c>
      <c r="H47" s="0" t="n">
        <v>0.75</v>
      </c>
      <c r="I47" s="10" t="n">
        <v>0.552</v>
      </c>
      <c r="J47" s="0" t="n">
        <v>1.17</v>
      </c>
      <c r="K47" s="13" t="n">
        <f aca="false">IF(H47&lt;&gt;"",H47,IFERROR(G47/INDEX(Players!$M$2:$M$42,MATCH(B47,Players!$A$2:$A$42,0)),""))</f>
        <v>0.75</v>
      </c>
    </row>
    <row r="48" customFormat="false" ht="15" hidden="false" customHeight="false" outlineLevel="0" collapsed="false">
      <c r="A48" s="0" t="s">
        <v>981</v>
      </c>
      <c r="B48" s="0" t="s">
        <v>803</v>
      </c>
      <c r="C48" s="0" t="s">
        <v>686</v>
      </c>
      <c r="D48" s="0" t="s">
        <v>568</v>
      </c>
      <c r="E48" s="0" t="s">
        <v>195</v>
      </c>
      <c r="F48" s="0" t="n">
        <v>6</v>
      </c>
      <c r="G48" s="0" t="n">
        <v>16.8</v>
      </c>
      <c r="H48" s="0" t="n">
        <v>0.73</v>
      </c>
      <c r="I48" s="10" t="n">
        <v>0.574</v>
      </c>
      <c r="J48" s="0" t="n">
        <v>1.12</v>
      </c>
      <c r="K48" s="13" t="n">
        <f aca="false">IF(H48&lt;&gt;"",H48,IFERROR(G48/INDEX(Players!$M$2:$M$42,MATCH(B48,Players!$A$2:$A$42,0)),""))</f>
        <v>0.73</v>
      </c>
    </row>
    <row r="49" customFormat="false" ht="15" hidden="false" customHeight="false" outlineLevel="0" collapsed="false">
      <c r="A49" s="0" t="s">
        <v>982</v>
      </c>
      <c r="B49" s="0" t="s">
        <v>803</v>
      </c>
      <c r="C49" s="0" t="s">
        <v>686</v>
      </c>
      <c r="D49" s="0" t="s">
        <v>568</v>
      </c>
      <c r="E49" s="0" t="s">
        <v>208</v>
      </c>
      <c r="F49" s="0" t="n">
        <v>6</v>
      </c>
      <c r="G49" s="0" t="n">
        <v>16.5</v>
      </c>
      <c r="H49" s="0" t="n">
        <v>0.73</v>
      </c>
      <c r="I49" s="10" t="n">
        <v>0.616</v>
      </c>
      <c r="J49" s="0" t="n">
        <v>1.09</v>
      </c>
      <c r="K49" s="13" t="n">
        <f aca="false">IF(H49&lt;&gt;"",H49,IFERROR(G49/INDEX(Players!$M$2:$M$42,MATCH(B49,Players!$A$2:$A$42,0)),""))</f>
        <v>0.73</v>
      </c>
    </row>
    <row r="50" customFormat="false" ht="15" hidden="false" customHeight="false" outlineLevel="0" collapsed="false">
      <c r="A50" s="0" t="s">
        <v>983</v>
      </c>
      <c r="B50" s="0" t="s">
        <v>803</v>
      </c>
      <c r="C50" s="0" t="s">
        <v>686</v>
      </c>
      <c r="D50" s="0" t="s">
        <v>568</v>
      </c>
      <c r="E50" s="0" t="s">
        <v>184</v>
      </c>
      <c r="F50" s="0" t="n">
        <v>4</v>
      </c>
      <c r="G50" s="0" t="n">
        <v>15.8</v>
      </c>
      <c r="H50" s="0" t="n">
        <v>0.71</v>
      </c>
      <c r="I50" s="10" t="n">
        <v>0.571</v>
      </c>
      <c r="J50" s="0" t="n">
        <v>1.24</v>
      </c>
      <c r="K50" s="13" t="n">
        <f aca="false">IF(H50&lt;&gt;"",H50,IFERROR(G50/INDEX(Players!$M$2:$M$42,MATCH(B50,Players!$A$2:$A$42,0)),""))</f>
        <v>0.71</v>
      </c>
    </row>
    <row r="51" customFormat="false" ht="15" hidden="false" customHeight="false" outlineLevel="0" collapsed="false">
      <c r="A51" s="0" t="s">
        <v>984</v>
      </c>
      <c r="B51" s="0" t="s">
        <v>803</v>
      </c>
      <c r="C51" s="0" t="s">
        <v>686</v>
      </c>
      <c r="D51" s="0" t="s">
        <v>568</v>
      </c>
      <c r="E51" s="0" t="s">
        <v>851</v>
      </c>
      <c r="F51" s="0" t="n">
        <v>2</v>
      </c>
      <c r="G51" s="0" t="n">
        <v>15.5</v>
      </c>
      <c r="H51" s="0" t="n">
        <v>0.84</v>
      </c>
      <c r="I51" s="10" t="n">
        <v>0.645</v>
      </c>
      <c r="J51" s="0" t="n">
        <v>1.24</v>
      </c>
      <c r="K51" s="13" t="n">
        <f aca="false">IF(H51&lt;&gt;"",H51,IFERROR(G51/INDEX(Players!$M$2:$M$42,MATCH(B51,Players!$A$2:$A$42,0)),""))</f>
        <v>0.84</v>
      </c>
    </row>
    <row r="52" customFormat="false" ht="15" hidden="false" customHeight="false" outlineLevel="0" collapsed="false">
      <c r="A52" s="0" t="s">
        <v>985</v>
      </c>
      <c r="B52" s="0" t="s">
        <v>803</v>
      </c>
      <c r="C52" s="0" t="s">
        <v>686</v>
      </c>
      <c r="D52" s="0" t="s">
        <v>568</v>
      </c>
      <c r="E52" s="0" t="s">
        <v>161</v>
      </c>
      <c r="F52" s="0" t="n">
        <v>1</v>
      </c>
      <c r="G52" s="0" t="n">
        <v>14</v>
      </c>
      <c r="H52" s="0" t="n">
        <v>0.67</v>
      </c>
      <c r="I52" s="10" t="n">
        <v>0.643</v>
      </c>
      <c r="J52" s="0" t="n">
        <v>0.93</v>
      </c>
      <c r="K52" s="13" t="n">
        <f aca="false">IF(H52&lt;&gt;"",H52,IFERROR(G52/INDEX(Players!$M$2:$M$42,MATCH(B52,Players!$A$2:$A$42,0)),""))</f>
        <v>0.67</v>
      </c>
    </row>
    <row r="53" customFormat="false" ht="15" hidden="false" customHeight="false" outlineLevel="0" collapsed="false">
      <c r="A53" s="0" t="s">
        <v>986</v>
      </c>
      <c r="B53" s="0" t="s">
        <v>797</v>
      </c>
      <c r="C53" s="0" t="s">
        <v>673</v>
      </c>
      <c r="D53" s="0" t="s">
        <v>568</v>
      </c>
      <c r="E53" s="0" t="s">
        <v>161</v>
      </c>
      <c r="F53" s="0" t="n">
        <v>13</v>
      </c>
      <c r="G53" s="0" t="n">
        <v>13.8</v>
      </c>
      <c r="H53" s="0" t="n">
        <v>0.65</v>
      </c>
      <c r="I53" s="10" t="n">
        <v>0.609</v>
      </c>
      <c r="J53" s="0" t="n">
        <v>0.99</v>
      </c>
      <c r="K53" s="13" t="n">
        <f aca="false">IF(H53&lt;&gt;"",H53,IFERROR(G53/INDEX(Players!$M$2:$M$42,MATCH(B53,Players!$A$2:$A$42,0)),""))</f>
        <v>0.65</v>
      </c>
    </row>
    <row r="54" customFormat="false" ht="15" hidden="false" customHeight="false" outlineLevel="0" collapsed="false">
      <c r="A54" s="0" t="s">
        <v>987</v>
      </c>
      <c r="B54" s="0" t="s">
        <v>797</v>
      </c>
      <c r="C54" s="0" t="s">
        <v>673</v>
      </c>
      <c r="D54" s="0" t="s">
        <v>568</v>
      </c>
      <c r="E54" s="0" t="s">
        <v>174</v>
      </c>
      <c r="F54" s="0" t="n">
        <v>8</v>
      </c>
      <c r="G54" s="0" t="n">
        <v>12.9</v>
      </c>
      <c r="H54" s="0" t="n">
        <v>0.61</v>
      </c>
      <c r="I54" s="10" t="n">
        <v>0.563</v>
      </c>
      <c r="J54" s="0" t="n">
        <v>0.87</v>
      </c>
      <c r="K54" s="13" t="n">
        <f aca="false">IF(H54&lt;&gt;"",H54,IFERROR(G54/INDEX(Players!$M$2:$M$42,MATCH(B54,Players!$A$2:$A$42,0)),""))</f>
        <v>0.61</v>
      </c>
    </row>
    <row r="55" customFormat="false" ht="15" hidden="false" customHeight="false" outlineLevel="0" collapsed="false">
      <c r="A55" s="0" t="s">
        <v>988</v>
      </c>
      <c r="B55" s="0" t="s">
        <v>797</v>
      </c>
      <c r="C55" s="0" t="s">
        <v>673</v>
      </c>
      <c r="D55" s="0" t="s">
        <v>568</v>
      </c>
      <c r="E55" s="0" t="s">
        <v>195</v>
      </c>
      <c r="F55" s="0" t="n">
        <v>6</v>
      </c>
      <c r="G55" s="0" t="n">
        <v>17.3</v>
      </c>
      <c r="H55" s="0" t="n">
        <v>0.72</v>
      </c>
      <c r="I55" s="10" t="n">
        <v>0.644</v>
      </c>
      <c r="J55" s="0" t="n">
        <v>1.06</v>
      </c>
      <c r="K55" s="13" t="n">
        <f aca="false">IF(H55&lt;&gt;"",H55,IFERROR(G55/INDEX(Players!$M$2:$M$42,MATCH(B55,Players!$A$2:$A$42,0)),""))</f>
        <v>0.72</v>
      </c>
    </row>
    <row r="56" customFormat="false" ht="15" hidden="false" customHeight="false" outlineLevel="0" collapsed="false">
      <c r="A56" s="0" t="s">
        <v>989</v>
      </c>
      <c r="B56" s="0" t="s">
        <v>797</v>
      </c>
      <c r="C56" s="0" t="s">
        <v>673</v>
      </c>
      <c r="D56" s="0" t="s">
        <v>568</v>
      </c>
      <c r="E56" s="0" t="s">
        <v>147</v>
      </c>
      <c r="F56" s="0" t="n">
        <v>5</v>
      </c>
      <c r="G56" s="0" t="n">
        <v>14.8</v>
      </c>
      <c r="H56" s="0" t="n">
        <v>0.7</v>
      </c>
      <c r="I56" s="10" t="n">
        <v>0.5</v>
      </c>
      <c r="J56" s="0" t="n">
        <v>1.07</v>
      </c>
      <c r="K56" s="13" t="n">
        <f aca="false">IF(H56&lt;&gt;"",H56,IFERROR(G56/INDEX(Players!$M$2:$M$42,MATCH(B56,Players!$A$2:$A$42,0)),""))</f>
        <v>0.7</v>
      </c>
    </row>
    <row r="57" customFormat="false" ht="15" hidden="false" customHeight="false" outlineLevel="0" collapsed="false">
      <c r="A57" s="0" t="s">
        <v>990</v>
      </c>
      <c r="B57" s="0" t="s">
        <v>797</v>
      </c>
      <c r="C57" s="0" t="s">
        <v>673</v>
      </c>
      <c r="D57" s="0" t="s">
        <v>568</v>
      </c>
      <c r="E57" s="0" t="s">
        <v>184</v>
      </c>
      <c r="F57" s="0" t="n">
        <v>3</v>
      </c>
      <c r="G57" s="0" t="n">
        <v>12.7</v>
      </c>
      <c r="H57" s="0" t="n">
        <v>0.61</v>
      </c>
      <c r="I57" s="10" t="n">
        <v>0.684</v>
      </c>
      <c r="J57" s="0" t="n">
        <v>1.03</v>
      </c>
      <c r="K57" s="13" t="n">
        <f aca="false">IF(H57&lt;&gt;"",H57,IFERROR(G57/INDEX(Players!$M$2:$M$42,MATCH(B57,Players!$A$2:$A$42,0)),""))</f>
        <v>0.61</v>
      </c>
    </row>
    <row r="58" customFormat="false" ht="15" hidden="false" customHeight="false" outlineLevel="0" collapsed="false">
      <c r="A58" s="0" t="s">
        <v>991</v>
      </c>
      <c r="B58" s="0" t="s">
        <v>797</v>
      </c>
      <c r="C58" s="0" t="s">
        <v>673</v>
      </c>
      <c r="D58" s="0" t="s">
        <v>568</v>
      </c>
      <c r="E58" s="0" t="s">
        <v>208</v>
      </c>
      <c r="F58" s="0" t="n">
        <v>2</v>
      </c>
      <c r="G58" s="0" t="n">
        <v>13</v>
      </c>
      <c r="H58" s="0" t="n">
        <v>0.57</v>
      </c>
      <c r="I58" s="10" t="n">
        <v>0.692</v>
      </c>
      <c r="J58" s="0" t="n">
        <v>0.74</v>
      </c>
      <c r="K58" s="13" t="n">
        <f aca="false">IF(H58&lt;&gt;"",H58,IFERROR(G58/INDEX(Players!$M$2:$M$42,MATCH(B58,Players!$A$2:$A$42,0)),""))</f>
        <v>0.57</v>
      </c>
    </row>
    <row r="59" customFormat="false" ht="15" hidden="false" customHeight="false" outlineLevel="0" collapsed="false">
      <c r="A59" s="0" t="s">
        <v>992</v>
      </c>
      <c r="B59" s="0" t="s">
        <v>791</v>
      </c>
      <c r="C59" s="0" t="s">
        <v>657</v>
      </c>
      <c r="D59" s="0" t="s">
        <v>568</v>
      </c>
      <c r="E59" s="0" t="s">
        <v>195</v>
      </c>
      <c r="F59" s="0" t="n">
        <v>8</v>
      </c>
      <c r="G59" s="0" t="n">
        <v>15.1</v>
      </c>
      <c r="H59" s="0" t="n">
        <v>0.68</v>
      </c>
      <c r="I59" s="10" t="n">
        <v>0.455</v>
      </c>
      <c r="J59" s="0" t="n">
        <v>0.98</v>
      </c>
      <c r="K59" s="13" t="n">
        <f aca="false">IF(H59&lt;&gt;"",H59,IFERROR(G59/INDEX(Players!$M$2:$M$42,MATCH(B59,Players!$A$2:$A$42,0)),""))</f>
        <v>0.68</v>
      </c>
    </row>
    <row r="60" customFormat="false" ht="15" hidden="false" customHeight="false" outlineLevel="0" collapsed="false">
      <c r="A60" s="0" t="s">
        <v>993</v>
      </c>
      <c r="B60" s="0" t="s">
        <v>791</v>
      </c>
      <c r="C60" s="0" t="s">
        <v>657</v>
      </c>
      <c r="D60" s="0" t="s">
        <v>568</v>
      </c>
      <c r="E60" s="0" t="s">
        <v>208</v>
      </c>
      <c r="F60" s="0" t="n">
        <v>7</v>
      </c>
      <c r="G60" s="0" t="n">
        <v>13.9</v>
      </c>
      <c r="H60" s="0" t="n">
        <v>0.64</v>
      </c>
      <c r="I60" s="10" t="n">
        <v>0.526</v>
      </c>
      <c r="J60" s="0" t="n">
        <v>0.99</v>
      </c>
      <c r="K60" s="13" t="n">
        <f aca="false">IF(H60&lt;&gt;"",H60,IFERROR(G60/INDEX(Players!$M$2:$M$42,MATCH(B60,Players!$A$2:$A$42,0)),""))</f>
        <v>0.64</v>
      </c>
    </row>
    <row r="61" customFormat="false" ht="15" hidden="false" customHeight="false" outlineLevel="0" collapsed="false">
      <c r="A61" s="0" t="s">
        <v>994</v>
      </c>
      <c r="B61" s="0" t="s">
        <v>791</v>
      </c>
      <c r="C61" s="0" t="s">
        <v>657</v>
      </c>
      <c r="D61" s="0" t="s">
        <v>568</v>
      </c>
      <c r="E61" s="0" t="s">
        <v>184</v>
      </c>
      <c r="F61" s="0" t="n">
        <v>6</v>
      </c>
      <c r="G61" s="0" t="n">
        <v>20.3</v>
      </c>
      <c r="H61" s="0" t="n">
        <v>0.79</v>
      </c>
      <c r="I61" s="10" t="n">
        <v>0.5</v>
      </c>
      <c r="J61" s="0" t="n">
        <v>1.12</v>
      </c>
      <c r="K61" s="13" t="n">
        <f aca="false">IF(H61&lt;&gt;"",H61,IFERROR(G61/INDEX(Players!$M$2:$M$42,MATCH(B61,Players!$A$2:$A$42,0)),""))</f>
        <v>0.79</v>
      </c>
    </row>
    <row r="62" customFormat="false" ht="15" hidden="false" customHeight="false" outlineLevel="0" collapsed="false">
      <c r="A62" s="0" t="s">
        <v>995</v>
      </c>
      <c r="B62" s="0" t="s">
        <v>791</v>
      </c>
      <c r="C62" s="0" t="s">
        <v>657</v>
      </c>
      <c r="D62" s="0" t="s">
        <v>568</v>
      </c>
      <c r="E62" s="0" t="s">
        <v>174</v>
      </c>
      <c r="F62" s="0" t="n">
        <v>6</v>
      </c>
      <c r="G62" s="0" t="n">
        <v>14</v>
      </c>
      <c r="H62" s="0" t="n">
        <v>0.6</v>
      </c>
      <c r="I62" s="10" t="n">
        <v>0.381</v>
      </c>
      <c r="J62" s="0" t="n">
        <v>1.01</v>
      </c>
      <c r="K62" s="13" t="n">
        <f aca="false">IF(H62&lt;&gt;"",H62,IFERROR(G62/INDEX(Players!$M$2:$M$42,MATCH(B62,Players!$A$2:$A$42,0)),""))</f>
        <v>0.6</v>
      </c>
    </row>
    <row r="63" customFormat="false" ht="15" hidden="false" customHeight="false" outlineLevel="0" collapsed="false">
      <c r="A63" s="0" t="s">
        <v>996</v>
      </c>
      <c r="B63" s="0" t="s">
        <v>791</v>
      </c>
      <c r="C63" s="0" t="s">
        <v>657</v>
      </c>
      <c r="D63" s="0" t="s">
        <v>568</v>
      </c>
      <c r="E63" s="0" t="s">
        <v>161</v>
      </c>
      <c r="F63" s="0" t="n">
        <v>6</v>
      </c>
      <c r="G63" s="0" t="n">
        <v>15</v>
      </c>
      <c r="H63" s="0" t="n">
        <v>0.62</v>
      </c>
      <c r="I63" s="10" t="n">
        <v>0.489</v>
      </c>
      <c r="J63" s="0" t="n">
        <v>0.94</v>
      </c>
      <c r="K63" s="13" t="n">
        <f aca="false">IF(H63&lt;&gt;"",H63,IFERROR(G63/INDEX(Players!$M$2:$M$42,MATCH(B63,Players!$A$2:$A$42,0)),""))</f>
        <v>0.62</v>
      </c>
    </row>
    <row r="64" customFormat="false" ht="15" hidden="false" customHeight="false" outlineLevel="0" collapsed="false">
      <c r="A64" s="0" t="s">
        <v>997</v>
      </c>
      <c r="B64" s="0" t="s">
        <v>791</v>
      </c>
      <c r="C64" s="0" t="s">
        <v>657</v>
      </c>
      <c r="D64" s="0" t="s">
        <v>568</v>
      </c>
      <c r="E64" s="0" t="s">
        <v>338</v>
      </c>
      <c r="F64" s="0" t="n">
        <v>4</v>
      </c>
      <c r="G64" s="0" t="n">
        <v>15.3</v>
      </c>
      <c r="H64" s="0" t="n">
        <v>0.67</v>
      </c>
      <c r="I64" s="10" t="n">
        <v>0.525</v>
      </c>
      <c r="J64" s="0" t="n">
        <v>1.13</v>
      </c>
      <c r="K64" s="13" t="n">
        <f aca="false">IF(H64&lt;&gt;"",H64,IFERROR(G64/INDEX(Players!$M$2:$M$42,MATCH(B64,Players!$A$2:$A$42,0)),""))</f>
        <v>0.67</v>
      </c>
    </row>
    <row r="65" customFormat="false" ht="15" hidden="false" customHeight="false" outlineLevel="0" collapsed="false">
      <c r="A65" s="0" t="s">
        <v>998</v>
      </c>
      <c r="B65" s="0" t="s">
        <v>798</v>
      </c>
      <c r="C65" s="0" t="s">
        <v>676</v>
      </c>
      <c r="D65" s="0" t="s">
        <v>568</v>
      </c>
      <c r="E65" s="0" t="s">
        <v>161</v>
      </c>
      <c r="F65" s="0" t="n">
        <v>13</v>
      </c>
      <c r="G65" s="0" t="n">
        <v>13.6</v>
      </c>
      <c r="H65" s="0" t="n">
        <v>0.64</v>
      </c>
      <c r="I65" s="10" t="n">
        <v>0.282</v>
      </c>
      <c r="J65" s="0" t="n">
        <v>1.07</v>
      </c>
      <c r="K65" s="13" t="n">
        <f aca="false">IF(H65&lt;&gt;"",H65,IFERROR(G65/INDEX(Players!$M$2:$M$42,MATCH(B65,Players!$A$2:$A$42,0)),""))</f>
        <v>0.64</v>
      </c>
    </row>
    <row r="66" customFormat="false" ht="15" hidden="false" customHeight="false" outlineLevel="0" collapsed="false">
      <c r="A66" s="0" t="s">
        <v>999</v>
      </c>
      <c r="B66" s="0" t="s">
        <v>798</v>
      </c>
      <c r="C66" s="0" t="s">
        <v>676</v>
      </c>
      <c r="D66" s="0" t="s">
        <v>568</v>
      </c>
      <c r="E66" s="0" t="s">
        <v>174</v>
      </c>
      <c r="F66" s="0" t="n">
        <v>8</v>
      </c>
      <c r="G66" s="0" t="n">
        <v>16.4</v>
      </c>
      <c r="H66" s="0" t="n">
        <v>0.78</v>
      </c>
      <c r="I66" s="10" t="n">
        <v>0.214</v>
      </c>
      <c r="J66" s="0" t="n">
        <v>1.28</v>
      </c>
      <c r="K66" s="13" t="n">
        <f aca="false">IF(H66&lt;&gt;"",H66,IFERROR(G66/INDEX(Players!$M$2:$M$42,MATCH(B66,Players!$A$2:$A$42,0)),""))</f>
        <v>0.78</v>
      </c>
    </row>
    <row r="67" customFormat="false" ht="15" hidden="false" customHeight="false" outlineLevel="0" collapsed="false">
      <c r="A67" s="0" t="s">
        <v>1000</v>
      </c>
      <c r="B67" s="0" t="s">
        <v>798</v>
      </c>
      <c r="C67" s="0" t="s">
        <v>676</v>
      </c>
      <c r="D67" s="0" t="s">
        <v>568</v>
      </c>
      <c r="E67" s="0" t="s">
        <v>195</v>
      </c>
      <c r="F67" s="0" t="n">
        <v>6</v>
      </c>
      <c r="G67" s="0" t="n">
        <v>14.3</v>
      </c>
      <c r="H67" s="0" t="n">
        <v>0.6</v>
      </c>
      <c r="I67" s="10" t="n">
        <v>0.256</v>
      </c>
      <c r="J67" s="0" t="n">
        <v>0.98</v>
      </c>
      <c r="K67" s="13" t="n">
        <f aca="false">IF(H67&lt;&gt;"",H67,IFERROR(G67/INDEX(Players!$M$2:$M$42,MATCH(B67,Players!$A$2:$A$42,0)),""))</f>
        <v>0.6</v>
      </c>
    </row>
    <row r="68" customFormat="false" ht="15" hidden="false" customHeight="false" outlineLevel="0" collapsed="false">
      <c r="A68" s="0" t="s">
        <v>1001</v>
      </c>
      <c r="B68" s="0" t="s">
        <v>798</v>
      </c>
      <c r="C68" s="0" t="s">
        <v>676</v>
      </c>
      <c r="D68" s="0" t="s">
        <v>568</v>
      </c>
      <c r="E68" s="0" t="s">
        <v>147</v>
      </c>
      <c r="F68" s="0" t="n">
        <v>5</v>
      </c>
      <c r="G68" s="0" t="n">
        <v>11.8</v>
      </c>
      <c r="H68" s="0" t="n">
        <v>0.56</v>
      </c>
      <c r="I68" s="10" t="n">
        <v>0.339</v>
      </c>
      <c r="J68" s="0" t="n">
        <v>0.77</v>
      </c>
      <c r="K68" s="13" t="n">
        <f aca="false">IF(H68&lt;&gt;"",H68,IFERROR(G68/INDEX(Players!$M$2:$M$42,MATCH(B68,Players!$A$2:$A$42,0)),""))</f>
        <v>0.56</v>
      </c>
    </row>
    <row r="69" customFormat="false" ht="15" hidden="false" customHeight="false" outlineLevel="0" collapsed="false">
      <c r="A69" s="0" t="s">
        <v>1002</v>
      </c>
      <c r="B69" s="0" t="s">
        <v>798</v>
      </c>
      <c r="C69" s="0" t="s">
        <v>676</v>
      </c>
      <c r="D69" s="0" t="s">
        <v>568</v>
      </c>
      <c r="E69" s="0" t="s">
        <v>184</v>
      </c>
      <c r="F69" s="0" t="n">
        <v>3</v>
      </c>
      <c r="G69" s="0" t="n">
        <v>15.7</v>
      </c>
      <c r="H69" s="0" t="n">
        <v>0.76</v>
      </c>
      <c r="I69" s="10" t="n">
        <v>0.34</v>
      </c>
      <c r="J69" s="0" t="n">
        <v>1.15</v>
      </c>
      <c r="K69" s="13" t="n">
        <f aca="false">IF(H69&lt;&gt;"",H69,IFERROR(G69/INDEX(Players!$M$2:$M$42,MATCH(B69,Players!$A$2:$A$42,0)),""))</f>
        <v>0.76</v>
      </c>
    </row>
    <row r="70" customFormat="false" ht="15" hidden="false" customHeight="false" outlineLevel="0" collapsed="false">
      <c r="A70" s="0" t="s">
        <v>1003</v>
      </c>
      <c r="B70" s="0" t="s">
        <v>798</v>
      </c>
      <c r="C70" s="0" t="s">
        <v>676</v>
      </c>
      <c r="D70" s="0" t="s">
        <v>568</v>
      </c>
      <c r="E70" s="0" t="s">
        <v>208</v>
      </c>
      <c r="F70" s="0" t="n">
        <v>2</v>
      </c>
      <c r="G70" s="0" t="n">
        <v>19.5</v>
      </c>
      <c r="H70" s="0" t="n">
        <v>0.85</v>
      </c>
      <c r="I70" s="10" t="n">
        <v>0.308</v>
      </c>
      <c r="J70" s="0" t="n">
        <v>1.39</v>
      </c>
      <c r="K70" s="13" t="n">
        <f aca="false">IF(H70&lt;&gt;"",H70,IFERROR(G70/INDEX(Players!$M$2:$M$42,MATCH(B70,Players!$A$2:$A$42,0)),""))</f>
        <v>0.85</v>
      </c>
    </row>
    <row r="71" customFormat="false" ht="15" hidden="false" customHeight="false" outlineLevel="0" collapsed="false">
      <c r="A71" s="0" t="s">
        <v>1004</v>
      </c>
      <c r="B71" s="0" t="s">
        <v>792</v>
      </c>
      <c r="C71" s="0" t="s">
        <v>661</v>
      </c>
      <c r="D71" s="0" t="s">
        <v>568</v>
      </c>
      <c r="E71" s="0" t="s">
        <v>195</v>
      </c>
      <c r="F71" s="0" t="n">
        <v>8</v>
      </c>
      <c r="G71" s="0" t="n">
        <v>14.9</v>
      </c>
      <c r="H71" s="0" t="n">
        <v>0.66</v>
      </c>
      <c r="I71" s="10" t="n">
        <v>0.353</v>
      </c>
      <c r="J71" s="0" t="n">
        <v>1.07</v>
      </c>
      <c r="K71" s="13" t="n">
        <f aca="false">IF(H71&lt;&gt;"",H71,IFERROR(G71/INDEX(Players!$M$2:$M$42,MATCH(B71,Players!$A$2:$A$42,0)),""))</f>
        <v>0.66</v>
      </c>
    </row>
    <row r="72" customFormat="false" ht="15" hidden="false" customHeight="false" outlineLevel="0" collapsed="false">
      <c r="A72" s="0" t="s">
        <v>1005</v>
      </c>
      <c r="B72" s="0" t="s">
        <v>792</v>
      </c>
      <c r="C72" s="0" t="s">
        <v>661</v>
      </c>
      <c r="D72" s="0" t="s">
        <v>568</v>
      </c>
      <c r="E72" s="0" t="s">
        <v>208</v>
      </c>
      <c r="F72" s="0" t="n">
        <v>7</v>
      </c>
      <c r="G72" s="0" t="n">
        <v>16.4</v>
      </c>
      <c r="H72" s="0" t="n">
        <v>0.76</v>
      </c>
      <c r="I72" s="10" t="n">
        <v>0.452</v>
      </c>
      <c r="J72" s="0" t="n">
        <v>1.37</v>
      </c>
      <c r="K72" s="13" t="n">
        <f aca="false">IF(H72&lt;&gt;"",H72,IFERROR(G72/INDEX(Players!$M$2:$M$42,MATCH(B72,Players!$A$2:$A$42,0)),""))</f>
        <v>0.76</v>
      </c>
    </row>
    <row r="73" customFormat="false" ht="15" hidden="false" customHeight="false" outlineLevel="0" collapsed="false">
      <c r="A73" s="0" t="s">
        <v>1006</v>
      </c>
      <c r="B73" s="0" t="s">
        <v>792</v>
      </c>
      <c r="C73" s="0" t="s">
        <v>661</v>
      </c>
      <c r="D73" s="0" t="s">
        <v>568</v>
      </c>
      <c r="E73" s="0" t="s">
        <v>161</v>
      </c>
      <c r="F73" s="0" t="n">
        <v>6</v>
      </c>
      <c r="G73" s="0" t="n">
        <v>19.5</v>
      </c>
      <c r="H73" s="0" t="n">
        <v>0.8</v>
      </c>
      <c r="I73" s="10" t="n">
        <v>0.35</v>
      </c>
      <c r="J73" s="0" t="n">
        <v>1.41</v>
      </c>
      <c r="K73" s="13" t="n">
        <f aca="false">IF(H73&lt;&gt;"",H73,IFERROR(G73/INDEX(Players!$M$2:$M$42,MATCH(B73,Players!$A$2:$A$42,0)),""))</f>
        <v>0.8</v>
      </c>
    </row>
    <row r="74" customFormat="false" ht="15" hidden="false" customHeight="false" outlineLevel="0" collapsed="false">
      <c r="A74" s="0" t="s">
        <v>1007</v>
      </c>
      <c r="B74" s="0" t="s">
        <v>792</v>
      </c>
      <c r="C74" s="0" t="s">
        <v>661</v>
      </c>
      <c r="D74" s="0" t="s">
        <v>568</v>
      </c>
      <c r="E74" s="0" t="s">
        <v>184</v>
      </c>
      <c r="F74" s="0" t="n">
        <v>6</v>
      </c>
      <c r="G74" s="0" t="n">
        <v>14.7</v>
      </c>
      <c r="H74" s="0" t="n">
        <v>0.57</v>
      </c>
      <c r="I74" s="10" t="n">
        <v>0.443</v>
      </c>
      <c r="J74" s="0" t="n">
        <v>0.94</v>
      </c>
      <c r="K74" s="13" t="n">
        <f aca="false">IF(H74&lt;&gt;"",H74,IFERROR(G74/INDEX(Players!$M$2:$M$42,MATCH(B74,Players!$A$2:$A$42,0)),""))</f>
        <v>0.57</v>
      </c>
    </row>
    <row r="75" customFormat="false" ht="15" hidden="false" customHeight="false" outlineLevel="0" collapsed="false">
      <c r="A75" s="0" t="s">
        <v>1008</v>
      </c>
      <c r="B75" s="0" t="s">
        <v>792</v>
      </c>
      <c r="C75" s="0" t="s">
        <v>661</v>
      </c>
      <c r="D75" s="0" t="s">
        <v>568</v>
      </c>
      <c r="E75" s="0" t="s">
        <v>174</v>
      </c>
      <c r="F75" s="0" t="n">
        <v>6</v>
      </c>
      <c r="G75" s="0" t="n">
        <v>12.7</v>
      </c>
      <c r="H75" s="0" t="n">
        <v>0.55</v>
      </c>
      <c r="I75" s="10" t="n">
        <v>0.382</v>
      </c>
      <c r="J75" s="0" t="n">
        <v>0.89</v>
      </c>
      <c r="K75" s="13" t="n">
        <f aca="false">IF(H75&lt;&gt;"",H75,IFERROR(G75/INDEX(Players!$M$2:$M$42,MATCH(B75,Players!$A$2:$A$42,0)),""))</f>
        <v>0.55</v>
      </c>
    </row>
    <row r="76" customFormat="false" ht="15" hidden="false" customHeight="false" outlineLevel="0" collapsed="false">
      <c r="A76" s="0" t="s">
        <v>1009</v>
      </c>
      <c r="B76" s="0" t="s">
        <v>792</v>
      </c>
      <c r="C76" s="0" t="s">
        <v>661</v>
      </c>
      <c r="D76" s="0" t="s">
        <v>568</v>
      </c>
      <c r="E76" s="0" t="s">
        <v>338</v>
      </c>
      <c r="F76" s="0" t="n">
        <v>4</v>
      </c>
      <c r="G76" s="0" t="n">
        <v>19</v>
      </c>
      <c r="H76" s="0" t="n">
        <v>0.84</v>
      </c>
      <c r="I76" s="10" t="n">
        <v>0.289</v>
      </c>
      <c r="J76" s="0" t="n">
        <v>1.43</v>
      </c>
      <c r="K76" s="13" t="n">
        <f aca="false">IF(H76&lt;&gt;"",H76,IFERROR(G76/INDEX(Players!$M$2:$M$42,MATCH(B76,Players!$A$2:$A$42,0)),""))</f>
        <v>0.84</v>
      </c>
    </row>
    <row r="77" customFormat="false" ht="15" hidden="false" customHeight="false" outlineLevel="0" collapsed="false">
      <c r="A77" s="0" t="s">
        <v>1010</v>
      </c>
      <c r="B77" s="0" t="s">
        <v>793</v>
      </c>
      <c r="C77" s="0" t="s">
        <v>663</v>
      </c>
      <c r="D77" s="0" t="s">
        <v>568</v>
      </c>
      <c r="E77" s="0" t="s">
        <v>195</v>
      </c>
      <c r="F77" s="0" t="n">
        <v>8</v>
      </c>
      <c r="G77" s="0" t="n">
        <v>10.8</v>
      </c>
      <c r="H77" s="0" t="n">
        <v>0.48</v>
      </c>
      <c r="I77" s="10" t="n">
        <v>0.733</v>
      </c>
      <c r="J77" s="0" t="n">
        <v>0.61</v>
      </c>
      <c r="K77" s="13" t="n">
        <f aca="false">IF(H77&lt;&gt;"",H77,IFERROR(G77/INDEX(Players!$M$2:$M$42,MATCH(B77,Players!$A$2:$A$42,0)),""))</f>
        <v>0.48</v>
      </c>
    </row>
    <row r="78" customFormat="false" ht="15" hidden="false" customHeight="false" outlineLevel="0" collapsed="false">
      <c r="A78" s="0" t="s">
        <v>1011</v>
      </c>
      <c r="B78" s="0" t="s">
        <v>793</v>
      </c>
      <c r="C78" s="0" t="s">
        <v>663</v>
      </c>
      <c r="D78" s="0" t="s">
        <v>568</v>
      </c>
      <c r="E78" s="0" t="s">
        <v>208</v>
      </c>
      <c r="F78" s="0" t="n">
        <v>7</v>
      </c>
      <c r="G78" s="0" t="n">
        <v>14.1</v>
      </c>
      <c r="H78" s="0" t="n">
        <v>0.66</v>
      </c>
      <c r="I78" s="10" t="n">
        <v>0.626</v>
      </c>
      <c r="J78" s="0" t="n">
        <v>1.08</v>
      </c>
      <c r="K78" s="13" t="n">
        <f aca="false">IF(H78&lt;&gt;"",H78,IFERROR(G78/INDEX(Players!$M$2:$M$42,MATCH(B78,Players!$A$2:$A$42,0)),""))</f>
        <v>0.66</v>
      </c>
    </row>
    <row r="79" customFormat="false" ht="15" hidden="false" customHeight="false" outlineLevel="0" collapsed="false">
      <c r="A79" s="0" t="s">
        <v>1012</v>
      </c>
      <c r="B79" s="0" t="s">
        <v>793</v>
      </c>
      <c r="C79" s="0" t="s">
        <v>663</v>
      </c>
      <c r="D79" s="0" t="s">
        <v>568</v>
      </c>
      <c r="E79" s="0" t="s">
        <v>174</v>
      </c>
      <c r="F79" s="0" t="n">
        <v>6</v>
      </c>
      <c r="G79" s="0" t="n">
        <v>19.8</v>
      </c>
      <c r="H79" s="0" t="n">
        <v>0.86</v>
      </c>
      <c r="I79" s="10" t="n">
        <v>0.731</v>
      </c>
      <c r="J79" s="0" t="n">
        <v>1.31</v>
      </c>
      <c r="K79" s="13" t="n">
        <f aca="false">IF(H79&lt;&gt;"",H79,IFERROR(G79/INDEX(Players!$M$2:$M$42,MATCH(B79,Players!$A$2:$A$42,0)),""))</f>
        <v>0.86</v>
      </c>
    </row>
    <row r="80" customFormat="false" ht="15" hidden="false" customHeight="false" outlineLevel="0" collapsed="false">
      <c r="A80" s="0" t="s">
        <v>1013</v>
      </c>
      <c r="B80" s="0" t="s">
        <v>793</v>
      </c>
      <c r="C80" s="0" t="s">
        <v>663</v>
      </c>
      <c r="D80" s="0" t="s">
        <v>568</v>
      </c>
      <c r="E80" s="0" t="s">
        <v>184</v>
      </c>
      <c r="F80" s="0" t="n">
        <v>6</v>
      </c>
      <c r="G80" s="0" t="n">
        <v>16.7</v>
      </c>
      <c r="H80" s="0" t="n">
        <v>0.65</v>
      </c>
      <c r="I80" s="10" t="n">
        <v>0.66</v>
      </c>
      <c r="J80" s="0" t="n">
        <v>0.96</v>
      </c>
      <c r="K80" s="13" t="n">
        <f aca="false">IF(H80&lt;&gt;"",H80,IFERROR(G80/INDEX(Players!$M$2:$M$42,MATCH(B80,Players!$A$2:$A$42,0)),""))</f>
        <v>0.65</v>
      </c>
    </row>
    <row r="81" customFormat="false" ht="15" hidden="false" customHeight="false" outlineLevel="0" collapsed="false">
      <c r="A81" s="0" t="s">
        <v>1014</v>
      </c>
      <c r="B81" s="0" t="s">
        <v>793</v>
      </c>
      <c r="C81" s="0" t="s">
        <v>663</v>
      </c>
      <c r="D81" s="0" t="s">
        <v>568</v>
      </c>
      <c r="E81" s="0" t="s">
        <v>161</v>
      </c>
      <c r="F81" s="0" t="n">
        <v>6</v>
      </c>
      <c r="G81" s="0" t="n">
        <v>15.5</v>
      </c>
      <c r="H81" s="0" t="n">
        <v>0.64</v>
      </c>
      <c r="I81" s="10" t="n">
        <v>0.591</v>
      </c>
      <c r="J81" s="0" t="n">
        <v>0.94</v>
      </c>
      <c r="K81" s="13" t="n">
        <f aca="false">IF(H81&lt;&gt;"",H81,IFERROR(G81/INDEX(Players!$M$2:$M$42,MATCH(B81,Players!$A$2:$A$42,0)),""))</f>
        <v>0.64</v>
      </c>
    </row>
    <row r="82" customFormat="false" ht="15" hidden="false" customHeight="false" outlineLevel="0" collapsed="false">
      <c r="A82" s="0" t="s">
        <v>1015</v>
      </c>
      <c r="B82" s="0" t="s">
        <v>793</v>
      </c>
      <c r="C82" s="0" t="s">
        <v>663</v>
      </c>
      <c r="D82" s="0" t="s">
        <v>568</v>
      </c>
      <c r="E82" s="0" t="s">
        <v>338</v>
      </c>
      <c r="F82" s="0" t="n">
        <v>4</v>
      </c>
      <c r="G82" s="0" t="n">
        <v>17.8</v>
      </c>
      <c r="H82" s="0" t="n">
        <v>0.78</v>
      </c>
      <c r="I82" s="10" t="n">
        <v>0.662</v>
      </c>
      <c r="J82" s="0" t="n">
        <v>1.22</v>
      </c>
      <c r="K82" s="13" t="n">
        <f aca="false">IF(H82&lt;&gt;"",H82,IFERROR(G82/INDEX(Players!$M$2:$M$42,MATCH(B82,Players!$A$2:$A$42,0)),""))</f>
        <v>0.78</v>
      </c>
    </row>
    <row r="83" customFormat="false" ht="15" hidden="false" customHeight="false" outlineLevel="0" collapsed="false">
      <c r="A83" s="0" t="s">
        <v>1016</v>
      </c>
      <c r="B83" s="0" t="s">
        <v>799</v>
      </c>
      <c r="C83" s="0" t="s">
        <v>678</v>
      </c>
      <c r="D83" s="0" t="s">
        <v>568</v>
      </c>
      <c r="E83" s="0" t="s">
        <v>161</v>
      </c>
      <c r="F83" s="0" t="n">
        <v>13</v>
      </c>
      <c r="G83" s="0" t="n">
        <v>13.9</v>
      </c>
      <c r="H83" s="0" t="n">
        <v>0.66</v>
      </c>
      <c r="I83" s="10" t="n">
        <v>0.536</v>
      </c>
      <c r="J83" s="0" t="n">
        <v>0.93</v>
      </c>
      <c r="K83" s="13" t="n">
        <f aca="false">IF(H83&lt;&gt;"",H83,IFERROR(G83/INDEX(Players!$M$2:$M$42,MATCH(B83,Players!$A$2:$A$42,0)),""))</f>
        <v>0.66</v>
      </c>
    </row>
    <row r="84" customFormat="false" ht="15" hidden="false" customHeight="false" outlineLevel="0" collapsed="false">
      <c r="A84" s="0" t="s">
        <v>1017</v>
      </c>
      <c r="B84" s="0" t="s">
        <v>799</v>
      </c>
      <c r="C84" s="0" t="s">
        <v>678</v>
      </c>
      <c r="D84" s="0" t="s">
        <v>568</v>
      </c>
      <c r="E84" s="0" t="s">
        <v>174</v>
      </c>
      <c r="F84" s="0" t="n">
        <v>8</v>
      </c>
      <c r="G84" s="0" t="n">
        <v>14.9</v>
      </c>
      <c r="H84" s="0" t="n">
        <v>0.7</v>
      </c>
      <c r="I84" s="10" t="n">
        <v>0.513</v>
      </c>
      <c r="J84" s="0" t="n">
        <v>1.02</v>
      </c>
      <c r="K84" s="13" t="n">
        <f aca="false">IF(H84&lt;&gt;"",H84,IFERROR(G84/INDEX(Players!$M$2:$M$42,MATCH(B84,Players!$A$2:$A$42,0)),""))</f>
        <v>0.7</v>
      </c>
    </row>
    <row r="85" customFormat="false" ht="15" hidden="false" customHeight="false" outlineLevel="0" collapsed="false">
      <c r="A85" s="0" t="s">
        <v>1018</v>
      </c>
      <c r="B85" s="0" t="s">
        <v>799</v>
      </c>
      <c r="C85" s="0" t="s">
        <v>678</v>
      </c>
      <c r="D85" s="0" t="s">
        <v>568</v>
      </c>
      <c r="E85" s="0" t="s">
        <v>195</v>
      </c>
      <c r="F85" s="0" t="n">
        <v>6</v>
      </c>
      <c r="G85" s="0" t="n">
        <v>11.7</v>
      </c>
      <c r="H85" s="0" t="n">
        <v>0.49</v>
      </c>
      <c r="I85" s="10" t="n">
        <v>0.614</v>
      </c>
      <c r="J85" s="0" t="n">
        <v>0.64</v>
      </c>
      <c r="K85" s="13" t="n">
        <f aca="false">IF(H85&lt;&gt;"",H85,IFERROR(G85/INDEX(Players!$M$2:$M$42,MATCH(B85,Players!$A$2:$A$42,0)),""))</f>
        <v>0.49</v>
      </c>
    </row>
    <row r="86" customFormat="false" ht="15" hidden="false" customHeight="false" outlineLevel="0" collapsed="false">
      <c r="A86" s="0" t="s">
        <v>1019</v>
      </c>
      <c r="B86" s="0" t="s">
        <v>799</v>
      </c>
      <c r="C86" s="0" t="s">
        <v>678</v>
      </c>
      <c r="D86" s="0" t="s">
        <v>568</v>
      </c>
      <c r="E86" s="0" t="s">
        <v>147</v>
      </c>
      <c r="F86" s="0" t="n">
        <v>5</v>
      </c>
      <c r="G86" s="0" t="n">
        <v>13</v>
      </c>
      <c r="H86" s="0" t="n">
        <v>0.61</v>
      </c>
      <c r="I86" s="10" t="n">
        <v>0.554</v>
      </c>
      <c r="J86" s="0" t="n">
        <v>0.88</v>
      </c>
      <c r="K86" s="13" t="n">
        <f aca="false">IF(H86&lt;&gt;"",H86,IFERROR(G86/INDEX(Players!$M$2:$M$42,MATCH(B86,Players!$A$2:$A$42,0)),""))</f>
        <v>0.61</v>
      </c>
    </row>
    <row r="87" customFormat="false" ht="15" hidden="false" customHeight="false" outlineLevel="0" collapsed="false">
      <c r="A87" s="0" t="s">
        <v>1020</v>
      </c>
      <c r="B87" s="0" t="s">
        <v>799</v>
      </c>
      <c r="C87" s="0" t="s">
        <v>678</v>
      </c>
      <c r="D87" s="0" t="s">
        <v>568</v>
      </c>
      <c r="E87" s="0" t="s">
        <v>184</v>
      </c>
      <c r="F87" s="0" t="n">
        <v>3</v>
      </c>
      <c r="G87" s="0" t="n">
        <v>11.3</v>
      </c>
      <c r="H87" s="0" t="n">
        <v>0.55</v>
      </c>
      <c r="I87" s="10" t="n">
        <v>0.647</v>
      </c>
      <c r="J87" s="0" t="n">
        <v>0.87</v>
      </c>
      <c r="K87" s="13" t="n">
        <f aca="false">IF(H87&lt;&gt;"",H87,IFERROR(G87/INDEX(Players!$M$2:$M$42,MATCH(B87,Players!$A$2:$A$42,0)),""))</f>
        <v>0.55</v>
      </c>
    </row>
    <row r="88" customFormat="false" ht="15" hidden="false" customHeight="false" outlineLevel="0" collapsed="false">
      <c r="A88" s="0" t="s">
        <v>1021</v>
      </c>
      <c r="B88" s="0" t="s">
        <v>799</v>
      </c>
      <c r="C88" s="0" t="s">
        <v>678</v>
      </c>
      <c r="D88" s="0" t="s">
        <v>568</v>
      </c>
      <c r="E88" s="0" t="s">
        <v>208</v>
      </c>
      <c r="F88" s="0" t="n">
        <v>2</v>
      </c>
      <c r="G88" s="0" t="n">
        <v>11</v>
      </c>
      <c r="H88" s="0" t="n">
        <v>0.48</v>
      </c>
      <c r="I88" s="10" t="n">
        <v>0.545</v>
      </c>
      <c r="J88" s="0" t="n">
        <v>0.67</v>
      </c>
      <c r="K88" s="13" t="n">
        <f aca="false">IF(H88&lt;&gt;"",H88,IFERROR(G88/INDEX(Players!$M$2:$M$42,MATCH(B88,Players!$A$2:$A$42,0)),""))</f>
        <v>0.48</v>
      </c>
    </row>
    <row r="89" customFormat="false" ht="15" hidden="false" customHeight="false" outlineLevel="0" collapsed="false">
      <c r="A89" s="0" t="s">
        <v>1022</v>
      </c>
      <c r="B89" s="0" t="s">
        <v>810</v>
      </c>
      <c r="C89" s="0" t="s">
        <v>700</v>
      </c>
      <c r="D89" s="0" t="s">
        <v>568</v>
      </c>
      <c r="E89" s="0" t="s">
        <v>184</v>
      </c>
      <c r="F89" s="0" t="n">
        <v>8</v>
      </c>
      <c r="G89" s="0" t="n">
        <v>21.1</v>
      </c>
      <c r="H89" s="0" t="n">
        <v>0.79</v>
      </c>
      <c r="I89" s="10" t="n">
        <v>0.615</v>
      </c>
      <c r="J89" s="0" t="n">
        <v>1.1</v>
      </c>
      <c r="K89" s="13" t="n">
        <f aca="false">IF(H89&lt;&gt;"",H89,IFERROR(G89/INDEX(Players!$M$2:$M$42,MATCH(B89,Players!$A$2:$A$42,0)),""))</f>
        <v>0.79</v>
      </c>
    </row>
    <row r="90" customFormat="false" ht="15" hidden="false" customHeight="false" outlineLevel="0" collapsed="false">
      <c r="A90" s="0" t="s">
        <v>1023</v>
      </c>
      <c r="B90" s="0" t="s">
        <v>810</v>
      </c>
      <c r="C90" s="0" t="s">
        <v>700</v>
      </c>
      <c r="D90" s="0" t="s">
        <v>568</v>
      </c>
      <c r="E90" s="0" t="s">
        <v>161</v>
      </c>
      <c r="F90" s="0" t="n">
        <v>7</v>
      </c>
      <c r="G90" s="0" t="n">
        <v>20</v>
      </c>
      <c r="H90" s="0" t="n">
        <v>0.9</v>
      </c>
      <c r="I90" s="10" t="n">
        <v>0.557</v>
      </c>
      <c r="J90" s="0" t="n">
        <v>1.37</v>
      </c>
      <c r="K90" s="13" t="n">
        <f aca="false">IF(H90&lt;&gt;"",H90,IFERROR(G90/INDEX(Players!$M$2:$M$42,MATCH(B90,Players!$A$2:$A$42,0)),""))</f>
        <v>0.9</v>
      </c>
    </row>
    <row r="91" customFormat="false" ht="15" hidden="false" customHeight="false" outlineLevel="0" collapsed="false">
      <c r="A91" s="0" t="s">
        <v>1024</v>
      </c>
      <c r="B91" s="0" t="s">
        <v>810</v>
      </c>
      <c r="C91" s="0" t="s">
        <v>700</v>
      </c>
      <c r="D91" s="0" t="s">
        <v>568</v>
      </c>
      <c r="E91" s="0" t="s">
        <v>195</v>
      </c>
      <c r="F91" s="0" t="n">
        <v>5</v>
      </c>
      <c r="G91" s="0" t="n">
        <v>18.6</v>
      </c>
      <c r="H91" s="0" t="n">
        <v>0.95</v>
      </c>
      <c r="I91" s="10" t="n">
        <v>0.505</v>
      </c>
      <c r="J91" s="0" t="n">
        <v>1.98</v>
      </c>
      <c r="K91" s="13" t="n">
        <f aca="false">IF(H91&lt;&gt;"",H91,IFERROR(G91/INDEX(Players!$M$2:$M$42,MATCH(B91,Players!$A$2:$A$42,0)),""))</f>
        <v>0.95</v>
      </c>
    </row>
    <row r="92" customFormat="false" ht="15" hidden="false" customHeight="false" outlineLevel="0" collapsed="false">
      <c r="A92" s="0" t="s">
        <v>1025</v>
      </c>
      <c r="B92" s="0" t="s">
        <v>810</v>
      </c>
      <c r="C92" s="0" t="s">
        <v>700</v>
      </c>
      <c r="D92" s="0" t="s">
        <v>568</v>
      </c>
      <c r="E92" s="0" t="s">
        <v>174</v>
      </c>
      <c r="F92" s="0" t="n">
        <v>5</v>
      </c>
      <c r="G92" s="0" t="n">
        <v>16.4</v>
      </c>
      <c r="H92" s="0" t="n">
        <v>0.73</v>
      </c>
      <c r="I92" s="10" t="n">
        <v>0.646</v>
      </c>
      <c r="J92" s="0" t="n">
        <v>1.06</v>
      </c>
      <c r="K92" s="13" t="n">
        <f aca="false">IF(H92&lt;&gt;"",H92,IFERROR(G92/INDEX(Players!$M$2:$M$42,MATCH(B92,Players!$A$2:$A$42,0)),""))</f>
        <v>0.73</v>
      </c>
    </row>
    <row r="93" customFormat="false" ht="15" hidden="false" customHeight="false" outlineLevel="0" collapsed="false">
      <c r="A93" s="0" t="s">
        <v>1026</v>
      </c>
      <c r="B93" s="0" t="s">
        <v>810</v>
      </c>
      <c r="C93" s="0" t="s">
        <v>700</v>
      </c>
      <c r="D93" s="0" t="s">
        <v>568</v>
      </c>
      <c r="E93" s="0" t="s">
        <v>338</v>
      </c>
      <c r="F93" s="0" t="n">
        <v>4</v>
      </c>
      <c r="G93" s="0" t="n">
        <v>16.8</v>
      </c>
      <c r="H93" s="0" t="n">
        <v>0.78</v>
      </c>
      <c r="I93" s="10" t="n">
        <v>0.657</v>
      </c>
      <c r="J93" s="0" t="n">
        <v>1.18</v>
      </c>
      <c r="K93" s="13" t="n">
        <f aca="false">IF(H93&lt;&gt;"",H93,IFERROR(G93/INDEX(Players!$M$2:$M$42,MATCH(B93,Players!$A$2:$A$42,0)),""))</f>
        <v>0.78</v>
      </c>
    </row>
    <row r="94" customFormat="false" ht="15" hidden="false" customHeight="false" outlineLevel="0" collapsed="false">
      <c r="A94" s="0" t="s">
        <v>1027</v>
      </c>
      <c r="B94" s="0" t="s">
        <v>810</v>
      </c>
      <c r="C94" s="0" t="s">
        <v>700</v>
      </c>
      <c r="D94" s="0" t="s">
        <v>568</v>
      </c>
      <c r="E94" s="0" t="s">
        <v>147</v>
      </c>
      <c r="F94" s="0" t="n">
        <v>1</v>
      </c>
      <c r="G94" s="0" t="n">
        <v>18</v>
      </c>
      <c r="H94" s="0" t="n">
        <v>0.75</v>
      </c>
      <c r="I94" s="10" t="n">
        <v>0.778</v>
      </c>
      <c r="J94" s="0" t="n">
        <v>1.13</v>
      </c>
      <c r="K94" s="13" t="n">
        <f aca="false">IF(H94&lt;&gt;"",H94,IFERROR(G94/INDEX(Players!$M$2:$M$42,MATCH(B94,Players!$A$2:$A$42,0)),""))</f>
        <v>0.75</v>
      </c>
    </row>
    <row r="95" customFormat="false" ht="15" hidden="false" customHeight="false" outlineLevel="0" collapsed="false">
      <c r="A95" s="0" t="s">
        <v>1028</v>
      </c>
      <c r="B95" s="0" t="s">
        <v>816</v>
      </c>
      <c r="C95" s="0" t="s">
        <v>712</v>
      </c>
      <c r="D95" s="0" t="s">
        <v>568</v>
      </c>
      <c r="E95" s="0" t="s">
        <v>174</v>
      </c>
      <c r="F95" s="0" t="n">
        <v>10</v>
      </c>
      <c r="G95" s="0" t="n">
        <v>14.1</v>
      </c>
      <c r="H95" s="0" t="n">
        <v>0.71</v>
      </c>
      <c r="I95" s="10" t="n">
        <v>0.511</v>
      </c>
      <c r="J95" s="0" t="n">
        <v>0.99</v>
      </c>
      <c r="K95" s="13" t="n">
        <f aca="false">IF(H95&lt;&gt;"",H95,IFERROR(G95/INDEX(Players!$M$2:$M$42,MATCH(B95,Players!$A$2:$A$42,0)),""))</f>
        <v>0.71</v>
      </c>
    </row>
    <row r="96" customFormat="false" ht="15" hidden="false" customHeight="false" outlineLevel="0" collapsed="false">
      <c r="A96" s="0" t="s">
        <v>1029</v>
      </c>
      <c r="B96" s="0" t="s">
        <v>816</v>
      </c>
      <c r="C96" s="0" t="s">
        <v>712</v>
      </c>
      <c r="D96" s="0" t="s">
        <v>568</v>
      </c>
      <c r="E96" s="0" t="s">
        <v>184</v>
      </c>
      <c r="F96" s="0" t="n">
        <v>6</v>
      </c>
      <c r="G96" s="0" t="n">
        <v>17.2</v>
      </c>
      <c r="H96" s="0" t="n">
        <v>0.71</v>
      </c>
      <c r="I96" s="10" t="n">
        <v>0.485</v>
      </c>
      <c r="J96" s="0" t="n">
        <v>1.02</v>
      </c>
      <c r="K96" s="13" t="n">
        <f aca="false">IF(H96&lt;&gt;"",H96,IFERROR(G96/INDEX(Players!$M$2:$M$42,MATCH(B96,Players!$A$2:$A$42,0)),""))</f>
        <v>0.71</v>
      </c>
    </row>
    <row r="97" customFormat="false" ht="15" hidden="false" customHeight="false" outlineLevel="0" collapsed="false">
      <c r="A97" s="0" t="s">
        <v>1030</v>
      </c>
      <c r="B97" s="0" t="s">
        <v>816</v>
      </c>
      <c r="C97" s="0" t="s">
        <v>712</v>
      </c>
      <c r="D97" s="0" t="s">
        <v>568</v>
      </c>
      <c r="E97" s="0" t="s">
        <v>208</v>
      </c>
      <c r="F97" s="0" t="n">
        <v>6</v>
      </c>
      <c r="G97" s="0" t="n">
        <v>12</v>
      </c>
      <c r="H97" s="0" t="n">
        <v>0.6</v>
      </c>
      <c r="I97" s="10" t="n">
        <v>0.583</v>
      </c>
      <c r="J97" s="0" t="n">
        <v>0.84</v>
      </c>
      <c r="K97" s="13" t="n">
        <f aca="false">IF(H97&lt;&gt;"",H97,IFERROR(G97/INDEX(Players!$M$2:$M$42,MATCH(B97,Players!$A$2:$A$42,0)),""))</f>
        <v>0.6</v>
      </c>
    </row>
    <row r="98" customFormat="false" ht="15" hidden="false" customHeight="false" outlineLevel="0" collapsed="false">
      <c r="A98" s="0" t="s">
        <v>1031</v>
      </c>
      <c r="B98" s="0" t="s">
        <v>816</v>
      </c>
      <c r="C98" s="0" t="s">
        <v>712</v>
      </c>
      <c r="D98" s="0" t="s">
        <v>568</v>
      </c>
      <c r="E98" s="0" t="s">
        <v>195</v>
      </c>
      <c r="F98" s="0" t="n">
        <v>3</v>
      </c>
      <c r="G98" s="0" t="n">
        <v>13.3</v>
      </c>
      <c r="H98" s="0" t="n">
        <v>0.66</v>
      </c>
      <c r="I98" s="10" t="n">
        <v>0.525</v>
      </c>
      <c r="J98" s="0" t="n">
        <v>0.95</v>
      </c>
      <c r="K98" s="13" t="n">
        <f aca="false">IF(H98&lt;&gt;"",H98,IFERROR(G98/INDEX(Players!$M$2:$M$42,MATCH(B98,Players!$A$2:$A$42,0)),""))</f>
        <v>0.66</v>
      </c>
    </row>
    <row r="99" customFormat="false" ht="15" hidden="false" customHeight="false" outlineLevel="0" collapsed="false">
      <c r="A99" s="0" t="s">
        <v>1032</v>
      </c>
      <c r="B99" s="0" t="s">
        <v>816</v>
      </c>
      <c r="C99" s="0" t="s">
        <v>712</v>
      </c>
      <c r="D99" s="0" t="s">
        <v>568</v>
      </c>
      <c r="E99" s="0" t="s">
        <v>161</v>
      </c>
      <c r="F99" s="0" t="n">
        <v>3</v>
      </c>
      <c r="G99" s="0" t="n">
        <v>15.7</v>
      </c>
      <c r="H99" s="0" t="n">
        <v>0.64</v>
      </c>
      <c r="I99" s="10" t="n">
        <v>0.426</v>
      </c>
      <c r="J99" s="0" t="n">
        <v>0.92</v>
      </c>
      <c r="K99" s="13" t="n">
        <f aca="false">IF(H99&lt;&gt;"",H99,IFERROR(G99/INDEX(Players!$M$2:$M$42,MATCH(B99,Players!$A$2:$A$42,0)),""))</f>
        <v>0.64</v>
      </c>
    </row>
    <row r="100" customFormat="false" ht="15" hidden="false" customHeight="false" outlineLevel="0" collapsed="false">
      <c r="A100" s="0" t="s">
        <v>1033</v>
      </c>
      <c r="B100" s="0" t="s">
        <v>816</v>
      </c>
      <c r="C100" s="0" t="s">
        <v>712</v>
      </c>
      <c r="D100" s="0" t="s">
        <v>568</v>
      </c>
      <c r="E100" s="0" t="s">
        <v>147</v>
      </c>
      <c r="F100" s="0" t="n">
        <v>2</v>
      </c>
      <c r="G100" s="0" t="n">
        <v>9.5</v>
      </c>
      <c r="H100" s="0" t="n">
        <v>0.5</v>
      </c>
      <c r="I100" s="10" t="n">
        <v>0.684</v>
      </c>
      <c r="J100" s="0" t="n">
        <v>0.9</v>
      </c>
      <c r="K100" s="13" t="n">
        <f aca="false">IF(H100&lt;&gt;"",H100,IFERROR(G100/INDEX(Players!$M$2:$M$42,MATCH(B100,Players!$A$2:$A$42,0)),""))</f>
        <v>0.5</v>
      </c>
    </row>
    <row r="101" customFormat="false" ht="15" hidden="false" customHeight="false" outlineLevel="0" collapsed="false">
      <c r="A101" s="0" t="s">
        <v>1034</v>
      </c>
      <c r="B101" s="0" t="s">
        <v>811</v>
      </c>
      <c r="C101" s="0" t="s">
        <v>702</v>
      </c>
      <c r="D101" s="0" t="s">
        <v>568</v>
      </c>
      <c r="E101" s="0" t="s">
        <v>184</v>
      </c>
      <c r="F101" s="0" t="n">
        <v>8</v>
      </c>
      <c r="G101" s="0" t="n">
        <v>18</v>
      </c>
      <c r="H101" s="0" t="n">
        <v>0.67</v>
      </c>
      <c r="I101" s="10" t="n">
        <v>0.583</v>
      </c>
      <c r="J101" s="0" t="n">
        <v>0.92</v>
      </c>
      <c r="K101" s="13" t="n">
        <f aca="false">IF(H101&lt;&gt;"",H101,IFERROR(G101/INDEX(Players!$M$2:$M$42,MATCH(B101,Players!$A$2:$A$42,0)),""))</f>
        <v>0.67</v>
      </c>
    </row>
    <row r="102" customFormat="false" ht="15" hidden="false" customHeight="false" outlineLevel="0" collapsed="false">
      <c r="A102" s="0" t="s">
        <v>1035</v>
      </c>
      <c r="B102" s="0" t="s">
        <v>811</v>
      </c>
      <c r="C102" s="0" t="s">
        <v>702</v>
      </c>
      <c r="D102" s="0" t="s">
        <v>568</v>
      </c>
      <c r="E102" s="0" t="s">
        <v>161</v>
      </c>
      <c r="F102" s="0" t="n">
        <v>7</v>
      </c>
      <c r="G102" s="0" t="n">
        <v>16.7</v>
      </c>
      <c r="H102" s="0" t="n">
        <v>0.75</v>
      </c>
      <c r="I102" s="10" t="n">
        <v>0.487</v>
      </c>
      <c r="J102" s="0" t="n">
        <v>1.16</v>
      </c>
      <c r="K102" s="13" t="n">
        <f aca="false">IF(H102&lt;&gt;"",H102,IFERROR(G102/INDEX(Players!$M$2:$M$42,MATCH(B102,Players!$A$2:$A$42,0)),""))</f>
        <v>0.75</v>
      </c>
    </row>
    <row r="103" customFormat="false" ht="15" hidden="false" customHeight="false" outlineLevel="0" collapsed="false">
      <c r="A103" s="0" t="s">
        <v>1036</v>
      </c>
      <c r="B103" s="0" t="s">
        <v>811</v>
      </c>
      <c r="C103" s="0" t="s">
        <v>702</v>
      </c>
      <c r="D103" s="0" t="s">
        <v>568</v>
      </c>
      <c r="E103" s="0" t="s">
        <v>195</v>
      </c>
      <c r="F103" s="0" t="n">
        <v>5</v>
      </c>
      <c r="G103" s="0" t="n">
        <v>16.2</v>
      </c>
      <c r="H103" s="0" t="n">
        <v>0.83</v>
      </c>
      <c r="I103" s="10" t="n">
        <v>0.58</v>
      </c>
      <c r="J103" s="0" t="n">
        <v>1.21</v>
      </c>
      <c r="K103" s="13" t="n">
        <f aca="false">IF(H103&lt;&gt;"",H103,IFERROR(G103/INDEX(Players!$M$2:$M$42,MATCH(B103,Players!$A$2:$A$42,0)),""))</f>
        <v>0.83</v>
      </c>
    </row>
    <row r="104" customFormat="false" ht="15" hidden="false" customHeight="false" outlineLevel="0" collapsed="false">
      <c r="A104" s="0" t="s">
        <v>1037</v>
      </c>
      <c r="B104" s="0" t="s">
        <v>811</v>
      </c>
      <c r="C104" s="0" t="s">
        <v>702</v>
      </c>
      <c r="D104" s="0" t="s">
        <v>568</v>
      </c>
      <c r="E104" s="0" t="s">
        <v>174</v>
      </c>
      <c r="F104" s="0" t="n">
        <v>5</v>
      </c>
      <c r="G104" s="0" t="n">
        <v>14</v>
      </c>
      <c r="H104" s="0" t="n">
        <v>0.62</v>
      </c>
      <c r="I104" s="10" t="n">
        <v>0.6</v>
      </c>
      <c r="J104" s="0" t="n">
        <v>0.89</v>
      </c>
      <c r="K104" s="13" t="n">
        <f aca="false">IF(H104&lt;&gt;"",H104,IFERROR(G104/INDEX(Players!$M$2:$M$42,MATCH(B104,Players!$A$2:$A$42,0)),""))</f>
        <v>0.62</v>
      </c>
    </row>
    <row r="105" customFormat="false" ht="15" hidden="false" customHeight="false" outlineLevel="0" collapsed="false">
      <c r="A105" s="0" t="s">
        <v>1038</v>
      </c>
      <c r="B105" s="0" t="s">
        <v>811</v>
      </c>
      <c r="C105" s="0" t="s">
        <v>702</v>
      </c>
      <c r="D105" s="0" t="s">
        <v>568</v>
      </c>
      <c r="E105" s="0" t="s">
        <v>338</v>
      </c>
      <c r="F105" s="0" t="n">
        <v>4</v>
      </c>
      <c r="G105" s="0" t="n">
        <v>12.8</v>
      </c>
      <c r="H105" s="0" t="n">
        <v>0.59</v>
      </c>
      <c r="I105" s="10" t="n">
        <v>0.686</v>
      </c>
      <c r="J105" s="0" t="n">
        <v>0.93</v>
      </c>
      <c r="K105" s="13" t="n">
        <f aca="false">IF(H105&lt;&gt;"",H105,IFERROR(G105/INDEX(Players!$M$2:$M$42,MATCH(B105,Players!$A$2:$A$42,0)),""))</f>
        <v>0.59</v>
      </c>
    </row>
    <row r="106" customFormat="false" ht="15" hidden="false" customHeight="false" outlineLevel="0" collapsed="false">
      <c r="A106" s="0" t="s">
        <v>1039</v>
      </c>
      <c r="B106" s="0" t="s">
        <v>811</v>
      </c>
      <c r="C106" s="0" t="s">
        <v>702</v>
      </c>
      <c r="D106" s="0" t="s">
        <v>568</v>
      </c>
      <c r="E106" s="0" t="s">
        <v>147</v>
      </c>
      <c r="F106" s="0" t="n">
        <v>1</v>
      </c>
      <c r="G106" s="0" t="n">
        <v>20</v>
      </c>
      <c r="H106" s="0" t="n">
        <v>0.83</v>
      </c>
      <c r="I106" s="10" t="n">
        <v>0.7</v>
      </c>
      <c r="J106" s="0" t="n">
        <v>1.25</v>
      </c>
      <c r="K106" s="13" t="n">
        <f aca="false">IF(H106&lt;&gt;"",H106,IFERROR(G106/INDEX(Players!$M$2:$M$42,MATCH(B106,Players!$A$2:$A$42,0)),""))</f>
        <v>0.83</v>
      </c>
    </row>
    <row r="107" customFormat="false" ht="15" hidden="false" customHeight="false" outlineLevel="0" collapsed="false">
      <c r="A107" s="0" t="s">
        <v>1040</v>
      </c>
      <c r="B107" s="0" t="s">
        <v>808</v>
      </c>
      <c r="C107" s="0" t="s">
        <v>696</v>
      </c>
      <c r="D107" s="0" t="s">
        <v>568</v>
      </c>
      <c r="E107" s="0" t="s">
        <v>174</v>
      </c>
      <c r="F107" s="0" t="n">
        <v>8</v>
      </c>
      <c r="G107" s="0" t="n">
        <v>16.4</v>
      </c>
      <c r="H107" s="0" t="n">
        <v>0.79</v>
      </c>
      <c r="I107" s="10" t="n">
        <v>0.359</v>
      </c>
      <c r="J107" s="0" t="n">
        <v>1.42</v>
      </c>
      <c r="K107" s="13" t="n">
        <f aca="false">IF(H107&lt;&gt;"",H107,IFERROR(G107/INDEX(Players!$M$2:$M$42,MATCH(B107,Players!$A$2:$A$42,0)),""))</f>
        <v>0.79</v>
      </c>
    </row>
    <row r="108" customFormat="false" ht="15" hidden="false" customHeight="false" outlineLevel="0" collapsed="false">
      <c r="A108" s="0" t="s">
        <v>1041</v>
      </c>
      <c r="B108" s="0" t="s">
        <v>808</v>
      </c>
      <c r="C108" s="0" t="s">
        <v>696</v>
      </c>
      <c r="D108" s="0" t="s">
        <v>568</v>
      </c>
      <c r="E108" s="0" t="s">
        <v>338</v>
      </c>
      <c r="F108" s="0" t="n">
        <v>6</v>
      </c>
      <c r="G108" s="0" t="n">
        <v>16.2</v>
      </c>
      <c r="H108" s="0" t="n">
        <v>0.73</v>
      </c>
      <c r="I108" s="10" t="n">
        <v>0.361</v>
      </c>
      <c r="J108" s="0" t="n">
        <v>1.23</v>
      </c>
      <c r="K108" s="13" t="n">
        <f aca="false">IF(H108&lt;&gt;"",H108,IFERROR(G108/INDEX(Players!$M$2:$M$42,MATCH(B108,Players!$A$2:$A$42,0)),""))</f>
        <v>0.73</v>
      </c>
    </row>
    <row r="109" customFormat="false" ht="15" hidden="false" customHeight="false" outlineLevel="0" collapsed="false">
      <c r="A109" s="0" t="s">
        <v>1042</v>
      </c>
      <c r="B109" s="0" t="s">
        <v>808</v>
      </c>
      <c r="C109" s="0" t="s">
        <v>696</v>
      </c>
      <c r="D109" s="0" t="s">
        <v>568</v>
      </c>
      <c r="E109" s="0" t="s">
        <v>184</v>
      </c>
      <c r="F109" s="0" t="n">
        <v>5</v>
      </c>
      <c r="G109" s="0" t="n">
        <v>20.4</v>
      </c>
      <c r="H109" s="0" t="n">
        <v>0.75</v>
      </c>
      <c r="I109" s="10" t="n">
        <v>0.324</v>
      </c>
      <c r="J109" s="0" t="n">
        <v>1.19</v>
      </c>
      <c r="K109" s="13" t="n">
        <f aca="false">IF(H109&lt;&gt;"",H109,IFERROR(G109/INDEX(Players!$M$2:$M$42,MATCH(B109,Players!$A$2:$A$42,0)),""))</f>
        <v>0.75</v>
      </c>
    </row>
    <row r="110" customFormat="false" ht="15" hidden="false" customHeight="false" outlineLevel="0" collapsed="false">
      <c r="A110" s="0" t="s">
        <v>1043</v>
      </c>
      <c r="B110" s="0" t="s">
        <v>808</v>
      </c>
      <c r="C110" s="0" t="s">
        <v>696</v>
      </c>
      <c r="D110" s="0" t="s">
        <v>568</v>
      </c>
      <c r="E110" s="0" t="s">
        <v>161</v>
      </c>
      <c r="F110" s="0" t="n">
        <v>5</v>
      </c>
      <c r="G110" s="0" t="n">
        <v>14.2</v>
      </c>
      <c r="H110" s="0" t="n">
        <v>0.72</v>
      </c>
      <c r="I110" s="10" t="n">
        <v>0.31</v>
      </c>
      <c r="J110" s="0" t="n">
        <v>1.16</v>
      </c>
      <c r="K110" s="13" t="n">
        <f aca="false">IF(H110&lt;&gt;"",H110,IFERROR(G110/INDEX(Players!$M$2:$M$42,MATCH(B110,Players!$A$2:$A$42,0)),""))</f>
        <v>0.72</v>
      </c>
    </row>
    <row r="111" customFormat="false" ht="15" hidden="false" customHeight="false" outlineLevel="0" collapsed="false">
      <c r="A111" s="0" t="s">
        <v>1044</v>
      </c>
      <c r="B111" s="0" t="s">
        <v>808</v>
      </c>
      <c r="C111" s="0" t="s">
        <v>696</v>
      </c>
      <c r="D111" s="0" t="s">
        <v>568</v>
      </c>
      <c r="E111" s="0" t="s">
        <v>147</v>
      </c>
      <c r="F111" s="0" t="n">
        <v>4</v>
      </c>
      <c r="G111" s="0" t="n">
        <v>17.3</v>
      </c>
      <c r="H111" s="0" t="n">
        <v>0.82</v>
      </c>
      <c r="I111" s="10" t="n">
        <v>0.304</v>
      </c>
      <c r="J111" s="0" t="n">
        <v>1.3</v>
      </c>
      <c r="K111" s="13" t="n">
        <f aca="false">IF(H111&lt;&gt;"",H111,IFERROR(G111/INDEX(Players!$M$2:$M$42,MATCH(B111,Players!$A$2:$A$42,0)),""))</f>
        <v>0.82</v>
      </c>
    </row>
    <row r="112" customFormat="false" ht="15" hidden="false" customHeight="false" outlineLevel="0" collapsed="false">
      <c r="A112" s="0" t="s">
        <v>1045</v>
      </c>
      <c r="B112" s="0" t="s">
        <v>808</v>
      </c>
      <c r="C112" s="0" t="s">
        <v>696</v>
      </c>
      <c r="D112" s="0" t="s">
        <v>568</v>
      </c>
      <c r="E112" s="0" t="s">
        <v>195</v>
      </c>
      <c r="F112" s="0" t="n">
        <v>2</v>
      </c>
      <c r="G112" s="0" t="n">
        <v>16</v>
      </c>
      <c r="H112" s="0" t="n">
        <v>0.7</v>
      </c>
      <c r="I112" s="10" t="n">
        <v>0.156</v>
      </c>
      <c r="J112" s="0" t="n">
        <v>1.23</v>
      </c>
      <c r="K112" s="13" t="n">
        <f aca="false">IF(H112&lt;&gt;"",H112,IFERROR(G112/INDEX(Players!$M$2:$M$42,MATCH(B112,Players!$A$2:$A$42,0)),""))</f>
        <v>0.7</v>
      </c>
    </row>
    <row r="113" customFormat="false" ht="15" hidden="false" customHeight="false" outlineLevel="0" collapsed="false">
      <c r="A113" s="0" t="s">
        <v>1046</v>
      </c>
      <c r="B113" s="0" t="s">
        <v>787</v>
      </c>
      <c r="C113" s="0" t="s">
        <v>643</v>
      </c>
      <c r="D113" s="0" t="s">
        <v>568</v>
      </c>
      <c r="E113" s="0" t="s">
        <v>161</v>
      </c>
      <c r="F113" s="0" t="n">
        <v>7</v>
      </c>
      <c r="G113" s="0" t="n">
        <v>12.9</v>
      </c>
      <c r="H113" s="0" t="n">
        <v>0.53</v>
      </c>
      <c r="I113" s="10" t="n">
        <v>0.6</v>
      </c>
      <c r="J113" s="0" t="n">
        <v>0.85</v>
      </c>
      <c r="K113" s="13" t="n">
        <f aca="false">IF(H113&lt;&gt;"",H113,IFERROR(G113/INDEX(Players!$M$2:$M$42,MATCH(B113,Players!$A$2:$A$42,0)),""))</f>
        <v>0.53</v>
      </c>
    </row>
    <row r="114" customFormat="false" ht="15" hidden="false" customHeight="false" outlineLevel="0" collapsed="false">
      <c r="A114" s="0" t="s">
        <v>1047</v>
      </c>
      <c r="B114" s="0" t="s">
        <v>787</v>
      </c>
      <c r="C114" s="0" t="s">
        <v>643</v>
      </c>
      <c r="D114" s="0" t="s">
        <v>568</v>
      </c>
      <c r="E114" s="0" t="s">
        <v>184</v>
      </c>
      <c r="F114" s="0" t="n">
        <v>5</v>
      </c>
      <c r="G114" s="0" t="n">
        <v>14.2</v>
      </c>
      <c r="H114" s="0" t="n">
        <v>0.73</v>
      </c>
      <c r="I114" s="10" t="n">
        <v>0.521</v>
      </c>
      <c r="J114" s="0" t="n">
        <v>1.39</v>
      </c>
      <c r="K114" s="13" t="n">
        <f aca="false">IF(H114&lt;&gt;"",H114,IFERROR(G114/INDEX(Players!$M$2:$M$42,MATCH(B114,Players!$A$2:$A$42,0)),""))</f>
        <v>0.73</v>
      </c>
    </row>
    <row r="115" customFormat="false" ht="15" hidden="false" customHeight="false" outlineLevel="0" collapsed="false">
      <c r="A115" s="0" t="s">
        <v>1048</v>
      </c>
      <c r="B115" s="0" t="s">
        <v>787</v>
      </c>
      <c r="C115" s="0" t="s">
        <v>643</v>
      </c>
      <c r="D115" s="0" t="s">
        <v>568</v>
      </c>
      <c r="E115" s="0" t="s">
        <v>174</v>
      </c>
      <c r="F115" s="0" t="n">
        <v>5</v>
      </c>
      <c r="G115" s="0" t="n">
        <v>14.4</v>
      </c>
      <c r="H115" s="0" t="n">
        <v>0.66</v>
      </c>
      <c r="I115" s="10" t="n">
        <v>0.458</v>
      </c>
      <c r="J115" s="0" t="n">
        <v>1.03</v>
      </c>
      <c r="K115" s="13" t="n">
        <f aca="false">IF(H115&lt;&gt;"",H115,IFERROR(G115/INDEX(Players!$M$2:$M$42,MATCH(B115,Players!$A$2:$A$42,0)),""))</f>
        <v>0.66</v>
      </c>
    </row>
    <row r="116" customFormat="false" ht="15" hidden="false" customHeight="false" outlineLevel="0" collapsed="false">
      <c r="A116" s="0" t="s">
        <v>1049</v>
      </c>
      <c r="B116" s="0" t="s">
        <v>787</v>
      </c>
      <c r="C116" s="0" t="s">
        <v>643</v>
      </c>
      <c r="D116" s="0" t="s">
        <v>568</v>
      </c>
      <c r="E116" s="0" t="s">
        <v>208</v>
      </c>
      <c r="F116" s="0" t="n">
        <v>5</v>
      </c>
      <c r="G116" s="0" t="n">
        <v>16.2</v>
      </c>
      <c r="H116" s="0" t="n">
        <v>0.62</v>
      </c>
      <c r="I116" s="10" t="n">
        <v>0.506</v>
      </c>
      <c r="J116" s="0" t="n">
        <v>0.91</v>
      </c>
      <c r="K116" s="13" t="n">
        <f aca="false">IF(H116&lt;&gt;"",H116,IFERROR(G116/INDEX(Players!$M$2:$M$42,MATCH(B116,Players!$A$2:$A$42,0)),""))</f>
        <v>0.62</v>
      </c>
    </row>
    <row r="117" customFormat="false" ht="15" hidden="false" customHeight="false" outlineLevel="0" collapsed="false">
      <c r="A117" s="0" t="s">
        <v>1050</v>
      </c>
      <c r="B117" s="0" t="s">
        <v>787</v>
      </c>
      <c r="C117" s="0" t="s">
        <v>643</v>
      </c>
      <c r="D117" s="0" t="s">
        <v>568</v>
      </c>
      <c r="E117" s="0" t="s">
        <v>195</v>
      </c>
      <c r="F117" s="0" t="n">
        <v>5</v>
      </c>
      <c r="G117" s="0" t="n">
        <v>11</v>
      </c>
      <c r="H117" s="0" t="n">
        <v>0.57</v>
      </c>
      <c r="I117" s="10" t="n">
        <v>0.618</v>
      </c>
      <c r="J117" s="0" t="n">
        <v>0.87</v>
      </c>
      <c r="K117" s="13" t="n">
        <f aca="false">IF(H117&lt;&gt;"",H117,IFERROR(G117/INDEX(Players!$M$2:$M$42,MATCH(B117,Players!$A$2:$A$42,0)),""))</f>
        <v>0.57</v>
      </c>
    </row>
    <row r="118" customFormat="false" ht="15" hidden="false" customHeight="false" outlineLevel="0" collapsed="false">
      <c r="A118" s="0" t="s">
        <v>1051</v>
      </c>
      <c r="B118" s="0" t="s">
        <v>787</v>
      </c>
      <c r="C118" s="0" t="s">
        <v>643</v>
      </c>
      <c r="D118" s="0" t="s">
        <v>568</v>
      </c>
      <c r="E118" s="0" t="s">
        <v>147</v>
      </c>
      <c r="F118" s="0" t="n">
        <v>2</v>
      </c>
      <c r="G118" s="0" t="n">
        <v>12</v>
      </c>
      <c r="H118" s="0" t="n">
        <v>0.55</v>
      </c>
      <c r="I118" s="10" t="n">
        <v>0.5</v>
      </c>
      <c r="J118" s="0" t="n">
        <v>0.77</v>
      </c>
      <c r="K118" s="13" t="n">
        <f aca="false">IF(H118&lt;&gt;"",H118,IFERROR(G118/INDEX(Players!$M$2:$M$42,MATCH(B118,Players!$A$2:$A$42,0)),""))</f>
        <v>0.55</v>
      </c>
    </row>
    <row r="119" customFormat="false" ht="15" hidden="false" customHeight="false" outlineLevel="0" collapsed="false">
      <c r="A119" s="0" t="s">
        <v>1052</v>
      </c>
      <c r="B119" s="0" t="s">
        <v>812</v>
      </c>
      <c r="C119" s="0" t="s">
        <v>704</v>
      </c>
      <c r="D119" s="0" t="s">
        <v>568</v>
      </c>
      <c r="E119" s="0" t="s">
        <v>184</v>
      </c>
      <c r="F119" s="0" t="n">
        <v>8</v>
      </c>
      <c r="G119" s="0" t="n">
        <v>16.3</v>
      </c>
      <c r="H119" s="0" t="n">
        <v>0.61</v>
      </c>
      <c r="I119" s="10" t="n">
        <v>0.531</v>
      </c>
      <c r="J119" s="0" t="n">
        <v>0.88</v>
      </c>
      <c r="K119" s="13" t="n">
        <f aca="false">IF(H119&lt;&gt;"",H119,IFERROR(G119/INDEX(Players!$M$2:$M$42,MATCH(B119,Players!$A$2:$A$42,0)),""))</f>
        <v>0.61</v>
      </c>
    </row>
    <row r="120" customFormat="false" ht="15" hidden="false" customHeight="false" outlineLevel="0" collapsed="false">
      <c r="A120" s="0" t="s">
        <v>1053</v>
      </c>
      <c r="B120" s="0" t="s">
        <v>812</v>
      </c>
      <c r="C120" s="0" t="s">
        <v>704</v>
      </c>
      <c r="D120" s="0" t="s">
        <v>568</v>
      </c>
      <c r="E120" s="0" t="s">
        <v>161</v>
      </c>
      <c r="F120" s="0" t="n">
        <v>7</v>
      </c>
      <c r="G120" s="0" t="n">
        <v>13.9</v>
      </c>
      <c r="H120" s="0" t="n">
        <v>0.62</v>
      </c>
      <c r="I120" s="10" t="n">
        <v>0.505</v>
      </c>
      <c r="J120" s="0" t="n">
        <v>1.02</v>
      </c>
      <c r="K120" s="13" t="n">
        <f aca="false">IF(H120&lt;&gt;"",H120,IFERROR(G120/INDEX(Players!$M$2:$M$42,MATCH(B120,Players!$A$2:$A$42,0)),""))</f>
        <v>0.62</v>
      </c>
    </row>
    <row r="121" customFormat="false" ht="15" hidden="false" customHeight="false" outlineLevel="0" collapsed="false">
      <c r="A121" s="0" t="s">
        <v>1054</v>
      </c>
      <c r="B121" s="0" t="s">
        <v>812</v>
      </c>
      <c r="C121" s="0" t="s">
        <v>704</v>
      </c>
      <c r="D121" s="0" t="s">
        <v>568</v>
      </c>
      <c r="E121" s="0" t="s">
        <v>195</v>
      </c>
      <c r="F121" s="0" t="n">
        <v>5</v>
      </c>
      <c r="G121" s="0" t="n">
        <v>12.2</v>
      </c>
      <c r="H121" s="0" t="n">
        <v>0.62</v>
      </c>
      <c r="I121" s="10" t="n">
        <v>0.607</v>
      </c>
      <c r="J121" s="0" t="n">
        <v>1</v>
      </c>
      <c r="K121" s="13" t="n">
        <f aca="false">IF(H121&lt;&gt;"",H121,IFERROR(G121/INDEX(Players!$M$2:$M$42,MATCH(B121,Players!$A$2:$A$42,0)),""))</f>
        <v>0.62</v>
      </c>
    </row>
    <row r="122" customFormat="false" ht="15" hidden="false" customHeight="false" outlineLevel="0" collapsed="false">
      <c r="A122" s="0" t="s">
        <v>1055</v>
      </c>
      <c r="B122" s="0" t="s">
        <v>812</v>
      </c>
      <c r="C122" s="0" t="s">
        <v>704</v>
      </c>
      <c r="D122" s="0" t="s">
        <v>568</v>
      </c>
      <c r="E122" s="0" t="s">
        <v>174</v>
      </c>
      <c r="F122" s="0" t="n">
        <v>5</v>
      </c>
      <c r="G122" s="0" t="n">
        <v>12.8</v>
      </c>
      <c r="H122" s="0" t="n">
        <v>0.57</v>
      </c>
      <c r="I122" s="10" t="n">
        <v>0.594</v>
      </c>
      <c r="J122" s="0" t="n">
        <v>0.78</v>
      </c>
      <c r="K122" s="13" t="n">
        <f aca="false">IF(H122&lt;&gt;"",H122,IFERROR(G122/INDEX(Players!$M$2:$M$42,MATCH(B122,Players!$A$2:$A$42,0)),""))</f>
        <v>0.57</v>
      </c>
    </row>
    <row r="123" customFormat="false" ht="15" hidden="false" customHeight="false" outlineLevel="0" collapsed="false">
      <c r="A123" s="0" t="s">
        <v>1056</v>
      </c>
      <c r="B123" s="0" t="s">
        <v>812</v>
      </c>
      <c r="C123" s="0" t="s">
        <v>704</v>
      </c>
      <c r="D123" s="0" t="s">
        <v>568</v>
      </c>
      <c r="E123" s="0" t="s">
        <v>338</v>
      </c>
      <c r="F123" s="0" t="n">
        <v>4</v>
      </c>
      <c r="G123" s="0" t="n">
        <v>12.8</v>
      </c>
      <c r="H123" s="0" t="n">
        <v>0.59</v>
      </c>
      <c r="I123" s="10" t="n">
        <v>0.529</v>
      </c>
      <c r="J123" s="0" t="n">
        <v>0.78</v>
      </c>
      <c r="K123" s="13" t="n">
        <f aca="false">IF(H123&lt;&gt;"",H123,IFERROR(G123/INDEX(Players!$M$2:$M$42,MATCH(B123,Players!$A$2:$A$42,0)),""))</f>
        <v>0.59</v>
      </c>
    </row>
    <row r="124" customFormat="false" ht="15" hidden="false" customHeight="false" outlineLevel="0" collapsed="false">
      <c r="A124" s="0" t="s">
        <v>1057</v>
      </c>
      <c r="B124" s="0" t="s">
        <v>812</v>
      </c>
      <c r="C124" s="0" t="s">
        <v>704</v>
      </c>
      <c r="D124" s="0" t="s">
        <v>568</v>
      </c>
      <c r="E124" s="0" t="s">
        <v>147</v>
      </c>
      <c r="F124" s="0" t="n">
        <v>1</v>
      </c>
      <c r="G124" s="0" t="n">
        <v>10</v>
      </c>
      <c r="H124" s="0" t="n">
        <v>0.42</v>
      </c>
      <c r="I124" s="10" t="n">
        <v>0.7</v>
      </c>
      <c r="J124" s="0" t="n">
        <v>0.59</v>
      </c>
      <c r="K124" s="13" t="n">
        <f aca="false">IF(H124&lt;&gt;"",H124,IFERROR(G124/INDEX(Players!$M$2:$M$42,MATCH(B124,Players!$A$2:$A$42,0)),""))</f>
        <v>0.42</v>
      </c>
    </row>
    <row r="125" customFormat="false" ht="15" hidden="false" customHeight="false" outlineLevel="0" collapsed="false">
      <c r="A125" s="0" t="s">
        <v>1058</v>
      </c>
      <c r="B125" s="0" t="s">
        <v>817</v>
      </c>
      <c r="C125" s="0" t="s">
        <v>714</v>
      </c>
      <c r="D125" s="0" t="s">
        <v>568</v>
      </c>
      <c r="E125" s="0" t="s">
        <v>174</v>
      </c>
      <c r="F125" s="0" t="n">
        <v>10</v>
      </c>
      <c r="G125" s="0" t="n">
        <v>14</v>
      </c>
      <c r="H125" s="0" t="n">
        <v>0.7</v>
      </c>
      <c r="I125" s="10" t="n">
        <v>0.336</v>
      </c>
      <c r="J125" s="0" t="n">
        <v>1.36</v>
      </c>
      <c r="K125" s="13" t="n">
        <f aca="false">IF(H125&lt;&gt;"",H125,IFERROR(G125/INDEX(Players!$M$2:$M$42,MATCH(B125,Players!$A$2:$A$42,0)),""))</f>
        <v>0.7</v>
      </c>
    </row>
    <row r="126" customFormat="false" ht="15" hidden="false" customHeight="false" outlineLevel="0" collapsed="false">
      <c r="A126" s="0" t="s">
        <v>1059</v>
      </c>
      <c r="B126" s="0" t="s">
        <v>817</v>
      </c>
      <c r="C126" s="0" t="s">
        <v>714</v>
      </c>
      <c r="D126" s="0" t="s">
        <v>568</v>
      </c>
      <c r="E126" s="0" t="s">
        <v>184</v>
      </c>
      <c r="F126" s="0" t="n">
        <v>6</v>
      </c>
      <c r="G126" s="0" t="n">
        <v>17.3</v>
      </c>
      <c r="H126" s="0" t="n">
        <v>0.72</v>
      </c>
      <c r="I126" s="10" t="n">
        <v>0.288</v>
      </c>
      <c r="J126" s="0" t="n">
        <v>1.37</v>
      </c>
      <c r="K126" s="13" t="n">
        <f aca="false">IF(H126&lt;&gt;"",H126,IFERROR(G126/INDEX(Players!$M$2:$M$42,MATCH(B126,Players!$A$2:$A$42,0)),""))</f>
        <v>0.72</v>
      </c>
    </row>
    <row r="127" customFormat="false" ht="15" hidden="false" customHeight="false" outlineLevel="0" collapsed="false">
      <c r="A127" s="0" t="s">
        <v>1060</v>
      </c>
      <c r="B127" s="0" t="s">
        <v>817</v>
      </c>
      <c r="C127" s="0" t="s">
        <v>714</v>
      </c>
      <c r="D127" s="0" t="s">
        <v>568</v>
      </c>
      <c r="E127" s="0" t="s">
        <v>208</v>
      </c>
      <c r="F127" s="0" t="n">
        <v>6</v>
      </c>
      <c r="G127" s="0" t="n">
        <v>11.3</v>
      </c>
      <c r="H127" s="0" t="n">
        <v>0.57</v>
      </c>
      <c r="I127" s="10" t="n">
        <v>0.368</v>
      </c>
      <c r="J127" s="0" t="n">
        <v>0.93</v>
      </c>
      <c r="K127" s="13" t="n">
        <f aca="false">IF(H127&lt;&gt;"",H127,IFERROR(G127/INDEX(Players!$M$2:$M$42,MATCH(B127,Players!$A$2:$A$42,0)),""))</f>
        <v>0.57</v>
      </c>
    </row>
    <row r="128" customFormat="false" ht="15" hidden="false" customHeight="false" outlineLevel="0" collapsed="false">
      <c r="A128" s="0" t="s">
        <v>1061</v>
      </c>
      <c r="B128" s="0" t="s">
        <v>817</v>
      </c>
      <c r="C128" s="0" t="s">
        <v>714</v>
      </c>
      <c r="D128" s="0" t="s">
        <v>568</v>
      </c>
      <c r="E128" s="0" t="s">
        <v>195</v>
      </c>
      <c r="F128" s="0" t="n">
        <v>3</v>
      </c>
      <c r="G128" s="0" t="n">
        <v>14</v>
      </c>
      <c r="H128" s="0" t="n">
        <v>0.69</v>
      </c>
      <c r="I128" s="10" t="n">
        <v>0.31</v>
      </c>
      <c r="J128" s="0" t="n">
        <v>1.31</v>
      </c>
      <c r="K128" s="13" t="n">
        <f aca="false">IF(H128&lt;&gt;"",H128,IFERROR(G128/INDEX(Players!$M$2:$M$42,MATCH(B128,Players!$A$2:$A$42,0)),""))</f>
        <v>0.69</v>
      </c>
    </row>
    <row r="129" customFormat="false" ht="15" hidden="false" customHeight="false" outlineLevel="0" collapsed="false">
      <c r="A129" s="0" t="s">
        <v>1062</v>
      </c>
      <c r="B129" s="0" t="s">
        <v>817</v>
      </c>
      <c r="C129" s="0" t="s">
        <v>714</v>
      </c>
      <c r="D129" s="0" t="s">
        <v>568</v>
      </c>
      <c r="E129" s="0" t="s">
        <v>161</v>
      </c>
      <c r="F129" s="0" t="n">
        <v>3</v>
      </c>
      <c r="G129" s="0" t="n">
        <v>12</v>
      </c>
      <c r="H129" s="0" t="n">
        <v>0.49</v>
      </c>
      <c r="I129" s="10" t="n">
        <v>0.194</v>
      </c>
      <c r="J129" s="0" t="n">
        <v>0.8</v>
      </c>
      <c r="K129" s="13" t="n">
        <f aca="false">IF(H129&lt;&gt;"",H129,IFERROR(G129/INDEX(Players!$M$2:$M$42,MATCH(B129,Players!$A$2:$A$42,0)),""))</f>
        <v>0.49</v>
      </c>
    </row>
    <row r="130" customFormat="false" ht="15" hidden="false" customHeight="false" outlineLevel="0" collapsed="false">
      <c r="A130" s="0" t="s">
        <v>1063</v>
      </c>
      <c r="B130" s="0" t="s">
        <v>817</v>
      </c>
      <c r="C130" s="0" t="s">
        <v>714</v>
      </c>
      <c r="D130" s="0" t="s">
        <v>568</v>
      </c>
      <c r="E130" s="0" t="s">
        <v>147</v>
      </c>
      <c r="F130" s="0" t="n">
        <v>2</v>
      </c>
      <c r="G130" s="0" t="n">
        <v>10.5</v>
      </c>
      <c r="H130" s="0" t="n">
        <v>0.55</v>
      </c>
      <c r="I130" s="10" t="n">
        <v>0.286</v>
      </c>
      <c r="J130" s="0" t="n">
        <v>1.62</v>
      </c>
      <c r="K130" s="13" t="n">
        <f aca="false">IF(H130&lt;&gt;"",H130,IFERROR(G130/INDEX(Players!$M$2:$M$42,MATCH(B130,Players!$A$2:$A$42,0)),""))</f>
        <v>0.55</v>
      </c>
    </row>
    <row r="131" customFormat="false" ht="15" hidden="false" customHeight="false" outlineLevel="0" collapsed="false">
      <c r="A131" s="0" t="s">
        <v>1064</v>
      </c>
      <c r="B131" s="0" t="s">
        <v>788</v>
      </c>
      <c r="C131" s="0" t="s">
        <v>647</v>
      </c>
      <c r="D131" s="0" t="s">
        <v>568</v>
      </c>
      <c r="E131" s="0" t="s">
        <v>161</v>
      </c>
      <c r="F131" s="0" t="n">
        <v>7</v>
      </c>
      <c r="G131" s="0" t="n">
        <v>15.6</v>
      </c>
      <c r="H131" s="0" t="n">
        <v>0.64</v>
      </c>
      <c r="I131" s="10" t="n">
        <v>0.725</v>
      </c>
      <c r="J131" s="0" t="n">
        <v>0.97</v>
      </c>
      <c r="K131" s="13" t="n">
        <f aca="false">IF(H131&lt;&gt;"",H131,IFERROR(G131/INDEX(Players!$M$2:$M$42,MATCH(B131,Players!$A$2:$A$42,0)),""))</f>
        <v>0.64</v>
      </c>
    </row>
    <row r="132" customFormat="false" ht="15" hidden="false" customHeight="false" outlineLevel="0" collapsed="false">
      <c r="A132" s="0" t="s">
        <v>1065</v>
      </c>
      <c r="B132" s="0" t="s">
        <v>788</v>
      </c>
      <c r="C132" s="0" t="s">
        <v>647</v>
      </c>
      <c r="D132" s="0" t="s">
        <v>568</v>
      </c>
      <c r="E132" s="0" t="s">
        <v>184</v>
      </c>
      <c r="F132" s="0" t="n">
        <v>5</v>
      </c>
      <c r="G132" s="0" t="n">
        <v>16.6</v>
      </c>
      <c r="H132" s="0" t="n">
        <v>0.86</v>
      </c>
      <c r="I132" s="10" t="n">
        <v>0.687</v>
      </c>
      <c r="J132" s="0" t="n">
        <v>1.63</v>
      </c>
      <c r="K132" s="13" t="n">
        <f aca="false">IF(H132&lt;&gt;"",H132,IFERROR(G132/INDEX(Players!$M$2:$M$42,MATCH(B132,Players!$A$2:$A$42,0)),""))</f>
        <v>0.86</v>
      </c>
    </row>
    <row r="133" customFormat="false" ht="15" hidden="false" customHeight="false" outlineLevel="0" collapsed="false">
      <c r="A133" s="0" t="s">
        <v>1066</v>
      </c>
      <c r="B133" s="0" t="s">
        <v>788</v>
      </c>
      <c r="C133" s="0" t="s">
        <v>647</v>
      </c>
      <c r="D133" s="0" t="s">
        <v>568</v>
      </c>
      <c r="E133" s="0" t="s">
        <v>208</v>
      </c>
      <c r="F133" s="0" t="n">
        <v>5</v>
      </c>
      <c r="G133" s="0" t="n">
        <v>17</v>
      </c>
      <c r="H133" s="0" t="n">
        <v>0.65</v>
      </c>
      <c r="I133" s="10" t="n">
        <v>0.647</v>
      </c>
      <c r="J133" s="0" t="n">
        <v>1.15</v>
      </c>
      <c r="K133" s="13" t="n">
        <f aca="false">IF(H133&lt;&gt;"",H133,IFERROR(G133/INDEX(Players!$M$2:$M$42,MATCH(B133,Players!$A$2:$A$42,0)),""))</f>
        <v>0.65</v>
      </c>
    </row>
    <row r="134" customFormat="false" ht="15" hidden="false" customHeight="false" outlineLevel="0" collapsed="false">
      <c r="A134" s="0" t="s">
        <v>1067</v>
      </c>
      <c r="B134" s="0" t="s">
        <v>788</v>
      </c>
      <c r="C134" s="0" t="s">
        <v>647</v>
      </c>
      <c r="D134" s="0" t="s">
        <v>568</v>
      </c>
      <c r="E134" s="0" t="s">
        <v>174</v>
      </c>
      <c r="F134" s="0" t="n">
        <v>5</v>
      </c>
      <c r="G134" s="0" t="n">
        <v>16.6</v>
      </c>
      <c r="H134" s="0" t="n">
        <v>0.76</v>
      </c>
      <c r="I134" s="10" t="n">
        <v>0.771</v>
      </c>
      <c r="J134" s="0" t="n">
        <v>1.14</v>
      </c>
      <c r="K134" s="13" t="n">
        <f aca="false">IF(H134&lt;&gt;"",H134,IFERROR(G134/INDEX(Players!$M$2:$M$42,MATCH(B134,Players!$A$2:$A$42,0)),""))</f>
        <v>0.76</v>
      </c>
    </row>
    <row r="135" customFormat="false" ht="15" hidden="false" customHeight="false" outlineLevel="0" collapsed="false">
      <c r="A135" s="0" t="s">
        <v>1068</v>
      </c>
      <c r="B135" s="0" t="s">
        <v>788</v>
      </c>
      <c r="C135" s="0" t="s">
        <v>647</v>
      </c>
      <c r="D135" s="0" t="s">
        <v>568</v>
      </c>
      <c r="E135" s="0" t="s">
        <v>195</v>
      </c>
      <c r="F135" s="0" t="n">
        <v>5</v>
      </c>
      <c r="G135" s="0" t="n">
        <v>13.4</v>
      </c>
      <c r="H135" s="0" t="n">
        <v>0.69</v>
      </c>
      <c r="I135" s="10" t="n">
        <v>0.761</v>
      </c>
      <c r="J135" s="0" t="n">
        <v>1.03</v>
      </c>
      <c r="K135" s="13" t="n">
        <f aca="false">IF(H135&lt;&gt;"",H135,IFERROR(G135/INDEX(Players!$M$2:$M$42,MATCH(B135,Players!$A$2:$A$42,0)),""))</f>
        <v>0.69</v>
      </c>
    </row>
    <row r="136" customFormat="false" ht="15" hidden="false" customHeight="false" outlineLevel="0" collapsed="false">
      <c r="A136" s="0" t="s">
        <v>1069</v>
      </c>
      <c r="B136" s="0" t="s">
        <v>788</v>
      </c>
      <c r="C136" s="0" t="s">
        <v>647</v>
      </c>
      <c r="D136" s="0" t="s">
        <v>568</v>
      </c>
      <c r="E136" s="0" t="s">
        <v>147</v>
      </c>
      <c r="F136" s="0" t="n">
        <v>2</v>
      </c>
      <c r="G136" s="0" t="n">
        <v>11.5</v>
      </c>
      <c r="H136" s="0" t="n">
        <v>0.52</v>
      </c>
      <c r="I136" s="10" t="n">
        <v>0.609</v>
      </c>
      <c r="J136" s="0" t="n">
        <v>0.79</v>
      </c>
      <c r="K136" s="13" t="n">
        <f aca="false">IF(H136&lt;&gt;"",H136,IFERROR(G136/INDEX(Players!$M$2:$M$42,MATCH(B136,Players!$A$2:$A$42,0)),""))</f>
        <v>0.52</v>
      </c>
    </row>
    <row r="137" customFormat="false" ht="15" hidden="false" customHeight="false" outlineLevel="0" collapsed="false">
      <c r="A137" s="0" t="s">
        <v>1070</v>
      </c>
      <c r="B137" s="0" t="s">
        <v>794</v>
      </c>
      <c r="C137" s="0" t="s">
        <v>665</v>
      </c>
      <c r="D137" s="0" t="s">
        <v>568</v>
      </c>
      <c r="E137" s="0" t="s">
        <v>195</v>
      </c>
      <c r="F137" s="0" t="n">
        <v>8</v>
      </c>
      <c r="G137" s="0" t="n">
        <v>11.5</v>
      </c>
      <c r="H137" s="0" t="n">
        <v>0.51</v>
      </c>
      <c r="I137" s="10" t="n">
        <v>0.435</v>
      </c>
      <c r="J137" s="0" t="n">
        <v>0.75</v>
      </c>
      <c r="K137" s="13" t="n">
        <f aca="false">IF(H137&lt;&gt;"",H137,IFERROR(G137/INDEX(Players!$M$2:$M$42,MATCH(B137,Players!$A$2:$A$42,0)),""))</f>
        <v>0.51</v>
      </c>
    </row>
    <row r="138" customFormat="false" ht="15" hidden="false" customHeight="false" outlineLevel="0" collapsed="false">
      <c r="A138" s="0" t="s">
        <v>1071</v>
      </c>
      <c r="B138" s="0" t="s">
        <v>794</v>
      </c>
      <c r="C138" s="0" t="s">
        <v>665</v>
      </c>
      <c r="D138" s="0" t="s">
        <v>568</v>
      </c>
      <c r="E138" s="0" t="s">
        <v>208</v>
      </c>
      <c r="F138" s="0" t="n">
        <v>7</v>
      </c>
      <c r="G138" s="0" t="n">
        <v>14.7</v>
      </c>
      <c r="H138" s="0" t="n">
        <v>0.68</v>
      </c>
      <c r="I138" s="10" t="n">
        <v>0.583</v>
      </c>
      <c r="J138" s="0" t="n">
        <v>1.12</v>
      </c>
      <c r="K138" s="13" t="n">
        <f aca="false">IF(H138&lt;&gt;"",H138,IFERROR(G138/INDEX(Players!$M$2:$M$42,MATCH(B138,Players!$A$2:$A$42,0)),""))</f>
        <v>0.68</v>
      </c>
    </row>
    <row r="139" customFormat="false" ht="15" hidden="false" customHeight="false" outlineLevel="0" collapsed="false">
      <c r="A139" s="0" t="s">
        <v>1072</v>
      </c>
      <c r="B139" s="0" t="s">
        <v>794</v>
      </c>
      <c r="C139" s="0" t="s">
        <v>665</v>
      </c>
      <c r="D139" s="0" t="s">
        <v>568</v>
      </c>
      <c r="E139" s="0" t="s">
        <v>184</v>
      </c>
      <c r="F139" s="0" t="n">
        <v>6</v>
      </c>
      <c r="G139" s="0" t="n">
        <v>16.5</v>
      </c>
      <c r="H139" s="0" t="n">
        <v>0.64</v>
      </c>
      <c r="I139" s="10" t="n">
        <v>0.556</v>
      </c>
      <c r="J139" s="0" t="n">
        <v>0.99</v>
      </c>
      <c r="K139" s="13" t="n">
        <f aca="false">IF(H139&lt;&gt;"",H139,IFERROR(G139/INDEX(Players!$M$2:$M$42,MATCH(B139,Players!$A$2:$A$42,0)),""))</f>
        <v>0.64</v>
      </c>
    </row>
    <row r="140" customFormat="false" ht="15" hidden="false" customHeight="false" outlineLevel="0" collapsed="false">
      <c r="A140" s="0" t="s">
        <v>1073</v>
      </c>
      <c r="B140" s="0" t="s">
        <v>794</v>
      </c>
      <c r="C140" s="0" t="s">
        <v>665</v>
      </c>
      <c r="D140" s="0" t="s">
        <v>568</v>
      </c>
      <c r="E140" s="0" t="s">
        <v>174</v>
      </c>
      <c r="F140" s="0" t="n">
        <v>6</v>
      </c>
      <c r="G140" s="0" t="n">
        <v>13</v>
      </c>
      <c r="H140" s="0" t="n">
        <v>0.56</v>
      </c>
      <c r="I140" s="10" t="n">
        <v>0.551</v>
      </c>
      <c r="J140" s="0" t="n">
        <v>0.91</v>
      </c>
      <c r="K140" s="13" t="n">
        <f aca="false">IF(H140&lt;&gt;"",H140,IFERROR(G140/INDEX(Players!$M$2:$M$42,MATCH(B140,Players!$A$2:$A$42,0)),""))</f>
        <v>0.56</v>
      </c>
    </row>
    <row r="141" customFormat="false" ht="15" hidden="false" customHeight="false" outlineLevel="0" collapsed="false">
      <c r="A141" s="0" t="s">
        <v>1074</v>
      </c>
      <c r="B141" s="0" t="s">
        <v>794</v>
      </c>
      <c r="C141" s="0" t="s">
        <v>665</v>
      </c>
      <c r="D141" s="0" t="s">
        <v>568</v>
      </c>
      <c r="E141" s="0" t="s">
        <v>161</v>
      </c>
      <c r="F141" s="0" t="n">
        <v>6</v>
      </c>
      <c r="G141" s="0" t="n">
        <v>12.8</v>
      </c>
      <c r="H141" s="0" t="n">
        <v>0.53</v>
      </c>
      <c r="I141" s="10" t="n">
        <v>0.494</v>
      </c>
      <c r="J141" s="0" t="n">
        <v>0.74</v>
      </c>
      <c r="K141" s="13" t="n">
        <f aca="false">IF(H141&lt;&gt;"",H141,IFERROR(G141/INDEX(Players!$M$2:$M$42,MATCH(B141,Players!$A$2:$A$42,0)),""))</f>
        <v>0.53</v>
      </c>
    </row>
    <row r="142" customFormat="false" ht="15" hidden="false" customHeight="false" outlineLevel="0" collapsed="false">
      <c r="A142" s="0" t="s">
        <v>1075</v>
      </c>
      <c r="B142" s="0" t="s">
        <v>794</v>
      </c>
      <c r="C142" s="0" t="s">
        <v>665</v>
      </c>
      <c r="D142" s="0" t="s">
        <v>568</v>
      </c>
      <c r="E142" s="0" t="s">
        <v>338</v>
      </c>
      <c r="F142" s="0" t="n">
        <v>4</v>
      </c>
      <c r="G142" s="0" t="n">
        <v>13.5</v>
      </c>
      <c r="H142" s="0" t="n">
        <v>0.59</v>
      </c>
      <c r="I142" s="10" t="n">
        <v>0.444</v>
      </c>
      <c r="J142" s="0" t="n">
        <v>0.92</v>
      </c>
      <c r="K142" s="13" t="n">
        <f aca="false">IF(H142&lt;&gt;"",H142,IFERROR(G142/INDEX(Players!$M$2:$M$42,MATCH(B142,Players!$A$2:$A$42,0)),""))</f>
        <v>0.59</v>
      </c>
    </row>
    <row r="143" customFormat="false" ht="15" hidden="false" customHeight="false" outlineLevel="0" collapsed="false">
      <c r="A143" s="0" t="s">
        <v>1076</v>
      </c>
      <c r="B143" s="0" t="s">
        <v>804</v>
      </c>
      <c r="C143" s="0" t="s">
        <v>688</v>
      </c>
      <c r="D143" s="0" t="s">
        <v>568</v>
      </c>
      <c r="E143" s="0" t="s">
        <v>147</v>
      </c>
      <c r="F143" s="0" t="n">
        <v>9</v>
      </c>
      <c r="G143" s="0" t="n">
        <v>11.9</v>
      </c>
      <c r="H143" s="0" t="n">
        <v>0.58</v>
      </c>
      <c r="I143" s="10" t="n">
        <v>0.542</v>
      </c>
      <c r="J143" s="0" t="n">
        <v>0.86</v>
      </c>
      <c r="K143" s="13" t="n">
        <f aca="false">IF(H143&lt;&gt;"",H143,IFERROR(G143/INDEX(Players!$M$2:$M$42,MATCH(B143,Players!$A$2:$A$42,0)),""))</f>
        <v>0.58</v>
      </c>
    </row>
    <row r="144" customFormat="false" ht="15" hidden="false" customHeight="false" outlineLevel="0" collapsed="false">
      <c r="A144" s="0" t="s">
        <v>1077</v>
      </c>
      <c r="B144" s="0" t="s">
        <v>804</v>
      </c>
      <c r="C144" s="0" t="s">
        <v>688</v>
      </c>
      <c r="D144" s="0" t="s">
        <v>568</v>
      </c>
      <c r="E144" s="0" t="s">
        <v>184</v>
      </c>
      <c r="F144" s="0" t="n">
        <v>7</v>
      </c>
      <c r="G144" s="0" t="n">
        <v>15.6</v>
      </c>
      <c r="H144" s="0" t="n">
        <v>0.76</v>
      </c>
      <c r="I144" s="10" t="n">
        <v>0.67</v>
      </c>
      <c r="J144" s="0" t="n">
        <v>1.15</v>
      </c>
      <c r="K144" s="13" t="n">
        <f aca="false">IF(H144&lt;&gt;"",H144,IFERROR(G144/INDEX(Players!$M$2:$M$42,MATCH(B144,Players!$A$2:$A$42,0)),""))</f>
        <v>0.76</v>
      </c>
    </row>
    <row r="145" customFormat="false" ht="15" hidden="false" customHeight="false" outlineLevel="0" collapsed="false">
      <c r="A145" s="0" t="s">
        <v>1078</v>
      </c>
      <c r="B145" s="0" t="s">
        <v>804</v>
      </c>
      <c r="C145" s="0" t="s">
        <v>688</v>
      </c>
      <c r="D145" s="0" t="s">
        <v>568</v>
      </c>
      <c r="E145" s="0" t="s">
        <v>195</v>
      </c>
      <c r="F145" s="0" t="n">
        <v>7</v>
      </c>
      <c r="G145" s="0" t="n">
        <v>14.7</v>
      </c>
      <c r="H145" s="0" t="n">
        <v>0.71</v>
      </c>
      <c r="I145" s="10" t="n">
        <v>0.563</v>
      </c>
      <c r="J145" s="0" t="n">
        <v>1.07</v>
      </c>
      <c r="K145" s="13" t="n">
        <f aca="false">IF(H145&lt;&gt;"",H145,IFERROR(G145/INDEX(Players!$M$2:$M$42,MATCH(B145,Players!$A$2:$A$42,0)),""))</f>
        <v>0.71</v>
      </c>
    </row>
    <row r="146" customFormat="false" ht="15" hidden="false" customHeight="false" outlineLevel="0" collapsed="false">
      <c r="A146" s="0" t="s">
        <v>1079</v>
      </c>
      <c r="B146" s="0" t="s">
        <v>804</v>
      </c>
      <c r="C146" s="0" t="s">
        <v>688</v>
      </c>
      <c r="D146" s="0" t="s">
        <v>568</v>
      </c>
      <c r="E146" s="0" t="s">
        <v>174</v>
      </c>
      <c r="F146" s="0" t="n">
        <v>6</v>
      </c>
      <c r="G146" s="0" t="n">
        <v>10.3</v>
      </c>
      <c r="H146" s="0" t="n">
        <v>0.56</v>
      </c>
      <c r="I146" s="10" t="n">
        <v>0.565</v>
      </c>
      <c r="J146" s="0" t="n">
        <v>0.79</v>
      </c>
      <c r="K146" s="13" t="n">
        <f aca="false">IF(H146&lt;&gt;"",H146,IFERROR(G146/INDEX(Players!$M$2:$M$42,MATCH(B146,Players!$A$2:$A$42,0)),""))</f>
        <v>0.56</v>
      </c>
    </row>
    <row r="147" customFormat="false" ht="15" hidden="false" customHeight="false" outlineLevel="0" collapsed="false">
      <c r="A147" s="0" t="s">
        <v>1080</v>
      </c>
      <c r="B147" s="0" t="s">
        <v>804</v>
      </c>
      <c r="C147" s="0" t="s">
        <v>688</v>
      </c>
      <c r="D147" s="0" t="s">
        <v>568</v>
      </c>
      <c r="E147" s="0" t="s">
        <v>208</v>
      </c>
      <c r="F147" s="0" t="n">
        <v>5</v>
      </c>
      <c r="G147" s="0" t="n">
        <v>18.2</v>
      </c>
      <c r="H147" s="0" t="n">
        <v>0.71</v>
      </c>
      <c r="I147" s="10" t="n">
        <v>0.538</v>
      </c>
      <c r="J147" s="0" t="n">
        <v>0.98</v>
      </c>
      <c r="K147" s="13" t="n">
        <f aca="false">IF(H147&lt;&gt;"",H147,IFERROR(G147/INDEX(Players!$M$2:$M$42,MATCH(B147,Players!$A$2:$A$42,0)),""))</f>
        <v>0.71</v>
      </c>
    </row>
    <row r="148" customFormat="false" ht="15" hidden="false" customHeight="false" outlineLevel="0" collapsed="false">
      <c r="A148" s="0" t="s">
        <v>1081</v>
      </c>
      <c r="B148" s="0" t="s">
        <v>804</v>
      </c>
      <c r="C148" s="0" t="s">
        <v>688</v>
      </c>
      <c r="D148" s="0" t="s">
        <v>568</v>
      </c>
      <c r="E148" s="0" t="s">
        <v>161</v>
      </c>
      <c r="F148" s="0" t="n">
        <v>1</v>
      </c>
      <c r="G148" s="0" t="n">
        <v>9</v>
      </c>
      <c r="H148" s="0" t="n">
        <v>0.43</v>
      </c>
      <c r="I148" s="10" t="n">
        <v>0.556</v>
      </c>
      <c r="J148" s="0" t="n">
        <v>0.6</v>
      </c>
      <c r="K148" s="13" t="n">
        <f aca="false">IF(H148&lt;&gt;"",H148,IFERROR(G148/INDEX(Players!$M$2:$M$42,MATCH(B148,Players!$A$2:$A$42,0)),""))</f>
        <v>0.43</v>
      </c>
    </row>
    <row r="149" customFormat="false" ht="15" hidden="false" customHeight="false" outlineLevel="0" collapsed="false">
      <c r="A149" s="0" t="s">
        <v>1082</v>
      </c>
      <c r="B149" s="0" t="s">
        <v>813</v>
      </c>
      <c r="C149" s="0" t="s">
        <v>706</v>
      </c>
      <c r="D149" s="0" t="s">
        <v>568</v>
      </c>
      <c r="E149" s="0" t="s">
        <v>184</v>
      </c>
      <c r="F149" s="0" t="n">
        <v>8</v>
      </c>
      <c r="G149" s="0" t="n">
        <v>17.1</v>
      </c>
      <c r="H149" s="0" t="n">
        <v>0.64</v>
      </c>
      <c r="I149" s="10" t="n">
        <v>0.372</v>
      </c>
      <c r="J149" s="0" t="n">
        <v>1.11</v>
      </c>
      <c r="K149" s="13" t="n">
        <f aca="false">IF(H149&lt;&gt;"",H149,IFERROR(G149/INDEX(Players!$M$2:$M$42,MATCH(B149,Players!$A$2:$A$42,0)),""))</f>
        <v>0.64</v>
      </c>
    </row>
    <row r="150" customFormat="false" ht="15" hidden="false" customHeight="false" outlineLevel="0" collapsed="false">
      <c r="A150" s="0" t="s">
        <v>1083</v>
      </c>
      <c r="B150" s="0" t="s">
        <v>813</v>
      </c>
      <c r="C150" s="0" t="s">
        <v>706</v>
      </c>
      <c r="D150" s="0" t="s">
        <v>568</v>
      </c>
      <c r="E150" s="0" t="s">
        <v>161</v>
      </c>
      <c r="F150" s="0" t="n">
        <v>7</v>
      </c>
      <c r="G150" s="0" t="n">
        <v>14.6</v>
      </c>
      <c r="H150" s="0" t="n">
        <v>0.65</v>
      </c>
      <c r="I150" s="10" t="n">
        <v>0.412</v>
      </c>
      <c r="J150" s="0" t="n">
        <v>1.17</v>
      </c>
      <c r="K150" s="13" t="n">
        <f aca="false">IF(H150&lt;&gt;"",H150,IFERROR(G150/INDEX(Players!$M$2:$M$42,MATCH(B150,Players!$A$2:$A$42,0)),""))</f>
        <v>0.65</v>
      </c>
    </row>
    <row r="151" customFormat="false" ht="15" hidden="false" customHeight="false" outlineLevel="0" collapsed="false">
      <c r="A151" s="0" t="s">
        <v>1084</v>
      </c>
      <c r="B151" s="0" t="s">
        <v>813</v>
      </c>
      <c r="C151" s="0" t="s">
        <v>706</v>
      </c>
      <c r="D151" s="0" t="s">
        <v>568</v>
      </c>
      <c r="E151" s="0" t="s">
        <v>195</v>
      </c>
      <c r="F151" s="0" t="n">
        <v>5</v>
      </c>
      <c r="G151" s="0" t="n">
        <v>17.4</v>
      </c>
      <c r="H151" s="0" t="n">
        <v>0.89</v>
      </c>
      <c r="I151" s="10" t="n">
        <v>0.333</v>
      </c>
      <c r="J151" s="0" t="n">
        <v>1.67</v>
      </c>
      <c r="K151" s="13" t="n">
        <f aca="false">IF(H151&lt;&gt;"",H151,IFERROR(G151/INDEX(Players!$M$2:$M$42,MATCH(B151,Players!$A$2:$A$42,0)),""))</f>
        <v>0.89</v>
      </c>
    </row>
    <row r="152" customFormat="false" ht="15" hidden="false" customHeight="false" outlineLevel="0" collapsed="false">
      <c r="A152" s="0" t="s">
        <v>1085</v>
      </c>
      <c r="B152" s="0" t="s">
        <v>813</v>
      </c>
      <c r="C152" s="0" t="s">
        <v>706</v>
      </c>
      <c r="D152" s="0" t="s">
        <v>568</v>
      </c>
      <c r="E152" s="0" t="s">
        <v>174</v>
      </c>
      <c r="F152" s="0" t="n">
        <v>5</v>
      </c>
      <c r="G152" s="0" t="n">
        <v>16.4</v>
      </c>
      <c r="H152" s="0" t="n">
        <v>0.73</v>
      </c>
      <c r="I152" s="10" t="n">
        <v>0.5</v>
      </c>
      <c r="J152" s="0" t="n">
        <v>1.19</v>
      </c>
      <c r="K152" s="13" t="n">
        <f aca="false">IF(H152&lt;&gt;"",H152,IFERROR(G152/INDEX(Players!$M$2:$M$42,MATCH(B152,Players!$A$2:$A$42,0)),""))</f>
        <v>0.73</v>
      </c>
    </row>
    <row r="153" customFormat="false" ht="15" hidden="false" customHeight="false" outlineLevel="0" collapsed="false">
      <c r="A153" s="0" t="s">
        <v>1086</v>
      </c>
      <c r="B153" s="0" t="s">
        <v>813</v>
      </c>
      <c r="C153" s="0" t="s">
        <v>706</v>
      </c>
      <c r="D153" s="0" t="s">
        <v>568</v>
      </c>
      <c r="E153" s="0" t="s">
        <v>338</v>
      </c>
      <c r="F153" s="0" t="n">
        <v>4</v>
      </c>
      <c r="G153" s="0" t="n">
        <v>12.3</v>
      </c>
      <c r="H153" s="0" t="n">
        <v>0.57</v>
      </c>
      <c r="I153" s="10" t="n">
        <v>0.531</v>
      </c>
      <c r="J153" s="0" t="n">
        <v>0.98</v>
      </c>
      <c r="K153" s="13" t="n">
        <f aca="false">IF(H153&lt;&gt;"",H153,IFERROR(G153/INDEX(Players!$M$2:$M$42,MATCH(B153,Players!$A$2:$A$42,0)),""))</f>
        <v>0.57</v>
      </c>
    </row>
    <row r="154" customFormat="false" ht="15" hidden="false" customHeight="false" outlineLevel="0" collapsed="false">
      <c r="A154" s="0" t="s">
        <v>1087</v>
      </c>
      <c r="B154" s="0" t="s">
        <v>813</v>
      </c>
      <c r="C154" s="0" t="s">
        <v>706</v>
      </c>
      <c r="D154" s="0" t="s">
        <v>568</v>
      </c>
      <c r="E154" s="0" t="s">
        <v>147</v>
      </c>
      <c r="F154" s="0" t="n">
        <v>1</v>
      </c>
      <c r="G154" s="0" t="n">
        <v>15</v>
      </c>
      <c r="H154" s="0" t="n">
        <v>0.63</v>
      </c>
      <c r="I154" s="10" t="n">
        <v>0.333</v>
      </c>
      <c r="J154" s="0" t="n">
        <v>1</v>
      </c>
      <c r="K154" s="13" t="n">
        <f aca="false">IF(H154&lt;&gt;"",H154,IFERROR(G154/INDEX(Players!$M$2:$M$42,MATCH(B154,Players!$A$2:$A$42,0)),""))</f>
        <v>0.63</v>
      </c>
    </row>
    <row r="155" customFormat="false" ht="15" hidden="false" customHeight="false" outlineLevel="0" collapsed="false">
      <c r="A155" s="0" t="s">
        <v>1088</v>
      </c>
      <c r="B155" s="0" t="s">
        <v>789</v>
      </c>
      <c r="C155" s="0" t="s">
        <v>651</v>
      </c>
      <c r="D155" s="0" t="s">
        <v>568</v>
      </c>
      <c r="E155" s="0" t="s">
        <v>161</v>
      </c>
      <c r="F155" s="0" t="n">
        <v>7</v>
      </c>
      <c r="G155" s="0" t="n">
        <v>18.3</v>
      </c>
      <c r="H155" s="0" t="n">
        <v>0.75</v>
      </c>
      <c r="I155" s="10" t="n">
        <v>0.305</v>
      </c>
      <c r="J155" s="0" t="n">
        <v>1.24</v>
      </c>
      <c r="K155" s="13" t="n">
        <f aca="false">IF(H155&lt;&gt;"",H155,IFERROR(G155/INDEX(Players!$M$2:$M$42,MATCH(B155,Players!$A$2:$A$42,0)),""))</f>
        <v>0.75</v>
      </c>
    </row>
    <row r="156" customFormat="false" ht="15" hidden="false" customHeight="false" outlineLevel="0" collapsed="false">
      <c r="A156" s="0" t="s">
        <v>1089</v>
      </c>
      <c r="B156" s="0" t="s">
        <v>789</v>
      </c>
      <c r="C156" s="0" t="s">
        <v>651</v>
      </c>
      <c r="D156" s="0" t="s">
        <v>568</v>
      </c>
      <c r="E156" s="0" t="s">
        <v>208</v>
      </c>
      <c r="F156" s="0" t="n">
        <v>5</v>
      </c>
      <c r="G156" s="0" t="n">
        <v>24</v>
      </c>
      <c r="H156" s="0" t="n">
        <v>0.92</v>
      </c>
      <c r="I156" s="10" t="n">
        <v>0.433</v>
      </c>
      <c r="J156" s="0" t="n">
        <v>1.76</v>
      </c>
      <c r="K156" s="13" t="n">
        <f aca="false">IF(H156&lt;&gt;"",H156,IFERROR(G156/INDEX(Players!$M$2:$M$42,MATCH(B156,Players!$A$2:$A$42,0)),""))</f>
        <v>0.92</v>
      </c>
    </row>
    <row r="157" customFormat="false" ht="15" hidden="false" customHeight="false" outlineLevel="0" collapsed="false">
      <c r="A157" s="0" t="s">
        <v>1090</v>
      </c>
      <c r="B157" s="0" t="s">
        <v>789</v>
      </c>
      <c r="C157" s="0" t="s">
        <v>651</v>
      </c>
      <c r="D157" s="0" t="s">
        <v>568</v>
      </c>
      <c r="E157" s="0" t="s">
        <v>184</v>
      </c>
      <c r="F157" s="0" t="n">
        <v>5</v>
      </c>
      <c r="G157" s="0" t="n">
        <v>15.4</v>
      </c>
      <c r="H157" s="0" t="n">
        <v>0.79</v>
      </c>
      <c r="I157" s="10" t="n">
        <v>0.351</v>
      </c>
      <c r="J157" s="0" t="n">
        <v>1.64</v>
      </c>
      <c r="K157" s="13" t="n">
        <f aca="false">IF(H157&lt;&gt;"",H157,IFERROR(G157/INDEX(Players!$M$2:$M$42,MATCH(B157,Players!$A$2:$A$42,0)),""))</f>
        <v>0.79</v>
      </c>
    </row>
    <row r="158" customFormat="false" ht="15" hidden="false" customHeight="false" outlineLevel="0" collapsed="false">
      <c r="A158" s="0" t="s">
        <v>1091</v>
      </c>
      <c r="B158" s="0" t="s">
        <v>789</v>
      </c>
      <c r="C158" s="0" t="s">
        <v>651</v>
      </c>
      <c r="D158" s="0" t="s">
        <v>568</v>
      </c>
      <c r="E158" s="0" t="s">
        <v>195</v>
      </c>
      <c r="F158" s="0" t="n">
        <v>5</v>
      </c>
      <c r="G158" s="0" t="n">
        <v>15.2</v>
      </c>
      <c r="H158" s="0" t="n">
        <v>0.78</v>
      </c>
      <c r="I158" s="10" t="n">
        <v>0.461</v>
      </c>
      <c r="J158" s="0" t="n">
        <v>1.52</v>
      </c>
      <c r="K158" s="13" t="n">
        <f aca="false">IF(H158&lt;&gt;"",H158,IFERROR(G158/INDEX(Players!$M$2:$M$42,MATCH(B158,Players!$A$2:$A$42,0)),""))</f>
        <v>0.78</v>
      </c>
    </row>
    <row r="159" customFormat="false" ht="15" hidden="false" customHeight="false" outlineLevel="0" collapsed="false">
      <c r="A159" s="0" t="s">
        <v>1092</v>
      </c>
      <c r="B159" s="0" t="s">
        <v>789</v>
      </c>
      <c r="C159" s="0" t="s">
        <v>651</v>
      </c>
      <c r="D159" s="0" t="s">
        <v>568</v>
      </c>
      <c r="E159" s="0" t="s">
        <v>174</v>
      </c>
      <c r="F159" s="0" t="n">
        <v>5</v>
      </c>
      <c r="G159" s="0" t="n">
        <v>13.6</v>
      </c>
      <c r="H159" s="0" t="n">
        <v>0.62</v>
      </c>
      <c r="I159" s="10" t="n">
        <v>0.412</v>
      </c>
      <c r="J159" s="0" t="n">
        <v>0.96</v>
      </c>
      <c r="K159" s="13" t="n">
        <f aca="false">IF(H159&lt;&gt;"",H159,IFERROR(G159/INDEX(Players!$M$2:$M$42,MATCH(B159,Players!$A$2:$A$42,0)),""))</f>
        <v>0.62</v>
      </c>
    </row>
    <row r="160" customFormat="false" ht="15" hidden="false" customHeight="false" outlineLevel="0" collapsed="false">
      <c r="A160" s="0" t="s">
        <v>1093</v>
      </c>
      <c r="B160" s="0" t="s">
        <v>789</v>
      </c>
      <c r="C160" s="0" t="s">
        <v>651</v>
      </c>
      <c r="D160" s="0" t="s">
        <v>568</v>
      </c>
      <c r="E160" s="0" t="s">
        <v>147</v>
      </c>
      <c r="F160" s="0" t="n">
        <v>2</v>
      </c>
      <c r="G160" s="0" t="n">
        <v>13</v>
      </c>
      <c r="H160" s="0" t="n">
        <v>0.59</v>
      </c>
      <c r="I160" s="10" t="n">
        <v>0.231</v>
      </c>
      <c r="J160" s="0" t="n">
        <v>0.76</v>
      </c>
      <c r="K160" s="13" t="n">
        <f aca="false">IF(H160&lt;&gt;"",H160,IFERROR(G160/INDEX(Players!$M$2:$M$42,MATCH(B160,Players!$A$2:$A$42,0)),""))</f>
        <v>0.59</v>
      </c>
    </row>
    <row r="161" customFormat="false" ht="15" hidden="false" customHeight="false" outlineLevel="0" collapsed="false">
      <c r="A161" s="0" t="s">
        <v>1094</v>
      </c>
      <c r="B161" s="0" t="s">
        <v>790</v>
      </c>
      <c r="C161" s="0" t="s">
        <v>654</v>
      </c>
      <c r="D161" s="0" t="s">
        <v>568</v>
      </c>
      <c r="E161" s="0" t="s">
        <v>161</v>
      </c>
      <c r="F161" s="0" t="n">
        <v>7</v>
      </c>
      <c r="G161" s="0" t="n">
        <v>19.4</v>
      </c>
      <c r="H161" s="0" t="n">
        <v>0.8</v>
      </c>
      <c r="I161" s="10" t="n">
        <v>0.596</v>
      </c>
      <c r="J161" s="0" t="n">
        <v>1.2</v>
      </c>
      <c r="K161" s="13" t="n">
        <f aca="false">IF(H161&lt;&gt;"",H161,IFERROR(G161/INDEX(Players!$M$2:$M$42,MATCH(B161,Players!$A$2:$A$42,0)),""))</f>
        <v>0.8</v>
      </c>
    </row>
    <row r="162" customFormat="false" ht="15" hidden="false" customHeight="false" outlineLevel="0" collapsed="false">
      <c r="A162" s="0" t="s">
        <v>1095</v>
      </c>
      <c r="B162" s="0" t="s">
        <v>790</v>
      </c>
      <c r="C162" s="0" t="s">
        <v>654</v>
      </c>
      <c r="D162" s="0" t="s">
        <v>568</v>
      </c>
      <c r="E162" s="0" t="s">
        <v>184</v>
      </c>
      <c r="F162" s="0" t="n">
        <v>5</v>
      </c>
      <c r="G162" s="0" t="n">
        <v>18.2</v>
      </c>
      <c r="H162" s="0" t="n">
        <v>0.94</v>
      </c>
      <c r="I162" s="10" t="n">
        <v>0.473</v>
      </c>
      <c r="J162" s="0" t="n">
        <v>1.49</v>
      </c>
      <c r="K162" s="13" t="n">
        <f aca="false">IF(H162&lt;&gt;"",H162,IFERROR(G162/INDEX(Players!$M$2:$M$42,MATCH(B162,Players!$A$2:$A$42,0)),""))</f>
        <v>0.94</v>
      </c>
    </row>
    <row r="163" customFormat="false" ht="15" hidden="false" customHeight="false" outlineLevel="0" collapsed="false">
      <c r="A163" s="0" t="s">
        <v>1096</v>
      </c>
      <c r="B163" s="0" t="s">
        <v>790</v>
      </c>
      <c r="C163" s="0" t="s">
        <v>654</v>
      </c>
      <c r="D163" s="0" t="s">
        <v>568</v>
      </c>
      <c r="E163" s="0" t="s">
        <v>208</v>
      </c>
      <c r="F163" s="0" t="n">
        <v>5</v>
      </c>
      <c r="G163" s="0" t="n">
        <v>18.2</v>
      </c>
      <c r="H163" s="0" t="n">
        <v>0.69</v>
      </c>
      <c r="I163" s="10" t="n">
        <v>0.703</v>
      </c>
      <c r="J163" s="0" t="n">
        <v>1.07</v>
      </c>
      <c r="K163" s="13" t="n">
        <f aca="false">IF(H163&lt;&gt;"",H163,IFERROR(G163/INDEX(Players!$M$2:$M$42,MATCH(B163,Players!$A$2:$A$42,0)),""))</f>
        <v>0.69</v>
      </c>
    </row>
    <row r="164" customFormat="false" ht="15" hidden="false" customHeight="false" outlineLevel="0" collapsed="false">
      <c r="A164" s="0" t="s">
        <v>1097</v>
      </c>
      <c r="B164" s="0" t="s">
        <v>790</v>
      </c>
      <c r="C164" s="0" t="s">
        <v>654</v>
      </c>
      <c r="D164" s="0" t="s">
        <v>568</v>
      </c>
      <c r="E164" s="0" t="s">
        <v>174</v>
      </c>
      <c r="F164" s="0" t="n">
        <v>5</v>
      </c>
      <c r="G164" s="0" t="n">
        <v>15.8</v>
      </c>
      <c r="H164" s="0" t="n">
        <v>0.72</v>
      </c>
      <c r="I164" s="10" t="n">
        <v>0.582</v>
      </c>
      <c r="J164" s="0" t="n">
        <v>1.05</v>
      </c>
      <c r="K164" s="13" t="n">
        <f aca="false">IF(H164&lt;&gt;"",H164,IFERROR(G164/INDEX(Players!$M$2:$M$42,MATCH(B164,Players!$A$2:$A$42,0)),""))</f>
        <v>0.72</v>
      </c>
    </row>
    <row r="165" customFormat="false" ht="15" hidden="false" customHeight="false" outlineLevel="0" collapsed="false">
      <c r="A165" s="0" t="s">
        <v>1098</v>
      </c>
      <c r="B165" s="0" t="s">
        <v>790</v>
      </c>
      <c r="C165" s="0" t="s">
        <v>654</v>
      </c>
      <c r="D165" s="0" t="s">
        <v>568</v>
      </c>
      <c r="E165" s="0" t="s">
        <v>195</v>
      </c>
      <c r="F165" s="0" t="n">
        <v>5</v>
      </c>
      <c r="G165" s="0" t="n">
        <v>12.4</v>
      </c>
      <c r="H165" s="0" t="n">
        <v>0.64</v>
      </c>
      <c r="I165" s="10" t="n">
        <v>0.677</v>
      </c>
      <c r="J165" s="0" t="n">
        <v>0.9</v>
      </c>
      <c r="K165" s="13" t="n">
        <f aca="false">IF(H165&lt;&gt;"",H165,IFERROR(G165/INDEX(Players!$M$2:$M$42,MATCH(B165,Players!$A$2:$A$42,0)),""))</f>
        <v>0.64</v>
      </c>
    </row>
    <row r="166" customFormat="false" ht="15" hidden="false" customHeight="false" outlineLevel="0" collapsed="false">
      <c r="A166" s="0" t="s">
        <v>1099</v>
      </c>
      <c r="B166" s="0" t="s">
        <v>790</v>
      </c>
      <c r="C166" s="0" t="s">
        <v>654</v>
      </c>
      <c r="D166" s="0" t="s">
        <v>568</v>
      </c>
      <c r="E166" s="0" t="s">
        <v>147</v>
      </c>
      <c r="F166" s="0" t="n">
        <v>2</v>
      </c>
      <c r="G166" s="0" t="n">
        <v>13</v>
      </c>
      <c r="H166" s="0" t="n">
        <v>0.59</v>
      </c>
      <c r="I166" s="10" t="n">
        <v>0.654</v>
      </c>
      <c r="J166" s="0" t="n">
        <v>0.96</v>
      </c>
      <c r="K166" s="13" t="n">
        <f aca="false">IF(H166&lt;&gt;"",H166,IFERROR(G166/INDEX(Players!$M$2:$M$42,MATCH(B166,Players!$A$2:$A$42,0)),""))</f>
        <v>0.59</v>
      </c>
    </row>
    <row r="167" customFormat="false" ht="15" hidden="false" customHeight="false" outlineLevel="0" collapsed="false">
      <c r="A167" s="0" t="s">
        <v>1100</v>
      </c>
      <c r="B167" s="0" t="s">
        <v>818</v>
      </c>
      <c r="C167" s="0" t="s">
        <v>716</v>
      </c>
      <c r="D167" s="0" t="s">
        <v>568</v>
      </c>
      <c r="E167" s="0" t="s">
        <v>174</v>
      </c>
      <c r="F167" s="0" t="n">
        <v>10</v>
      </c>
      <c r="G167" s="0" t="n">
        <v>12.2</v>
      </c>
      <c r="H167" s="0" t="n">
        <v>0.61</v>
      </c>
      <c r="I167" s="10" t="n">
        <v>0.574</v>
      </c>
      <c r="J167" s="0" t="n">
        <v>1.02</v>
      </c>
      <c r="K167" s="13" t="n">
        <f aca="false">IF(H167&lt;&gt;"",H167,IFERROR(G167/INDEX(Players!$M$2:$M$42,MATCH(B167,Players!$A$2:$A$42,0)),""))</f>
        <v>0.61</v>
      </c>
    </row>
    <row r="168" customFormat="false" ht="15" hidden="false" customHeight="false" outlineLevel="0" collapsed="false">
      <c r="A168" s="0" t="s">
        <v>1101</v>
      </c>
      <c r="B168" s="0" t="s">
        <v>818</v>
      </c>
      <c r="C168" s="0" t="s">
        <v>716</v>
      </c>
      <c r="D168" s="0" t="s">
        <v>568</v>
      </c>
      <c r="E168" s="0" t="s">
        <v>184</v>
      </c>
      <c r="F168" s="0" t="n">
        <v>6</v>
      </c>
      <c r="G168" s="0" t="n">
        <v>19.8</v>
      </c>
      <c r="H168" s="0" t="n">
        <v>0.82</v>
      </c>
      <c r="I168" s="10" t="n">
        <v>0.605</v>
      </c>
      <c r="J168" s="0" t="n">
        <v>1.47</v>
      </c>
      <c r="K168" s="13" t="n">
        <f aca="false">IF(H168&lt;&gt;"",H168,IFERROR(G168/INDEX(Players!$M$2:$M$42,MATCH(B168,Players!$A$2:$A$42,0)),""))</f>
        <v>0.82</v>
      </c>
    </row>
    <row r="169" customFormat="false" ht="15" hidden="false" customHeight="false" outlineLevel="0" collapsed="false">
      <c r="A169" s="0" t="s">
        <v>1102</v>
      </c>
      <c r="B169" s="0" t="s">
        <v>818</v>
      </c>
      <c r="C169" s="0" t="s">
        <v>716</v>
      </c>
      <c r="D169" s="0" t="s">
        <v>568</v>
      </c>
      <c r="E169" s="0" t="s">
        <v>208</v>
      </c>
      <c r="F169" s="0" t="n">
        <v>6</v>
      </c>
      <c r="G169" s="0" t="n">
        <v>12.8</v>
      </c>
      <c r="H169" s="0" t="n">
        <v>0.64</v>
      </c>
      <c r="I169" s="10" t="n">
        <v>0.61</v>
      </c>
      <c r="J169" s="0" t="n">
        <v>0.92</v>
      </c>
      <c r="K169" s="13" t="n">
        <f aca="false">IF(H169&lt;&gt;"",H169,IFERROR(G169/INDEX(Players!$M$2:$M$42,MATCH(B169,Players!$A$2:$A$42,0)),""))</f>
        <v>0.64</v>
      </c>
    </row>
    <row r="170" customFormat="false" ht="15" hidden="false" customHeight="false" outlineLevel="0" collapsed="false">
      <c r="A170" s="0" t="s">
        <v>1103</v>
      </c>
      <c r="B170" s="0" t="s">
        <v>818</v>
      </c>
      <c r="C170" s="0" t="s">
        <v>716</v>
      </c>
      <c r="D170" s="0" t="s">
        <v>568</v>
      </c>
      <c r="E170" s="0" t="s">
        <v>195</v>
      </c>
      <c r="F170" s="0" t="n">
        <v>3</v>
      </c>
      <c r="G170" s="0" t="n">
        <v>16</v>
      </c>
      <c r="H170" s="0" t="n">
        <v>0.79</v>
      </c>
      <c r="I170" s="10" t="n">
        <v>0.542</v>
      </c>
      <c r="J170" s="0" t="n">
        <v>1.5</v>
      </c>
      <c r="K170" s="13" t="n">
        <f aca="false">IF(H170&lt;&gt;"",H170,IFERROR(G170/INDEX(Players!$M$2:$M$42,MATCH(B170,Players!$A$2:$A$42,0)),""))</f>
        <v>0.79</v>
      </c>
    </row>
    <row r="171" customFormat="false" ht="15" hidden="false" customHeight="false" outlineLevel="0" collapsed="false">
      <c r="A171" s="0" t="s">
        <v>1104</v>
      </c>
      <c r="B171" s="0" t="s">
        <v>818</v>
      </c>
      <c r="C171" s="0" t="s">
        <v>716</v>
      </c>
      <c r="D171" s="0" t="s">
        <v>568</v>
      </c>
      <c r="E171" s="0" t="s">
        <v>161</v>
      </c>
      <c r="F171" s="0" t="n">
        <v>3</v>
      </c>
      <c r="G171" s="0" t="n">
        <v>17</v>
      </c>
      <c r="H171" s="0" t="n">
        <v>0.7</v>
      </c>
      <c r="I171" s="10" t="n">
        <v>0.569</v>
      </c>
      <c r="J171" s="0" t="n">
        <v>1</v>
      </c>
      <c r="K171" s="13" t="n">
        <f aca="false">IF(H171&lt;&gt;"",H171,IFERROR(G171/INDEX(Players!$M$2:$M$42,MATCH(B171,Players!$A$2:$A$42,0)),""))</f>
        <v>0.7</v>
      </c>
    </row>
    <row r="172" customFormat="false" ht="15" hidden="false" customHeight="false" outlineLevel="0" collapsed="false">
      <c r="A172" s="0" t="s">
        <v>1105</v>
      </c>
      <c r="B172" s="0" t="s">
        <v>818</v>
      </c>
      <c r="C172" s="0" t="s">
        <v>716</v>
      </c>
      <c r="D172" s="0" t="s">
        <v>568</v>
      </c>
      <c r="E172" s="0" t="s">
        <v>147</v>
      </c>
      <c r="F172" s="0" t="n">
        <v>2</v>
      </c>
      <c r="G172" s="0" t="n">
        <v>12.5</v>
      </c>
      <c r="H172" s="0" t="n">
        <v>0.66</v>
      </c>
      <c r="I172" s="10" t="n">
        <v>0.72</v>
      </c>
      <c r="J172" s="0" t="n">
        <v>1.25</v>
      </c>
      <c r="K172" s="13" t="n">
        <f aca="false">IF(H172&lt;&gt;"",H172,IFERROR(G172/INDEX(Players!$M$2:$M$42,MATCH(B172,Players!$A$2:$A$42,0)),""))</f>
        <v>0.66</v>
      </c>
    </row>
    <row r="173" customFormat="false" ht="15" hidden="false" customHeight="false" outlineLevel="0" collapsed="false">
      <c r="A173" s="0" t="s">
        <v>1106</v>
      </c>
      <c r="B173" s="0" t="s">
        <v>809</v>
      </c>
      <c r="C173" s="0" t="s">
        <v>698</v>
      </c>
      <c r="D173" s="0" t="s">
        <v>568</v>
      </c>
      <c r="E173" s="0" t="s">
        <v>174</v>
      </c>
      <c r="F173" s="0" t="n">
        <v>8</v>
      </c>
      <c r="G173" s="0" t="n">
        <v>13.5</v>
      </c>
      <c r="H173" s="0" t="n">
        <v>0.65</v>
      </c>
      <c r="I173" s="10" t="n">
        <v>0.519</v>
      </c>
      <c r="J173" s="0" t="n">
        <v>0.97</v>
      </c>
      <c r="K173" s="13" t="n">
        <f aca="false">IF(H173&lt;&gt;"",H173,IFERROR(G173/INDEX(Players!$M$2:$M$42,MATCH(B173,Players!$A$2:$A$42,0)),""))</f>
        <v>0.65</v>
      </c>
    </row>
    <row r="174" customFormat="false" ht="15" hidden="false" customHeight="false" outlineLevel="0" collapsed="false">
      <c r="A174" s="0" t="s">
        <v>1107</v>
      </c>
      <c r="B174" s="0" t="s">
        <v>809</v>
      </c>
      <c r="C174" s="0" t="s">
        <v>698</v>
      </c>
      <c r="D174" s="0" t="s">
        <v>568</v>
      </c>
      <c r="E174" s="0" t="s">
        <v>338</v>
      </c>
      <c r="F174" s="0" t="n">
        <v>6</v>
      </c>
      <c r="G174" s="0" t="n">
        <v>13.8</v>
      </c>
      <c r="H174" s="0" t="n">
        <v>0.63</v>
      </c>
      <c r="I174" s="10" t="n">
        <v>0.59</v>
      </c>
      <c r="J174" s="0" t="n">
        <v>0.86</v>
      </c>
      <c r="K174" s="13" t="n">
        <f aca="false">IF(H174&lt;&gt;"",H174,IFERROR(G174/INDEX(Players!$M$2:$M$42,MATCH(B174,Players!$A$2:$A$42,0)),""))</f>
        <v>0.63</v>
      </c>
    </row>
    <row r="175" customFormat="false" ht="15" hidden="false" customHeight="false" outlineLevel="0" collapsed="false">
      <c r="A175" s="0" t="s">
        <v>1108</v>
      </c>
      <c r="B175" s="0" t="s">
        <v>809</v>
      </c>
      <c r="C175" s="0" t="s">
        <v>698</v>
      </c>
      <c r="D175" s="0" t="s">
        <v>568</v>
      </c>
      <c r="E175" s="0" t="s">
        <v>184</v>
      </c>
      <c r="F175" s="0" t="n">
        <v>5</v>
      </c>
      <c r="G175" s="0" t="n">
        <v>15.8</v>
      </c>
      <c r="H175" s="0" t="n">
        <v>0.58</v>
      </c>
      <c r="I175" s="10" t="n">
        <v>0.468</v>
      </c>
      <c r="J175" s="0" t="n">
        <v>0.78</v>
      </c>
      <c r="K175" s="13" t="n">
        <f aca="false">IF(H175&lt;&gt;"",H175,IFERROR(G175/INDEX(Players!$M$2:$M$42,MATCH(B175,Players!$A$2:$A$42,0)),""))</f>
        <v>0.58</v>
      </c>
    </row>
    <row r="176" customFormat="false" ht="15" hidden="false" customHeight="false" outlineLevel="0" collapsed="false">
      <c r="A176" s="0" t="s">
        <v>1109</v>
      </c>
      <c r="B176" s="0" t="s">
        <v>809</v>
      </c>
      <c r="C176" s="0" t="s">
        <v>698</v>
      </c>
      <c r="D176" s="0" t="s">
        <v>568</v>
      </c>
      <c r="E176" s="0" t="s">
        <v>161</v>
      </c>
      <c r="F176" s="0" t="n">
        <v>5</v>
      </c>
      <c r="G176" s="0" t="n">
        <v>10</v>
      </c>
      <c r="H176" s="0" t="n">
        <v>0.51</v>
      </c>
      <c r="I176" s="10" t="n">
        <v>0.56</v>
      </c>
      <c r="J176" s="0" t="n">
        <v>0.74</v>
      </c>
      <c r="K176" s="13" t="n">
        <f aca="false">IF(H176&lt;&gt;"",H176,IFERROR(G176/INDEX(Players!$M$2:$M$42,MATCH(B176,Players!$A$2:$A$42,0)),""))</f>
        <v>0.51</v>
      </c>
    </row>
    <row r="177" customFormat="false" ht="15" hidden="false" customHeight="false" outlineLevel="0" collapsed="false">
      <c r="A177" s="0" t="s">
        <v>1110</v>
      </c>
      <c r="B177" s="0" t="s">
        <v>809</v>
      </c>
      <c r="C177" s="0" t="s">
        <v>698</v>
      </c>
      <c r="D177" s="0" t="s">
        <v>568</v>
      </c>
      <c r="E177" s="0" t="s">
        <v>147</v>
      </c>
      <c r="F177" s="0" t="n">
        <v>4</v>
      </c>
      <c r="G177" s="0" t="n">
        <v>10</v>
      </c>
      <c r="H177" s="0" t="n">
        <v>0.48</v>
      </c>
      <c r="I177" s="10" t="n">
        <v>0.475</v>
      </c>
      <c r="J177" s="0" t="n">
        <v>0.68</v>
      </c>
      <c r="K177" s="13" t="n">
        <f aca="false">IF(H177&lt;&gt;"",H177,IFERROR(G177/INDEX(Players!$M$2:$M$42,MATCH(B177,Players!$A$2:$A$42,0)),""))</f>
        <v>0.48</v>
      </c>
    </row>
    <row r="178" customFormat="false" ht="15" hidden="false" customHeight="false" outlineLevel="0" collapsed="false">
      <c r="A178" s="0" t="s">
        <v>1111</v>
      </c>
      <c r="B178" s="0" t="s">
        <v>809</v>
      </c>
      <c r="C178" s="0" t="s">
        <v>698</v>
      </c>
      <c r="D178" s="0" t="s">
        <v>568</v>
      </c>
      <c r="E178" s="0" t="s">
        <v>195</v>
      </c>
      <c r="F178" s="0" t="n">
        <v>2</v>
      </c>
      <c r="G178" s="0" t="n">
        <v>13</v>
      </c>
      <c r="H178" s="0" t="n">
        <v>0.57</v>
      </c>
      <c r="I178" s="10" t="n">
        <v>0.5</v>
      </c>
      <c r="J178" s="0" t="n">
        <v>0.79</v>
      </c>
      <c r="K178" s="13" t="n">
        <f aca="false">IF(H178&lt;&gt;"",H178,IFERROR(G178/INDEX(Players!$M$2:$M$42,MATCH(B178,Players!$A$2:$A$42,0)),""))</f>
        <v>0.57</v>
      </c>
    </row>
    <row r="179" customFormat="false" ht="15" hidden="false" customHeight="false" outlineLevel="0" collapsed="false">
      <c r="A179" s="0" t="s">
        <v>1112</v>
      </c>
      <c r="B179" s="0" t="s">
        <v>814</v>
      </c>
      <c r="C179" s="0" t="s">
        <v>708</v>
      </c>
      <c r="D179" s="0" t="s">
        <v>568</v>
      </c>
      <c r="E179" s="0" t="s">
        <v>184</v>
      </c>
      <c r="F179" s="0" t="n">
        <v>8</v>
      </c>
      <c r="G179" s="0" t="n">
        <v>16.8</v>
      </c>
      <c r="H179" s="0" t="n">
        <v>0.63</v>
      </c>
      <c r="I179" s="10" t="n">
        <v>0.515</v>
      </c>
      <c r="J179" s="0" t="n">
        <v>0.88</v>
      </c>
      <c r="K179" s="13" t="n">
        <f aca="false">IF(H179&lt;&gt;"",H179,IFERROR(G179/INDEX(Players!$M$2:$M$42,MATCH(B179,Players!$A$2:$A$42,0)),""))</f>
        <v>0.63</v>
      </c>
    </row>
    <row r="180" customFormat="false" ht="15" hidden="false" customHeight="false" outlineLevel="0" collapsed="false">
      <c r="A180" s="0" t="s">
        <v>1113</v>
      </c>
      <c r="B180" s="0" t="s">
        <v>814</v>
      </c>
      <c r="C180" s="0" t="s">
        <v>708</v>
      </c>
      <c r="D180" s="0" t="s">
        <v>568</v>
      </c>
      <c r="E180" s="0" t="s">
        <v>161</v>
      </c>
      <c r="F180" s="0" t="n">
        <v>7</v>
      </c>
      <c r="G180" s="0" t="n">
        <v>16</v>
      </c>
      <c r="H180" s="0" t="n">
        <v>0.72</v>
      </c>
      <c r="I180" s="10" t="n">
        <v>0.607</v>
      </c>
      <c r="J180" s="0" t="n">
        <v>1.2</v>
      </c>
      <c r="K180" s="13" t="n">
        <f aca="false">IF(H180&lt;&gt;"",H180,IFERROR(G180/INDEX(Players!$M$2:$M$42,MATCH(B180,Players!$A$2:$A$42,0)),""))</f>
        <v>0.72</v>
      </c>
    </row>
    <row r="181" customFormat="false" ht="15" hidden="false" customHeight="false" outlineLevel="0" collapsed="false">
      <c r="A181" s="0" t="s">
        <v>1114</v>
      </c>
      <c r="B181" s="0" t="s">
        <v>814</v>
      </c>
      <c r="C181" s="0" t="s">
        <v>708</v>
      </c>
      <c r="D181" s="0" t="s">
        <v>568</v>
      </c>
      <c r="E181" s="0" t="s">
        <v>195</v>
      </c>
      <c r="F181" s="0" t="n">
        <v>5</v>
      </c>
      <c r="G181" s="0" t="n">
        <v>14.8</v>
      </c>
      <c r="H181" s="0" t="n">
        <v>0.76</v>
      </c>
      <c r="I181" s="10" t="n">
        <v>0.541</v>
      </c>
      <c r="J181" s="0" t="n">
        <v>1.19</v>
      </c>
      <c r="K181" s="13" t="n">
        <f aca="false">IF(H181&lt;&gt;"",H181,IFERROR(G181/INDEX(Players!$M$2:$M$42,MATCH(B181,Players!$A$2:$A$42,0)),""))</f>
        <v>0.76</v>
      </c>
    </row>
    <row r="182" customFormat="false" ht="15" hidden="false" customHeight="false" outlineLevel="0" collapsed="false">
      <c r="A182" s="0" t="s">
        <v>1115</v>
      </c>
      <c r="B182" s="0" t="s">
        <v>814</v>
      </c>
      <c r="C182" s="0" t="s">
        <v>708</v>
      </c>
      <c r="D182" s="0" t="s">
        <v>568</v>
      </c>
      <c r="E182" s="0" t="s">
        <v>174</v>
      </c>
      <c r="F182" s="0" t="n">
        <v>5</v>
      </c>
      <c r="G182" s="0" t="n">
        <v>15.6</v>
      </c>
      <c r="H182" s="0" t="n">
        <v>0.69</v>
      </c>
      <c r="I182" s="10" t="n">
        <v>0.551</v>
      </c>
      <c r="J182" s="0" t="n">
        <v>0.97</v>
      </c>
      <c r="K182" s="13" t="n">
        <f aca="false">IF(H182&lt;&gt;"",H182,IFERROR(G182/INDEX(Players!$M$2:$M$42,MATCH(B182,Players!$A$2:$A$42,0)),""))</f>
        <v>0.69</v>
      </c>
    </row>
    <row r="183" customFormat="false" ht="15" hidden="false" customHeight="false" outlineLevel="0" collapsed="false">
      <c r="A183" s="0" t="s">
        <v>1116</v>
      </c>
      <c r="B183" s="0" t="s">
        <v>814</v>
      </c>
      <c r="C183" s="0" t="s">
        <v>708</v>
      </c>
      <c r="D183" s="0" t="s">
        <v>568</v>
      </c>
      <c r="E183" s="0" t="s">
        <v>338</v>
      </c>
      <c r="F183" s="0" t="n">
        <v>4</v>
      </c>
      <c r="G183" s="0" t="n">
        <v>15.8</v>
      </c>
      <c r="H183" s="0" t="n">
        <v>0.73</v>
      </c>
      <c r="I183" s="10" t="n">
        <v>0.524</v>
      </c>
      <c r="J183" s="0" t="n">
        <v>1.03</v>
      </c>
      <c r="K183" s="13" t="n">
        <f aca="false">IF(H183&lt;&gt;"",H183,IFERROR(G183/INDEX(Players!$M$2:$M$42,MATCH(B183,Players!$A$2:$A$42,0)),""))</f>
        <v>0.73</v>
      </c>
    </row>
    <row r="184" customFormat="false" ht="15" hidden="false" customHeight="false" outlineLevel="0" collapsed="false">
      <c r="A184" s="0" t="s">
        <v>1117</v>
      </c>
      <c r="B184" s="0" t="s">
        <v>814</v>
      </c>
      <c r="C184" s="0" t="s">
        <v>708</v>
      </c>
      <c r="D184" s="0" t="s">
        <v>568</v>
      </c>
      <c r="E184" s="0" t="s">
        <v>147</v>
      </c>
      <c r="F184" s="0" t="n">
        <v>1</v>
      </c>
      <c r="G184" s="0" t="n">
        <v>14</v>
      </c>
      <c r="H184" s="0" t="n">
        <v>0.58</v>
      </c>
      <c r="I184" s="10" t="n">
        <v>0.571</v>
      </c>
      <c r="J184" s="0" t="n">
        <v>0.93</v>
      </c>
      <c r="K184" s="13" t="n">
        <f aca="false">IF(H184&lt;&gt;"",H184,IFERROR(G184/INDEX(Players!$M$2:$M$42,MATCH(B184,Players!$A$2:$A$42,0)),""))</f>
        <v>0.58</v>
      </c>
    </row>
    <row r="185" customFormat="false" ht="15" hidden="false" customHeight="false" outlineLevel="0" collapsed="false">
      <c r="A185" s="0" t="s">
        <v>1118</v>
      </c>
      <c r="B185" s="0" t="s">
        <v>819</v>
      </c>
      <c r="C185" s="0" t="s">
        <v>718</v>
      </c>
      <c r="D185" s="0" t="s">
        <v>568</v>
      </c>
      <c r="E185" s="0" t="s">
        <v>174</v>
      </c>
      <c r="F185" s="0" t="n">
        <v>10</v>
      </c>
      <c r="G185" s="0" t="n">
        <v>17.1</v>
      </c>
      <c r="H185" s="0" t="n">
        <v>0.86</v>
      </c>
      <c r="I185" s="10" t="n">
        <v>0.544</v>
      </c>
      <c r="J185" s="0" t="n">
        <v>1.46</v>
      </c>
      <c r="K185" s="13" t="n">
        <f aca="false">IF(H185&lt;&gt;"",H185,IFERROR(G185/INDEX(Players!$M$2:$M$42,MATCH(B185,Players!$A$2:$A$42,0)),""))</f>
        <v>0.86</v>
      </c>
    </row>
    <row r="186" customFormat="false" ht="15" hidden="false" customHeight="false" outlineLevel="0" collapsed="false">
      <c r="A186" s="0" t="s">
        <v>1119</v>
      </c>
      <c r="B186" s="0" t="s">
        <v>819</v>
      </c>
      <c r="C186" s="0" t="s">
        <v>718</v>
      </c>
      <c r="D186" s="0" t="s">
        <v>568</v>
      </c>
      <c r="E186" s="0" t="s">
        <v>184</v>
      </c>
      <c r="F186" s="0" t="n">
        <v>6</v>
      </c>
      <c r="G186" s="0" t="n">
        <v>16.2</v>
      </c>
      <c r="H186" s="0" t="n">
        <v>0.67</v>
      </c>
      <c r="I186" s="10" t="n">
        <v>0.588</v>
      </c>
      <c r="J186" s="0" t="n">
        <v>1.1</v>
      </c>
      <c r="K186" s="13" t="n">
        <f aca="false">IF(H186&lt;&gt;"",H186,IFERROR(G186/INDEX(Players!$M$2:$M$42,MATCH(B186,Players!$A$2:$A$42,0)),""))</f>
        <v>0.67</v>
      </c>
    </row>
    <row r="187" customFormat="false" ht="15" hidden="false" customHeight="false" outlineLevel="0" collapsed="false">
      <c r="A187" s="0" t="s">
        <v>1120</v>
      </c>
      <c r="B187" s="0" t="s">
        <v>819</v>
      </c>
      <c r="C187" s="0" t="s">
        <v>718</v>
      </c>
      <c r="D187" s="0" t="s">
        <v>568</v>
      </c>
      <c r="E187" s="0" t="s">
        <v>208</v>
      </c>
      <c r="F187" s="0" t="n">
        <v>6</v>
      </c>
      <c r="G187" s="0" t="n">
        <v>11.8</v>
      </c>
      <c r="H187" s="0" t="n">
        <v>0.59</v>
      </c>
      <c r="I187" s="10" t="n">
        <v>0.662</v>
      </c>
      <c r="J187" s="0" t="n">
        <v>0.85</v>
      </c>
      <c r="K187" s="13" t="n">
        <f aca="false">IF(H187&lt;&gt;"",H187,IFERROR(G187/INDEX(Players!$M$2:$M$42,MATCH(B187,Players!$A$2:$A$42,0)),""))</f>
        <v>0.59</v>
      </c>
    </row>
    <row r="188" customFormat="false" ht="15" hidden="false" customHeight="false" outlineLevel="0" collapsed="false">
      <c r="A188" s="0" t="s">
        <v>1121</v>
      </c>
      <c r="B188" s="0" t="s">
        <v>819</v>
      </c>
      <c r="C188" s="0" t="s">
        <v>718</v>
      </c>
      <c r="D188" s="0" t="s">
        <v>568</v>
      </c>
      <c r="E188" s="0" t="s">
        <v>195</v>
      </c>
      <c r="F188" s="0" t="n">
        <v>3</v>
      </c>
      <c r="G188" s="0" t="n">
        <v>16</v>
      </c>
      <c r="H188" s="0" t="n">
        <v>0.79</v>
      </c>
      <c r="I188" s="10" t="n">
        <v>0.479</v>
      </c>
      <c r="J188" s="0" t="n">
        <v>1.33</v>
      </c>
      <c r="K188" s="13" t="n">
        <f aca="false">IF(H188&lt;&gt;"",H188,IFERROR(G188/INDEX(Players!$M$2:$M$42,MATCH(B188,Players!$A$2:$A$42,0)),""))</f>
        <v>0.79</v>
      </c>
    </row>
    <row r="189" customFormat="false" ht="15" hidden="false" customHeight="false" outlineLevel="0" collapsed="false">
      <c r="A189" s="0" t="s">
        <v>1122</v>
      </c>
      <c r="B189" s="0" t="s">
        <v>819</v>
      </c>
      <c r="C189" s="0" t="s">
        <v>718</v>
      </c>
      <c r="D189" s="0" t="s">
        <v>568</v>
      </c>
      <c r="E189" s="0" t="s">
        <v>161</v>
      </c>
      <c r="F189" s="0" t="n">
        <v>3</v>
      </c>
      <c r="G189" s="0" t="n">
        <v>15</v>
      </c>
      <c r="H189" s="0" t="n">
        <v>0.62</v>
      </c>
      <c r="I189" s="10" t="n">
        <v>0.489</v>
      </c>
      <c r="J189" s="0" t="n">
        <v>0.88</v>
      </c>
      <c r="K189" s="13" t="n">
        <f aca="false">IF(H189&lt;&gt;"",H189,IFERROR(G189/INDEX(Players!$M$2:$M$42,MATCH(B189,Players!$A$2:$A$42,0)),""))</f>
        <v>0.62</v>
      </c>
    </row>
    <row r="190" customFormat="false" ht="15" hidden="false" customHeight="false" outlineLevel="0" collapsed="false">
      <c r="A190" s="0" t="s">
        <v>1123</v>
      </c>
      <c r="B190" s="0" t="s">
        <v>819</v>
      </c>
      <c r="C190" s="0" t="s">
        <v>718</v>
      </c>
      <c r="D190" s="0" t="s">
        <v>568</v>
      </c>
      <c r="E190" s="0" t="s">
        <v>147</v>
      </c>
      <c r="F190" s="0" t="n">
        <v>2</v>
      </c>
      <c r="G190" s="0" t="n">
        <v>21.5</v>
      </c>
      <c r="H190" s="0" t="n">
        <v>1.13</v>
      </c>
      <c r="I190" s="10" t="n">
        <v>0.488</v>
      </c>
      <c r="J190" s="0" t="n">
        <v>2.69</v>
      </c>
      <c r="K190" s="13" t="n">
        <f aca="false">IF(H190&lt;&gt;"",H190,IFERROR(G190/INDEX(Players!$M$2:$M$42,MATCH(B190,Players!$A$2:$A$42,0)),""))</f>
        <v>1.13</v>
      </c>
    </row>
    <row r="191" customFormat="false" ht="15" hidden="false" customHeight="false" outlineLevel="0" collapsed="false">
      <c r="A191" s="0" t="s">
        <v>1124</v>
      </c>
      <c r="B191" s="0" t="s">
        <v>800</v>
      </c>
      <c r="C191" s="0" t="s">
        <v>680</v>
      </c>
      <c r="D191" s="0" t="s">
        <v>568</v>
      </c>
      <c r="E191" s="0" t="s">
        <v>161</v>
      </c>
      <c r="F191" s="0" t="n">
        <v>13</v>
      </c>
      <c r="G191" s="0" t="n">
        <v>13.3</v>
      </c>
      <c r="H191" s="0" t="n">
        <v>0.63</v>
      </c>
      <c r="I191" s="10" t="n">
        <v>0.451</v>
      </c>
      <c r="J191" s="0" t="n">
        <v>0.93</v>
      </c>
      <c r="K191" s="13" t="n">
        <f aca="false">IF(H191&lt;&gt;"",H191,IFERROR(G191/INDEX(Players!$M$2:$M$42,MATCH(B191,Players!$A$2:$A$42,0)),""))</f>
        <v>0.63</v>
      </c>
    </row>
    <row r="192" customFormat="false" ht="15" hidden="false" customHeight="false" outlineLevel="0" collapsed="false">
      <c r="A192" s="0" t="s">
        <v>1125</v>
      </c>
      <c r="B192" s="0" t="s">
        <v>800</v>
      </c>
      <c r="C192" s="0" t="s">
        <v>680</v>
      </c>
      <c r="D192" s="0" t="s">
        <v>568</v>
      </c>
      <c r="E192" s="0" t="s">
        <v>174</v>
      </c>
      <c r="F192" s="0" t="n">
        <v>8</v>
      </c>
      <c r="G192" s="0" t="n">
        <v>11.8</v>
      </c>
      <c r="H192" s="0" t="n">
        <v>0.56</v>
      </c>
      <c r="I192" s="10" t="n">
        <v>0.447</v>
      </c>
      <c r="J192" s="0" t="n">
        <v>0.74</v>
      </c>
      <c r="K192" s="13" t="n">
        <f aca="false">IF(H192&lt;&gt;"",H192,IFERROR(G192/INDEX(Players!$M$2:$M$42,MATCH(B192,Players!$A$2:$A$42,0)),""))</f>
        <v>0.56</v>
      </c>
    </row>
    <row r="193" customFormat="false" ht="15" hidden="false" customHeight="false" outlineLevel="0" collapsed="false">
      <c r="A193" s="0" t="s">
        <v>1126</v>
      </c>
      <c r="B193" s="0" t="s">
        <v>800</v>
      </c>
      <c r="C193" s="0" t="s">
        <v>680</v>
      </c>
      <c r="D193" s="0" t="s">
        <v>568</v>
      </c>
      <c r="E193" s="0" t="s">
        <v>195</v>
      </c>
      <c r="F193" s="0" t="n">
        <v>6</v>
      </c>
      <c r="G193" s="0" t="n">
        <v>15.3</v>
      </c>
      <c r="H193" s="0" t="n">
        <v>0.64</v>
      </c>
      <c r="I193" s="10" t="n">
        <v>0.478</v>
      </c>
      <c r="J193" s="0" t="n">
        <v>0.9</v>
      </c>
      <c r="K193" s="13" t="n">
        <f aca="false">IF(H193&lt;&gt;"",H193,IFERROR(G193/INDEX(Players!$M$2:$M$42,MATCH(B193,Players!$A$2:$A$42,0)),""))</f>
        <v>0.64</v>
      </c>
    </row>
    <row r="194" customFormat="false" ht="15" hidden="false" customHeight="false" outlineLevel="0" collapsed="false">
      <c r="A194" s="0" t="s">
        <v>1127</v>
      </c>
      <c r="B194" s="0" t="s">
        <v>800</v>
      </c>
      <c r="C194" s="0" t="s">
        <v>680</v>
      </c>
      <c r="D194" s="0" t="s">
        <v>568</v>
      </c>
      <c r="E194" s="0" t="s">
        <v>147</v>
      </c>
      <c r="F194" s="0" t="n">
        <v>5</v>
      </c>
      <c r="G194" s="0" t="n">
        <v>14.4</v>
      </c>
      <c r="H194" s="0" t="n">
        <v>0.68</v>
      </c>
      <c r="I194" s="10" t="n">
        <v>0.458</v>
      </c>
      <c r="J194" s="0" t="n">
        <v>1.01</v>
      </c>
      <c r="K194" s="13" t="n">
        <f aca="false">IF(H194&lt;&gt;"",H194,IFERROR(G194/INDEX(Players!$M$2:$M$42,MATCH(B194,Players!$A$2:$A$42,0)),""))</f>
        <v>0.68</v>
      </c>
    </row>
    <row r="195" customFormat="false" ht="15" hidden="false" customHeight="false" outlineLevel="0" collapsed="false">
      <c r="A195" s="0" t="s">
        <v>1128</v>
      </c>
      <c r="B195" s="0" t="s">
        <v>800</v>
      </c>
      <c r="C195" s="0" t="s">
        <v>680</v>
      </c>
      <c r="D195" s="0" t="s">
        <v>568</v>
      </c>
      <c r="E195" s="0" t="s">
        <v>184</v>
      </c>
      <c r="F195" s="0" t="n">
        <v>3</v>
      </c>
      <c r="G195" s="0" t="n">
        <v>13</v>
      </c>
      <c r="H195" s="0" t="n">
        <v>0.63</v>
      </c>
      <c r="I195" s="10" t="n">
        <v>0.615</v>
      </c>
      <c r="J195" s="0" t="n">
        <v>0.85</v>
      </c>
      <c r="K195" s="13" t="n">
        <f aca="false">IF(H195&lt;&gt;"",H195,IFERROR(G195/INDEX(Players!$M$2:$M$42,MATCH(B195,Players!$A$2:$A$42,0)),""))</f>
        <v>0.63</v>
      </c>
    </row>
    <row r="196" customFormat="false" ht="15" hidden="false" customHeight="false" outlineLevel="0" collapsed="false">
      <c r="A196" s="0" t="s">
        <v>1129</v>
      </c>
      <c r="B196" s="0" t="s">
        <v>800</v>
      </c>
      <c r="C196" s="0" t="s">
        <v>680</v>
      </c>
      <c r="D196" s="0" t="s">
        <v>568</v>
      </c>
      <c r="E196" s="0" t="s">
        <v>208</v>
      </c>
      <c r="F196" s="0" t="n">
        <v>2</v>
      </c>
      <c r="G196" s="0" t="n">
        <v>11.5</v>
      </c>
      <c r="H196" s="0" t="n">
        <v>0.5</v>
      </c>
      <c r="I196" s="10" t="n">
        <v>0.609</v>
      </c>
      <c r="J196" s="0" t="n">
        <v>0.79</v>
      </c>
      <c r="K196" s="13" t="n">
        <f aca="false">IF(H196&lt;&gt;"",H196,IFERROR(G196/INDEX(Players!$M$2:$M$42,MATCH(B196,Players!$A$2:$A$42,0)),""))</f>
        <v>0.5</v>
      </c>
    </row>
    <row r="197" customFormat="false" ht="15" hidden="false" customHeight="false" outlineLevel="0" collapsed="false">
      <c r="A197" s="0" t="s">
        <v>1130</v>
      </c>
      <c r="B197" s="0" t="s">
        <v>805</v>
      </c>
      <c r="C197" s="0" t="s">
        <v>690</v>
      </c>
      <c r="D197" s="0" t="s">
        <v>568</v>
      </c>
      <c r="E197" s="0" t="s">
        <v>147</v>
      </c>
      <c r="F197" s="0" t="n">
        <v>8</v>
      </c>
      <c r="G197" s="0" t="n">
        <v>12.3</v>
      </c>
      <c r="H197" s="0" t="n">
        <v>0.62</v>
      </c>
      <c r="I197" s="10" t="n">
        <v>0.582</v>
      </c>
      <c r="J197" s="0" t="n">
        <v>0.93</v>
      </c>
      <c r="K197" s="13" t="n">
        <f aca="false">IF(H197&lt;&gt;"",H197,IFERROR(G197/INDEX(Players!$M$2:$M$42,MATCH(B197,Players!$A$2:$A$42,0)),""))</f>
        <v>0.62</v>
      </c>
    </row>
    <row r="198" customFormat="false" ht="15" hidden="false" customHeight="false" outlineLevel="0" collapsed="false">
      <c r="A198" s="0" t="s">
        <v>1131</v>
      </c>
      <c r="B198" s="0" t="s">
        <v>805</v>
      </c>
      <c r="C198" s="0" t="s">
        <v>690</v>
      </c>
      <c r="D198" s="0" t="s">
        <v>568</v>
      </c>
      <c r="E198" s="0" t="s">
        <v>174</v>
      </c>
      <c r="F198" s="0" t="n">
        <v>7</v>
      </c>
      <c r="G198" s="0" t="n">
        <v>10.7</v>
      </c>
      <c r="H198" s="0" t="n">
        <v>0.51</v>
      </c>
      <c r="I198" s="10" t="n">
        <v>0.68</v>
      </c>
      <c r="J198" s="0" t="n">
        <v>0.81</v>
      </c>
      <c r="K198" s="13" t="n">
        <f aca="false">IF(H198&lt;&gt;"",H198,IFERROR(G198/INDEX(Players!$M$2:$M$42,MATCH(B198,Players!$A$2:$A$42,0)),""))</f>
        <v>0.51</v>
      </c>
    </row>
    <row r="199" customFormat="false" ht="15" hidden="false" customHeight="false" outlineLevel="0" collapsed="false">
      <c r="A199" s="0" t="s">
        <v>1132</v>
      </c>
      <c r="B199" s="0" t="s">
        <v>805</v>
      </c>
      <c r="C199" s="0" t="s">
        <v>690</v>
      </c>
      <c r="D199" s="0" t="s">
        <v>568</v>
      </c>
      <c r="E199" s="0" t="s">
        <v>184</v>
      </c>
      <c r="F199" s="0" t="n">
        <v>5</v>
      </c>
      <c r="G199" s="0" t="n">
        <v>14.6</v>
      </c>
      <c r="H199" s="0" t="n">
        <v>0.58</v>
      </c>
      <c r="I199" s="10" t="n">
        <v>0.671</v>
      </c>
      <c r="J199" s="0" t="n">
        <v>0.97</v>
      </c>
      <c r="K199" s="13" t="n">
        <f aca="false">IF(H199&lt;&gt;"",H199,IFERROR(G199/INDEX(Players!$M$2:$M$42,MATCH(B199,Players!$A$2:$A$42,0)),""))</f>
        <v>0.58</v>
      </c>
    </row>
    <row r="200" customFormat="false" ht="15" hidden="false" customHeight="false" outlineLevel="0" collapsed="false">
      <c r="A200" s="0" t="s">
        <v>1133</v>
      </c>
      <c r="B200" s="0" t="s">
        <v>805</v>
      </c>
      <c r="C200" s="0" t="s">
        <v>690</v>
      </c>
      <c r="D200" s="0" t="s">
        <v>568</v>
      </c>
      <c r="E200" s="0" t="s">
        <v>195</v>
      </c>
      <c r="F200" s="0" t="n">
        <v>5</v>
      </c>
      <c r="G200" s="0" t="n">
        <v>15</v>
      </c>
      <c r="H200" s="0" t="n">
        <v>0.65</v>
      </c>
      <c r="I200" s="10" t="n">
        <v>0.627</v>
      </c>
      <c r="J200" s="0" t="n">
        <v>0.93</v>
      </c>
      <c r="K200" s="13" t="n">
        <f aca="false">IF(H200&lt;&gt;"",H200,IFERROR(G200/INDEX(Players!$M$2:$M$42,MATCH(B200,Players!$A$2:$A$42,0)),""))</f>
        <v>0.65</v>
      </c>
    </row>
    <row r="201" customFormat="false" ht="15" hidden="false" customHeight="false" outlineLevel="0" collapsed="false">
      <c r="A201" s="0" t="s">
        <v>1134</v>
      </c>
      <c r="B201" s="0" t="s">
        <v>805</v>
      </c>
      <c r="C201" s="0" t="s">
        <v>690</v>
      </c>
      <c r="D201" s="0" t="s">
        <v>568</v>
      </c>
      <c r="E201" s="0" t="s">
        <v>208</v>
      </c>
      <c r="F201" s="0" t="n">
        <v>5</v>
      </c>
      <c r="G201" s="0" t="n">
        <v>10.4</v>
      </c>
      <c r="H201" s="0" t="n">
        <v>0.46</v>
      </c>
      <c r="I201" s="10" t="n">
        <v>0.577</v>
      </c>
      <c r="J201" s="0" t="n">
        <v>0.69</v>
      </c>
      <c r="K201" s="13" t="n">
        <f aca="false">IF(H201&lt;&gt;"",H201,IFERROR(G201/INDEX(Players!$M$2:$M$42,MATCH(B201,Players!$A$2:$A$42,0)),""))</f>
        <v>0.46</v>
      </c>
    </row>
    <row r="202" customFormat="false" ht="15" hidden="false" customHeight="false" outlineLevel="0" collapsed="false">
      <c r="A202" s="0" t="s">
        <v>1135</v>
      </c>
      <c r="B202" s="0" t="s">
        <v>805</v>
      </c>
      <c r="C202" s="0" t="s">
        <v>690</v>
      </c>
      <c r="D202" s="0" t="s">
        <v>568</v>
      </c>
      <c r="E202" s="0" t="s">
        <v>851</v>
      </c>
      <c r="F202" s="0" t="n">
        <v>2</v>
      </c>
      <c r="G202" s="0" t="n">
        <v>8.5</v>
      </c>
      <c r="H202" s="0" t="n">
        <v>0.46</v>
      </c>
      <c r="I202" s="10" t="n">
        <v>0.471</v>
      </c>
      <c r="J202" s="0" t="n">
        <v>0.68</v>
      </c>
      <c r="K202" s="13" t="n">
        <f aca="false">IF(H202&lt;&gt;"",H202,IFERROR(G202/INDEX(Players!$M$2:$M$42,MATCH(B202,Players!$A$2:$A$42,0)),""))</f>
        <v>0.46</v>
      </c>
    </row>
    <row r="203" customFormat="false" ht="15" hidden="false" customHeight="false" outlineLevel="0" collapsed="false">
      <c r="A203" s="0" t="s">
        <v>1136</v>
      </c>
      <c r="B203" s="0" t="s">
        <v>805</v>
      </c>
      <c r="C203" s="0" t="s">
        <v>690</v>
      </c>
      <c r="D203" s="0" t="s">
        <v>568</v>
      </c>
      <c r="E203" s="0" t="s">
        <v>161</v>
      </c>
      <c r="F203" s="0" t="n">
        <v>2</v>
      </c>
      <c r="G203" s="0" t="n">
        <v>8.5</v>
      </c>
      <c r="H203" s="0" t="n">
        <v>0.4</v>
      </c>
      <c r="I203" s="10" t="n">
        <v>0.412</v>
      </c>
      <c r="J203" s="0" t="n">
        <v>0.61</v>
      </c>
      <c r="K203" s="13" t="n">
        <f aca="false">IF(H203&lt;&gt;"",H203,IFERROR(G203/INDEX(Players!$M$2:$M$42,MATCH(B203,Players!$A$2:$A$42,0)),""))</f>
        <v>0.4</v>
      </c>
    </row>
    <row r="204" customFormat="false" ht="15" hidden="false" customHeight="false" outlineLevel="0" collapsed="false">
      <c r="A204" s="0" t="s">
        <v>1137</v>
      </c>
      <c r="B204" s="0" t="s">
        <v>795</v>
      </c>
      <c r="C204" s="0" t="s">
        <v>668</v>
      </c>
      <c r="D204" s="0" t="s">
        <v>568</v>
      </c>
      <c r="E204" s="0" t="s">
        <v>195</v>
      </c>
      <c r="F204" s="0" t="n">
        <v>8</v>
      </c>
      <c r="G204" s="0" t="n">
        <v>16.3</v>
      </c>
      <c r="H204" s="0" t="n">
        <v>0.73</v>
      </c>
      <c r="I204" s="10" t="n">
        <v>0.562</v>
      </c>
      <c r="J204" s="0" t="n">
        <v>1.09</v>
      </c>
      <c r="K204" s="13" t="n">
        <f aca="false">IF(H204&lt;&gt;"",H204,IFERROR(G204/INDEX(Players!$M$2:$M$42,MATCH(B204,Players!$A$2:$A$42,0)),""))</f>
        <v>0.73</v>
      </c>
    </row>
    <row r="205" customFormat="false" ht="15" hidden="false" customHeight="false" outlineLevel="0" collapsed="false">
      <c r="A205" s="0" t="s">
        <v>1138</v>
      </c>
      <c r="B205" s="0" t="s">
        <v>795</v>
      </c>
      <c r="C205" s="0" t="s">
        <v>668</v>
      </c>
      <c r="D205" s="0" t="s">
        <v>568</v>
      </c>
      <c r="E205" s="0" t="s">
        <v>208</v>
      </c>
      <c r="F205" s="0" t="n">
        <v>7</v>
      </c>
      <c r="G205" s="0" t="n">
        <v>15</v>
      </c>
      <c r="H205" s="0" t="n">
        <v>0.7</v>
      </c>
      <c r="I205" s="10" t="n">
        <v>0.619</v>
      </c>
      <c r="J205" s="0" t="n">
        <v>1.21</v>
      </c>
      <c r="K205" s="13" t="n">
        <f aca="false">IF(H205&lt;&gt;"",H205,IFERROR(G205/INDEX(Players!$M$2:$M$42,MATCH(B205,Players!$A$2:$A$42,0)),""))</f>
        <v>0.7</v>
      </c>
    </row>
    <row r="206" customFormat="false" ht="15" hidden="false" customHeight="false" outlineLevel="0" collapsed="false">
      <c r="A206" s="0" t="s">
        <v>1139</v>
      </c>
      <c r="B206" s="0" t="s">
        <v>795</v>
      </c>
      <c r="C206" s="0" t="s">
        <v>668</v>
      </c>
      <c r="D206" s="0" t="s">
        <v>568</v>
      </c>
      <c r="E206" s="0" t="s">
        <v>174</v>
      </c>
      <c r="F206" s="0" t="n">
        <v>6</v>
      </c>
      <c r="G206" s="0" t="n">
        <v>20.8</v>
      </c>
      <c r="H206" s="0" t="n">
        <v>0.9</v>
      </c>
      <c r="I206" s="10" t="n">
        <v>0.544</v>
      </c>
      <c r="J206" s="0" t="n">
        <v>1.44</v>
      </c>
      <c r="K206" s="13" t="n">
        <f aca="false">IF(H206&lt;&gt;"",H206,IFERROR(G206/INDEX(Players!$M$2:$M$42,MATCH(B206,Players!$A$2:$A$42,0)),""))</f>
        <v>0.9</v>
      </c>
    </row>
    <row r="207" customFormat="false" ht="15" hidden="false" customHeight="false" outlineLevel="0" collapsed="false">
      <c r="A207" s="0" t="s">
        <v>1140</v>
      </c>
      <c r="B207" s="0" t="s">
        <v>795</v>
      </c>
      <c r="C207" s="0" t="s">
        <v>668</v>
      </c>
      <c r="D207" s="0" t="s">
        <v>568</v>
      </c>
      <c r="E207" s="0" t="s">
        <v>161</v>
      </c>
      <c r="F207" s="0" t="n">
        <v>6</v>
      </c>
      <c r="G207" s="0" t="n">
        <v>18.2</v>
      </c>
      <c r="H207" s="0" t="n">
        <v>0.75</v>
      </c>
      <c r="I207" s="10" t="n">
        <v>0.514</v>
      </c>
      <c r="J207" s="0" t="n">
        <v>1.08</v>
      </c>
      <c r="K207" s="13" t="n">
        <f aca="false">IF(H207&lt;&gt;"",H207,IFERROR(G207/INDEX(Players!$M$2:$M$42,MATCH(B207,Players!$A$2:$A$42,0)),""))</f>
        <v>0.75</v>
      </c>
    </row>
    <row r="208" customFormat="false" ht="15" hidden="false" customHeight="false" outlineLevel="0" collapsed="false">
      <c r="A208" s="0" t="s">
        <v>1141</v>
      </c>
      <c r="B208" s="0" t="s">
        <v>795</v>
      </c>
      <c r="C208" s="0" t="s">
        <v>668</v>
      </c>
      <c r="D208" s="0" t="s">
        <v>568</v>
      </c>
      <c r="E208" s="0" t="s">
        <v>184</v>
      </c>
      <c r="F208" s="0" t="n">
        <v>6</v>
      </c>
      <c r="G208" s="0" t="n">
        <v>18.3</v>
      </c>
      <c r="H208" s="0" t="n">
        <v>0.71</v>
      </c>
      <c r="I208" s="10" t="n">
        <v>0.545</v>
      </c>
      <c r="J208" s="0" t="n">
        <v>1.02</v>
      </c>
      <c r="K208" s="13" t="n">
        <f aca="false">IF(H208&lt;&gt;"",H208,IFERROR(G208/INDEX(Players!$M$2:$M$42,MATCH(B208,Players!$A$2:$A$42,0)),""))</f>
        <v>0.71</v>
      </c>
    </row>
    <row r="209" customFormat="false" ht="15" hidden="false" customHeight="false" outlineLevel="0" collapsed="false">
      <c r="A209" s="0" t="s">
        <v>1142</v>
      </c>
      <c r="B209" s="0" t="s">
        <v>795</v>
      </c>
      <c r="C209" s="0" t="s">
        <v>668</v>
      </c>
      <c r="D209" s="0" t="s">
        <v>568</v>
      </c>
      <c r="E209" s="0" t="s">
        <v>338</v>
      </c>
      <c r="F209" s="0" t="n">
        <v>4</v>
      </c>
      <c r="G209" s="0" t="n">
        <v>16.3</v>
      </c>
      <c r="H209" s="0" t="n">
        <v>0.71</v>
      </c>
      <c r="I209" s="10" t="n">
        <v>0.569</v>
      </c>
      <c r="J209" s="0" t="n">
        <v>1.07</v>
      </c>
      <c r="K209" s="13" t="n">
        <f aca="false">IF(H209&lt;&gt;"",H209,IFERROR(G209/INDEX(Players!$M$2:$M$42,MATCH(B209,Players!$A$2:$A$42,0)),""))</f>
        <v>0.71</v>
      </c>
    </row>
    <row r="210" customFormat="false" ht="15" hidden="false" customHeight="false" outlineLevel="0" collapsed="false">
      <c r="A210" s="0" t="s">
        <v>1143</v>
      </c>
      <c r="B210" s="0" t="s">
        <v>820</v>
      </c>
      <c r="C210" s="0" t="s">
        <v>720</v>
      </c>
      <c r="D210" s="0" t="s">
        <v>598</v>
      </c>
      <c r="E210" s="0" t="s">
        <v>81</v>
      </c>
      <c r="F210" s="0" t="n">
        <v>2</v>
      </c>
      <c r="G210" s="0" t="n">
        <v>19.5</v>
      </c>
      <c r="I210" s="10"/>
      <c r="J210" s="0" t="n">
        <v>1.05</v>
      </c>
      <c r="K210" s="13" t="n">
        <f aca="false">IF(H210&lt;&gt;"",H210,IFERROR(G210/INDEX(Players!$M$2:$M$42,MATCH(B210,Players!$A$2:$A$42,0)),""))</f>
        <v>0.791470588235294</v>
      </c>
    </row>
    <row r="211" customFormat="false" ht="15" hidden="false" customHeight="false" outlineLevel="0" collapsed="false">
      <c r="A211" s="0" t="s">
        <v>1144</v>
      </c>
      <c r="B211" s="0" t="s">
        <v>820</v>
      </c>
      <c r="C211" s="0" t="s">
        <v>720</v>
      </c>
      <c r="D211" s="0" t="s">
        <v>598</v>
      </c>
      <c r="E211" s="0" t="s">
        <v>75</v>
      </c>
      <c r="F211" s="0" t="n">
        <v>1</v>
      </c>
      <c r="G211" s="0" t="n">
        <v>18</v>
      </c>
      <c r="I211" s="10"/>
      <c r="J211" s="0" t="n">
        <v>0.75</v>
      </c>
      <c r="K211" s="13" t="n">
        <f aca="false">IF(H211&lt;&gt;"",H211,IFERROR(G211/INDEX(Players!$M$2:$M$42,MATCH(B211,Players!$A$2:$A$42,0)),""))</f>
        <v>0.730588235294118</v>
      </c>
    </row>
    <row r="212" customFormat="false" ht="15" hidden="false" customHeight="false" outlineLevel="0" collapsed="false">
      <c r="A212" s="0" t="s">
        <v>1145</v>
      </c>
      <c r="B212" s="0" t="s">
        <v>820</v>
      </c>
      <c r="C212" s="0" t="s">
        <v>720</v>
      </c>
      <c r="D212" s="0" t="s">
        <v>598</v>
      </c>
      <c r="E212" s="0" t="s">
        <v>86</v>
      </c>
      <c r="F212" s="0" t="n">
        <v>1</v>
      </c>
      <c r="G212" s="0" t="n">
        <v>11</v>
      </c>
      <c r="I212" s="10"/>
      <c r="J212" s="0" t="n">
        <v>0.69</v>
      </c>
      <c r="K212" s="13" t="n">
        <f aca="false">IF(H212&lt;&gt;"",H212,IFERROR(G212/INDEX(Players!$M$2:$M$42,MATCH(B212,Players!$A$2:$A$42,0)),""))</f>
        <v>0.446470588235294</v>
      </c>
    </row>
    <row r="213" customFormat="false" ht="15" hidden="false" customHeight="false" outlineLevel="0" collapsed="false">
      <c r="A213" s="0" t="s">
        <v>1146</v>
      </c>
      <c r="B213" s="0" t="s">
        <v>824</v>
      </c>
      <c r="C213" s="0" t="s">
        <v>728</v>
      </c>
      <c r="D213" s="0" t="s">
        <v>598</v>
      </c>
      <c r="E213" s="0" t="s">
        <v>91</v>
      </c>
      <c r="F213" s="0" t="n">
        <v>8</v>
      </c>
      <c r="G213" s="0" t="n">
        <v>14.3</v>
      </c>
      <c r="I213" s="10"/>
      <c r="J213" s="0" t="n">
        <v>1.11</v>
      </c>
      <c r="K213" s="13" t="n">
        <f aca="false">IF(H213&lt;&gt;"",H213,IFERROR(G213/INDEX(Players!$M$2:$M$42,MATCH(B213,Players!$A$2:$A$42,0)),""))</f>
        <v>0.646564885496183</v>
      </c>
    </row>
    <row r="214" customFormat="false" ht="15" hidden="false" customHeight="false" outlineLevel="0" collapsed="false">
      <c r="A214" s="0" t="s">
        <v>1147</v>
      </c>
      <c r="B214" s="0" t="s">
        <v>824</v>
      </c>
      <c r="C214" s="0" t="s">
        <v>728</v>
      </c>
      <c r="D214" s="0" t="s">
        <v>598</v>
      </c>
      <c r="E214" s="0" t="s">
        <v>849</v>
      </c>
      <c r="F214" s="0" t="n">
        <v>7</v>
      </c>
      <c r="G214" s="0" t="n">
        <v>19.1</v>
      </c>
      <c r="I214" s="10"/>
      <c r="J214" s="0" t="n">
        <v>1.31</v>
      </c>
      <c r="K214" s="13" t="n">
        <f aca="false">IF(H214&lt;&gt;"",H214,IFERROR(G214/INDEX(Players!$M$2:$M$42,MATCH(B214,Players!$A$2:$A$42,0)),""))</f>
        <v>0.863593658250147</v>
      </c>
    </row>
    <row r="215" customFormat="false" ht="15" hidden="false" customHeight="false" outlineLevel="0" collapsed="false">
      <c r="A215" s="0" t="s">
        <v>1148</v>
      </c>
      <c r="B215" s="0" t="s">
        <v>824</v>
      </c>
      <c r="C215" s="0" t="s">
        <v>728</v>
      </c>
      <c r="D215" s="0" t="s">
        <v>598</v>
      </c>
      <c r="E215" s="0" t="s">
        <v>81</v>
      </c>
      <c r="F215" s="0" t="n">
        <v>7</v>
      </c>
      <c r="G215" s="0" t="n">
        <v>18.4</v>
      </c>
      <c r="I215" s="10"/>
      <c r="J215" s="0" t="n">
        <v>1.12</v>
      </c>
      <c r="K215" s="13" t="n">
        <f aca="false">IF(H215&lt;&gt;"",H215,IFERROR(G215/INDEX(Players!$M$2:$M$42,MATCH(B215,Players!$A$2:$A$42,0)),""))</f>
        <v>0.831943628890194</v>
      </c>
    </row>
    <row r="216" customFormat="false" ht="15" hidden="false" customHeight="false" outlineLevel="0" collapsed="false">
      <c r="A216" s="0" t="s">
        <v>1149</v>
      </c>
      <c r="B216" s="0" t="s">
        <v>824</v>
      </c>
      <c r="C216" s="0" t="s">
        <v>728</v>
      </c>
      <c r="D216" s="0" t="s">
        <v>598</v>
      </c>
      <c r="E216" s="0" t="s">
        <v>610</v>
      </c>
      <c r="F216" s="0" t="n">
        <v>4</v>
      </c>
      <c r="G216" s="0" t="n">
        <v>18.3</v>
      </c>
      <c r="I216" s="10"/>
      <c r="J216" s="0" t="n">
        <v>1.11</v>
      </c>
      <c r="K216" s="13" t="n">
        <f aca="false">IF(H216&lt;&gt;"",H216,IFERROR(G216/INDEX(Players!$M$2:$M$42,MATCH(B216,Players!$A$2:$A$42,0)),""))</f>
        <v>0.827422196124486</v>
      </c>
    </row>
    <row r="217" customFormat="false" ht="15" hidden="false" customHeight="false" outlineLevel="0" collapsed="false">
      <c r="A217" s="0" t="s">
        <v>1150</v>
      </c>
      <c r="B217" s="0" t="s">
        <v>824</v>
      </c>
      <c r="C217" s="0" t="s">
        <v>728</v>
      </c>
      <c r="D217" s="0" t="s">
        <v>598</v>
      </c>
      <c r="E217" s="0" t="s">
        <v>99</v>
      </c>
      <c r="F217" s="0" t="n">
        <v>4</v>
      </c>
      <c r="G217" s="0" t="n">
        <v>16.8</v>
      </c>
      <c r="I217" s="10"/>
      <c r="J217" s="0" t="n">
        <v>1.05</v>
      </c>
      <c r="K217" s="13" t="n">
        <f aca="false">IF(H217&lt;&gt;"",H217,IFERROR(G217/INDEX(Players!$M$2:$M$42,MATCH(B217,Players!$A$2:$A$42,0)),""))</f>
        <v>0.759600704638873</v>
      </c>
    </row>
    <row r="218" customFormat="false" ht="15" hidden="false" customHeight="false" outlineLevel="0" collapsed="false">
      <c r="A218" s="0" t="s">
        <v>1151</v>
      </c>
      <c r="B218" s="0" t="s">
        <v>824</v>
      </c>
      <c r="C218" s="0" t="s">
        <v>728</v>
      </c>
      <c r="D218" s="0" t="s">
        <v>598</v>
      </c>
      <c r="E218" s="0" t="s">
        <v>68</v>
      </c>
      <c r="F218" s="0" t="n">
        <v>4</v>
      </c>
      <c r="G218" s="0" t="n">
        <v>17.8</v>
      </c>
      <c r="I218" s="10"/>
      <c r="J218" s="0" t="n">
        <v>1.03</v>
      </c>
      <c r="K218" s="13" t="n">
        <f aca="false">IF(H218&lt;&gt;"",H218,IFERROR(G218/INDEX(Players!$M$2:$M$42,MATCH(B218,Players!$A$2:$A$42,0)),""))</f>
        <v>0.804815032295948</v>
      </c>
    </row>
    <row r="219" customFormat="false" ht="15" hidden="false" customHeight="false" outlineLevel="0" collapsed="false">
      <c r="A219" s="0" t="s">
        <v>1152</v>
      </c>
      <c r="B219" s="0" t="s">
        <v>824</v>
      </c>
      <c r="C219" s="0" t="s">
        <v>728</v>
      </c>
      <c r="D219" s="0" t="s">
        <v>598</v>
      </c>
      <c r="E219" s="0" t="s">
        <v>854</v>
      </c>
      <c r="F219" s="0" t="n">
        <v>1</v>
      </c>
      <c r="G219" s="0" t="n">
        <v>21</v>
      </c>
      <c r="I219" s="10"/>
      <c r="J219" s="0" t="n">
        <v>1.4</v>
      </c>
      <c r="K219" s="13" t="n">
        <f aca="false">IF(H219&lt;&gt;"",H219,IFERROR(G219/INDEX(Players!$M$2:$M$42,MATCH(B219,Players!$A$2:$A$42,0)),""))</f>
        <v>0.949500880798591</v>
      </c>
    </row>
    <row r="220" customFormat="false" ht="15" hidden="false" customHeight="false" outlineLevel="0" collapsed="false">
      <c r="A220" s="0" t="s">
        <v>1153</v>
      </c>
      <c r="B220" s="0" t="s">
        <v>824</v>
      </c>
      <c r="C220" s="0" t="s">
        <v>728</v>
      </c>
      <c r="D220" s="0" t="s">
        <v>598</v>
      </c>
      <c r="E220" s="0" t="s">
        <v>86</v>
      </c>
      <c r="F220" s="0" t="n">
        <v>1</v>
      </c>
      <c r="G220" s="0" t="n">
        <v>10</v>
      </c>
      <c r="I220" s="10"/>
      <c r="J220" s="0" t="n">
        <v>1.25</v>
      </c>
      <c r="K220" s="13" t="n">
        <f aca="false">IF(H220&lt;&gt;"",H220,IFERROR(G220/INDEX(Players!$M$2:$M$42,MATCH(B220,Players!$A$2:$A$42,0)),""))</f>
        <v>0.452143276570758</v>
      </c>
    </row>
    <row r="221" customFormat="false" ht="15" hidden="false" customHeight="false" outlineLevel="0" collapsed="false">
      <c r="A221" s="0" t="s">
        <v>1154</v>
      </c>
      <c r="B221" s="0" t="s">
        <v>824</v>
      </c>
      <c r="C221" s="0" t="s">
        <v>728</v>
      </c>
      <c r="D221" s="0" t="s">
        <v>598</v>
      </c>
      <c r="E221" s="0" t="s">
        <v>75</v>
      </c>
      <c r="F221" s="0" t="n">
        <v>1</v>
      </c>
      <c r="G221" s="0" t="n">
        <v>11</v>
      </c>
      <c r="I221" s="10"/>
      <c r="J221" s="0" t="n">
        <v>0.69</v>
      </c>
      <c r="K221" s="13" t="n">
        <f aca="false">IF(H221&lt;&gt;"",H221,IFERROR(G221/INDEX(Players!$M$2:$M$42,MATCH(B221,Players!$A$2:$A$42,0)),""))</f>
        <v>0.497357604227833</v>
      </c>
    </row>
    <row r="222" customFormat="false" ht="15" hidden="false" customHeight="false" outlineLevel="0" collapsed="false">
      <c r="A222" s="0" t="s">
        <v>1155</v>
      </c>
      <c r="B222" s="0" t="s">
        <v>825</v>
      </c>
      <c r="C222" s="0" t="s">
        <v>730</v>
      </c>
      <c r="D222" s="0" t="s">
        <v>598</v>
      </c>
      <c r="E222" s="0" t="s">
        <v>610</v>
      </c>
      <c r="F222" s="0" t="n">
        <v>7</v>
      </c>
      <c r="G222" s="0" t="n">
        <v>12.1</v>
      </c>
      <c r="I222" s="10"/>
      <c r="J222" s="0" t="n">
        <v>0.86</v>
      </c>
      <c r="K222" s="13" t="n">
        <f aca="false">IF(H222&lt;&gt;"",H222,IFERROR(G222/INDEX(Players!$M$2:$M$42,MATCH(B222,Players!$A$2:$A$42,0)),""))</f>
        <v>0.562323651452282</v>
      </c>
    </row>
    <row r="223" customFormat="false" ht="15" hidden="false" customHeight="false" outlineLevel="0" collapsed="false">
      <c r="A223" s="0" t="s">
        <v>1156</v>
      </c>
      <c r="B223" s="0" t="s">
        <v>825</v>
      </c>
      <c r="C223" s="0" t="s">
        <v>730</v>
      </c>
      <c r="D223" s="0" t="s">
        <v>598</v>
      </c>
      <c r="E223" s="0" t="s">
        <v>81</v>
      </c>
      <c r="F223" s="0" t="n">
        <v>6</v>
      </c>
      <c r="G223" s="0" t="n">
        <v>10.3</v>
      </c>
      <c r="I223" s="10"/>
      <c r="J223" s="0" t="n">
        <v>0.81</v>
      </c>
      <c r="K223" s="13" t="n">
        <f aca="false">IF(H223&lt;&gt;"",H223,IFERROR(G223/INDEX(Players!$M$2:$M$42,MATCH(B223,Players!$A$2:$A$42,0)),""))</f>
        <v>0.478672199170125</v>
      </c>
    </row>
    <row r="224" customFormat="false" ht="15" hidden="false" customHeight="false" outlineLevel="0" collapsed="false">
      <c r="A224" s="0" t="s">
        <v>1157</v>
      </c>
      <c r="B224" s="0" t="s">
        <v>825</v>
      </c>
      <c r="C224" s="0" t="s">
        <v>730</v>
      </c>
      <c r="D224" s="0" t="s">
        <v>598</v>
      </c>
      <c r="E224" s="0" t="s">
        <v>75</v>
      </c>
      <c r="F224" s="0" t="n">
        <v>5</v>
      </c>
      <c r="G224" s="0" t="n">
        <v>10.2</v>
      </c>
      <c r="I224" s="10"/>
      <c r="J224" s="0" t="n">
        <v>0.85</v>
      </c>
      <c r="K224" s="13" t="n">
        <f aca="false">IF(H224&lt;&gt;"",H224,IFERROR(G224/INDEX(Players!$M$2:$M$42,MATCH(B224,Players!$A$2:$A$42,0)),""))</f>
        <v>0.47402489626556</v>
      </c>
    </row>
    <row r="225" customFormat="false" ht="15" hidden="false" customHeight="false" outlineLevel="0" collapsed="false">
      <c r="A225" s="0" t="s">
        <v>1158</v>
      </c>
      <c r="B225" s="0" t="s">
        <v>825</v>
      </c>
      <c r="C225" s="0" t="s">
        <v>730</v>
      </c>
      <c r="D225" s="0" t="s">
        <v>598</v>
      </c>
      <c r="E225" s="0" t="s">
        <v>68</v>
      </c>
      <c r="F225" s="0" t="n">
        <v>5</v>
      </c>
      <c r="G225" s="0" t="n">
        <v>9</v>
      </c>
      <c r="I225" s="10"/>
      <c r="J225" s="0" t="n">
        <v>0.58</v>
      </c>
      <c r="K225" s="13" t="n">
        <f aca="false">IF(H225&lt;&gt;"",H225,IFERROR(G225/INDEX(Players!$M$2:$M$42,MATCH(B225,Players!$A$2:$A$42,0)),""))</f>
        <v>0.418257261410788</v>
      </c>
    </row>
    <row r="226" customFormat="false" ht="15" hidden="false" customHeight="false" outlineLevel="0" collapsed="false">
      <c r="A226" s="0" t="s">
        <v>1159</v>
      </c>
      <c r="B226" s="0" t="s">
        <v>825</v>
      </c>
      <c r="C226" s="0" t="s">
        <v>730</v>
      </c>
      <c r="D226" s="0" t="s">
        <v>598</v>
      </c>
      <c r="E226" s="0" t="s">
        <v>854</v>
      </c>
      <c r="F226" s="0" t="n">
        <v>4</v>
      </c>
      <c r="G226" s="0" t="n">
        <v>15.3</v>
      </c>
      <c r="I226" s="10"/>
      <c r="J226" s="0" t="n">
        <v>0.92</v>
      </c>
      <c r="K226" s="13" t="n">
        <f aca="false">IF(H226&lt;&gt;"",H226,IFERROR(G226/INDEX(Players!$M$2:$M$42,MATCH(B226,Players!$A$2:$A$42,0)),""))</f>
        <v>0.71103734439834</v>
      </c>
    </row>
    <row r="227" customFormat="false" ht="15" hidden="false" customHeight="false" outlineLevel="0" collapsed="false">
      <c r="A227" s="0" t="s">
        <v>1160</v>
      </c>
      <c r="B227" s="0" t="s">
        <v>825</v>
      </c>
      <c r="C227" s="0" t="s">
        <v>730</v>
      </c>
      <c r="D227" s="0" t="s">
        <v>598</v>
      </c>
      <c r="E227" s="0" t="s">
        <v>99</v>
      </c>
      <c r="F227" s="0" t="n">
        <v>4</v>
      </c>
      <c r="G227" s="0" t="n">
        <v>13.5</v>
      </c>
      <c r="I227" s="10"/>
      <c r="J227" s="0" t="n">
        <v>0.81</v>
      </c>
      <c r="K227" s="13" t="n">
        <f aca="false">IF(H227&lt;&gt;"",H227,IFERROR(G227/INDEX(Players!$M$2:$M$42,MATCH(B227,Players!$A$2:$A$42,0)),""))</f>
        <v>0.627385892116183</v>
      </c>
    </row>
    <row r="228" customFormat="false" ht="15" hidden="false" customHeight="false" outlineLevel="0" collapsed="false">
      <c r="A228" s="0" t="s">
        <v>1161</v>
      </c>
      <c r="B228" s="0" t="s">
        <v>825</v>
      </c>
      <c r="C228" s="0" t="s">
        <v>730</v>
      </c>
      <c r="D228" s="0" t="s">
        <v>598</v>
      </c>
      <c r="E228" s="0" t="s">
        <v>91</v>
      </c>
      <c r="F228" s="0" t="n">
        <v>3</v>
      </c>
      <c r="G228" s="0" t="n">
        <v>13.7</v>
      </c>
      <c r="I228" s="10"/>
      <c r="J228" s="0" t="n">
        <v>0.98</v>
      </c>
      <c r="K228" s="13" t="n">
        <f aca="false">IF(H228&lt;&gt;"",H228,IFERROR(G228/INDEX(Players!$M$2:$M$42,MATCH(B228,Players!$A$2:$A$42,0)),""))</f>
        <v>0.636680497925311</v>
      </c>
    </row>
    <row r="229" customFormat="false" ht="15" hidden="false" customHeight="false" outlineLevel="0" collapsed="false">
      <c r="A229" s="0" t="s">
        <v>1162</v>
      </c>
      <c r="B229" s="0" t="s">
        <v>825</v>
      </c>
      <c r="C229" s="0" t="s">
        <v>730</v>
      </c>
      <c r="D229" s="0" t="s">
        <v>598</v>
      </c>
      <c r="E229" s="0" t="s">
        <v>849</v>
      </c>
      <c r="F229" s="0" t="n">
        <v>3</v>
      </c>
      <c r="G229" s="0" t="n">
        <v>12.3</v>
      </c>
      <c r="I229" s="10"/>
      <c r="J229" s="0" t="n">
        <v>0.77</v>
      </c>
      <c r="K229" s="13" t="n">
        <f aca="false">IF(H229&lt;&gt;"",H229,IFERROR(G229/INDEX(Players!$M$2:$M$42,MATCH(B229,Players!$A$2:$A$42,0)),""))</f>
        <v>0.571618257261411</v>
      </c>
    </row>
    <row r="230" customFormat="false" ht="15" hidden="false" customHeight="false" outlineLevel="0" collapsed="false">
      <c r="A230" s="0" t="s">
        <v>1163</v>
      </c>
      <c r="B230" s="0" t="s">
        <v>825</v>
      </c>
      <c r="C230" s="0" t="s">
        <v>730</v>
      </c>
      <c r="D230" s="0" t="s">
        <v>598</v>
      </c>
      <c r="E230" s="0" t="s">
        <v>86</v>
      </c>
      <c r="F230" s="0" t="n">
        <v>2</v>
      </c>
      <c r="G230" s="0" t="n">
        <v>15</v>
      </c>
      <c r="I230" s="10"/>
      <c r="J230" s="0" t="n">
        <v>1</v>
      </c>
      <c r="K230" s="13" t="n">
        <f aca="false">IF(H230&lt;&gt;"",H230,IFERROR(G230/INDEX(Players!$M$2:$M$42,MATCH(B230,Players!$A$2:$A$42,0)),""))</f>
        <v>0.697095435684647</v>
      </c>
    </row>
    <row r="231" customFormat="false" ht="15" hidden="false" customHeight="false" outlineLevel="0" collapsed="false">
      <c r="A231" s="0" t="s">
        <v>1164</v>
      </c>
      <c r="B231" s="0" t="s">
        <v>825</v>
      </c>
      <c r="C231" s="0" t="s">
        <v>730</v>
      </c>
      <c r="D231" s="0" t="s">
        <v>598</v>
      </c>
      <c r="E231" s="0" t="s">
        <v>844</v>
      </c>
      <c r="F231" s="0" t="n">
        <v>2</v>
      </c>
      <c r="G231" s="0" t="n">
        <v>14</v>
      </c>
      <c r="I231" s="10"/>
      <c r="J231" s="0" t="n">
        <v>0.97</v>
      </c>
      <c r="K231" s="13" t="n">
        <f aca="false">IF(H231&lt;&gt;"",H231,IFERROR(G231/INDEX(Players!$M$2:$M$42,MATCH(B231,Players!$A$2:$A$42,0)),""))</f>
        <v>0.650622406639004</v>
      </c>
    </row>
    <row r="232" customFormat="false" ht="15" hidden="false" customHeight="false" outlineLevel="0" collapsed="false">
      <c r="A232" s="0" t="s">
        <v>1165</v>
      </c>
      <c r="B232" s="0" t="s">
        <v>821</v>
      </c>
      <c r="C232" s="0" t="s">
        <v>722</v>
      </c>
      <c r="D232" s="0" t="s">
        <v>598</v>
      </c>
      <c r="E232" s="0" t="s">
        <v>75</v>
      </c>
      <c r="F232" s="0" t="n">
        <v>7</v>
      </c>
      <c r="G232" s="0" t="n">
        <v>21.3</v>
      </c>
      <c r="I232" s="10"/>
      <c r="J232" s="0" t="n">
        <v>1.16</v>
      </c>
      <c r="K232" s="13" t="n">
        <f aca="false">IF(H232&lt;&gt;"",H232,IFERROR(G232/INDEX(Players!$M$2:$M$42,MATCH(B232,Players!$A$2:$A$42,0)),""))</f>
        <v>0.977704918032787</v>
      </c>
    </row>
    <row r="233" customFormat="false" ht="15" hidden="false" customHeight="false" outlineLevel="0" collapsed="false">
      <c r="A233" s="0" t="s">
        <v>1166</v>
      </c>
      <c r="B233" s="0" t="s">
        <v>821</v>
      </c>
      <c r="C233" s="0" t="s">
        <v>722</v>
      </c>
      <c r="D233" s="0" t="s">
        <v>598</v>
      </c>
      <c r="E233" s="0" t="s">
        <v>68</v>
      </c>
      <c r="F233" s="0" t="n">
        <v>7</v>
      </c>
      <c r="G233" s="0" t="n">
        <v>17.3</v>
      </c>
      <c r="I233" s="10"/>
      <c r="J233" s="0" t="n">
        <v>1.13</v>
      </c>
      <c r="K233" s="13" t="n">
        <f aca="false">IF(H233&lt;&gt;"",H233,IFERROR(G233/INDEX(Players!$M$2:$M$42,MATCH(B233,Players!$A$2:$A$42,0)),""))</f>
        <v>0.794098360655738</v>
      </c>
    </row>
    <row r="234" customFormat="false" ht="15" hidden="false" customHeight="false" outlineLevel="0" collapsed="false">
      <c r="A234" s="0" t="s">
        <v>1167</v>
      </c>
      <c r="B234" s="0" t="s">
        <v>821</v>
      </c>
      <c r="C234" s="0" t="s">
        <v>722</v>
      </c>
      <c r="D234" s="0" t="s">
        <v>598</v>
      </c>
      <c r="E234" s="0" t="s">
        <v>99</v>
      </c>
      <c r="F234" s="0" t="n">
        <v>5</v>
      </c>
      <c r="G234" s="0" t="n">
        <v>20.4</v>
      </c>
      <c r="I234" s="10"/>
      <c r="J234" s="0" t="n">
        <v>1.29</v>
      </c>
      <c r="K234" s="13" t="n">
        <f aca="false">IF(H234&lt;&gt;"",H234,IFERROR(G234/INDEX(Players!$M$2:$M$42,MATCH(B234,Players!$A$2:$A$42,0)),""))</f>
        <v>0.936393442622951</v>
      </c>
    </row>
    <row r="235" customFormat="false" ht="15" hidden="false" customHeight="false" outlineLevel="0" collapsed="false">
      <c r="A235" s="0" t="s">
        <v>1168</v>
      </c>
      <c r="B235" s="0" t="s">
        <v>821</v>
      </c>
      <c r="C235" s="0" t="s">
        <v>722</v>
      </c>
      <c r="D235" s="0" t="s">
        <v>598</v>
      </c>
      <c r="E235" s="0" t="s">
        <v>854</v>
      </c>
      <c r="F235" s="0" t="n">
        <v>3</v>
      </c>
      <c r="G235" s="0" t="n">
        <v>15</v>
      </c>
      <c r="I235" s="10"/>
      <c r="J235" s="0" t="n">
        <v>0.92</v>
      </c>
      <c r="K235" s="13" t="n">
        <f aca="false">IF(H235&lt;&gt;"",H235,IFERROR(G235/INDEX(Players!$M$2:$M$42,MATCH(B235,Players!$A$2:$A$42,0)),""))</f>
        <v>0.688524590163934</v>
      </c>
    </row>
    <row r="236" customFormat="false" ht="15" hidden="false" customHeight="false" outlineLevel="0" collapsed="false">
      <c r="A236" s="0" t="s">
        <v>1169</v>
      </c>
      <c r="B236" s="0" t="s">
        <v>821</v>
      </c>
      <c r="C236" s="0" t="s">
        <v>722</v>
      </c>
      <c r="D236" s="0" t="s">
        <v>598</v>
      </c>
      <c r="E236" s="0" t="s">
        <v>610</v>
      </c>
      <c r="F236" s="0" t="n">
        <v>2</v>
      </c>
      <c r="G236" s="0" t="n">
        <v>25</v>
      </c>
      <c r="I236" s="10"/>
      <c r="J236" s="0" t="n">
        <v>2.17</v>
      </c>
      <c r="K236" s="13" t="n">
        <f aca="false">IF(H236&lt;&gt;"",H236,IFERROR(G236/INDEX(Players!$M$2:$M$42,MATCH(B236,Players!$A$2:$A$42,0)),""))</f>
        <v>1.14754098360656</v>
      </c>
    </row>
    <row r="237" customFormat="false" ht="15" hidden="false" customHeight="false" outlineLevel="0" collapsed="false">
      <c r="A237" s="0" t="s">
        <v>1170</v>
      </c>
      <c r="B237" s="0" t="s">
        <v>821</v>
      </c>
      <c r="C237" s="0" t="s">
        <v>722</v>
      </c>
      <c r="D237" s="0" t="s">
        <v>598</v>
      </c>
      <c r="E237" s="0" t="s">
        <v>91</v>
      </c>
      <c r="F237" s="0" t="n">
        <v>2</v>
      </c>
      <c r="G237" s="0" t="n">
        <v>15.5</v>
      </c>
      <c r="I237" s="10"/>
      <c r="J237" s="0" t="n">
        <v>1.29</v>
      </c>
      <c r="K237" s="13" t="n">
        <f aca="false">IF(H237&lt;&gt;"",H237,IFERROR(G237/INDEX(Players!$M$2:$M$42,MATCH(B237,Players!$A$2:$A$42,0)),""))</f>
        <v>0.711475409836066</v>
      </c>
    </row>
    <row r="238" customFormat="false" ht="15" hidden="false" customHeight="false" outlineLevel="0" collapsed="false">
      <c r="A238" s="0" t="s">
        <v>1171</v>
      </c>
      <c r="B238" s="0" t="s">
        <v>821</v>
      </c>
      <c r="C238" s="0" t="s">
        <v>722</v>
      </c>
      <c r="D238" s="0" t="s">
        <v>598</v>
      </c>
      <c r="E238" s="0" t="s">
        <v>841</v>
      </c>
      <c r="F238" s="0" t="n">
        <v>2</v>
      </c>
      <c r="G238" s="0" t="n">
        <v>10.5</v>
      </c>
      <c r="I238" s="10"/>
      <c r="J238" s="0" t="n">
        <v>0.81</v>
      </c>
      <c r="K238" s="13" t="n">
        <f aca="false">IF(H238&lt;&gt;"",H238,IFERROR(G238/INDEX(Players!$M$2:$M$42,MATCH(B238,Players!$A$2:$A$42,0)),""))</f>
        <v>0.481967213114754</v>
      </c>
    </row>
    <row r="239" customFormat="false" ht="15" hidden="false" customHeight="false" outlineLevel="0" collapsed="false">
      <c r="A239" s="0" t="s">
        <v>1172</v>
      </c>
      <c r="B239" s="0" t="s">
        <v>821</v>
      </c>
      <c r="C239" s="0" t="s">
        <v>722</v>
      </c>
      <c r="D239" s="0" t="s">
        <v>598</v>
      </c>
      <c r="E239" s="0" t="s">
        <v>86</v>
      </c>
      <c r="F239" s="0" t="n">
        <v>1</v>
      </c>
      <c r="G239" s="0" t="n">
        <v>17</v>
      </c>
      <c r="I239" s="10"/>
      <c r="J239" s="0" t="n">
        <v>1</v>
      </c>
      <c r="K239" s="13" t="n">
        <f aca="false">IF(H239&lt;&gt;"",H239,IFERROR(G239/INDEX(Players!$M$2:$M$42,MATCH(B239,Players!$A$2:$A$42,0)),""))</f>
        <v>0.780327868852459</v>
      </c>
    </row>
    <row r="240" customFormat="false" ht="15" hidden="false" customHeight="false" outlineLevel="0" collapsed="false">
      <c r="A240" s="0" t="s">
        <v>1173</v>
      </c>
      <c r="B240" s="0" t="s">
        <v>821</v>
      </c>
      <c r="C240" s="0" t="s">
        <v>722</v>
      </c>
      <c r="D240" s="0" t="s">
        <v>598</v>
      </c>
      <c r="E240" s="0" t="s">
        <v>849</v>
      </c>
      <c r="F240" s="0" t="n">
        <v>1</v>
      </c>
      <c r="G240" s="0" t="n">
        <v>13</v>
      </c>
      <c r="I240" s="10"/>
      <c r="J240" s="0" t="n">
        <v>0.87</v>
      </c>
      <c r="K240" s="13" t="n">
        <f aca="false">IF(H240&lt;&gt;"",H240,IFERROR(G240/INDEX(Players!$M$2:$M$42,MATCH(B240,Players!$A$2:$A$42,0)),""))</f>
        <v>0.59672131147541</v>
      </c>
    </row>
    <row r="241" customFormat="false" ht="15" hidden="false" customHeight="false" outlineLevel="0" collapsed="false">
      <c r="A241" s="0" t="s">
        <v>1174</v>
      </c>
      <c r="B241" s="0" t="s">
        <v>822</v>
      </c>
      <c r="C241" s="0" t="s">
        <v>724</v>
      </c>
      <c r="D241" s="0" t="s">
        <v>598</v>
      </c>
      <c r="E241" s="0" t="s">
        <v>81</v>
      </c>
      <c r="F241" s="0" t="n">
        <v>4</v>
      </c>
      <c r="G241" s="0" t="n">
        <v>20.8</v>
      </c>
      <c r="I241" s="10"/>
      <c r="J241" s="0" t="n">
        <v>1.34</v>
      </c>
      <c r="K241" s="13" t="n">
        <f aca="false">IF(H241&lt;&gt;"",H241,IFERROR(G241/INDEX(Players!$M$2:$M$42,MATCH(B241,Players!$A$2:$A$42,0)),""))</f>
        <v>0.958785249457701</v>
      </c>
    </row>
    <row r="242" customFormat="false" ht="15" hidden="false" customHeight="false" outlineLevel="0" collapsed="false">
      <c r="A242" s="0" t="s">
        <v>1175</v>
      </c>
      <c r="B242" s="0" t="s">
        <v>822</v>
      </c>
      <c r="C242" s="0" t="s">
        <v>724</v>
      </c>
      <c r="D242" s="0" t="s">
        <v>598</v>
      </c>
      <c r="E242" s="0" t="s">
        <v>68</v>
      </c>
      <c r="F242" s="0" t="n">
        <v>4</v>
      </c>
      <c r="G242" s="0" t="n">
        <v>18.8</v>
      </c>
      <c r="I242" s="10"/>
      <c r="J242" s="0" t="n">
        <v>1.21</v>
      </c>
      <c r="K242" s="13" t="n">
        <f aca="false">IF(H242&lt;&gt;"",H242,IFERROR(G242/INDEX(Players!$M$2:$M$42,MATCH(B242,Players!$A$2:$A$42,0)),""))</f>
        <v>0.866594360086768</v>
      </c>
    </row>
    <row r="243" customFormat="false" ht="15" hidden="false" customHeight="false" outlineLevel="0" collapsed="false">
      <c r="A243" s="0" t="s">
        <v>1176</v>
      </c>
      <c r="B243" s="0" t="s">
        <v>822</v>
      </c>
      <c r="C243" s="0" t="s">
        <v>724</v>
      </c>
      <c r="D243" s="0" t="s">
        <v>598</v>
      </c>
      <c r="E243" s="0" t="s">
        <v>91</v>
      </c>
      <c r="F243" s="0" t="n">
        <v>4</v>
      </c>
      <c r="G243" s="0" t="n">
        <v>15.5</v>
      </c>
      <c r="I243" s="10"/>
      <c r="J243" s="0" t="n">
        <v>1.15</v>
      </c>
      <c r="K243" s="13" t="n">
        <f aca="false">IF(H243&lt;&gt;"",H243,IFERROR(G243/INDEX(Players!$M$2:$M$42,MATCH(B243,Players!$A$2:$A$42,0)),""))</f>
        <v>0.714479392624729</v>
      </c>
    </row>
    <row r="244" customFormat="false" ht="15" hidden="false" customHeight="false" outlineLevel="0" collapsed="false">
      <c r="A244" s="0" t="s">
        <v>1177</v>
      </c>
      <c r="B244" s="0" t="s">
        <v>822</v>
      </c>
      <c r="C244" s="0" t="s">
        <v>724</v>
      </c>
      <c r="D244" s="0" t="s">
        <v>598</v>
      </c>
      <c r="E244" s="0" t="s">
        <v>849</v>
      </c>
      <c r="F244" s="0" t="n">
        <v>2</v>
      </c>
      <c r="G244" s="0" t="n">
        <v>16.5</v>
      </c>
      <c r="I244" s="10"/>
      <c r="J244" s="0" t="n">
        <v>1.03</v>
      </c>
      <c r="K244" s="13" t="n">
        <f aca="false">IF(H244&lt;&gt;"",H244,IFERROR(G244/INDEX(Players!$M$2:$M$42,MATCH(B244,Players!$A$2:$A$42,0)),""))</f>
        <v>0.760574837310195</v>
      </c>
    </row>
    <row r="245" customFormat="false" ht="15" hidden="false" customHeight="false" outlineLevel="0" collapsed="false">
      <c r="A245" s="0" t="s">
        <v>1178</v>
      </c>
      <c r="B245" s="0" t="s">
        <v>822</v>
      </c>
      <c r="C245" s="0" t="s">
        <v>724</v>
      </c>
      <c r="D245" s="0" t="s">
        <v>598</v>
      </c>
      <c r="E245" s="0" t="s">
        <v>854</v>
      </c>
      <c r="F245" s="0" t="n">
        <v>1</v>
      </c>
      <c r="G245" s="0" t="n">
        <v>24</v>
      </c>
      <c r="I245" s="10"/>
      <c r="J245" s="0" t="n">
        <v>1.71</v>
      </c>
      <c r="K245" s="13" t="n">
        <f aca="false">IF(H245&lt;&gt;"",H245,IFERROR(G245/INDEX(Players!$M$2:$M$42,MATCH(B245,Players!$A$2:$A$42,0)),""))</f>
        <v>1.10629067245119</v>
      </c>
    </row>
    <row r="246" customFormat="false" ht="15" hidden="false" customHeight="false" outlineLevel="0" collapsed="false">
      <c r="A246" s="0" t="s">
        <v>1179</v>
      </c>
      <c r="B246" s="0" t="s">
        <v>822</v>
      </c>
      <c r="C246" s="0" t="s">
        <v>724</v>
      </c>
      <c r="D246" s="0" t="s">
        <v>598</v>
      </c>
      <c r="E246" s="0" t="s">
        <v>75</v>
      </c>
      <c r="F246" s="0" t="n">
        <v>1</v>
      </c>
      <c r="G246" s="0" t="n">
        <v>18</v>
      </c>
      <c r="I246" s="10"/>
      <c r="J246" s="0" t="n">
        <v>1.13</v>
      </c>
      <c r="K246" s="13" t="n">
        <f aca="false">IF(H246&lt;&gt;"",H246,IFERROR(G246/INDEX(Players!$M$2:$M$42,MATCH(B246,Players!$A$2:$A$42,0)),""))</f>
        <v>0.829718004338395</v>
      </c>
    </row>
    <row r="247" customFormat="false" ht="15" hidden="false" customHeight="false" outlineLevel="0" collapsed="false">
      <c r="A247" s="0" t="s">
        <v>1180</v>
      </c>
      <c r="B247" s="0" t="s">
        <v>823</v>
      </c>
      <c r="C247" s="0" t="s">
        <v>726</v>
      </c>
      <c r="D247" s="0" t="s">
        <v>598</v>
      </c>
      <c r="E247" s="0" t="s">
        <v>81</v>
      </c>
      <c r="F247" s="0" t="n">
        <v>2</v>
      </c>
      <c r="G247" s="0" t="n">
        <v>5.5</v>
      </c>
      <c r="I247" s="10"/>
      <c r="J247" s="0" t="n">
        <v>0.37</v>
      </c>
      <c r="K247" s="13" t="n">
        <f aca="false">IF(H247&lt;&gt;"",H247,IFERROR(G247/INDEX(Players!$M$2:$M$42,MATCH(B247,Players!$A$2:$A$42,0)),""))</f>
        <v>0.283870967741936</v>
      </c>
    </row>
    <row r="248" customFormat="false" ht="15" hidden="false" customHeight="false" outlineLevel="0" collapsed="false">
      <c r="A248" s="0" t="s">
        <v>1181</v>
      </c>
      <c r="B248" s="0" t="s">
        <v>823</v>
      </c>
      <c r="C248" s="0" t="s">
        <v>726</v>
      </c>
      <c r="D248" s="0" t="s">
        <v>598</v>
      </c>
      <c r="E248" s="0" t="s">
        <v>849</v>
      </c>
      <c r="F248" s="0" t="n">
        <v>1</v>
      </c>
      <c r="G248" s="0" t="n">
        <v>12</v>
      </c>
      <c r="I248" s="10"/>
      <c r="J248" s="0" t="n">
        <v>0.75</v>
      </c>
      <c r="K248" s="13" t="n">
        <f aca="false">IF(H248&lt;&gt;"",H248,IFERROR(G248/INDEX(Players!$M$2:$M$42,MATCH(B248,Players!$A$2:$A$42,0)),""))</f>
        <v>0.619354838709677</v>
      </c>
    </row>
    <row r="249" customFormat="false" ht="15" hidden="false" customHeight="false" outlineLevel="0" collapsed="false">
      <c r="A249" s="0" t="s">
        <v>1182</v>
      </c>
      <c r="B249" s="0" t="s">
        <v>823</v>
      </c>
      <c r="C249" s="0" t="s">
        <v>726</v>
      </c>
      <c r="D249" s="0" t="s">
        <v>598</v>
      </c>
      <c r="E249" s="0" t="s">
        <v>610</v>
      </c>
      <c r="F249" s="0" t="n">
        <v>1</v>
      </c>
      <c r="G249" s="0" t="n">
        <v>8</v>
      </c>
      <c r="I249" s="10"/>
      <c r="J249" s="0" t="n">
        <v>0.57</v>
      </c>
      <c r="K249" s="13" t="n">
        <f aca="false">IF(H249&lt;&gt;"",H249,IFERROR(G249/INDEX(Players!$M$2:$M$42,MATCH(B249,Players!$A$2:$A$42,0)),""))</f>
        <v>0.412903225806452</v>
      </c>
    </row>
    <row r="250" customFormat="false" ht="15" hidden="false" customHeight="false" outlineLevel="0" collapsed="false">
      <c r="A250" s="0" t="s">
        <v>1183</v>
      </c>
      <c r="B250" s="0" t="s">
        <v>826</v>
      </c>
      <c r="C250" s="0" t="s">
        <v>732</v>
      </c>
      <c r="D250" s="0" t="s">
        <v>598</v>
      </c>
      <c r="E250" s="0" t="s">
        <v>91</v>
      </c>
      <c r="F250" s="0" t="n">
        <v>5</v>
      </c>
      <c r="G250" s="0" t="n">
        <v>17</v>
      </c>
      <c r="I250" s="10"/>
      <c r="J250" s="0" t="n">
        <v>0.99</v>
      </c>
      <c r="K250" s="13" t="n">
        <f aca="false">IF(H250&lt;&gt;"",H250,IFERROR(G250/INDEX(Players!$M$2:$M$42,MATCH(B250,Players!$A$2:$A$42,0)),""))</f>
        <v>0.800645161290323</v>
      </c>
    </row>
    <row r="251" customFormat="false" ht="15" hidden="false" customHeight="false" outlineLevel="0" collapsed="false">
      <c r="A251" s="0" t="s">
        <v>1184</v>
      </c>
      <c r="B251" s="0" t="s">
        <v>826</v>
      </c>
      <c r="C251" s="0" t="s">
        <v>732</v>
      </c>
      <c r="D251" s="0" t="s">
        <v>598</v>
      </c>
      <c r="E251" s="0" t="s">
        <v>81</v>
      </c>
      <c r="F251" s="0" t="n">
        <v>4</v>
      </c>
      <c r="G251" s="0" t="n">
        <v>14.3</v>
      </c>
      <c r="I251" s="10"/>
      <c r="J251" s="0" t="n">
        <v>0.97</v>
      </c>
      <c r="K251" s="13" t="n">
        <f aca="false">IF(H251&lt;&gt;"",H251,IFERROR(G251/INDEX(Players!$M$2:$M$42,MATCH(B251,Players!$A$2:$A$42,0)),""))</f>
        <v>0.673483870967742</v>
      </c>
    </row>
    <row r="252" customFormat="false" ht="15" hidden="false" customHeight="false" outlineLevel="0" collapsed="false">
      <c r="A252" s="0" t="s">
        <v>1185</v>
      </c>
      <c r="B252" s="0" t="s">
        <v>826</v>
      </c>
      <c r="C252" s="0" t="s">
        <v>732</v>
      </c>
      <c r="D252" s="0" t="s">
        <v>598</v>
      </c>
      <c r="E252" s="0" t="s">
        <v>849</v>
      </c>
      <c r="F252" s="0" t="n">
        <v>2</v>
      </c>
      <c r="G252" s="0" t="n">
        <v>13.5</v>
      </c>
      <c r="I252" s="10"/>
      <c r="J252" s="0" t="n">
        <v>0.9</v>
      </c>
      <c r="K252" s="13" t="n">
        <f aca="false">IF(H252&lt;&gt;"",H252,IFERROR(G252/INDEX(Players!$M$2:$M$42,MATCH(B252,Players!$A$2:$A$42,0)),""))</f>
        <v>0.635806451612903</v>
      </c>
    </row>
    <row r="253" customFormat="false" ht="15" hidden="false" customHeight="false" outlineLevel="0" collapsed="false">
      <c r="A253" s="0" t="s">
        <v>1186</v>
      </c>
      <c r="B253" s="0" t="s">
        <v>826</v>
      </c>
      <c r="C253" s="0" t="s">
        <v>732</v>
      </c>
      <c r="D253" s="0" t="s">
        <v>598</v>
      </c>
      <c r="E253" s="0" t="s">
        <v>610</v>
      </c>
      <c r="F253" s="0" t="n">
        <v>2</v>
      </c>
      <c r="G253" s="0" t="n">
        <v>15.5</v>
      </c>
      <c r="I253" s="10"/>
      <c r="J253" s="0" t="n">
        <v>0.86</v>
      </c>
      <c r="K253" s="13" t="n">
        <f aca="false">IF(H253&lt;&gt;"",H253,IFERROR(G253/INDEX(Players!$M$2:$M$42,MATCH(B253,Players!$A$2:$A$42,0)),""))</f>
        <v>0.73</v>
      </c>
    </row>
    <row r="254" customFormat="false" ht="15" hidden="false" customHeight="false" outlineLevel="0" collapsed="false">
      <c r="A254" s="0" t="s">
        <v>1187</v>
      </c>
      <c r="B254" s="0" t="s">
        <v>826</v>
      </c>
      <c r="C254" s="0" t="s">
        <v>732</v>
      </c>
      <c r="D254" s="0" t="s">
        <v>598</v>
      </c>
      <c r="E254" s="0" t="s">
        <v>75</v>
      </c>
      <c r="F254" s="0" t="n">
        <v>1</v>
      </c>
      <c r="G254" s="0" t="n">
        <v>20</v>
      </c>
      <c r="I254" s="10"/>
      <c r="J254" s="0" t="n">
        <v>1.67</v>
      </c>
      <c r="K254" s="13" t="n">
        <f aca="false">IF(H254&lt;&gt;"",H254,IFERROR(G254/INDEX(Players!$M$2:$M$42,MATCH(B254,Players!$A$2:$A$42,0)),""))</f>
        <v>0.941935483870968</v>
      </c>
    </row>
    <row r="255" customFormat="false" ht="15" hidden="false" customHeight="false" outlineLevel="0" collapsed="false">
      <c r="A255" s="0" t="s">
        <v>1188</v>
      </c>
      <c r="B255" s="0" t="s">
        <v>826</v>
      </c>
      <c r="C255" s="0" t="s">
        <v>732</v>
      </c>
      <c r="D255" s="0" t="s">
        <v>598</v>
      </c>
      <c r="E255" s="0" t="s">
        <v>68</v>
      </c>
      <c r="F255" s="0" t="n">
        <v>1</v>
      </c>
      <c r="G255" s="0" t="n">
        <v>15</v>
      </c>
      <c r="I255" s="10"/>
      <c r="J255" s="0" t="n">
        <v>1</v>
      </c>
      <c r="K255" s="13" t="n">
        <f aca="false">IF(H255&lt;&gt;"",H255,IFERROR(G255/INDEX(Players!$M$2:$M$42,MATCH(B255,Players!$A$2:$A$42,0)),""))</f>
        <v>0.706451612903226</v>
      </c>
    </row>
    <row r="256" customFormat="false" ht="15" hidden="false" customHeight="false" outlineLevel="0" collapsed="false">
      <c r="A256" s="0" t="s">
        <v>1189</v>
      </c>
      <c r="B256" s="0" t="s">
        <v>826</v>
      </c>
      <c r="C256" s="0" t="s">
        <v>732</v>
      </c>
      <c r="D256" s="0" t="s">
        <v>598</v>
      </c>
      <c r="E256" s="0" t="s">
        <v>99</v>
      </c>
      <c r="F256" s="0" t="n">
        <v>1</v>
      </c>
      <c r="G256" s="0" t="n">
        <v>13</v>
      </c>
      <c r="I256" s="10"/>
      <c r="J256" s="0" t="n">
        <v>0.87</v>
      </c>
      <c r="K256" s="13" t="n">
        <f aca="false">IF(H256&lt;&gt;"",H256,IFERROR(G256/INDEX(Players!$M$2:$M$42,MATCH(B256,Players!$A$2:$A$42,0)),""))</f>
        <v>0.612258064516129</v>
      </c>
    </row>
  </sheetData>
  <autoFilter ref="A1:K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530</v>
      </c>
      <c r="B1" s="12" t="s">
        <v>1190</v>
      </c>
      <c r="C1" s="12" t="s">
        <v>1191</v>
      </c>
      <c r="D1" s="12" t="s">
        <v>1192</v>
      </c>
      <c r="E1" s="12" t="s">
        <v>1193</v>
      </c>
      <c r="F1" s="12" t="s">
        <v>1194</v>
      </c>
      <c r="G1" s="12" t="s">
        <v>1195</v>
      </c>
      <c r="H1" s="12" t="s">
        <v>1196</v>
      </c>
    </row>
    <row r="2" customFormat="false" ht="15" hidden="false" customHeight="false" outlineLevel="0" collapsed="false">
      <c r="A2" s="0" t="s">
        <v>576</v>
      </c>
      <c r="B2" s="0" t="s">
        <v>636</v>
      </c>
      <c r="C2" s="0" t="n">
        <v>14.14</v>
      </c>
      <c r="D2" s="0" t="n">
        <v>3</v>
      </c>
      <c r="E2" s="0" t="n">
        <v>14.13</v>
      </c>
      <c r="F2" s="0" t="n">
        <v>3</v>
      </c>
      <c r="G2" s="0" t="n">
        <v>28.27</v>
      </c>
      <c r="H2" s="0" t="s">
        <v>786</v>
      </c>
    </row>
    <row r="3" customFormat="false" ht="15" hidden="false" customHeight="false" outlineLevel="0" collapsed="false">
      <c r="A3" s="0" t="s">
        <v>576</v>
      </c>
      <c r="B3" s="0" t="s">
        <v>657</v>
      </c>
      <c r="C3" s="0" t="n">
        <v>13.54</v>
      </c>
      <c r="D3" s="0" t="n">
        <v>3</v>
      </c>
      <c r="E3" s="0" t="n">
        <v>13.54</v>
      </c>
      <c r="F3" s="0" t="n">
        <v>3</v>
      </c>
      <c r="G3" s="0" t="n">
        <v>27.07</v>
      </c>
      <c r="H3" s="0" t="s">
        <v>791</v>
      </c>
    </row>
    <row r="4" customFormat="false" ht="15" hidden="false" customHeight="false" outlineLevel="0" collapsed="false">
      <c r="A4" s="0" t="s">
        <v>576</v>
      </c>
      <c r="B4" s="0" t="s">
        <v>1197</v>
      </c>
      <c r="C4" s="0" t="n">
        <v>14.18</v>
      </c>
      <c r="D4" s="0" t="n">
        <v>3</v>
      </c>
      <c r="E4" s="0" t="n">
        <v>14.18</v>
      </c>
      <c r="F4" s="0" t="n">
        <v>3</v>
      </c>
      <c r="G4" s="0" t="n">
        <v>28.36</v>
      </c>
      <c r="H4" s="0" t="s">
        <v>792</v>
      </c>
    </row>
    <row r="5" customFormat="false" ht="15" hidden="false" customHeight="false" outlineLevel="0" collapsed="false">
      <c r="A5" s="0" t="s">
        <v>576</v>
      </c>
      <c r="B5" s="0" t="s">
        <v>1198</v>
      </c>
      <c r="C5" s="0" t="n">
        <v>14.61</v>
      </c>
      <c r="D5" s="0" t="n">
        <v>3</v>
      </c>
      <c r="E5" s="0" t="n">
        <v>14.61</v>
      </c>
      <c r="F5" s="0" t="n">
        <v>3</v>
      </c>
      <c r="G5" s="0" t="n">
        <v>29.22</v>
      </c>
      <c r="H5" s="0" t="s">
        <v>793</v>
      </c>
    </row>
    <row r="6" customFormat="false" ht="15" hidden="false" customHeight="false" outlineLevel="0" collapsed="false">
      <c r="A6" s="0" t="s">
        <v>576</v>
      </c>
      <c r="B6" s="0" t="s">
        <v>1199</v>
      </c>
      <c r="C6" s="0" t="n">
        <v>12.55</v>
      </c>
      <c r="D6" s="0" t="n">
        <v>3</v>
      </c>
      <c r="E6" s="0" t="n">
        <v>12.53</v>
      </c>
      <c r="F6" s="0" t="n">
        <v>3</v>
      </c>
      <c r="G6" s="0" t="n">
        <v>25.09</v>
      </c>
      <c r="H6" s="0" t="s">
        <v>787</v>
      </c>
    </row>
    <row r="7" customFormat="false" ht="15" hidden="false" customHeight="false" outlineLevel="0" collapsed="false">
      <c r="A7" s="0" t="s">
        <v>576</v>
      </c>
      <c r="B7" s="0" t="s">
        <v>647</v>
      </c>
      <c r="C7" s="0" t="n">
        <v>13.57</v>
      </c>
      <c r="D7" s="0" t="n">
        <v>3</v>
      </c>
      <c r="E7" s="0" t="n">
        <v>12.94</v>
      </c>
      <c r="F7" s="0" t="n">
        <v>2</v>
      </c>
      <c r="G7" s="0" t="n">
        <v>26.51</v>
      </c>
      <c r="H7" s="0" t="s">
        <v>788</v>
      </c>
    </row>
    <row r="8" customFormat="false" ht="15" hidden="false" customHeight="false" outlineLevel="0" collapsed="false">
      <c r="A8" s="0" t="s">
        <v>576</v>
      </c>
      <c r="B8" s="0" t="s">
        <v>1200</v>
      </c>
      <c r="C8" s="0" t="n">
        <v>12.9</v>
      </c>
      <c r="D8" s="0" t="n">
        <v>2</v>
      </c>
      <c r="E8" s="0" t="n">
        <v>12.9</v>
      </c>
      <c r="F8" s="0" t="n">
        <v>2</v>
      </c>
      <c r="G8" s="0" t="n">
        <v>25.8</v>
      </c>
      <c r="H8" s="0" t="s">
        <v>794</v>
      </c>
    </row>
    <row r="9" customFormat="false" ht="15" hidden="false" customHeight="false" outlineLevel="0" collapsed="false">
      <c r="A9" s="0" t="s">
        <v>576</v>
      </c>
      <c r="B9" s="0" t="s">
        <v>651</v>
      </c>
      <c r="C9" s="0" t="n">
        <v>15.32</v>
      </c>
      <c r="D9" s="0" t="n">
        <v>3</v>
      </c>
      <c r="E9" s="0" t="n">
        <v>15.81</v>
      </c>
      <c r="F9" s="0" t="n">
        <v>3</v>
      </c>
      <c r="G9" s="0" t="n">
        <v>31.13</v>
      </c>
      <c r="H9" s="0" t="s">
        <v>789</v>
      </c>
    </row>
    <row r="10" customFormat="false" ht="15" hidden="false" customHeight="false" outlineLevel="0" collapsed="false">
      <c r="A10" s="0" t="s">
        <v>576</v>
      </c>
      <c r="B10" s="0" t="s">
        <v>654</v>
      </c>
      <c r="C10" s="0" t="n">
        <v>15.54</v>
      </c>
      <c r="D10" s="0" t="n">
        <v>3</v>
      </c>
      <c r="E10" s="0" t="n">
        <v>15.5</v>
      </c>
      <c r="F10" s="0" t="n">
        <v>3</v>
      </c>
      <c r="G10" s="0" t="n">
        <v>31.04</v>
      </c>
      <c r="H10" s="0" t="s">
        <v>790</v>
      </c>
    </row>
    <row r="11" customFormat="false" ht="15" hidden="false" customHeight="false" outlineLevel="0" collapsed="false">
      <c r="A11" s="0" t="s">
        <v>576</v>
      </c>
      <c r="B11" s="0" t="s">
        <v>1201</v>
      </c>
      <c r="C11" s="0" t="n">
        <v>15.69</v>
      </c>
      <c r="D11" s="0" t="n">
        <v>3</v>
      </c>
      <c r="E11" s="0" t="n">
        <v>15.67</v>
      </c>
      <c r="F11" s="0" t="n">
        <v>3</v>
      </c>
      <c r="G11" s="0" t="n">
        <v>31.36</v>
      </c>
      <c r="H11" s="0" t="s">
        <v>795</v>
      </c>
    </row>
    <row r="12" customFormat="false" ht="15" hidden="false" customHeight="false" outlineLevel="0" collapsed="false">
      <c r="A12" s="0" t="s">
        <v>590</v>
      </c>
      <c r="B12" s="0" t="s">
        <v>710</v>
      </c>
      <c r="C12" s="0" t="n">
        <v>12.98</v>
      </c>
      <c r="D12" s="0" t="n">
        <v>2</v>
      </c>
      <c r="E12" s="0" t="n">
        <v>12.99</v>
      </c>
      <c r="F12" s="0" t="n">
        <v>2</v>
      </c>
      <c r="G12" s="0" t="n">
        <v>25.98</v>
      </c>
      <c r="H12" s="0" t="s">
        <v>815</v>
      </c>
    </row>
    <row r="13" customFormat="false" ht="15" hidden="false" customHeight="false" outlineLevel="0" collapsed="false">
      <c r="A13" s="0" t="s">
        <v>590</v>
      </c>
      <c r="B13" s="0" t="s">
        <v>1202</v>
      </c>
      <c r="C13" s="0" t="n">
        <v>15.73</v>
      </c>
      <c r="D13" s="0" t="n">
        <v>3</v>
      </c>
      <c r="E13" s="0" t="n">
        <v>15.73</v>
      </c>
      <c r="F13" s="0" t="n">
        <v>3</v>
      </c>
      <c r="G13" s="0" t="n">
        <v>31.46</v>
      </c>
      <c r="H13" s="0" t="s">
        <v>810</v>
      </c>
    </row>
    <row r="14" customFormat="false" ht="15" hidden="false" customHeight="false" outlineLevel="0" collapsed="false">
      <c r="A14" s="0" t="s">
        <v>590</v>
      </c>
      <c r="B14" s="0" t="s">
        <v>712</v>
      </c>
      <c r="C14" s="0" t="n">
        <v>14.25</v>
      </c>
      <c r="D14" s="0" t="n">
        <v>3</v>
      </c>
      <c r="E14" s="0" t="n">
        <v>14.25</v>
      </c>
      <c r="F14" s="0" t="n">
        <v>3</v>
      </c>
      <c r="G14" s="0" t="n">
        <v>28.51</v>
      </c>
      <c r="H14" s="0" t="s">
        <v>816</v>
      </c>
    </row>
    <row r="15" customFormat="false" ht="15" hidden="false" customHeight="false" outlineLevel="0" collapsed="false">
      <c r="A15" s="0" t="s">
        <v>590</v>
      </c>
      <c r="B15" s="0" t="s">
        <v>1203</v>
      </c>
      <c r="C15" s="0" t="n">
        <v>14.94</v>
      </c>
      <c r="D15" s="0" t="n">
        <v>2</v>
      </c>
      <c r="E15" s="0" t="n">
        <v>14.91</v>
      </c>
      <c r="F15" s="0" t="n">
        <v>2</v>
      </c>
      <c r="G15" s="0" t="n">
        <v>29.85</v>
      </c>
      <c r="H15" s="0" t="s">
        <v>811</v>
      </c>
    </row>
    <row r="16" customFormat="false" ht="15" hidden="false" customHeight="false" outlineLevel="0" collapsed="false">
      <c r="A16" s="0" t="s">
        <v>590</v>
      </c>
      <c r="B16" s="0" t="s">
        <v>1204</v>
      </c>
      <c r="C16" s="0" t="n">
        <v>12.08</v>
      </c>
      <c r="D16" s="0" t="n">
        <v>2</v>
      </c>
      <c r="E16" s="0" t="n">
        <v>12.06</v>
      </c>
      <c r="F16" s="0" t="n">
        <v>2</v>
      </c>
      <c r="G16" s="0" t="n">
        <v>24.14</v>
      </c>
      <c r="H16" s="0" t="s">
        <v>812</v>
      </c>
    </row>
    <row r="17" customFormat="false" ht="15" hidden="false" customHeight="false" outlineLevel="0" collapsed="false">
      <c r="A17" s="0" t="s">
        <v>590</v>
      </c>
      <c r="B17" s="0" t="s">
        <v>1205</v>
      </c>
      <c r="C17" s="0" t="n">
        <v>14.25</v>
      </c>
      <c r="D17" s="0" t="n">
        <v>3</v>
      </c>
      <c r="E17" s="0" t="n">
        <v>14.25</v>
      </c>
      <c r="F17" s="0" t="n">
        <v>3</v>
      </c>
      <c r="G17" s="0" t="n">
        <v>28.51</v>
      </c>
      <c r="H17" s="0" t="s">
        <v>817</v>
      </c>
    </row>
    <row r="18" customFormat="false" ht="15" hidden="false" customHeight="false" outlineLevel="0" collapsed="false">
      <c r="A18" s="0" t="s">
        <v>590</v>
      </c>
      <c r="B18" s="0" t="s">
        <v>706</v>
      </c>
      <c r="C18" s="0" t="n">
        <v>13.3</v>
      </c>
      <c r="D18" s="0" t="n">
        <v>3</v>
      </c>
      <c r="E18" s="0" t="n">
        <v>13.26</v>
      </c>
      <c r="F18" s="0" t="n">
        <v>3</v>
      </c>
      <c r="G18" s="0" t="n">
        <v>26.56</v>
      </c>
      <c r="H18" s="0" t="s">
        <v>813</v>
      </c>
    </row>
    <row r="19" customFormat="false" ht="15" hidden="false" customHeight="false" outlineLevel="0" collapsed="false">
      <c r="A19" s="0" t="s">
        <v>590</v>
      </c>
      <c r="B19" s="0" t="s">
        <v>1206</v>
      </c>
      <c r="C19" s="0" t="n">
        <v>13.4</v>
      </c>
      <c r="D19" s="0" t="n">
        <v>3</v>
      </c>
      <c r="E19" s="0" t="n">
        <v>13.41</v>
      </c>
      <c r="F19" s="0" t="n">
        <v>3</v>
      </c>
      <c r="G19" s="0" t="n">
        <v>26.81</v>
      </c>
      <c r="H19" s="0" t="s">
        <v>818</v>
      </c>
    </row>
    <row r="20" customFormat="false" ht="15" hidden="false" customHeight="false" outlineLevel="0" collapsed="false">
      <c r="A20" s="0" t="s">
        <v>590</v>
      </c>
      <c r="B20" s="0" t="s">
        <v>1207</v>
      </c>
      <c r="C20" s="0" t="n">
        <v>14.72</v>
      </c>
      <c r="D20" s="0" t="n">
        <v>3</v>
      </c>
      <c r="E20" s="0" t="n">
        <v>14.69</v>
      </c>
      <c r="F20" s="0" t="n">
        <v>3</v>
      </c>
      <c r="G20" s="0" t="n">
        <v>29.41</v>
      </c>
      <c r="H20" s="0" t="s">
        <v>814</v>
      </c>
    </row>
    <row r="21" customFormat="false" ht="15" hidden="false" customHeight="false" outlineLevel="0" collapsed="false">
      <c r="A21" s="0" t="s">
        <v>590</v>
      </c>
      <c r="B21" s="0" t="s">
        <v>1208</v>
      </c>
      <c r="C21" s="0" t="n">
        <v>15.73</v>
      </c>
      <c r="D21" s="0" t="n">
        <v>3</v>
      </c>
      <c r="E21" s="0" t="n">
        <v>15.75</v>
      </c>
      <c r="F21" s="0" t="n">
        <v>3</v>
      </c>
      <c r="G21" s="0" t="n">
        <v>31.48</v>
      </c>
      <c r="H21" s="0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530</v>
      </c>
      <c r="B1" s="12" t="s">
        <v>58</v>
      </c>
      <c r="C1" s="12" t="s">
        <v>1209</v>
      </c>
      <c r="D1" s="12" t="s">
        <v>1210</v>
      </c>
      <c r="E1" s="12" t="s">
        <v>1211</v>
      </c>
      <c r="F1" s="12" t="s">
        <v>1212</v>
      </c>
      <c r="G1" s="12" t="s">
        <v>1213</v>
      </c>
    </row>
    <row r="2" customFormat="false" ht="15" hidden="false" customHeight="false" outlineLevel="0" collapsed="false">
      <c r="A2" s="0" t="s">
        <v>485</v>
      </c>
      <c r="B2" s="0" t="n">
        <v>1</v>
      </c>
      <c r="C2" s="0" t="n">
        <v>17.5</v>
      </c>
      <c r="D2" s="0" t="n">
        <v>1.1</v>
      </c>
      <c r="E2" s="0" t="n">
        <v>5.8</v>
      </c>
      <c r="F2" s="10" t="n">
        <v>0.8406</v>
      </c>
      <c r="G2" s="0" t="n">
        <v>21.5</v>
      </c>
    </row>
    <row r="3" customFormat="false" ht="15" hidden="false" customHeight="false" outlineLevel="0" collapsed="false">
      <c r="A3" s="0" t="s">
        <v>485</v>
      </c>
      <c r="B3" s="0" t="n">
        <v>1</v>
      </c>
      <c r="C3" s="0" t="n">
        <v>18.5</v>
      </c>
      <c r="D3" s="0" t="n">
        <v>1.2</v>
      </c>
      <c r="E3" s="0" t="n">
        <v>4</v>
      </c>
      <c r="F3" s="10" t="n">
        <v>0.7692</v>
      </c>
      <c r="G3" s="0" t="n">
        <v>21.5</v>
      </c>
    </row>
    <row r="4" customFormat="false" ht="15" hidden="false" customHeight="false" outlineLevel="0" collapsed="false">
      <c r="A4" s="0" t="s">
        <v>485</v>
      </c>
      <c r="B4" s="0" t="n">
        <v>1</v>
      </c>
      <c r="C4" s="0" t="n">
        <v>19.5</v>
      </c>
      <c r="D4" s="0" t="n">
        <v>1.32</v>
      </c>
      <c r="E4" s="0" t="n">
        <v>3.1</v>
      </c>
      <c r="F4" s="10" t="n">
        <v>0.7014</v>
      </c>
      <c r="G4" s="0" t="n">
        <v>21.5</v>
      </c>
    </row>
    <row r="5" customFormat="false" ht="15" hidden="false" customHeight="false" outlineLevel="0" collapsed="false">
      <c r="A5" s="0" t="s">
        <v>485</v>
      </c>
      <c r="B5" s="0" t="n">
        <v>1</v>
      </c>
      <c r="C5" s="0" t="n">
        <v>20.5</v>
      </c>
      <c r="D5" s="0" t="n">
        <v>1.52</v>
      </c>
      <c r="E5" s="0" t="n">
        <v>2.35</v>
      </c>
      <c r="F5" s="10" t="n">
        <v>0.6072</v>
      </c>
      <c r="G5" s="0" t="n">
        <v>21.5</v>
      </c>
    </row>
    <row r="6" customFormat="false" ht="15" hidden="false" customHeight="false" outlineLevel="0" collapsed="false">
      <c r="A6" s="0" t="s">
        <v>485</v>
      </c>
      <c r="B6" s="0" t="n">
        <v>1</v>
      </c>
      <c r="C6" s="0" t="n">
        <v>21.5</v>
      </c>
      <c r="D6" s="0" t="n">
        <v>1.85</v>
      </c>
      <c r="E6" s="0" t="n">
        <v>1.85</v>
      </c>
      <c r="F6" s="10" t="n">
        <v>0.5</v>
      </c>
      <c r="G6" s="0" t="n">
        <v>21.5</v>
      </c>
    </row>
    <row r="7" customFormat="false" ht="15" hidden="false" customHeight="false" outlineLevel="0" collapsed="false">
      <c r="A7" s="0" t="s">
        <v>485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21.5</v>
      </c>
    </row>
    <row r="8" customFormat="false" ht="15" hidden="false" customHeight="false" outlineLevel="0" collapsed="false">
      <c r="A8" s="0" t="s">
        <v>485</v>
      </c>
      <c r="B8" s="0" t="n">
        <v>2</v>
      </c>
      <c r="C8" s="0" t="n">
        <v>17.5</v>
      </c>
      <c r="D8" s="0" t="n">
        <v>1.1</v>
      </c>
      <c r="E8" s="0" t="n">
        <v>5.8</v>
      </c>
      <c r="F8" s="10" t="n">
        <v>0.8406</v>
      </c>
      <c r="G8" s="0" t="n">
        <v>21.5</v>
      </c>
    </row>
    <row r="9" customFormat="false" ht="15" hidden="false" customHeight="false" outlineLevel="0" collapsed="false">
      <c r="A9" s="0" t="s">
        <v>485</v>
      </c>
      <c r="B9" s="0" t="n">
        <v>2</v>
      </c>
      <c r="C9" s="0" t="n">
        <v>18.5</v>
      </c>
      <c r="D9" s="0" t="n">
        <v>1.2</v>
      </c>
      <c r="E9" s="0" t="n">
        <v>4</v>
      </c>
      <c r="F9" s="10" t="n">
        <v>0.7692</v>
      </c>
      <c r="G9" s="0" t="n">
        <v>21.5</v>
      </c>
    </row>
    <row r="10" customFormat="false" ht="15" hidden="false" customHeight="false" outlineLevel="0" collapsed="false">
      <c r="A10" s="0" t="s">
        <v>485</v>
      </c>
      <c r="B10" s="0" t="n">
        <v>2</v>
      </c>
      <c r="C10" s="0" t="n">
        <v>19.5</v>
      </c>
      <c r="D10" s="0" t="n">
        <v>1.32</v>
      </c>
      <c r="E10" s="0" t="n">
        <v>3.1</v>
      </c>
      <c r="F10" s="10" t="n">
        <v>0.7014</v>
      </c>
      <c r="G10" s="0" t="n">
        <v>21.5</v>
      </c>
    </row>
    <row r="11" customFormat="false" ht="15" hidden="false" customHeight="false" outlineLevel="0" collapsed="false">
      <c r="A11" s="0" t="s">
        <v>485</v>
      </c>
      <c r="B11" s="0" t="n">
        <v>2</v>
      </c>
      <c r="C11" s="0" t="n">
        <v>20.5</v>
      </c>
      <c r="D11" s="0" t="n">
        <v>1.52</v>
      </c>
      <c r="E11" s="0" t="n">
        <v>2.35</v>
      </c>
      <c r="F11" s="10" t="n">
        <v>0.6072</v>
      </c>
      <c r="G11" s="0" t="n">
        <v>21.5</v>
      </c>
    </row>
    <row r="12" customFormat="false" ht="15" hidden="false" customHeight="false" outlineLevel="0" collapsed="false">
      <c r="A12" s="0" t="s">
        <v>485</v>
      </c>
      <c r="B12" s="0" t="n">
        <v>2</v>
      </c>
      <c r="C12" s="0" t="n">
        <v>21.5</v>
      </c>
      <c r="D12" s="0" t="n">
        <v>1.85</v>
      </c>
      <c r="E12" s="0" t="n">
        <v>1.85</v>
      </c>
      <c r="F12" s="10" t="n">
        <v>0.5</v>
      </c>
      <c r="G12" s="0" t="n">
        <v>21.5</v>
      </c>
    </row>
    <row r="13" customFormat="false" ht="15" hidden="false" customHeight="false" outlineLevel="0" collapsed="false">
      <c r="A13" s="0" t="s">
        <v>485</v>
      </c>
      <c r="B13" s="0" t="n">
        <v>2</v>
      </c>
      <c r="C13" s="0" t="n">
        <v>22.5</v>
      </c>
      <c r="D13" s="0" t="n">
        <v>2.4</v>
      </c>
      <c r="E13" s="0" t="n">
        <v>1.5</v>
      </c>
      <c r="F13" s="10" t="n">
        <v>0.3846</v>
      </c>
      <c r="G13" s="0" t="n">
        <v>21.5</v>
      </c>
    </row>
    <row r="14" customFormat="false" ht="15" hidden="false" customHeight="false" outlineLevel="0" collapsed="false">
      <c r="A14" s="0" t="s">
        <v>485</v>
      </c>
      <c r="B14" s="0" t="n">
        <v>3</v>
      </c>
      <c r="C14" s="0" t="n">
        <v>17.5</v>
      </c>
      <c r="D14" s="0" t="n">
        <v>1.1</v>
      </c>
      <c r="E14" s="0" t="n">
        <v>5.8</v>
      </c>
      <c r="F14" s="10" t="n">
        <v>0.8406</v>
      </c>
      <c r="G14" s="0" t="n">
        <v>21.5</v>
      </c>
    </row>
    <row r="15" customFormat="false" ht="15" hidden="false" customHeight="false" outlineLevel="0" collapsed="false">
      <c r="A15" s="0" t="s">
        <v>485</v>
      </c>
      <c r="B15" s="0" t="n">
        <v>3</v>
      </c>
      <c r="C15" s="0" t="n">
        <v>18.5</v>
      </c>
      <c r="D15" s="0" t="n">
        <v>1.2</v>
      </c>
      <c r="E15" s="0" t="n">
        <v>4</v>
      </c>
      <c r="F15" s="10" t="n">
        <v>0.7692</v>
      </c>
      <c r="G15" s="0" t="n">
        <v>21.5</v>
      </c>
    </row>
    <row r="16" customFormat="false" ht="15" hidden="false" customHeight="false" outlineLevel="0" collapsed="false">
      <c r="A16" s="0" t="s">
        <v>485</v>
      </c>
      <c r="B16" s="0" t="n">
        <v>3</v>
      </c>
      <c r="C16" s="0" t="n">
        <v>19.5</v>
      </c>
      <c r="D16" s="0" t="n">
        <v>1.32</v>
      </c>
      <c r="E16" s="0" t="n">
        <v>3.1</v>
      </c>
      <c r="F16" s="10" t="n">
        <v>0.7014</v>
      </c>
      <c r="G16" s="0" t="n">
        <v>21.5</v>
      </c>
    </row>
    <row r="17" customFormat="false" ht="15" hidden="false" customHeight="false" outlineLevel="0" collapsed="false">
      <c r="A17" s="0" t="s">
        <v>485</v>
      </c>
      <c r="B17" s="0" t="n">
        <v>3</v>
      </c>
      <c r="C17" s="0" t="n">
        <v>20.5</v>
      </c>
      <c r="D17" s="0" t="n">
        <v>1.52</v>
      </c>
      <c r="E17" s="0" t="n">
        <v>2.35</v>
      </c>
      <c r="F17" s="10" t="n">
        <v>0.6072</v>
      </c>
      <c r="G17" s="0" t="n">
        <v>21.5</v>
      </c>
    </row>
    <row r="18" customFormat="false" ht="15" hidden="false" customHeight="false" outlineLevel="0" collapsed="false">
      <c r="A18" s="0" t="s">
        <v>485</v>
      </c>
      <c r="B18" s="0" t="n">
        <v>3</v>
      </c>
      <c r="C18" s="0" t="n">
        <v>21.5</v>
      </c>
      <c r="D18" s="0" t="n">
        <v>1.85</v>
      </c>
      <c r="E18" s="0" t="n">
        <v>1.85</v>
      </c>
      <c r="F18" s="10" t="n">
        <v>0.5</v>
      </c>
      <c r="G18" s="0" t="n">
        <v>21.5</v>
      </c>
    </row>
    <row r="19" customFormat="false" ht="15" hidden="false" customHeight="false" outlineLevel="0" collapsed="false">
      <c r="A19" s="0" t="s">
        <v>485</v>
      </c>
      <c r="B19" s="0" t="n">
        <v>3</v>
      </c>
      <c r="C19" s="0" t="n">
        <v>22.5</v>
      </c>
      <c r="D19" s="0" t="n">
        <v>2.4</v>
      </c>
      <c r="E19" s="0" t="n">
        <v>1.5</v>
      </c>
      <c r="F19" s="10" t="n">
        <v>0.3846</v>
      </c>
      <c r="G19" s="0" t="n">
        <v>21.5</v>
      </c>
    </row>
    <row r="20" customFormat="false" ht="15" hidden="false" customHeight="false" outlineLevel="0" collapsed="false">
      <c r="A20" s="0" t="s">
        <v>576</v>
      </c>
      <c r="B20" s="0" t="n">
        <v>1</v>
      </c>
      <c r="C20" s="0" t="n">
        <v>17.5</v>
      </c>
      <c r="D20" s="0" t="n">
        <v>1.12</v>
      </c>
      <c r="E20" s="0" t="n">
        <v>4.78</v>
      </c>
      <c r="F20" s="10" t="n">
        <v>0.8102</v>
      </c>
      <c r="G20" s="0" t="n">
        <v>21.26</v>
      </c>
    </row>
    <row r="21" customFormat="false" ht="15" hidden="false" customHeight="false" outlineLevel="0" collapsed="false">
      <c r="A21" s="0" t="s">
        <v>576</v>
      </c>
      <c r="B21" s="0" t="n">
        <v>1</v>
      </c>
      <c r="C21" s="0" t="n">
        <v>18.5</v>
      </c>
      <c r="D21" s="0" t="n">
        <v>1.21</v>
      </c>
      <c r="E21" s="0" t="n">
        <v>3.56</v>
      </c>
      <c r="F21" s="10" t="n">
        <v>0.7463</v>
      </c>
      <c r="G21" s="0" t="n">
        <v>21.26</v>
      </c>
    </row>
    <row r="22" customFormat="false" ht="15" hidden="false" customHeight="false" outlineLevel="0" collapsed="false">
      <c r="A22" s="0" t="s">
        <v>576</v>
      </c>
      <c r="B22" s="0" t="n">
        <v>1</v>
      </c>
      <c r="C22" s="0" t="n">
        <v>19.5</v>
      </c>
      <c r="D22" s="0" t="n">
        <v>1.36</v>
      </c>
      <c r="E22" s="0" t="n">
        <v>2.71</v>
      </c>
      <c r="F22" s="10" t="n">
        <v>0.6658</v>
      </c>
      <c r="G22" s="0" t="n">
        <v>21.26</v>
      </c>
    </row>
    <row r="23" customFormat="false" ht="15" hidden="false" customHeight="false" outlineLevel="0" collapsed="false">
      <c r="A23" s="0" t="s">
        <v>576</v>
      </c>
      <c r="B23" s="0" t="n">
        <v>1</v>
      </c>
      <c r="C23" s="0" t="n">
        <v>20.5</v>
      </c>
      <c r="D23" s="0" t="n">
        <v>1.58</v>
      </c>
      <c r="E23" s="0" t="n">
        <v>2.16</v>
      </c>
      <c r="F23" s="10" t="n">
        <v>0.5775</v>
      </c>
      <c r="G23" s="0" t="n">
        <v>21.26</v>
      </c>
    </row>
    <row r="24" customFormat="false" ht="15" hidden="false" customHeight="false" outlineLevel="0" collapsed="false">
      <c r="A24" s="0" t="s">
        <v>576</v>
      </c>
      <c r="B24" s="0" t="n">
        <v>1</v>
      </c>
      <c r="C24" s="0" t="n">
        <v>21.5</v>
      </c>
      <c r="D24" s="0" t="n">
        <v>1.93</v>
      </c>
      <c r="E24" s="0" t="n">
        <v>1.75</v>
      </c>
      <c r="F24" s="10" t="n">
        <v>0.4755</v>
      </c>
      <c r="G24" s="0" t="n">
        <v>21.26</v>
      </c>
    </row>
    <row r="25" customFormat="false" ht="15" hidden="false" customHeight="false" outlineLevel="0" collapsed="false">
      <c r="A25" s="0" t="s">
        <v>576</v>
      </c>
      <c r="B25" s="0" t="n">
        <v>1</v>
      </c>
      <c r="C25" s="0" t="n">
        <v>22.5</v>
      </c>
      <c r="D25" s="0" t="n">
        <v>2.44</v>
      </c>
      <c r="E25" s="0" t="n">
        <v>1.44</v>
      </c>
      <c r="F25" s="10" t="n">
        <v>0.3711</v>
      </c>
      <c r="G25" s="0" t="n">
        <v>21.26</v>
      </c>
    </row>
    <row r="26" customFormat="false" ht="15" hidden="false" customHeight="false" outlineLevel="0" collapsed="false">
      <c r="A26" s="0" t="s">
        <v>576</v>
      </c>
      <c r="B26" s="0" t="n">
        <v>1</v>
      </c>
      <c r="C26" s="0" t="n">
        <v>23.5</v>
      </c>
      <c r="D26" s="0" t="n">
        <v>3.41</v>
      </c>
      <c r="E26" s="0" t="n">
        <v>1.23</v>
      </c>
      <c r="F26" s="10" t="n">
        <v>0.2651</v>
      </c>
      <c r="G26" s="0" t="n">
        <v>21.26</v>
      </c>
    </row>
    <row r="27" customFormat="false" ht="15" hidden="false" customHeight="false" outlineLevel="0" collapsed="false">
      <c r="A27" s="0" t="s">
        <v>576</v>
      </c>
      <c r="B27" s="0" t="n">
        <v>2</v>
      </c>
      <c r="C27" s="0" t="n">
        <v>17.5</v>
      </c>
      <c r="D27" s="0" t="n">
        <v>1.12</v>
      </c>
      <c r="E27" s="0" t="n">
        <v>4.77</v>
      </c>
      <c r="F27" s="10" t="n">
        <v>0.8098</v>
      </c>
      <c r="G27" s="0" t="n">
        <v>21.25</v>
      </c>
    </row>
    <row r="28" customFormat="false" ht="15" hidden="false" customHeight="false" outlineLevel="0" collapsed="false">
      <c r="A28" s="0" t="s">
        <v>576</v>
      </c>
      <c r="B28" s="0" t="n">
        <v>2</v>
      </c>
      <c r="C28" s="0" t="n">
        <v>18.5</v>
      </c>
      <c r="D28" s="0" t="n">
        <v>1.21</v>
      </c>
      <c r="E28" s="0" t="n">
        <v>3.55</v>
      </c>
      <c r="F28" s="10" t="n">
        <v>0.7458</v>
      </c>
      <c r="G28" s="0" t="n">
        <v>21.25</v>
      </c>
    </row>
    <row r="29" customFormat="false" ht="15" hidden="false" customHeight="false" outlineLevel="0" collapsed="false">
      <c r="A29" s="0" t="s">
        <v>576</v>
      </c>
      <c r="B29" s="0" t="n">
        <v>2</v>
      </c>
      <c r="C29" s="0" t="n">
        <v>19.5</v>
      </c>
      <c r="D29" s="0" t="n">
        <v>1.36</v>
      </c>
      <c r="E29" s="0" t="n">
        <v>2.71</v>
      </c>
      <c r="F29" s="10" t="n">
        <v>0.6658</v>
      </c>
      <c r="G29" s="0" t="n">
        <v>21.25</v>
      </c>
    </row>
    <row r="30" customFormat="false" ht="15" hidden="false" customHeight="false" outlineLevel="0" collapsed="false">
      <c r="A30" s="0" t="s">
        <v>576</v>
      </c>
      <c r="B30" s="0" t="n">
        <v>2</v>
      </c>
      <c r="C30" s="0" t="n">
        <v>20.5</v>
      </c>
      <c r="D30" s="0" t="n">
        <v>1.59</v>
      </c>
      <c r="E30" s="0" t="n">
        <v>2.15</v>
      </c>
      <c r="F30" s="10" t="n">
        <v>0.5749</v>
      </c>
      <c r="G30" s="0" t="n">
        <v>21.25</v>
      </c>
    </row>
    <row r="31" customFormat="false" ht="15" hidden="false" customHeight="false" outlineLevel="0" collapsed="false">
      <c r="A31" s="0" t="s">
        <v>576</v>
      </c>
      <c r="B31" s="0" t="n">
        <v>2</v>
      </c>
      <c r="C31" s="0" t="n">
        <v>21.5</v>
      </c>
      <c r="D31" s="0" t="n">
        <v>1.93</v>
      </c>
      <c r="E31" s="0" t="n">
        <v>1.75</v>
      </c>
      <c r="F31" s="10" t="n">
        <v>0.4755</v>
      </c>
      <c r="G31" s="0" t="n">
        <v>21.25</v>
      </c>
    </row>
    <row r="32" customFormat="false" ht="15" hidden="false" customHeight="false" outlineLevel="0" collapsed="false">
      <c r="A32" s="0" t="s">
        <v>576</v>
      </c>
      <c r="B32" s="0" t="n">
        <v>2</v>
      </c>
      <c r="C32" s="0" t="n">
        <v>22.5</v>
      </c>
      <c r="D32" s="0" t="n">
        <v>2.45</v>
      </c>
      <c r="E32" s="0" t="n">
        <v>1.44</v>
      </c>
      <c r="F32" s="10" t="n">
        <v>0.3702</v>
      </c>
      <c r="G32" s="0" t="n">
        <v>21.25</v>
      </c>
    </row>
    <row r="33" customFormat="false" ht="15" hidden="false" customHeight="false" outlineLevel="0" collapsed="false">
      <c r="A33" s="0" t="s">
        <v>576</v>
      </c>
      <c r="B33" s="0" t="n">
        <v>2</v>
      </c>
      <c r="C33" s="0" t="n">
        <v>23.5</v>
      </c>
      <c r="D33" s="0" t="n">
        <v>3.42</v>
      </c>
      <c r="E33" s="0" t="n">
        <v>1.23</v>
      </c>
      <c r="F33" s="10" t="n">
        <v>0.2645</v>
      </c>
      <c r="G33" s="0" t="n">
        <v>21.25</v>
      </c>
    </row>
    <row r="34" customFormat="false" ht="15" hidden="false" customHeight="false" outlineLevel="0" collapsed="false">
      <c r="A34" s="0" t="s">
        <v>583</v>
      </c>
      <c r="B34" s="0" t="n">
        <v>1</v>
      </c>
      <c r="C34" s="0" t="n">
        <v>20.5</v>
      </c>
      <c r="D34" s="0" t="n">
        <v>1.66</v>
      </c>
      <c r="E34" s="0" t="n">
        <v>2.05</v>
      </c>
      <c r="F34" s="10" t="n">
        <v>0.5526</v>
      </c>
      <c r="G34" s="0" t="n">
        <v>21.03</v>
      </c>
    </row>
    <row r="35" customFormat="false" ht="15" hidden="false" customHeight="false" outlineLevel="0" collapsed="false">
      <c r="A35" s="0" t="s">
        <v>583</v>
      </c>
      <c r="B35" s="0" t="n">
        <v>1</v>
      </c>
      <c r="C35" s="0" t="n">
        <v>21.5</v>
      </c>
      <c r="D35" s="0" t="n">
        <v>2.03</v>
      </c>
      <c r="E35" s="0" t="n">
        <v>1.68</v>
      </c>
      <c r="F35" s="10" t="n">
        <v>0.4528</v>
      </c>
      <c r="G35" s="0" t="n">
        <v>21.03</v>
      </c>
    </row>
    <row r="36" customFormat="false" ht="15" hidden="false" customHeight="false" outlineLevel="0" collapsed="false">
      <c r="A36" s="0" t="s">
        <v>583</v>
      </c>
      <c r="B36" s="0" t="n">
        <v>2</v>
      </c>
      <c r="C36" s="0" t="n">
        <v>20.5</v>
      </c>
      <c r="D36" s="0" t="n">
        <v>1.67</v>
      </c>
      <c r="E36" s="0" t="n">
        <v>2.03</v>
      </c>
      <c r="F36" s="10" t="n">
        <v>0.5486</v>
      </c>
      <c r="G36" s="0" t="n">
        <v>20.99</v>
      </c>
    </row>
    <row r="37" customFormat="false" ht="15" hidden="false" customHeight="false" outlineLevel="0" collapsed="false">
      <c r="A37" s="0" t="s">
        <v>583</v>
      </c>
      <c r="B37" s="0" t="n">
        <v>2</v>
      </c>
      <c r="C37" s="0" t="n">
        <v>21.5</v>
      </c>
      <c r="D37" s="0" t="n">
        <v>2.04</v>
      </c>
      <c r="E37" s="0" t="n">
        <v>1.67</v>
      </c>
      <c r="F37" s="10" t="n">
        <v>0.4501</v>
      </c>
      <c r="G37" s="0" t="n">
        <v>20.99</v>
      </c>
    </row>
    <row r="38" customFormat="false" ht="15" hidden="false" customHeight="false" outlineLevel="0" collapsed="false">
      <c r="A38" s="0" t="s">
        <v>590</v>
      </c>
      <c r="B38" s="0" t="n">
        <v>1</v>
      </c>
      <c r="C38" s="0" t="n">
        <v>18.5</v>
      </c>
      <c r="D38" s="0" t="n">
        <v>1.22</v>
      </c>
      <c r="E38" s="0" t="n">
        <v>3.61</v>
      </c>
      <c r="F38" s="10" t="n">
        <v>0.7474</v>
      </c>
      <c r="G38" s="0" t="n">
        <v>21.26</v>
      </c>
    </row>
    <row r="39" customFormat="false" ht="15" hidden="false" customHeight="false" outlineLevel="0" collapsed="false">
      <c r="A39" s="0" t="s">
        <v>590</v>
      </c>
      <c r="B39" s="0" t="n">
        <v>1</v>
      </c>
      <c r="C39" s="0" t="n">
        <v>19.5</v>
      </c>
      <c r="D39" s="0" t="n">
        <v>1.36</v>
      </c>
      <c r="E39" s="0" t="n">
        <v>2.74</v>
      </c>
      <c r="F39" s="10" t="n">
        <v>0.6683</v>
      </c>
      <c r="G39" s="0" t="n">
        <v>21.26</v>
      </c>
    </row>
    <row r="40" customFormat="false" ht="15" hidden="false" customHeight="false" outlineLevel="0" collapsed="false">
      <c r="A40" s="0" t="s">
        <v>590</v>
      </c>
      <c r="B40" s="0" t="n">
        <v>1</v>
      </c>
      <c r="C40" s="0" t="n">
        <v>20.5</v>
      </c>
      <c r="D40" s="0" t="n">
        <v>1.59</v>
      </c>
      <c r="E40" s="0" t="n">
        <v>2.17</v>
      </c>
      <c r="F40" s="10" t="n">
        <v>0.5771</v>
      </c>
      <c r="G40" s="0" t="n">
        <v>21.26</v>
      </c>
    </row>
    <row r="41" customFormat="false" ht="15" hidden="false" customHeight="false" outlineLevel="0" collapsed="false">
      <c r="A41" s="0" t="s">
        <v>590</v>
      </c>
      <c r="B41" s="0" t="n">
        <v>1</v>
      </c>
      <c r="C41" s="0" t="n">
        <v>21.5</v>
      </c>
      <c r="D41" s="0" t="n">
        <v>1.94</v>
      </c>
      <c r="E41" s="0" t="n">
        <v>1.76</v>
      </c>
      <c r="F41" s="10" t="n">
        <v>0.4757</v>
      </c>
      <c r="G41" s="0" t="n">
        <v>21.26</v>
      </c>
    </row>
    <row r="42" customFormat="false" ht="15" hidden="false" customHeight="false" outlineLevel="0" collapsed="false">
      <c r="A42" s="0" t="s">
        <v>590</v>
      </c>
      <c r="B42" s="0" t="n">
        <v>1</v>
      </c>
      <c r="C42" s="0" t="n">
        <v>22.5</v>
      </c>
      <c r="D42" s="0" t="n">
        <v>2.46</v>
      </c>
      <c r="E42" s="0" t="n">
        <v>1.45</v>
      </c>
      <c r="F42" s="10" t="n">
        <v>0.3708</v>
      </c>
      <c r="G42" s="0" t="n">
        <v>21.26</v>
      </c>
    </row>
    <row r="43" customFormat="false" ht="15" hidden="false" customHeight="false" outlineLevel="0" collapsed="false">
      <c r="A43" s="0" t="s">
        <v>590</v>
      </c>
      <c r="B43" s="0" t="n">
        <v>1</v>
      </c>
      <c r="C43" s="0" t="n">
        <v>23.5</v>
      </c>
      <c r="D43" s="0" t="n">
        <v>3.45</v>
      </c>
      <c r="E43" s="0" t="n">
        <v>1.24</v>
      </c>
      <c r="F43" s="10" t="n">
        <v>0.2644</v>
      </c>
      <c r="G43" s="0" t="n">
        <v>21.26</v>
      </c>
    </row>
    <row r="44" customFormat="false" ht="15" hidden="false" customHeight="false" outlineLevel="0" collapsed="false">
      <c r="A44" s="0" t="s">
        <v>590</v>
      </c>
      <c r="B44" s="0" t="n">
        <v>2</v>
      </c>
      <c r="C44" s="0" t="n">
        <v>18.5</v>
      </c>
      <c r="D44" s="0" t="n">
        <v>1.22</v>
      </c>
      <c r="E44" s="0" t="n">
        <v>3.6</v>
      </c>
      <c r="F44" s="10" t="n">
        <v>0.7469</v>
      </c>
      <c r="G44" s="0" t="n">
        <v>21.26</v>
      </c>
    </row>
    <row r="45" customFormat="false" ht="15" hidden="false" customHeight="false" outlineLevel="0" collapsed="false">
      <c r="A45" s="0" t="s">
        <v>590</v>
      </c>
      <c r="B45" s="0" t="n">
        <v>2</v>
      </c>
      <c r="C45" s="0" t="n">
        <v>19.5</v>
      </c>
      <c r="D45" s="0" t="n">
        <v>1.36</v>
      </c>
      <c r="E45" s="0" t="n">
        <v>2.73</v>
      </c>
      <c r="F45" s="10" t="n">
        <v>0.6675</v>
      </c>
      <c r="G45" s="0" t="n">
        <v>21.26</v>
      </c>
    </row>
    <row r="46" customFormat="false" ht="15" hidden="false" customHeight="false" outlineLevel="0" collapsed="false">
      <c r="A46" s="0" t="s">
        <v>590</v>
      </c>
      <c r="B46" s="0" t="n">
        <v>2</v>
      </c>
      <c r="C46" s="0" t="n">
        <v>20.5</v>
      </c>
      <c r="D46" s="0" t="n">
        <v>1.59</v>
      </c>
      <c r="E46" s="0" t="n">
        <v>2.17</v>
      </c>
      <c r="F46" s="10" t="n">
        <v>0.5771</v>
      </c>
      <c r="G46" s="0" t="n">
        <v>21.26</v>
      </c>
    </row>
    <row r="47" customFormat="false" ht="15" hidden="false" customHeight="false" outlineLevel="0" collapsed="false">
      <c r="A47" s="0" t="s">
        <v>590</v>
      </c>
      <c r="B47" s="0" t="n">
        <v>2</v>
      </c>
      <c r="C47" s="0" t="n">
        <v>21.5</v>
      </c>
      <c r="D47" s="0" t="n">
        <v>1.94</v>
      </c>
      <c r="E47" s="0" t="n">
        <v>1.76</v>
      </c>
      <c r="F47" s="10" t="n">
        <v>0.4757</v>
      </c>
      <c r="G47" s="0" t="n">
        <v>21.26</v>
      </c>
    </row>
    <row r="48" customFormat="false" ht="15" hidden="false" customHeight="false" outlineLevel="0" collapsed="false">
      <c r="A48" s="0" t="s">
        <v>590</v>
      </c>
      <c r="B48" s="0" t="n">
        <v>2</v>
      </c>
      <c r="C48" s="0" t="n">
        <v>22.5</v>
      </c>
      <c r="D48" s="0" t="n">
        <v>2.47</v>
      </c>
      <c r="E48" s="0" t="n">
        <v>1.45</v>
      </c>
      <c r="F48" s="10" t="n">
        <v>0.3699</v>
      </c>
      <c r="G48" s="0" t="n">
        <v>21.26</v>
      </c>
    </row>
    <row r="49" customFormat="false" ht="15" hidden="false" customHeight="false" outlineLevel="0" collapsed="false">
      <c r="A49" s="0" t="s">
        <v>590</v>
      </c>
      <c r="B49" s="0" t="n">
        <v>2</v>
      </c>
      <c r="C49" s="0" t="n">
        <v>23.5</v>
      </c>
      <c r="D49" s="0" t="n">
        <v>3.46</v>
      </c>
      <c r="E49" s="0" t="n">
        <v>1.23</v>
      </c>
      <c r="F49" s="10" t="n">
        <v>0.2623</v>
      </c>
      <c r="G49" s="0" t="n">
        <v>21.26</v>
      </c>
    </row>
    <row r="50" customFormat="false" ht="15" hidden="false" customHeight="false" outlineLevel="0" collapsed="false">
      <c r="A50" s="0" t="s">
        <v>597</v>
      </c>
      <c r="B50" s="0" t="n">
        <v>1</v>
      </c>
      <c r="C50" s="0" t="n">
        <v>19.5</v>
      </c>
      <c r="D50" s="0" t="n">
        <v>1.35</v>
      </c>
      <c r="E50" s="0" t="n">
        <v>2.89</v>
      </c>
      <c r="F50" s="10" t="n">
        <v>0.6816</v>
      </c>
      <c r="G50" s="0" t="n">
        <v>21.33</v>
      </c>
    </row>
    <row r="51" customFormat="false" ht="15" hidden="false" customHeight="false" outlineLevel="0" collapsed="false">
      <c r="A51" s="0" t="s">
        <v>597</v>
      </c>
      <c r="B51" s="0" t="n">
        <v>1</v>
      </c>
      <c r="C51" s="0" t="n">
        <v>20.5</v>
      </c>
      <c r="D51" s="0" t="n">
        <v>1.57</v>
      </c>
      <c r="E51" s="0" t="n">
        <v>2.23</v>
      </c>
      <c r="F51" s="10" t="n">
        <v>0.5868</v>
      </c>
      <c r="G51" s="0" t="n">
        <v>21.33</v>
      </c>
    </row>
    <row r="52" customFormat="false" ht="15" hidden="false" customHeight="false" outlineLevel="0" collapsed="false">
      <c r="A52" s="0" t="s">
        <v>597</v>
      </c>
      <c r="B52" s="0" t="n">
        <v>1</v>
      </c>
      <c r="C52" s="0" t="n">
        <v>21.5</v>
      </c>
      <c r="D52" s="0" t="n">
        <v>1.91</v>
      </c>
      <c r="E52" s="0" t="n">
        <v>1.78</v>
      </c>
      <c r="F52" s="10" t="n">
        <v>0.4824</v>
      </c>
      <c r="G52" s="0" t="n">
        <v>21.33</v>
      </c>
    </row>
    <row r="53" customFormat="false" ht="15" hidden="false" customHeight="false" outlineLevel="0" collapsed="false">
      <c r="A53" s="0" t="s">
        <v>597</v>
      </c>
      <c r="B53" s="0" t="n">
        <v>1</v>
      </c>
      <c r="C53" s="0" t="n">
        <v>22.5</v>
      </c>
      <c r="D53" s="0" t="n">
        <v>2.47</v>
      </c>
      <c r="E53" s="0" t="n">
        <v>1.47</v>
      </c>
      <c r="F53" s="10" t="n">
        <v>0.3731</v>
      </c>
      <c r="G53" s="0" t="n">
        <v>21.33</v>
      </c>
    </row>
    <row r="54" customFormat="false" ht="15" hidden="false" customHeight="false" outlineLevel="0" collapsed="false">
      <c r="A54" s="0" t="s">
        <v>597</v>
      </c>
      <c r="B54" s="0" t="n">
        <v>2</v>
      </c>
      <c r="C54" s="0" t="n">
        <v>19.5</v>
      </c>
      <c r="D54" s="0" t="n">
        <v>1.36</v>
      </c>
      <c r="E54" s="0" t="n">
        <v>2.85</v>
      </c>
      <c r="F54" s="10" t="n">
        <v>0.677</v>
      </c>
      <c r="G54" s="0" t="n">
        <v>21.29</v>
      </c>
    </row>
    <row r="55" customFormat="false" ht="15" hidden="false" customHeight="false" outlineLevel="0" collapsed="false">
      <c r="A55" s="0" t="s">
        <v>597</v>
      </c>
      <c r="B55" s="0" t="n">
        <v>2</v>
      </c>
      <c r="C55" s="0" t="n">
        <v>20.5</v>
      </c>
      <c r="D55" s="0" t="n">
        <v>1.58</v>
      </c>
      <c r="E55" s="0" t="n">
        <v>2.21</v>
      </c>
      <c r="F55" s="10" t="n">
        <v>0.5831</v>
      </c>
      <c r="G55" s="0" t="n">
        <v>21.29</v>
      </c>
    </row>
    <row r="56" customFormat="false" ht="15" hidden="false" customHeight="false" outlineLevel="0" collapsed="false">
      <c r="A56" s="0" t="s">
        <v>597</v>
      </c>
      <c r="B56" s="0" t="n">
        <v>2</v>
      </c>
      <c r="C56" s="0" t="n">
        <v>21.5</v>
      </c>
      <c r="D56" s="0" t="n">
        <v>1.93</v>
      </c>
      <c r="E56" s="0" t="n">
        <v>1.77</v>
      </c>
      <c r="F56" s="10" t="n">
        <v>0.4784</v>
      </c>
      <c r="G56" s="0" t="n">
        <v>21.29</v>
      </c>
    </row>
    <row r="57" customFormat="false" ht="15" hidden="false" customHeight="false" outlineLevel="0" collapsed="false">
      <c r="A57" s="0" t="s">
        <v>597</v>
      </c>
      <c r="B57" s="0" t="n">
        <v>2</v>
      </c>
      <c r="C57" s="0" t="n">
        <v>22.5</v>
      </c>
      <c r="D57" s="0" t="n">
        <v>2.49</v>
      </c>
      <c r="E57" s="0" t="n">
        <v>1.46</v>
      </c>
      <c r="F57" s="10" t="n">
        <v>0.3696</v>
      </c>
      <c r="G57" s="0" t="n">
        <v>21.29</v>
      </c>
    </row>
    <row r="58" customFormat="false" ht="15" hidden="false" customHeight="false" outlineLevel="0" collapsed="false">
      <c r="A58" s="0" t="s">
        <v>606</v>
      </c>
      <c r="B58" s="0" t="n">
        <v>1</v>
      </c>
      <c r="C58" s="0" t="n">
        <v>19.5</v>
      </c>
      <c r="D58" s="0" t="n">
        <v>1.42</v>
      </c>
      <c r="E58" s="0" t="n">
        <v>2.62</v>
      </c>
      <c r="F58" s="10" t="n">
        <v>0.6485</v>
      </c>
      <c r="G58" s="0" t="n">
        <v>21.02</v>
      </c>
    </row>
    <row r="59" customFormat="false" ht="15" hidden="false" customHeight="false" outlineLevel="0" collapsed="false">
      <c r="A59" s="0" t="s">
        <v>606</v>
      </c>
      <c r="B59" s="0" t="n">
        <v>1</v>
      </c>
      <c r="C59" s="0" t="n">
        <v>20.5</v>
      </c>
      <c r="D59" s="0" t="n">
        <v>1.67</v>
      </c>
      <c r="E59" s="0" t="n">
        <v>2.06</v>
      </c>
      <c r="F59" s="10" t="n">
        <v>0.5523</v>
      </c>
      <c r="G59" s="0" t="n">
        <v>21.02</v>
      </c>
    </row>
    <row r="60" customFormat="false" ht="15" hidden="false" customHeight="false" outlineLevel="0" collapsed="false">
      <c r="A60" s="0" t="s">
        <v>606</v>
      </c>
      <c r="B60" s="0" t="n">
        <v>1</v>
      </c>
      <c r="C60" s="0" t="n">
        <v>21.5</v>
      </c>
      <c r="D60" s="0" t="n">
        <v>2.04</v>
      </c>
      <c r="E60" s="0" t="n">
        <v>1.68</v>
      </c>
      <c r="F60" s="10" t="n">
        <v>0.4516</v>
      </c>
      <c r="G60" s="0" t="n">
        <v>21.02</v>
      </c>
    </row>
    <row r="61" customFormat="false" ht="15" hidden="false" customHeight="false" outlineLevel="0" collapsed="false">
      <c r="A61" s="0" t="s">
        <v>606</v>
      </c>
      <c r="B61" s="0" t="n">
        <v>1</v>
      </c>
      <c r="C61" s="0" t="n">
        <v>22.5</v>
      </c>
      <c r="D61" s="0" t="n">
        <v>2.65</v>
      </c>
      <c r="E61" s="0" t="n">
        <v>1.41</v>
      </c>
      <c r="F61" s="10" t="n">
        <v>0.3473</v>
      </c>
      <c r="G61" s="0" t="n">
        <v>21.02</v>
      </c>
    </row>
    <row r="62" customFormat="false" ht="15" hidden="false" customHeight="false" outlineLevel="0" collapsed="false">
      <c r="A62" s="0" t="s">
        <v>606</v>
      </c>
      <c r="B62" s="0" t="n">
        <v>2</v>
      </c>
      <c r="C62" s="0" t="n">
        <v>19.5</v>
      </c>
      <c r="D62" s="0" t="n">
        <v>1.43</v>
      </c>
      <c r="E62" s="0" t="n">
        <v>2.6</v>
      </c>
      <c r="F62" s="10" t="n">
        <v>0.6452</v>
      </c>
      <c r="G62" s="0" t="n">
        <v>20.99</v>
      </c>
    </row>
    <row r="63" customFormat="false" ht="15" hidden="false" customHeight="false" outlineLevel="0" collapsed="false">
      <c r="A63" s="0" t="s">
        <v>606</v>
      </c>
      <c r="B63" s="0" t="n">
        <v>2</v>
      </c>
      <c r="C63" s="0" t="n">
        <v>20.5</v>
      </c>
      <c r="D63" s="0" t="n">
        <v>1.68</v>
      </c>
      <c r="E63" s="0" t="n">
        <v>2.05</v>
      </c>
      <c r="F63" s="10" t="n">
        <v>0.5496</v>
      </c>
      <c r="G63" s="0" t="n">
        <v>20.99</v>
      </c>
    </row>
    <row r="64" customFormat="false" ht="15" hidden="false" customHeight="false" outlineLevel="0" collapsed="false">
      <c r="A64" s="0" t="s">
        <v>606</v>
      </c>
      <c r="B64" s="0" t="n">
        <v>2</v>
      </c>
      <c r="C64" s="0" t="n">
        <v>21.5</v>
      </c>
      <c r="D64" s="0" t="n">
        <v>2.06</v>
      </c>
      <c r="E64" s="0" t="n">
        <v>1.67</v>
      </c>
      <c r="F64" s="10" t="n">
        <v>0.4477</v>
      </c>
      <c r="G64" s="0" t="n">
        <v>20.99</v>
      </c>
    </row>
    <row r="65" customFormat="false" ht="15" hidden="false" customHeight="false" outlineLevel="0" collapsed="false">
      <c r="A65" s="0" t="s">
        <v>606</v>
      </c>
      <c r="B65" s="0" t="n">
        <v>2</v>
      </c>
      <c r="C65" s="0" t="n">
        <v>22.5</v>
      </c>
      <c r="D65" s="0" t="n">
        <v>2.67</v>
      </c>
      <c r="E65" s="0" t="n">
        <v>1.41</v>
      </c>
      <c r="F65" s="10" t="n">
        <v>0.3456</v>
      </c>
      <c r="G65" s="0" t="n">
        <v>20.99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734</v>
      </c>
      <c r="B1" s="12" t="s">
        <v>530</v>
      </c>
      <c r="C1" s="12" t="s">
        <v>767</v>
      </c>
      <c r="D1" s="12" t="s">
        <v>1214</v>
      </c>
      <c r="E1" s="12" t="s">
        <v>1215</v>
      </c>
      <c r="F1" s="12" t="s">
        <v>1216</v>
      </c>
      <c r="G1" s="12" t="s">
        <v>1217</v>
      </c>
      <c r="H1" s="12" t="s">
        <v>1218</v>
      </c>
      <c r="I1" s="12" t="s">
        <v>1219</v>
      </c>
      <c r="J1" s="12" t="s">
        <v>1220</v>
      </c>
      <c r="K1" s="12" t="s">
        <v>1221</v>
      </c>
      <c r="L1" s="12" t="s">
        <v>1222</v>
      </c>
      <c r="M1" s="12" t="s">
        <v>1223</v>
      </c>
      <c r="N1" s="12" t="s">
        <v>1224</v>
      </c>
    </row>
    <row r="2" customFormat="false" ht="15" hidden="false" customHeight="false" outlineLevel="0" collapsed="false">
      <c r="A2" s="0" t="s">
        <v>1225</v>
      </c>
      <c r="B2" s="0" t="s">
        <v>485</v>
      </c>
      <c r="C2" s="0" t="s">
        <v>1226</v>
      </c>
      <c r="D2" s="0" t="s">
        <v>574</v>
      </c>
      <c r="F2" s="0" t="n">
        <v>7.67</v>
      </c>
      <c r="G2" s="0" t="n">
        <v>8.15</v>
      </c>
      <c r="H2" s="10" t="n">
        <v>0.389</v>
      </c>
      <c r="I2" s="10" t="n">
        <v>0.111</v>
      </c>
      <c r="J2" s="10" t="n">
        <v>0.167</v>
      </c>
      <c r="K2" s="10" t="n">
        <v>0.333</v>
      </c>
      <c r="L2" s="10" t="n">
        <v>0.023</v>
      </c>
      <c r="M2" s="10" t="n">
        <f aca="false">IFERROR((2*H2+2*I2+K2)/(2*H2+3*I2+2*J2+3*K2),"")</f>
        <v>0.545417348608838</v>
      </c>
      <c r="N2" s="10" t="n">
        <f aca="false">IFERROR((M2*13+(1-M2)*G2)/((M2*13+(1-M2)*G2)+(M2*F2+(1-M2)*13)),"")</f>
        <v>0.516812090554577</v>
      </c>
    </row>
    <row r="3" customFormat="false" ht="15" hidden="false" customHeight="false" outlineLevel="0" collapsed="false">
      <c r="A3" s="0" t="s">
        <v>1227</v>
      </c>
      <c r="B3" s="0" t="s">
        <v>485</v>
      </c>
      <c r="C3" s="0" t="s">
        <v>1228</v>
      </c>
      <c r="D3" s="0" t="s">
        <v>1229</v>
      </c>
      <c r="F3" s="0" t="n">
        <v>8.4</v>
      </c>
      <c r="G3" s="0" t="n">
        <v>8</v>
      </c>
      <c r="H3" s="10" t="n">
        <v>0.417</v>
      </c>
      <c r="I3" s="10" t="n">
        <v>0.083</v>
      </c>
      <c r="J3" s="10" t="n">
        <v>0.25</v>
      </c>
      <c r="K3" s="10" t="n">
        <v>0.25</v>
      </c>
      <c r="L3" s="10" t="n">
        <v>0.036</v>
      </c>
      <c r="M3" s="10" t="n">
        <f aca="false">IFERROR((2*H3+2*I3+K3)/(2*H3+3*I3+2*J3+3*K3),"")</f>
        <v>0.535790827261037</v>
      </c>
      <c r="N3" s="10" t="n">
        <f aca="false">IFERROR((M3*13+(1-M3)*G3)/((M3*13+(1-M3)*G3)+(M3*F3+(1-M3)*13)),"")</f>
        <v>0.503384316974118</v>
      </c>
    </row>
    <row r="4" customFormat="false" ht="15" hidden="false" customHeight="false" outlineLevel="0" collapsed="false">
      <c r="A4" s="0" t="s">
        <v>1230</v>
      </c>
      <c r="B4" s="0" t="s">
        <v>576</v>
      </c>
      <c r="C4" s="0" t="s">
        <v>1226</v>
      </c>
      <c r="D4" s="0" t="s">
        <v>1231</v>
      </c>
      <c r="F4" s="0" t="n">
        <v>7.19</v>
      </c>
      <c r="G4" s="0" t="n">
        <v>10.33</v>
      </c>
      <c r="H4" s="10" t="n">
        <v>0.357</v>
      </c>
      <c r="I4" s="10" t="n">
        <v>0.214</v>
      </c>
      <c r="J4" s="10" t="n">
        <v>0.071</v>
      </c>
      <c r="K4" s="10" t="n">
        <v>0.357</v>
      </c>
      <c r="L4" s="10" t="n">
        <v>0.056</v>
      </c>
      <c r="M4" s="10" t="n">
        <f aca="false">IFERROR((2*H4+2*I4+K4)/(2*H4+3*I4+2*J4+3*K4),"")</f>
        <v>0.583495523550019</v>
      </c>
      <c r="N4" s="10" t="n">
        <f aca="false">IFERROR((M4*13+(1-M4)*G4)/((M4*13+(1-M4)*G4)+(M4*F4+(1-M4)*13)),"")</f>
        <v>0.552983084096429</v>
      </c>
    </row>
    <row r="5" customFormat="false" ht="15" hidden="false" customHeight="false" outlineLevel="0" collapsed="false">
      <c r="A5" s="0" t="s">
        <v>1232</v>
      </c>
      <c r="B5" s="0" t="s">
        <v>576</v>
      </c>
      <c r="C5" s="0" t="s">
        <v>1228</v>
      </c>
      <c r="D5" s="0" t="s">
        <v>582</v>
      </c>
      <c r="F5" s="0" t="n">
        <v>8.54</v>
      </c>
      <c r="G5" s="0" t="n">
        <v>9.9</v>
      </c>
      <c r="H5" s="10" t="n">
        <v>0.222</v>
      </c>
      <c r="I5" s="10" t="n">
        <v>0.389</v>
      </c>
      <c r="J5" s="10" t="n">
        <v>0.167</v>
      </c>
      <c r="K5" s="10" t="n">
        <v>0.222</v>
      </c>
      <c r="L5" s="10" t="n">
        <v>0.043</v>
      </c>
      <c r="M5" s="10" t="n">
        <f aca="false">IFERROR((2*H5+2*I5+K5)/(2*H5+3*I5+2*J5+3*K5),"")</f>
        <v>0.553044810417465</v>
      </c>
      <c r="N5" s="10" t="n">
        <f aca="false">IFERROR((M5*13+(1-M5)*G5)/((M5*13+(1-M5)*G5)+(M5*F5+(1-M5)*13)),"")</f>
        <v>0.524404588360737</v>
      </c>
    </row>
    <row r="6" customFormat="false" ht="15" hidden="false" customHeight="false" outlineLevel="0" collapsed="false">
      <c r="A6" s="0" t="s">
        <v>1233</v>
      </c>
      <c r="B6" s="0" t="s">
        <v>583</v>
      </c>
      <c r="C6" s="0" t="s">
        <v>1226</v>
      </c>
      <c r="D6" s="0" t="s">
        <v>1234</v>
      </c>
      <c r="F6" s="0" t="n">
        <v>8.52</v>
      </c>
      <c r="G6" s="0" t="n">
        <v>8.43</v>
      </c>
      <c r="H6" s="10" t="n">
        <v>0.182</v>
      </c>
      <c r="I6" s="10" t="n">
        <v>0.364</v>
      </c>
      <c r="J6" s="10" t="n">
        <v>0.318</v>
      </c>
      <c r="K6" s="10" t="n">
        <v>0.136</v>
      </c>
      <c r="L6" s="10" t="n">
        <v>0.055</v>
      </c>
      <c r="M6" s="10" t="n">
        <f aca="false">IFERROR((2*H6+2*I6+K6)/(2*H6+3*I6+2*J6+3*K6),"")</f>
        <v>0.4912</v>
      </c>
      <c r="N6" s="10" t="n">
        <f aca="false">IFERROR((M6*13+(1-M6)*G6)/((M6*13+(1-M6)*G6)+(M6*F6+(1-M6)*13)),"")</f>
        <v>0.497097913925394</v>
      </c>
    </row>
    <row r="7" customFormat="false" ht="15" hidden="false" customHeight="false" outlineLevel="0" collapsed="false">
      <c r="A7" s="0" t="s">
        <v>1235</v>
      </c>
      <c r="B7" s="0" t="s">
        <v>583</v>
      </c>
      <c r="C7" s="0" t="s">
        <v>1228</v>
      </c>
      <c r="D7" s="0" t="s">
        <v>1236</v>
      </c>
      <c r="F7" s="0" t="n">
        <v>7.03</v>
      </c>
      <c r="G7" s="0" t="n">
        <v>8.17</v>
      </c>
      <c r="H7" s="10" t="n">
        <v>0.333</v>
      </c>
      <c r="I7" s="10" t="n">
        <v>0.259</v>
      </c>
      <c r="J7" s="10" t="n">
        <v>0.185</v>
      </c>
      <c r="K7" s="10" t="n">
        <v>0.222</v>
      </c>
      <c r="L7" s="10" t="n">
        <v>0.015</v>
      </c>
      <c r="M7" s="10" t="n">
        <f aca="false">IFERROR((2*H7+2*I7+K7)/(2*H7+3*I7+2*J7+3*K7),"")</f>
        <v>0.567164179104478</v>
      </c>
      <c r="N7" s="10" t="n">
        <f aca="false">IFERROR((M7*13+(1-M7)*G7)/((M7*13+(1-M7)*G7)+(M7*F7+(1-M7)*13)),"")</f>
        <v>0.531558393390882</v>
      </c>
    </row>
    <row r="8" customFormat="false" ht="15" hidden="false" customHeight="false" outlineLevel="0" collapsed="false">
      <c r="A8" s="0" t="s">
        <v>1237</v>
      </c>
      <c r="B8" s="0" t="s">
        <v>590</v>
      </c>
      <c r="C8" s="0" t="s">
        <v>1226</v>
      </c>
      <c r="D8" s="0" t="s">
        <v>1238</v>
      </c>
      <c r="F8" s="0" t="n">
        <v>7.23</v>
      </c>
      <c r="G8" s="0" t="n">
        <v>7.8</v>
      </c>
      <c r="H8" s="10" t="n">
        <v>0.308</v>
      </c>
      <c r="I8" s="10" t="n">
        <v>0.256</v>
      </c>
      <c r="J8" s="10" t="n">
        <v>0.205</v>
      </c>
      <c r="K8" s="10" t="n">
        <v>0.231</v>
      </c>
      <c r="L8" s="10" t="n">
        <v>0.041</v>
      </c>
      <c r="M8" s="10" t="n">
        <f aca="false">IFERROR((2*H8+2*I8+K8)/(2*H8+3*I8+2*J8+3*K8),"")</f>
        <v>0.546441495778046</v>
      </c>
      <c r="N8" s="10" t="n">
        <f aca="false">IFERROR((M8*13+(1-M8)*G8)/((M8*13+(1-M8)*G8)+(M8*F8+(1-M8)*13)),"")</f>
        <v>0.519388000817192</v>
      </c>
    </row>
    <row r="9" customFormat="false" ht="15" hidden="false" customHeight="false" outlineLevel="0" collapsed="false">
      <c r="A9" s="0" t="s">
        <v>1239</v>
      </c>
      <c r="B9" s="0" t="s">
        <v>590</v>
      </c>
      <c r="C9" s="0" t="s">
        <v>1228</v>
      </c>
      <c r="D9" s="0" t="s">
        <v>1240</v>
      </c>
      <c r="F9" s="0" t="n">
        <v>8.35</v>
      </c>
      <c r="G9" s="0" t="n">
        <v>8.58</v>
      </c>
      <c r="H9" s="10" t="n">
        <v>0.343</v>
      </c>
      <c r="I9" s="10" t="n">
        <v>0.314</v>
      </c>
      <c r="J9" s="10" t="n">
        <v>0.2</v>
      </c>
      <c r="K9" s="10" t="n">
        <v>0.143</v>
      </c>
      <c r="L9" s="10" t="n">
        <v>0.057</v>
      </c>
      <c r="M9" s="10" t="n">
        <f aca="false">IFERROR((2*H9+2*I9+K9)/(2*H9+3*I9+2*J9+3*K9),"")</f>
        <v>0.592999592999593</v>
      </c>
      <c r="N9" s="10" t="n">
        <f aca="false">IFERROR((M9*13+(1-M9)*G9)/((M9*13+(1-M9)*G9)+(M9*F9+(1-M9)*13)),"")</f>
        <v>0.522349462248242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1241</v>
      </c>
      <c r="B1" s="12" t="s">
        <v>829</v>
      </c>
    </row>
    <row r="2" customFormat="false" ht="15" hidden="false" customHeight="false" outlineLevel="0" collapsed="false">
      <c r="A2" s="0" t="s">
        <v>1242</v>
      </c>
      <c r="B2" s="0" t="n">
        <v>7.67</v>
      </c>
    </row>
    <row r="3" customFormat="false" ht="15" hidden="false" customHeight="false" outlineLevel="0" collapsed="false">
      <c r="A3" s="0" t="s">
        <v>1243</v>
      </c>
      <c r="B3" s="0" t="n">
        <v>8.15</v>
      </c>
    </row>
    <row r="4" customFormat="false" ht="15" hidden="false" customHeight="false" outlineLevel="0" collapsed="false">
      <c r="A4" s="0" t="s">
        <v>1244</v>
      </c>
      <c r="B4" s="0" t="n">
        <v>7.17</v>
      </c>
    </row>
    <row r="5" customFormat="false" ht="15" hidden="false" customHeight="false" outlineLevel="0" collapsed="false">
      <c r="A5" s="0" t="s">
        <v>1245</v>
      </c>
      <c r="B5" s="0" t="n">
        <v>8.17</v>
      </c>
    </row>
    <row r="6" customFormat="false" ht="15" hidden="false" customHeight="false" outlineLevel="0" collapsed="false">
      <c r="A6" s="0" t="s">
        <v>1246</v>
      </c>
      <c r="B6" s="0" t="n">
        <v>8.5</v>
      </c>
    </row>
    <row r="7" customFormat="false" ht="15" hidden="false" customHeight="false" outlineLevel="0" collapsed="false">
      <c r="A7" s="0" t="s">
        <v>1247</v>
      </c>
      <c r="B7" s="0" t="n">
        <v>8.5</v>
      </c>
    </row>
    <row r="8" customFormat="false" ht="15" hidden="false" customHeight="false" outlineLevel="0" collapsed="false">
      <c r="A8" s="0" t="s">
        <v>1248</v>
      </c>
      <c r="B8" s="0" t="n">
        <v>8.2</v>
      </c>
    </row>
    <row r="9" customFormat="false" ht="15" hidden="false" customHeight="false" outlineLevel="0" collapsed="false">
      <c r="A9" s="0" t="s">
        <v>1249</v>
      </c>
      <c r="B9" s="0" t="n">
        <v>7.8</v>
      </c>
    </row>
    <row r="10" customFormat="false" ht="15" hidden="false" customHeight="false" outlineLevel="0" collapsed="false">
      <c r="A10" s="0" t="s">
        <v>1250</v>
      </c>
      <c r="B10" s="0" t="n">
        <v>8.17</v>
      </c>
    </row>
    <row r="11" customFormat="false" ht="15" hidden="false" customHeight="false" outlineLevel="0" collapsed="false">
      <c r="A11" s="0" t="s">
        <v>1251</v>
      </c>
      <c r="B11" s="0" t="n">
        <v>5</v>
      </c>
    </row>
    <row r="12" customFormat="false" ht="15" hidden="false" customHeight="false" outlineLevel="0" collapsed="false">
      <c r="A12" s="0" t="s">
        <v>1252</v>
      </c>
      <c r="B12" s="0" t="n">
        <v>6</v>
      </c>
    </row>
    <row r="13" customFormat="false" ht="15" hidden="false" customHeight="false" outlineLevel="0" collapsed="false">
      <c r="A13" s="0" t="s">
        <v>1253</v>
      </c>
      <c r="B13" s="0" t="n">
        <v>9</v>
      </c>
    </row>
    <row r="14" customFormat="false" ht="15" hidden="false" customHeight="false" outlineLevel="0" collapsed="false">
      <c r="A14" s="0" t="s">
        <v>1254</v>
      </c>
      <c r="B14" s="0" t="n">
        <v>7.33</v>
      </c>
    </row>
    <row r="15" customFormat="false" ht="15" hidden="false" customHeight="false" outlineLevel="0" collapsed="false">
      <c r="A15" s="0" t="s">
        <v>1255</v>
      </c>
      <c r="B15" s="0" t="n">
        <v>9.75</v>
      </c>
    </row>
    <row r="16" customFormat="false" ht="15" hidden="false" customHeight="false" outlineLevel="0" collapsed="false">
      <c r="A16" s="0" t="s">
        <v>1256</v>
      </c>
      <c r="B16" s="0" t="n">
        <v>8.4</v>
      </c>
    </row>
    <row r="17" customFormat="false" ht="15" hidden="false" customHeight="false" outlineLevel="0" collapsed="false">
      <c r="A17" s="0" t="s">
        <v>1257</v>
      </c>
      <c r="B17" s="0" t="n">
        <v>8</v>
      </c>
    </row>
    <row r="18" customFormat="false" ht="15" hidden="false" customHeight="false" outlineLevel="0" collapsed="false">
      <c r="A18" s="0" t="s">
        <v>1258</v>
      </c>
      <c r="B18" s="0" t="n">
        <v>8</v>
      </c>
    </row>
    <row r="19" customFormat="false" ht="15" hidden="false" customHeight="false" outlineLevel="0" collapsed="false">
      <c r="A19" s="0" t="s">
        <v>1259</v>
      </c>
      <c r="B19" s="0" t="n">
        <v>8</v>
      </c>
    </row>
    <row r="20" customFormat="false" ht="15" hidden="false" customHeight="false" outlineLevel="0" collapsed="false">
      <c r="A20" s="0" t="s">
        <v>1260</v>
      </c>
      <c r="B20" s="0" t="n">
        <v>11.33</v>
      </c>
    </row>
    <row r="21" customFormat="false" ht="15" hidden="false" customHeight="false" outlineLevel="0" collapsed="false">
      <c r="A21" s="0" t="s">
        <v>1261</v>
      </c>
      <c r="B21" s="0" t="n">
        <v>9</v>
      </c>
    </row>
    <row r="22" customFormat="false" ht="15" hidden="false" customHeight="false" outlineLevel="0" collapsed="false">
      <c r="A22" s="0" t="s">
        <v>1262</v>
      </c>
      <c r="B22" s="0" t="n">
        <v>6.5</v>
      </c>
    </row>
    <row r="23" customFormat="false" ht="15" hidden="false" customHeight="false" outlineLevel="0" collapsed="false">
      <c r="A23" s="0" t="s">
        <v>1263</v>
      </c>
      <c r="B23" s="0" t="n">
        <v>7.33</v>
      </c>
    </row>
    <row r="24" customFormat="false" ht="15" hidden="false" customHeight="false" outlineLevel="0" collapsed="false">
      <c r="A24" s="0" t="s">
        <v>1264</v>
      </c>
      <c r="B24" s="0" t="n">
        <v>7.5</v>
      </c>
    </row>
    <row r="25" customFormat="false" ht="15" hidden="false" customHeight="false" outlineLevel="0" collapsed="false">
      <c r="A25" s="0" t="s">
        <v>1265</v>
      </c>
      <c r="B25" s="0" t="n">
        <v>7.25</v>
      </c>
    </row>
    <row r="26" customFormat="false" ht="15" hidden="false" customHeight="false" outlineLevel="0" collapsed="false">
      <c r="A26" s="0" t="s">
        <v>1266</v>
      </c>
      <c r="B26" s="0" t="n">
        <v>10</v>
      </c>
    </row>
    <row r="27" customFormat="false" ht="15" hidden="false" customHeight="false" outlineLevel="0" collapsed="false">
      <c r="A27" s="0" t="s">
        <v>1267</v>
      </c>
      <c r="B27" s="0" t="n">
        <v>9.33</v>
      </c>
    </row>
    <row r="28" customFormat="false" ht="15" hidden="false" customHeight="false" outlineLevel="0" collapsed="false">
      <c r="A28" s="0" t="s">
        <v>1268</v>
      </c>
      <c r="B28" s="0" t="n">
        <v>7.75</v>
      </c>
    </row>
    <row r="29" customFormat="false" ht="15" hidden="false" customHeight="false" outlineLevel="0" collapsed="false">
      <c r="A29" s="0" t="s">
        <v>1269</v>
      </c>
      <c r="B29" s="0" t="n">
        <v>8</v>
      </c>
    </row>
    <row r="30" customFormat="false" ht="15" hidden="false" customHeight="false" outlineLevel="0" collapsed="false">
      <c r="A30" s="0" t="s">
        <v>1270</v>
      </c>
      <c r="B30" s="0" t="n">
        <v>7.19</v>
      </c>
    </row>
    <row r="31" customFormat="false" ht="15" hidden="false" customHeight="false" outlineLevel="0" collapsed="false">
      <c r="A31" s="0" t="s">
        <v>1271</v>
      </c>
      <c r="B31" s="0" t="n">
        <v>10.33</v>
      </c>
    </row>
    <row r="32" customFormat="false" ht="15" hidden="false" customHeight="false" outlineLevel="0" collapsed="false">
      <c r="A32" s="0" t="s">
        <v>1272</v>
      </c>
      <c r="B32" s="0" t="n">
        <v>8.8</v>
      </c>
    </row>
    <row r="33" customFormat="false" ht="15" hidden="false" customHeight="false" outlineLevel="0" collapsed="false">
      <c r="A33" s="0" t="s">
        <v>1273</v>
      </c>
      <c r="B33" s="0" t="n">
        <v>12</v>
      </c>
    </row>
    <row r="34" customFormat="false" ht="15" hidden="false" customHeight="false" outlineLevel="0" collapsed="false">
      <c r="A34" s="0" t="s">
        <v>1274</v>
      </c>
      <c r="B34" s="0" t="n">
        <v>6</v>
      </c>
    </row>
    <row r="35" customFormat="false" ht="15" hidden="false" customHeight="false" outlineLevel="0" collapsed="false">
      <c r="A35" s="0" t="s">
        <v>1275</v>
      </c>
      <c r="B35" s="0" t="n">
        <v>7</v>
      </c>
    </row>
    <row r="36" customFormat="false" ht="15" hidden="false" customHeight="false" outlineLevel="0" collapsed="false">
      <c r="A36" s="0" t="s">
        <v>1276</v>
      </c>
      <c r="B36" s="0" t="n">
        <v>9.5</v>
      </c>
    </row>
    <row r="37" customFormat="false" ht="15" hidden="false" customHeight="false" outlineLevel="0" collapsed="false">
      <c r="A37" s="0" t="s">
        <v>1277</v>
      </c>
      <c r="B37" s="0" t="n">
        <v>7.67</v>
      </c>
    </row>
    <row r="38" customFormat="false" ht="15" hidden="false" customHeight="false" outlineLevel="0" collapsed="false">
      <c r="A38" s="0" t="s">
        <v>1278</v>
      </c>
      <c r="B38" s="0" t="n">
        <v>9</v>
      </c>
    </row>
    <row r="39" customFormat="false" ht="15" hidden="false" customHeight="false" outlineLevel="0" collapsed="false">
      <c r="A39" s="0" t="s">
        <v>1279</v>
      </c>
      <c r="B39" s="0" t="n">
        <v>7.5</v>
      </c>
    </row>
    <row r="40" customFormat="false" ht="15" hidden="false" customHeight="false" outlineLevel="0" collapsed="false">
      <c r="A40" s="0" t="s">
        <v>1280</v>
      </c>
      <c r="B40" s="0" t="n">
        <v>11.75</v>
      </c>
    </row>
    <row r="41" customFormat="false" ht="15" hidden="false" customHeight="false" outlineLevel="0" collapsed="false">
      <c r="A41" s="0" t="s">
        <v>1281</v>
      </c>
      <c r="B41" s="0" t="n">
        <v>4</v>
      </c>
    </row>
    <row r="42" customFormat="false" ht="15" hidden="false" customHeight="false" outlineLevel="0" collapsed="false">
      <c r="A42" s="0" t="s">
        <v>1282</v>
      </c>
      <c r="B42" s="0" t="n">
        <v>8</v>
      </c>
    </row>
    <row r="43" customFormat="false" ht="15" hidden="false" customHeight="false" outlineLevel="0" collapsed="false">
      <c r="A43" s="0" t="s">
        <v>1283</v>
      </c>
      <c r="B43" s="0" t="n">
        <v>11</v>
      </c>
    </row>
    <row r="44" customFormat="false" ht="15" hidden="false" customHeight="false" outlineLevel="0" collapsed="false">
      <c r="A44" s="0" t="s">
        <v>1284</v>
      </c>
      <c r="B44" s="0" t="n">
        <v>8.54</v>
      </c>
    </row>
    <row r="45" customFormat="false" ht="15" hidden="false" customHeight="false" outlineLevel="0" collapsed="false">
      <c r="A45" s="0" t="s">
        <v>1285</v>
      </c>
      <c r="B45" s="0" t="n">
        <v>9.9</v>
      </c>
    </row>
    <row r="46" customFormat="false" ht="15" hidden="false" customHeight="false" outlineLevel="0" collapsed="false">
      <c r="A46" s="0" t="s">
        <v>1286</v>
      </c>
      <c r="B46" s="0" t="n">
        <v>8.8</v>
      </c>
    </row>
    <row r="47" customFormat="false" ht="15" hidden="false" customHeight="false" outlineLevel="0" collapsed="false">
      <c r="A47" s="0" t="s">
        <v>1287</v>
      </c>
      <c r="B47" s="0" t="n">
        <v>10.33</v>
      </c>
    </row>
    <row r="48" customFormat="false" ht="15" hidden="false" customHeight="false" outlineLevel="0" collapsed="false">
      <c r="A48" s="0" t="s">
        <v>1288</v>
      </c>
      <c r="B48" s="0" t="n">
        <v>11</v>
      </c>
    </row>
    <row r="49" customFormat="false" ht="15" hidden="false" customHeight="false" outlineLevel="0" collapsed="false">
      <c r="A49" s="0" t="s">
        <v>1289</v>
      </c>
      <c r="B49" s="0" t="n">
        <v>9.6</v>
      </c>
    </row>
    <row r="50" customFormat="false" ht="15" hidden="false" customHeight="false" outlineLevel="0" collapsed="false">
      <c r="A50" s="0" t="s">
        <v>1290</v>
      </c>
      <c r="B50" s="0" t="n">
        <v>9.17</v>
      </c>
    </row>
    <row r="51" customFormat="false" ht="15" hidden="false" customHeight="false" outlineLevel="0" collapsed="false">
      <c r="A51" s="0" t="s">
        <v>1291</v>
      </c>
      <c r="B51" s="0" t="n">
        <v>9.67</v>
      </c>
    </row>
    <row r="52" customFormat="false" ht="15" hidden="false" customHeight="false" outlineLevel="0" collapsed="false">
      <c r="A52" s="0" t="s">
        <v>1292</v>
      </c>
      <c r="B52" s="0" t="n">
        <v>7.43</v>
      </c>
    </row>
    <row r="53" customFormat="false" ht="15" hidden="false" customHeight="false" outlineLevel="0" collapsed="false">
      <c r="A53" s="0" t="s">
        <v>1293</v>
      </c>
      <c r="B53" s="0" t="n">
        <v>11</v>
      </c>
    </row>
    <row r="54" customFormat="false" ht="15" hidden="false" customHeight="false" outlineLevel="0" collapsed="false">
      <c r="A54" s="0" t="s">
        <v>1294</v>
      </c>
      <c r="B54" s="0" t="n">
        <v>7.33</v>
      </c>
    </row>
    <row r="55" customFormat="false" ht="15" hidden="false" customHeight="false" outlineLevel="0" collapsed="false">
      <c r="A55" s="0" t="s">
        <v>1295</v>
      </c>
      <c r="B55" s="0" t="n">
        <v>9.67</v>
      </c>
    </row>
    <row r="56" customFormat="false" ht="15" hidden="false" customHeight="false" outlineLevel="0" collapsed="false">
      <c r="A56" s="0" t="s">
        <v>1296</v>
      </c>
      <c r="B56" s="0" t="n">
        <v>8</v>
      </c>
    </row>
    <row r="57" customFormat="false" ht="15" hidden="false" customHeight="false" outlineLevel="0" collapsed="false">
      <c r="A57" s="0" t="s">
        <v>1297</v>
      </c>
      <c r="B57" s="0" t="n">
        <v>10.33</v>
      </c>
    </row>
    <row r="58" customFormat="false" ht="15" hidden="false" customHeight="false" outlineLevel="0" collapsed="false">
      <c r="A58" s="0" t="s">
        <v>1298</v>
      </c>
      <c r="B58" s="0" t="n">
        <v>8.52</v>
      </c>
    </row>
    <row r="59" customFormat="false" ht="15" hidden="false" customHeight="false" outlineLevel="0" collapsed="false">
      <c r="A59" s="0" t="s">
        <v>1299</v>
      </c>
      <c r="B59" s="0" t="n">
        <v>8.43</v>
      </c>
    </row>
    <row r="60" customFormat="false" ht="15" hidden="false" customHeight="false" outlineLevel="0" collapsed="false">
      <c r="A60" s="0" t="s">
        <v>1300</v>
      </c>
      <c r="B60" s="0" t="n">
        <v>8.25</v>
      </c>
    </row>
    <row r="61" customFormat="false" ht="15" hidden="false" customHeight="false" outlineLevel="0" collapsed="false">
      <c r="A61" s="0" t="s">
        <v>1301</v>
      </c>
      <c r="B61" s="0" t="n">
        <v>7.4</v>
      </c>
    </row>
    <row r="62" customFormat="false" ht="15" hidden="false" customHeight="false" outlineLevel="0" collapsed="false">
      <c r="A62" s="0" t="s">
        <v>1302</v>
      </c>
      <c r="B62" s="0" t="n">
        <v>7.33</v>
      </c>
    </row>
    <row r="63" customFormat="false" ht="15" hidden="false" customHeight="false" outlineLevel="0" collapsed="false">
      <c r="A63" s="0" t="s">
        <v>1303</v>
      </c>
      <c r="B63" s="0" t="n">
        <v>9.75</v>
      </c>
    </row>
    <row r="64" customFormat="false" ht="15" hidden="false" customHeight="false" outlineLevel="0" collapsed="false">
      <c r="A64" s="0" t="s">
        <v>1304</v>
      </c>
      <c r="B64" s="0" t="n">
        <v>6.38</v>
      </c>
    </row>
    <row r="65" customFormat="false" ht="15" hidden="false" customHeight="false" outlineLevel="0" collapsed="false">
      <c r="A65" s="0" t="s">
        <v>1305</v>
      </c>
      <c r="B65" s="0" t="n">
        <v>7.5</v>
      </c>
    </row>
    <row r="66" customFormat="false" ht="15" hidden="false" customHeight="false" outlineLevel="0" collapsed="false">
      <c r="A66" s="0" t="s">
        <v>1306</v>
      </c>
      <c r="B66" s="0" t="n">
        <v>7.5</v>
      </c>
    </row>
    <row r="67" customFormat="false" ht="15" hidden="false" customHeight="false" outlineLevel="0" collapsed="false">
      <c r="A67" s="0" t="s">
        <v>1307</v>
      </c>
      <c r="B67" s="0" t="n">
        <v>8</v>
      </c>
    </row>
    <row r="68" customFormat="false" ht="15" hidden="false" customHeight="false" outlineLevel="0" collapsed="false">
      <c r="A68" s="0" t="s">
        <v>1308</v>
      </c>
      <c r="B68" s="0" t="n">
        <v>11.6</v>
      </c>
    </row>
    <row r="69" customFormat="false" ht="15" hidden="false" customHeight="false" outlineLevel="0" collapsed="false">
      <c r="A69" s="0" t="s">
        <v>1309</v>
      </c>
      <c r="B69" s="0" t="n">
        <v>9.67</v>
      </c>
    </row>
    <row r="70" customFormat="false" ht="15" hidden="false" customHeight="false" outlineLevel="0" collapsed="false">
      <c r="A70" s="0" t="s">
        <v>1310</v>
      </c>
      <c r="B70" s="0" t="n">
        <v>10.2</v>
      </c>
    </row>
    <row r="71" customFormat="false" ht="15" hidden="false" customHeight="false" outlineLevel="0" collapsed="false">
      <c r="A71" s="0" t="s">
        <v>1311</v>
      </c>
      <c r="B71" s="0" t="n">
        <v>7.33</v>
      </c>
    </row>
    <row r="72" customFormat="false" ht="15" hidden="false" customHeight="false" outlineLevel="0" collapsed="false">
      <c r="A72" s="0" t="s">
        <v>1312</v>
      </c>
      <c r="B72" s="0" t="n">
        <v>7.03</v>
      </c>
    </row>
    <row r="73" customFormat="false" ht="15" hidden="false" customHeight="false" outlineLevel="0" collapsed="false">
      <c r="A73" s="0" t="s">
        <v>1313</v>
      </c>
      <c r="B73" s="0" t="n">
        <v>8.17</v>
      </c>
    </row>
    <row r="74" customFormat="false" ht="15" hidden="false" customHeight="false" outlineLevel="0" collapsed="false">
      <c r="A74" s="0" t="s">
        <v>1314</v>
      </c>
      <c r="B74" s="0" t="n">
        <v>6.83</v>
      </c>
    </row>
    <row r="75" customFormat="false" ht="15" hidden="false" customHeight="false" outlineLevel="0" collapsed="false">
      <c r="A75" s="0" t="s">
        <v>1315</v>
      </c>
      <c r="B75" s="0" t="n">
        <v>10.4</v>
      </c>
    </row>
    <row r="76" customFormat="false" ht="15" hidden="false" customHeight="false" outlineLevel="0" collapsed="false">
      <c r="A76" s="0" t="s">
        <v>1316</v>
      </c>
      <c r="B76" s="0" t="n">
        <v>7</v>
      </c>
    </row>
    <row r="77" customFormat="false" ht="15" hidden="false" customHeight="false" outlineLevel="0" collapsed="false">
      <c r="A77" s="0" t="s">
        <v>1317</v>
      </c>
      <c r="B77" s="0" t="n">
        <v>6.88</v>
      </c>
    </row>
    <row r="78" customFormat="false" ht="15" hidden="false" customHeight="false" outlineLevel="0" collapsed="false">
      <c r="A78" s="0" t="s">
        <v>1318</v>
      </c>
      <c r="B78" s="0" t="n">
        <v>8.8</v>
      </c>
    </row>
    <row r="79" customFormat="false" ht="15" hidden="false" customHeight="false" outlineLevel="0" collapsed="false">
      <c r="A79" s="0" t="s">
        <v>1319</v>
      </c>
      <c r="B79" s="0" t="n">
        <v>9</v>
      </c>
    </row>
    <row r="80" customFormat="false" ht="15" hidden="false" customHeight="false" outlineLevel="0" collapsed="false">
      <c r="A80" s="0" t="s">
        <v>1320</v>
      </c>
      <c r="B80" s="0" t="n">
        <v>7.33</v>
      </c>
    </row>
    <row r="81" customFormat="false" ht="15" hidden="false" customHeight="false" outlineLevel="0" collapsed="false">
      <c r="A81" s="0" t="s">
        <v>1321</v>
      </c>
      <c r="B81" s="0" t="n">
        <v>7</v>
      </c>
    </row>
    <row r="82" customFormat="false" ht="15" hidden="false" customHeight="false" outlineLevel="0" collapsed="false">
      <c r="A82" s="0" t="s">
        <v>1322</v>
      </c>
      <c r="B82" s="0" t="n">
        <v>10</v>
      </c>
    </row>
    <row r="83" customFormat="false" ht="15" hidden="false" customHeight="false" outlineLevel="0" collapsed="false">
      <c r="A83" s="0" t="s">
        <v>1323</v>
      </c>
      <c r="B83" s="0" t="n">
        <v>5.86</v>
      </c>
    </row>
    <row r="84" customFormat="false" ht="15" hidden="false" customHeight="false" outlineLevel="0" collapsed="false">
      <c r="A84" s="0" t="s">
        <v>1324</v>
      </c>
      <c r="B84" s="0" t="n">
        <v>8.33</v>
      </c>
    </row>
    <row r="85" customFormat="false" ht="15" hidden="false" customHeight="false" outlineLevel="0" collapsed="false">
      <c r="A85" s="0" t="s">
        <v>1325</v>
      </c>
      <c r="B85" s="0" t="n">
        <v>8.56</v>
      </c>
    </row>
    <row r="86" customFormat="false" ht="15" hidden="false" customHeight="false" outlineLevel="0" collapsed="false">
      <c r="A86" s="0" t="s">
        <v>1326</v>
      </c>
      <c r="B86" s="0" t="n">
        <v>8.17</v>
      </c>
    </row>
    <row r="87" customFormat="false" ht="15" hidden="false" customHeight="false" outlineLevel="0" collapsed="false">
      <c r="A87" s="0" t="s">
        <v>1327</v>
      </c>
      <c r="B87" s="0" t="n">
        <v>7.23</v>
      </c>
    </row>
    <row r="88" customFormat="false" ht="15" hidden="false" customHeight="false" outlineLevel="0" collapsed="false">
      <c r="A88" s="0" t="s">
        <v>1328</v>
      </c>
      <c r="B88" s="0" t="n">
        <v>7.8</v>
      </c>
    </row>
    <row r="89" customFormat="false" ht="15" hidden="false" customHeight="false" outlineLevel="0" collapsed="false">
      <c r="A89" s="0" t="s">
        <v>1329</v>
      </c>
      <c r="B89" s="0" t="n">
        <v>8.71</v>
      </c>
    </row>
    <row r="90" customFormat="false" ht="15" hidden="false" customHeight="false" outlineLevel="0" collapsed="false">
      <c r="A90" s="0" t="s">
        <v>1330</v>
      </c>
      <c r="B90" s="0" t="n">
        <v>8.7</v>
      </c>
    </row>
    <row r="91" customFormat="false" ht="15" hidden="false" customHeight="false" outlineLevel="0" collapsed="false">
      <c r="A91" s="0" t="s">
        <v>1331</v>
      </c>
      <c r="B91" s="0" t="n">
        <v>7</v>
      </c>
    </row>
    <row r="92" customFormat="false" ht="15" hidden="false" customHeight="false" outlineLevel="0" collapsed="false">
      <c r="A92" s="0" t="s">
        <v>1332</v>
      </c>
      <c r="B92" s="0" t="n">
        <v>7</v>
      </c>
    </row>
    <row r="93" customFormat="false" ht="15" hidden="false" customHeight="false" outlineLevel="0" collapsed="false">
      <c r="A93" s="0" t="s">
        <v>1333</v>
      </c>
      <c r="B93" s="0" t="n">
        <v>7.6</v>
      </c>
    </row>
    <row r="94" customFormat="false" ht="15" hidden="false" customHeight="false" outlineLevel="0" collapsed="false">
      <c r="A94" s="0" t="s">
        <v>1334</v>
      </c>
      <c r="B94" s="0" t="n">
        <v>7.38</v>
      </c>
    </row>
    <row r="95" customFormat="false" ht="15" hidden="false" customHeight="false" outlineLevel="0" collapsed="false">
      <c r="A95" s="0" t="s">
        <v>1335</v>
      </c>
      <c r="B95" s="0" t="n">
        <v>6.33</v>
      </c>
    </row>
    <row r="96" customFormat="false" ht="15" hidden="false" customHeight="false" outlineLevel="0" collapsed="false">
      <c r="A96" s="0" t="s">
        <v>1336</v>
      </c>
      <c r="B96" s="0" t="n">
        <v>6.43</v>
      </c>
    </row>
    <row r="97" customFormat="false" ht="15" hidden="false" customHeight="false" outlineLevel="0" collapsed="false">
      <c r="A97" s="0" t="s">
        <v>1337</v>
      </c>
      <c r="B97" s="0" t="n">
        <v>3.67</v>
      </c>
    </row>
    <row r="98" customFormat="false" ht="15" hidden="false" customHeight="false" outlineLevel="0" collapsed="false">
      <c r="A98" s="0" t="s">
        <v>1338</v>
      </c>
      <c r="B98" s="0" t="n">
        <v>9.25</v>
      </c>
    </row>
    <row r="99" customFormat="false" ht="15" hidden="false" customHeight="false" outlineLevel="0" collapsed="false">
      <c r="A99" s="0" t="s">
        <v>1339</v>
      </c>
      <c r="B99" s="0" t="n">
        <v>7.73</v>
      </c>
    </row>
    <row r="100" customFormat="false" ht="15" hidden="false" customHeight="false" outlineLevel="0" collapsed="false">
      <c r="A100" s="0" t="s">
        <v>1340</v>
      </c>
      <c r="B100" s="0" t="n">
        <v>7.2</v>
      </c>
    </row>
    <row r="101" customFormat="false" ht="15" hidden="false" customHeight="false" outlineLevel="0" collapsed="false">
      <c r="A101" s="0" t="s">
        <v>1341</v>
      </c>
      <c r="B101" s="0" t="n">
        <v>8.35</v>
      </c>
    </row>
    <row r="102" customFormat="false" ht="15" hidden="false" customHeight="false" outlineLevel="0" collapsed="false">
      <c r="A102" s="0" t="s">
        <v>1342</v>
      </c>
      <c r="B102" s="0" t="n">
        <v>8.58</v>
      </c>
    </row>
    <row r="103" customFormat="false" ht="15" hidden="false" customHeight="false" outlineLevel="0" collapsed="false">
      <c r="A103" s="0" t="s">
        <v>1343</v>
      </c>
      <c r="B103" s="0" t="n">
        <v>9.2</v>
      </c>
    </row>
    <row r="104" customFormat="false" ht="15" hidden="false" customHeight="false" outlineLevel="0" collapsed="false">
      <c r="A104" s="0" t="s">
        <v>1344</v>
      </c>
      <c r="B104" s="0" t="n">
        <v>9.43</v>
      </c>
    </row>
    <row r="105" customFormat="false" ht="15" hidden="false" customHeight="false" outlineLevel="0" collapsed="false">
      <c r="A105" s="0" t="s">
        <v>1345</v>
      </c>
      <c r="B105" s="0" t="n">
        <v>8.18</v>
      </c>
    </row>
    <row r="106" customFormat="false" ht="15" hidden="false" customHeight="false" outlineLevel="0" collapsed="false">
      <c r="A106" s="0" t="s">
        <v>1346</v>
      </c>
      <c r="B106" s="0" t="n">
        <v>9.8</v>
      </c>
    </row>
    <row r="107" customFormat="false" ht="15" hidden="false" customHeight="false" outlineLevel="0" collapsed="false">
      <c r="A107" s="0" t="s">
        <v>1347</v>
      </c>
      <c r="B107" s="0" t="n">
        <v>9.43</v>
      </c>
    </row>
    <row r="108" customFormat="false" ht="15" hidden="false" customHeight="false" outlineLevel="0" collapsed="false">
      <c r="A108" s="0" t="s">
        <v>1348</v>
      </c>
      <c r="B108" s="0" t="n">
        <v>9</v>
      </c>
    </row>
    <row r="109" customFormat="false" ht="15" hidden="false" customHeight="false" outlineLevel="0" collapsed="false">
      <c r="A109" s="0" t="s">
        <v>1349</v>
      </c>
      <c r="B109" s="0" t="n">
        <v>4</v>
      </c>
    </row>
    <row r="110" customFormat="false" ht="15" hidden="false" customHeight="false" outlineLevel="0" collapsed="false">
      <c r="A110" s="0" t="s">
        <v>1350</v>
      </c>
      <c r="B110" s="0" t="n">
        <v>7.4</v>
      </c>
    </row>
    <row r="111" customFormat="false" ht="15" hidden="false" customHeight="false" outlineLevel="0" collapsed="false">
      <c r="A111" s="0" t="s">
        <v>1351</v>
      </c>
      <c r="B111" s="0" t="n">
        <v>8.18</v>
      </c>
    </row>
    <row r="112" customFormat="false" ht="15" hidden="false" customHeight="false" outlineLevel="0" collapsed="false">
      <c r="A112" s="0" t="s">
        <v>1352</v>
      </c>
      <c r="B112" s="0" t="n">
        <v>8.8</v>
      </c>
    </row>
    <row r="113" customFormat="false" ht="15" hidden="false" customHeight="false" outlineLevel="0" collapsed="false">
      <c r="A113" s="0" t="s">
        <v>1353</v>
      </c>
      <c r="B113" s="0" t="n">
        <v>10.67</v>
      </c>
    </row>
    <row r="114" customFormat="false" ht="15" hidden="false" customHeight="false" outlineLevel="0" collapsed="false">
      <c r="A114" s="0" t="s">
        <v>1354</v>
      </c>
      <c r="B114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530</v>
      </c>
      <c r="B1" s="12" t="s">
        <v>58</v>
      </c>
      <c r="C1" s="12" t="s">
        <v>505</v>
      </c>
      <c r="D1" s="12" t="s">
        <v>1355</v>
      </c>
      <c r="E1" s="12" t="s">
        <v>1356</v>
      </c>
      <c r="F1" s="12" t="s">
        <v>1357</v>
      </c>
      <c r="G1" s="12" t="s">
        <v>1358</v>
      </c>
    </row>
    <row r="2" customFormat="false" ht="15" hidden="false" customHeight="false" outlineLevel="0" collapsed="false">
      <c r="A2" s="0" t="s">
        <v>485</v>
      </c>
      <c r="B2" s="0" t="s">
        <v>161</v>
      </c>
      <c r="C2" s="0" t="s">
        <v>574</v>
      </c>
      <c r="D2" s="0" t="n">
        <v>29</v>
      </c>
      <c r="E2" s="0" t="n">
        <v>0</v>
      </c>
      <c r="F2" s="0" t="n">
        <v>54</v>
      </c>
      <c r="G2" s="0" t="n">
        <v>13</v>
      </c>
    </row>
    <row r="3" customFormat="false" ht="15" hidden="false" customHeight="false" outlineLevel="0" collapsed="false">
      <c r="A3" s="0" t="s">
        <v>485</v>
      </c>
      <c r="B3" s="0" t="s">
        <v>161</v>
      </c>
      <c r="C3" s="0" t="s">
        <v>1229</v>
      </c>
      <c r="D3" s="0" t="n">
        <v>4</v>
      </c>
      <c r="E3" s="0" t="n">
        <v>0</v>
      </c>
      <c r="F3" s="0" t="n">
        <v>50</v>
      </c>
      <c r="G3" s="0" t="n">
        <v>2</v>
      </c>
    </row>
    <row r="4" customFormat="false" ht="15" hidden="false" customHeight="false" outlineLevel="0" collapsed="false">
      <c r="A4" s="0" t="s">
        <v>485</v>
      </c>
      <c r="B4" s="0" t="s">
        <v>184</v>
      </c>
      <c r="C4" s="0" t="s">
        <v>574</v>
      </c>
      <c r="D4" s="0" t="n">
        <v>3</v>
      </c>
      <c r="E4" s="0" t="n">
        <v>16</v>
      </c>
      <c r="F4" s="0" t="n">
        <v>50</v>
      </c>
      <c r="G4" s="0" t="n">
        <v>4</v>
      </c>
    </row>
    <row r="5" customFormat="false" ht="15" hidden="false" customHeight="false" outlineLevel="0" collapsed="false">
      <c r="A5" s="0" t="s">
        <v>485</v>
      </c>
      <c r="B5" s="0" t="s">
        <v>184</v>
      </c>
      <c r="C5" s="0" t="s">
        <v>1229</v>
      </c>
      <c r="D5" s="0" t="n">
        <v>4</v>
      </c>
      <c r="E5" s="0" t="n">
        <v>0</v>
      </c>
      <c r="F5" s="0" t="n">
        <v>75</v>
      </c>
      <c r="G5" s="0" t="n">
        <v>4</v>
      </c>
    </row>
    <row r="6" customFormat="false" ht="15" hidden="false" customHeight="false" outlineLevel="0" collapsed="false">
      <c r="A6" s="0" t="s">
        <v>485</v>
      </c>
      <c r="B6" s="0" t="s">
        <v>174</v>
      </c>
      <c r="C6" s="0" t="s">
        <v>574</v>
      </c>
      <c r="D6" s="0" t="n">
        <v>5</v>
      </c>
      <c r="E6" s="0" t="n">
        <v>11</v>
      </c>
      <c r="F6" s="0" t="n">
        <v>50</v>
      </c>
      <c r="G6" s="0" t="n">
        <v>10</v>
      </c>
    </row>
    <row r="7" customFormat="false" ht="15" hidden="false" customHeight="false" outlineLevel="0" collapsed="false">
      <c r="A7" s="0" t="s">
        <v>485</v>
      </c>
      <c r="B7" s="0" t="s">
        <v>174</v>
      </c>
      <c r="C7" s="0" t="s">
        <v>1229</v>
      </c>
      <c r="D7" s="0" t="n">
        <v>26</v>
      </c>
      <c r="E7" s="0" t="n">
        <v>0</v>
      </c>
      <c r="F7" s="0" t="n">
        <v>50</v>
      </c>
      <c r="G7" s="0" t="n">
        <v>6</v>
      </c>
    </row>
    <row r="8" customFormat="false" ht="15" hidden="false" customHeight="false" outlineLevel="0" collapsed="false">
      <c r="A8" s="0" t="s">
        <v>485</v>
      </c>
      <c r="B8" s="0" t="s">
        <v>147</v>
      </c>
      <c r="C8" s="0" t="s">
        <v>574</v>
      </c>
      <c r="D8" s="0" t="n">
        <v>24</v>
      </c>
      <c r="E8" s="0" t="n">
        <v>16</v>
      </c>
      <c r="F8" s="0" t="n">
        <v>75</v>
      </c>
      <c r="G8" s="0" t="n">
        <v>8</v>
      </c>
    </row>
    <row r="9" customFormat="false" ht="15" hidden="false" customHeight="false" outlineLevel="0" collapsed="false">
      <c r="A9" s="0" t="s">
        <v>485</v>
      </c>
      <c r="B9" s="0" t="s">
        <v>147</v>
      </c>
      <c r="C9" s="0" t="s">
        <v>1229</v>
      </c>
      <c r="D9" s="0" t="n">
        <v>44</v>
      </c>
      <c r="E9" s="0" t="n">
        <v>0</v>
      </c>
      <c r="F9" s="0" t="n">
        <v>50</v>
      </c>
      <c r="G9" s="0" t="n">
        <v>8</v>
      </c>
    </row>
    <row r="10" customFormat="false" ht="15" hidden="false" customHeight="false" outlineLevel="0" collapsed="false">
      <c r="A10" s="0" t="s">
        <v>485</v>
      </c>
      <c r="B10" s="0" t="s">
        <v>208</v>
      </c>
      <c r="C10" s="0" t="s">
        <v>574</v>
      </c>
      <c r="D10" s="0" t="n">
        <v>0</v>
      </c>
      <c r="E10" s="0" t="n">
        <v>21</v>
      </c>
      <c r="F10" s="0" t="n">
        <v>67</v>
      </c>
      <c r="G10" s="0" t="n">
        <v>3</v>
      </c>
    </row>
    <row r="11" customFormat="false" ht="15" hidden="false" customHeight="false" outlineLevel="0" collapsed="false">
      <c r="A11" s="0" t="s">
        <v>485</v>
      </c>
      <c r="B11" s="0" t="s">
        <v>208</v>
      </c>
      <c r="C11" s="0" t="s">
        <v>1229</v>
      </c>
      <c r="D11" s="0" t="n">
        <v>11</v>
      </c>
      <c r="E11" s="0" t="n">
        <v>0</v>
      </c>
      <c r="F11" s="0" t="n">
        <v>25</v>
      </c>
      <c r="G11" s="0" t="n">
        <v>4</v>
      </c>
    </row>
    <row r="12" customFormat="false" ht="15" hidden="false" customHeight="false" outlineLevel="0" collapsed="false">
      <c r="A12" s="0" t="s">
        <v>485</v>
      </c>
      <c r="B12" s="0" t="s">
        <v>195</v>
      </c>
      <c r="C12" s="0" t="s">
        <v>574</v>
      </c>
      <c r="D12" s="0" t="n">
        <v>11</v>
      </c>
      <c r="E12" s="0" t="n">
        <v>8</v>
      </c>
      <c r="F12" s="0" t="n">
        <v>43</v>
      </c>
      <c r="G12" s="0" t="n">
        <v>7</v>
      </c>
    </row>
    <row r="13" customFormat="false" ht="15" hidden="false" customHeight="false" outlineLevel="0" collapsed="false">
      <c r="A13" s="0" t="s">
        <v>485</v>
      </c>
      <c r="B13" s="0" t="s">
        <v>195</v>
      </c>
      <c r="C13" s="0" t="s">
        <v>1229</v>
      </c>
      <c r="D13" s="0" t="n">
        <v>4</v>
      </c>
      <c r="E13" s="0" t="n">
        <v>4</v>
      </c>
      <c r="F13" s="0" t="n">
        <v>80</v>
      </c>
      <c r="G13" s="0" t="n">
        <v>5</v>
      </c>
    </row>
    <row r="14" customFormat="false" ht="15" hidden="false" customHeight="false" outlineLevel="0" collapsed="false">
      <c r="A14" s="0" t="s">
        <v>485</v>
      </c>
      <c r="B14" s="0" t="s">
        <v>338</v>
      </c>
      <c r="C14" s="0" t="s">
        <v>574</v>
      </c>
      <c r="D14" s="0" t="n">
        <v>0</v>
      </c>
      <c r="E14" s="0" t="n">
        <v>29</v>
      </c>
      <c r="G14" s="0" t="n">
        <v>0</v>
      </c>
    </row>
    <row r="15" customFormat="false" ht="15" hidden="false" customHeight="false" outlineLevel="0" collapsed="false">
      <c r="A15" s="0" t="s">
        <v>485</v>
      </c>
      <c r="B15" s="0" t="s">
        <v>338</v>
      </c>
      <c r="C15" s="0" t="s">
        <v>1229</v>
      </c>
      <c r="D15" s="0" t="n">
        <v>0</v>
      </c>
      <c r="E15" s="0" t="n">
        <v>96</v>
      </c>
      <c r="G15" s="0" t="n">
        <v>0</v>
      </c>
    </row>
    <row r="16" customFormat="false" ht="15" hidden="false" customHeight="false" outlineLevel="0" collapsed="false">
      <c r="A16" s="0" t="s">
        <v>576</v>
      </c>
      <c r="B16" s="0" t="s">
        <v>161</v>
      </c>
      <c r="C16" s="0" t="s">
        <v>1231</v>
      </c>
      <c r="D16" s="0" t="n">
        <v>33</v>
      </c>
      <c r="E16" s="0" t="n">
        <v>0</v>
      </c>
      <c r="F16" s="0" t="n">
        <v>73</v>
      </c>
      <c r="G16" s="0" t="n">
        <v>11</v>
      </c>
    </row>
    <row r="17" customFormat="false" ht="15" hidden="false" customHeight="false" outlineLevel="0" collapsed="false">
      <c r="A17" s="0" t="s">
        <v>576</v>
      </c>
      <c r="B17" s="0" t="s">
        <v>161</v>
      </c>
      <c r="C17" s="0" t="s">
        <v>582</v>
      </c>
      <c r="D17" s="0" t="n">
        <v>14</v>
      </c>
      <c r="E17" s="0" t="n">
        <v>0</v>
      </c>
      <c r="F17" s="0" t="n">
        <v>62</v>
      </c>
      <c r="G17" s="0" t="n">
        <v>8</v>
      </c>
    </row>
    <row r="18" customFormat="false" ht="15" hidden="false" customHeight="false" outlineLevel="0" collapsed="false">
      <c r="A18" s="0" t="s">
        <v>576</v>
      </c>
      <c r="B18" s="0" t="s">
        <v>184</v>
      </c>
      <c r="C18" s="0" t="s">
        <v>1231</v>
      </c>
      <c r="D18" s="0" t="n">
        <v>5</v>
      </c>
      <c r="E18" s="0" t="n">
        <v>0</v>
      </c>
      <c r="F18" s="0" t="n">
        <v>100</v>
      </c>
      <c r="G18" s="0" t="n">
        <v>6</v>
      </c>
    </row>
    <row r="19" customFormat="false" ht="15" hidden="false" customHeight="false" outlineLevel="0" collapsed="false">
      <c r="A19" s="0" t="s">
        <v>576</v>
      </c>
      <c r="B19" s="0" t="s">
        <v>184</v>
      </c>
      <c r="C19" s="0" t="s">
        <v>582</v>
      </c>
      <c r="D19" s="0" t="n">
        <v>26</v>
      </c>
      <c r="E19" s="0" t="n">
        <v>3</v>
      </c>
      <c r="F19" s="0" t="n">
        <v>38</v>
      </c>
      <c r="G19" s="0" t="n">
        <v>8</v>
      </c>
    </row>
    <row r="20" customFormat="false" ht="15" hidden="false" customHeight="false" outlineLevel="0" collapsed="false">
      <c r="A20" s="0" t="s">
        <v>576</v>
      </c>
      <c r="B20" s="0" t="s">
        <v>174</v>
      </c>
      <c r="C20" s="0" t="s">
        <v>1231</v>
      </c>
      <c r="D20" s="0" t="n">
        <v>29</v>
      </c>
      <c r="E20" s="0" t="n">
        <v>0</v>
      </c>
      <c r="F20" s="0" t="n">
        <v>78</v>
      </c>
      <c r="G20" s="0" t="n">
        <v>9</v>
      </c>
    </row>
    <row r="21" customFormat="false" ht="15" hidden="false" customHeight="false" outlineLevel="0" collapsed="false">
      <c r="A21" s="0" t="s">
        <v>576</v>
      </c>
      <c r="B21" s="0" t="s">
        <v>174</v>
      </c>
      <c r="C21" s="0" t="s">
        <v>582</v>
      </c>
      <c r="D21" s="0" t="n">
        <v>17</v>
      </c>
      <c r="E21" s="0" t="n">
        <v>3</v>
      </c>
      <c r="F21" s="0" t="n">
        <v>67</v>
      </c>
      <c r="G21" s="0" t="n">
        <v>9</v>
      </c>
    </row>
    <row r="22" customFormat="false" ht="15" hidden="false" customHeight="false" outlineLevel="0" collapsed="false">
      <c r="A22" s="0" t="s">
        <v>576</v>
      </c>
      <c r="B22" s="0" t="s">
        <v>147</v>
      </c>
      <c r="C22" s="0" t="s">
        <v>1231</v>
      </c>
      <c r="D22" s="0" t="n">
        <v>10</v>
      </c>
      <c r="E22" s="0" t="n">
        <v>10</v>
      </c>
      <c r="F22" s="0" t="n">
        <v>60</v>
      </c>
      <c r="G22" s="0" t="n">
        <v>5</v>
      </c>
    </row>
    <row r="23" customFormat="false" ht="15" hidden="false" customHeight="false" outlineLevel="0" collapsed="false">
      <c r="A23" s="0" t="s">
        <v>576</v>
      </c>
      <c r="B23" s="0" t="s">
        <v>147</v>
      </c>
      <c r="C23" s="0" t="s">
        <v>582</v>
      </c>
      <c r="D23" s="0" t="n">
        <v>0</v>
      </c>
      <c r="E23" s="0" t="n">
        <v>89</v>
      </c>
      <c r="G23" s="0" t="n">
        <v>0</v>
      </c>
    </row>
    <row r="24" customFormat="false" ht="15" hidden="false" customHeight="false" outlineLevel="0" collapsed="false">
      <c r="A24" s="0" t="s">
        <v>576</v>
      </c>
      <c r="B24" s="0" t="s">
        <v>208</v>
      </c>
      <c r="C24" s="0" t="s">
        <v>1231</v>
      </c>
      <c r="D24" s="0" t="n">
        <v>0</v>
      </c>
      <c r="E24" s="0" t="n">
        <v>5</v>
      </c>
      <c r="F24" s="0" t="n">
        <v>50</v>
      </c>
      <c r="G24" s="0" t="n">
        <v>10</v>
      </c>
    </row>
    <row r="25" customFormat="false" ht="15" hidden="false" customHeight="false" outlineLevel="0" collapsed="false">
      <c r="A25" s="0" t="s">
        <v>576</v>
      </c>
      <c r="B25" s="0" t="s">
        <v>208</v>
      </c>
      <c r="C25" s="0" t="s">
        <v>582</v>
      </c>
      <c r="D25" s="0" t="n">
        <v>23</v>
      </c>
      <c r="E25" s="0" t="n">
        <v>0</v>
      </c>
      <c r="F25" s="0" t="n">
        <v>89</v>
      </c>
      <c r="G25" s="0" t="n">
        <v>9</v>
      </c>
    </row>
    <row r="26" customFormat="false" ht="15" hidden="false" customHeight="false" outlineLevel="0" collapsed="false">
      <c r="A26" s="0" t="s">
        <v>576</v>
      </c>
      <c r="B26" s="0" t="s">
        <v>195</v>
      </c>
      <c r="C26" s="0" t="s">
        <v>1231</v>
      </c>
      <c r="D26" s="0" t="n">
        <v>0</v>
      </c>
      <c r="E26" s="0" t="n">
        <v>57</v>
      </c>
      <c r="F26" s="0" t="n">
        <v>40</v>
      </c>
      <c r="G26" s="0" t="n">
        <v>5</v>
      </c>
    </row>
    <row r="27" customFormat="false" ht="15" hidden="false" customHeight="false" outlineLevel="0" collapsed="false">
      <c r="A27" s="0" t="s">
        <v>576</v>
      </c>
      <c r="B27" s="0" t="s">
        <v>195</v>
      </c>
      <c r="C27" s="0" t="s">
        <v>582</v>
      </c>
      <c r="D27" s="0" t="n">
        <v>17</v>
      </c>
      <c r="E27" s="0" t="n">
        <v>0</v>
      </c>
      <c r="F27" s="0" t="n">
        <v>33</v>
      </c>
      <c r="G27" s="0" t="n">
        <v>9</v>
      </c>
    </row>
    <row r="28" customFormat="false" ht="15" hidden="false" customHeight="false" outlineLevel="0" collapsed="false">
      <c r="A28" s="0" t="s">
        <v>576</v>
      </c>
      <c r="B28" s="0" t="s">
        <v>338</v>
      </c>
      <c r="C28" s="0" t="s">
        <v>1231</v>
      </c>
      <c r="D28" s="0" t="n">
        <v>0</v>
      </c>
      <c r="E28" s="0" t="n">
        <v>29</v>
      </c>
      <c r="F28" s="0" t="n">
        <v>0</v>
      </c>
      <c r="G28" s="0" t="n">
        <v>1</v>
      </c>
    </row>
    <row r="29" customFormat="false" ht="15" hidden="false" customHeight="false" outlineLevel="0" collapsed="false">
      <c r="A29" s="0" t="s">
        <v>576</v>
      </c>
      <c r="B29" s="0" t="s">
        <v>338</v>
      </c>
      <c r="C29" s="0" t="s">
        <v>582</v>
      </c>
      <c r="D29" s="0" t="n">
        <v>3</v>
      </c>
      <c r="E29" s="0" t="n">
        <v>3</v>
      </c>
      <c r="F29" s="0" t="n">
        <v>40</v>
      </c>
      <c r="G29" s="0" t="n">
        <v>5</v>
      </c>
    </row>
    <row r="30" customFormat="false" ht="15" hidden="false" customHeight="false" outlineLevel="0" collapsed="false">
      <c r="A30" s="0" t="s">
        <v>583</v>
      </c>
      <c r="B30" s="0" t="s">
        <v>161</v>
      </c>
      <c r="C30" s="0" t="s">
        <v>1234</v>
      </c>
      <c r="D30" s="0" t="n">
        <v>5</v>
      </c>
      <c r="E30" s="0" t="n">
        <v>5</v>
      </c>
      <c r="F30" s="0" t="n">
        <v>40</v>
      </c>
      <c r="G30" s="0" t="n">
        <v>10</v>
      </c>
    </row>
    <row r="31" customFormat="false" ht="15" hidden="false" customHeight="false" outlineLevel="0" collapsed="false">
      <c r="A31" s="0" t="s">
        <v>583</v>
      </c>
      <c r="B31" s="0" t="s">
        <v>161</v>
      </c>
      <c r="C31" s="0" t="s">
        <v>1236</v>
      </c>
      <c r="D31" s="0" t="n">
        <v>6</v>
      </c>
      <c r="E31" s="0" t="n">
        <v>3</v>
      </c>
      <c r="F31" s="0" t="n">
        <v>55</v>
      </c>
      <c r="G31" s="0" t="n">
        <v>11</v>
      </c>
    </row>
    <row r="32" customFormat="false" ht="15" hidden="false" customHeight="false" outlineLevel="0" collapsed="false">
      <c r="A32" s="0" t="s">
        <v>583</v>
      </c>
      <c r="B32" s="0" t="s">
        <v>184</v>
      </c>
      <c r="C32" s="0" t="s">
        <v>1234</v>
      </c>
      <c r="D32" s="0" t="n">
        <v>10</v>
      </c>
      <c r="E32" s="0" t="n">
        <v>0</v>
      </c>
      <c r="F32" s="0" t="n">
        <v>27</v>
      </c>
      <c r="G32" s="0" t="n">
        <v>11</v>
      </c>
    </row>
    <row r="33" customFormat="false" ht="15" hidden="false" customHeight="false" outlineLevel="0" collapsed="false">
      <c r="A33" s="0" t="s">
        <v>583</v>
      </c>
      <c r="B33" s="0" t="s">
        <v>184</v>
      </c>
      <c r="C33" s="0" t="s">
        <v>1236</v>
      </c>
      <c r="D33" s="0" t="n">
        <v>3</v>
      </c>
      <c r="E33" s="0" t="n">
        <v>3</v>
      </c>
      <c r="F33" s="0" t="n">
        <v>47</v>
      </c>
      <c r="G33" s="0" t="n">
        <v>15</v>
      </c>
    </row>
    <row r="34" customFormat="false" ht="15" hidden="false" customHeight="false" outlineLevel="0" collapsed="false">
      <c r="A34" s="0" t="s">
        <v>583</v>
      </c>
      <c r="B34" s="0" t="s">
        <v>174</v>
      </c>
      <c r="C34" s="0" t="s">
        <v>1234</v>
      </c>
      <c r="D34" s="0" t="n">
        <v>33</v>
      </c>
      <c r="E34" s="0" t="n">
        <v>0</v>
      </c>
      <c r="F34" s="0" t="n">
        <v>73</v>
      </c>
      <c r="G34" s="0" t="n">
        <v>15</v>
      </c>
    </row>
    <row r="35" customFormat="false" ht="15" hidden="false" customHeight="false" outlineLevel="0" collapsed="false">
      <c r="A35" s="0" t="s">
        <v>583</v>
      </c>
      <c r="B35" s="0" t="s">
        <v>174</v>
      </c>
      <c r="C35" s="0" t="s">
        <v>1236</v>
      </c>
      <c r="D35" s="0" t="n">
        <v>9</v>
      </c>
      <c r="E35" s="0" t="n">
        <v>3</v>
      </c>
      <c r="F35" s="0" t="n">
        <v>71</v>
      </c>
      <c r="G35" s="0" t="n">
        <v>7</v>
      </c>
    </row>
    <row r="36" customFormat="false" ht="15" hidden="false" customHeight="false" outlineLevel="0" collapsed="false">
      <c r="A36" s="0" t="s">
        <v>583</v>
      </c>
      <c r="B36" s="0" t="s">
        <v>147</v>
      </c>
      <c r="C36" s="0" t="s">
        <v>1234</v>
      </c>
      <c r="D36" s="0" t="n">
        <v>15</v>
      </c>
      <c r="E36" s="0" t="n">
        <v>0</v>
      </c>
      <c r="F36" s="0" t="n">
        <v>38</v>
      </c>
      <c r="G36" s="0" t="n">
        <v>8</v>
      </c>
    </row>
    <row r="37" customFormat="false" ht="15" hidden="false" customHeight="false" outlineLevel="0" collapsed="false">
      <c r="A37" s="0" t="s">
        <v>583</v>
      </c>
      <c r="B37" s="0" t="s">
        <v>147</v>
      </c>
      <c r="C37" s="0" t="s">
        <v>1236</v>
      </c>
      <c r="D37" s="0" t="n">
        <v>6</v>
      </c>
      <c r="E37" s="0" t="n">
        <v>6</v>
      </c>
      <c r="F37" s="0" t="n">
        <v>43</v>
      </c>
      <c r="G37" s="0" t="n">
        <v>7</v>
      </c>
    </row>
    <row r="38" customFormat="false" ht="15" hidden="false" customHeight="false" outlineLevel="0" collapsed="false">
      <c r="A38" s="0" t="s">
        <v>583</v>
      </c>
      <c r="B38" s="0" t="s">
        <v>208</v>
      </c>
      <c r="C38" s="0" t="s">
        <v>1234</v>
      </c>
      <c r="D38" s="0" t="n">
        <v>0</v>
      </c>
      <c r="E38" s="0" t="n">
        <v>90</v>
      </c>
      <c r="G38" s="0" t="n">
        <v>0</v>
      </c>
    </row>
    <row r="39" customFormat="false" ht="15" hidden="false" customHeight="false" outlineLevel="0" collapsed="false">
      <c r="A39" s="0" t="s">
        <v>583</v>
      </c>
      <c r="B39" s="0" t="s">
        <v>208</v>
      </c>
      <c r="C39" s="0" t="s">
        <v>1236</v>
      </c>
      <c r="D39" s="0" t="n">
        <v>0</v>
      </c>
      <c r="E39" s="0" t="n">
        <v>84</v>
      </c>
      <c r="F39" s="0" t="n">
        <v>0</v>
      </c>
      <c r="G39" s="0" t="n">
        <v>1</v>
      </c>
    </row>
    <row r="40" customFormat="false" ht="15" hidden="false" customHeight="false" outlineLevel="0" collapsed="false">
      <c r="A40" s="0" t="s">
        <v>583</v>
      </c>
      <c r="B40" s="0" t="s">
        <v>195</v>
      </c>
      <c r="C40" s="0" t="s">
        <v>1234</v>
      </c>
      <c r="D40" s="0" t="n">
        <v>28</v>
      </c>
      <c r="E40" s="0" t="n">
        <v>0</v>
      </c>
      <c r="F40" s="0" t="n">
        <v>62</v>
      </c>
      <c r="G40" s="0" t="n">
        <v>8</v>
      </c>
    </row>
    <row r="41" customFormat="false" ht="15" hidden="false" customHeight="false" outlineLevel="0" collapsed="false">
      <c r="A41" s="0" t="s">
        <v>583</v>
      </c>
      <c r="B41" s="0" t="s">
        <v>195</v>
      </c>
      <c r="C41" s="0" t="s">
        <v>1236</v>
      </c>
      <c r="D41" s="0" t="n">
        <v>19</v>
      </c>
      <c r="E41" s="0" t="n">
        <v>0</v>
      </c>
      <c r="F41" s="0" t="n">
        <v>70</v>
      </c>
      <c r="G41" s="0" t="n">
        <v>10</v>
      </c>
    </row>
    <row r="42" customFormat="false" ht="15" hidden="false" customHeight="false" outlineLevel="0" collapsed="false">
      <c r="A42" s="0" t="s">
        <v>583</v>
      </c>
      <c r="B42" s="0" t="s">
        <v>338</v>
      </c>
      <c r="C42" s="0" t="s">
        <v>1234</v>
      </c>
      <c r="D42" s="0" t="n">
        <v>0</v>
      </c>
      <c r="E42" s="0" t="n">
        <v>3</v>
      </c>
      <c r="F42" s="0" t="n">
        <v>64</v>
      </c>
      <c r="G42" s="0" t="n">
        <v>11</v>
      </c>
    </row>
    <row r="43" customFormat="false" ht="15" hidden="false" customHeight="false" outlineLevel="0" collapsed="false">
      <c r="A43" s="0" t="s">
        <v>583</v>
      </c>
      <c r="B43" s="0" t="s">
        <v>338</v>
      </c>
      <c r="C43" s="0" t="s">
        <v>1236</v>
      </c>
      <c r="D43" s="0" t="n">
        <v>44</v>
      </c>
      <c r="E43" s="0" t="n">
        <v>0</v>
      </c>
      <c r="F43" s="0" t="n">
        <v>56</v>
      </c>
      <c r="G43" s="0" t="n">
        <v>16</v>
      </c>
    </row>
    <row r="44" customFormat="false" ht="15" hidden="false" customHeight="false" outlineLevel="0" collapsed="false">
      <c r="A44" s="0" t="s">
        <v>590</v>
      </c>
      <c r="B44" s="0" t="s">
        <v>161</v>
      </c>
      <c r="C44" s="0" t="s">
        <v>1238</v>
      </c>
      <c r="D44" s="0" t="n">
        <v>4</v>
      </c>
      <c r="E44" s="0" t="n">
        <v>2</v>
      </c>
      <c r="F44" s="0" t="n">
        <v>41</v>
      </c>
      <c r="G44" s="0" t="n">
        <v>17</v>
      </c>
    </row>
    <row r="45" customFormat="false" ht="15" hidden="false" customHeight="false" outlineLevel="0" collapsed="false">
      <c r="A45" s="0" t="s">
        <v>590</v>
      </c>
      <c r="B45" s="0" t="s">
        <v>161</v>
      </c>
      <c r="C45" s="0" t="s">
        <v>1240</v>
      </c>
      <c r="D45" s="0" t="n">
        <v>21</v>
      </c>
      <c r="E45" s="0" t="n">
        <v>0</v>
      </c>
      <c r="F45" s="0" t="n">
        <v>65</v>
      </c>
      <c r="G45" s="0" t="n">
        <v>20</v>
      </c>
    </row>
    <row r="46" customFormat="false" ht="15" hidden="false" customHeight="false" outlineLevel="0" collapsed="false">
      <c r="A46" s="0" t="s">
        <v>590</v>
      </c>
      <c r="B46" s="0" t="s">
        <v>184</v>
      </c>
      <c r="C46" s="0" t="s">
        <v>1238</v>
      </c>
      <c r="D46" s="0" t="n">
        <v>32</v>
      </c>
      <c r="E46" s="0" t="n">
        <v>2</v>
      </c>
      <c r="F46" s="0" t="n">
        <v>71</v>
      </c>
      <c r="G46" s="0" t="n">
        <v>24</v>
      </c>
    </row>
    <row r="47" customFormat="false" ht="15" hidden="false" customHeight="false" outlineLevel="0" collapsed="false">
      <c r="A47" s="0" t="s">
        <v>590</v>
      </c>
      <c r="B47" s="0" t="s">
        <v>184</v>
      </c>
      <c r="C47" s="0" t="s">
        <v>1240</v>
      </c>
      <c r="D47" s="0" t="n">
        <v>36</v>
      </c>
      <c r="E47" s="0" t="n">
        <v>0</v>
      </c>
      <c r="F47" s="0" t="n">
        <v>67</v>
      </c>
      <c r="G47" s="0" t="n">
        <v>18</v>
      </c>
    </row>
    <row r="48" customFormat="false" ht="15" hidden="false" customHeight="false" outlineLevel="0" collapsed="false">
      <c r="A48" s="0" t="s">
        <v>590</v>
      </c>
      <c r="B48" s="0" t="s">
        <v>174</v>
      </c>
      <c r="C48" s="0" t="s">
        <v>1238</v>
      </c>
      <c r="D48" s="0" t="n">
        <v>34</v>
      </c>
      <c r="E48" s="0" t="n">
        <v>0</v>
      </c>
      <c r="F48" s="0" t="n">
        <v>64</v>
      </c>
      <c r="G48" s="0" t="n">
        <v>22</v>
      </c>
    </row>
    <row r="49" customFormat="false" ht="15" hidden="false" customHeight="false" outlineLevel="0" collapsed="false">
      <c r="A49" s="0" t="s">
        <v>590</v>
      </c>
      <c r="B49" s="0" t="s">
        <v>174</v>
      </c>
      <c r="C49" s="0" t="s">
        <v>1240</v>
      </c>
      <c r="D49" s="0" t="n">
        <v>7</v>
      </c>
      <c r="E49" s="0" t="n">
        <v>0</v>
      </c>
      <c r="F49" s="0" t="n">
        <v>41</v>
      </c>
      <c r="G49" s="0" t="n">
        <v>17</v>
      </c>
    </row>
    <row r="50" customFormat="false" ht="15" hidden="false" customHeight="false" outlineLevel="0" collapsed="false">
      <c r="A50" s="0" t="s">
        <v>590</v>
      </c>
      <c r="B50" s="0" t="s">
        <v>147</v>
      </c>
      <c r="C50" s="0" t="s">
        <v>1238</v>
      </c>
      <c r="D50" s="0" t="n">
        <v>4</v>
      </c>
      <c r="E50" s="0" t="n">
        <v>8</v>
      </c>
      <c r="F50" s="0" t="n">
        <v>46</v>
      </c>
      <c r="G50" s="0" t="n">
        <v>13</v>
      </c>
    </row>
    <row r="51" customFormat="false" ht="15" hidden="false" customHeight="false" outlineLevel="0" collapsed="false">
      <c r="A51" s="0" t="s">
        <v>590</v>
      </c>
      <c r="B51" s="0" t="s">
        <v>147</v>
      </c>
      <c r="C51" s="0" t="s">
        <v>1240</v>
      </c>
      <c r="D51" s="0" t="n">
        <v>0</v>
      </c>
      <c r="E51" s="0" t="n">
        <v>25</v>
      </c>
      <c r="F51" s="0" t="n">
        <v>55</v>
      </c>
      <c r="G51" s="0" t="n">
        <v>11</v>
      </c>
    </row>
    <row r="52" customFormat="false" ht="15" hidden="false" customHeight="false" outlineLevel="0" collapsed="false">
      <c r="A52" s="0" t="s">
        <v>590</v>
      </c>
      <c r="B52" s="0" t="s">
        <v>208</v>
      </c>
      <c r="C52" s="0" t="s">
        <v>1238</v>
      </c>
      <c r="D52" s="0" t="n">
        <v>6</v>
      </c>
      <c r="E52" s="0" t="n">
        <v>4</v>
      </c>
      <c r="F52" s="0" t="n">
        <v>27</v>
      </c>
      <c r="G52" s="0" t="n">
        <v>11</v>
      </c>
    </row>
    <row r="53" customFormat="false" ht="15" hidden="false" customHeight="false" outlineLevel="0" collapsed="false">
      <c r="A53" s="0" t="s">
        <v>590</v>
      </c>
      <c r="B53" s="0" t="s">
        <v>208</v>
      </c>
      <c r="C53" s="0" t="s">
        <v>1240</v>
      </c>
      <c r="D53" s="0" t="n">
        <v>0</v>
      </c>
      <c r="E53" s="0" t="n">
        <v>71</v>
      </c>
      <c r="G53" s="0" t="n">
        <v>0</v>
      </c>
    </row>
    <row r="54" customFormat="false" ht="15" hidden="false" customHeight="false" outlineLevel="0" collapsed="false">
      <c r="A54" s="0" t="s">
        <v>590</v>
      </c>
      <c r="B54" s="0" t="s">
        <v>195</v>
      </c>
      <c r="C54" s="0" t="s">
        <v>1238</v>
      </c>
      <c r="D54" s="0" t="n">
        <v>11</v>
      </c>
      <c r="E54" s="0" t="n">
        <v>2</v>
      </c>
      <c r="F54" s="0" t="n">
        <v>69</v>
      </c>
      <c r="G54" s="0" t="n">
        <v>16</v>
      </c>
    </row>
    <row r="55" customFormat="false" ht="15" hidden="false" customHeight="false" outlineLevel="0" collapsed="false">
      <c r="A55" s="0" t="s">
        <v>590</v>
      </c>
      <c r="B55" s="0" t="s">
        <v>195</v>
      </c>
      <c r="C55" s="0" t="s">
        <v>1240</v>
      </c>
      <c r="D55" s="0" t="n">
        <v>25</v>
      </c>
      <c r="E55" s="0" t="n">
        <v>2</v>
      </c>
      <c r="F55" s="0" t="n">
        <v>74</v>
      </c>
      <c r="G55" s="0" t="n">
        <v>19</v>
      </c>
    </row>
    <row r="56" customFormat="false" ht="15" hidden="false" customHeight="false" outlineLevel="0" collapsed="false">
      <c r="A56" s="0" t="s">
        <v>590</v>
      </c>
      <c r="B56" s="0" t="s">
        <v>338</v>
      </c>
      <c r="C56" s="0" t="s">
        <v>1238</v>
      </c>
      <c r="D56" s="0" t="n">
        <v>0</v>
      </c>
      <c r="E56" s="0" t="n">
        <v>83</v>
      </c>
      <c r="G56" s="0" t="n">
        <v>0</v>
      </c>
    </row>
    <row r="57" customFormat="false" ht="15" hidden="false" customHeight="false" outlineLevel="0" collapsed="false">
      <c r="A57" s="0" t="s">
        <v>590</v>
      </c>
      <c r="B57" s="0" t="s">
        <v>338</v>
      </c>
      <c r="C57" s="0" t="s">
        <v>1240</v>
      </c>
      <c r="D57" s="0" t="n">
        <v>5</v>
      </c>
      <c r="E57" s="0" t="n">
        <v>0</v>
      </c>
      <c r="F57" s="0" t="n">
        <v>58</v>
      </c>
      <c r="G57" s="0" t="n">
        <v>12</v>
      </c>
    </row>
  </sheetData>
  <autoFilter ref="A1:G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1359</v>
      </c>
      <c r="B1" s="12" t="s">
        <v>861</v>
      </c>
      <c r="C1" s="12" t="s">
        <v>531</v>
      </c>
      <c r="D1" s="12" t="s">
        <v>530</v>
      </c>
      <c r="E1" s="12" t="s">
        <v>506</v>
      </c>
      <c r="F1" s="12" t="s">
        <v>613</v>
      </c>
      <c r="G1" s="12" t="s">
        <v>614</v>
      </c>
      <c r="H1" s="12" t="s">
        <v>615</v>
      </c>
      <c r="I1" s="12" t="s">
        <v>515</v>
      </c>
      <c r="J1" s="12" t="s">
        <v>617</v>
      </c>
      <c r="K1" s="12" t="s">
        <v>626</v>
      </c>
      <c r="L1" s="12" t="s">
        <v>627</v>
      </c>
      <c r="M1" s="12" t="s">
        <v>620</v>
      </c>
      <c r="N1" s="12" t="s">
        <v>518</v>
      </c>
      <c r="O1" s="12" t="s">
        <v>1360</v>
      </c>
      <c r="P1" s="12" t="s">
        <v>1361</v>
      </c>
      <c r="Q1" s="12" t="s">
        <v>631</v>
      </c>
      <c r="R1" s="12" t="s">
        <v>633</v>
      </c>
      <c r="S1" s="12" t="s">
        <v>512</v>
      </c>
      <c r="T1" s="12" t="s">
        <v>1362</v>
      </c>
      <c r="U1" s="12" t="s">
        <v>1363</v>
      </c>
    </row>
    <row r="2" customFormat="false" ht="15" hidden="false" customHeight="false" outlineLevel="0" collapsed="false">
      <c r="A2" s="0" t="s">
        <v>865</v>
      </c>
      <c r="B2" s="0" t="s">
        <v>863</v>
      </c>
      <c r="C2" s="0" t="s">
        <v>568</v>
      </c>
      <c r="D2" s="0" t="s">
        <v>576</v>
      </c>
      <c r="E2" s="0" t="s">
        <v>636</v>
      </c>
      <c r="F2" s="0" t="s">
        <v>637</v>
      </c>
      <c r="G2" s="0" t="n">
        <v>16</v>
      </c>
      <c r="H2" s="0" t="n">
        <v>12.72</v>
      </c>
      <c r="I2" s="10" t="n">
        <v>0.1664</v>
      </c>
      <c r="J2" s="10" t="n">
        <v>0.7619</v>
      </c>
      <c r="K2" s="9" t="s">
        <v>1364</v>
      </c>
      <c r="L2" s="9" t="s">
        <v>1365</v>
      </c>
      <c r="N2" s="10" t="n">
        <v>0.3</v>
      </c>
      <c r="O2" s="19"/>
      <c r="P2" s="0" t="str">
        <f aca="false">IF(O2="","",IF(O2&gt;G2,"OVER",IF(O2&lt;G2,"UNDER","PUSH")))</f>
        <v/>
      </c>
      <c r="Q2" s="0" t="n">
        <v>12.23</v>
      </c>
      <c r="R2" s="10" t="n">
        <v>0.1328</v>
      </c>
      <c r="S2" s="0" t="n">
        <v>0.9621</v>
      </c>
      <c r="T2" s="0" t="n">
        <v>13.65</v>
      </c>
      <c r="U2" s="0" t="n">
        <v>13.13</v>
      </c>
    </row>
    <row r="3" customFormat="false" ht="15" hidden="false" customHeight="false" outlineLevel="0" collapsed="false">
      <c r="A3" s="0" t="s">
        <v>865</v>
      </c>
      <c r="B3" s="0" t="s">
        <v>863</v>
      </c>
      <c r="C3" s="0" t="s">
        <v>568</v>
      </c>
      <c r="D3" s="0" t="s">
        <v>576</v>
      </c>
      <c r="E3" s="0" t="s">
        <v>636</v>
      </c>
      <c r="F3" s="0" t="s">
        <v>641</v>
      </c>
      <c r="G3" s="0" t="n">
        <v>28.5</v>
      </c>
      <c r="H3" s="0" t="n">
        <v>25.38</v>
      </c>
      <c r="I3" s="10" t="n">
        <v>0.3005</v>
      </c>
      <c r="J3" s="10" t="n">
        <v>0.6995</v>
      </c>
      <c r="K3" s="9" t="s">
        <v>1364</v>
      </c>
      <c r="L3" s="9" t="s">
        <v>1365</v>
      </c>
      <c r="M3" s="0" t="n">
        <v>28.27</v>
      </c>
      <c r="N3" s="10" t="n">
        <v>0.3</v>
      </c>
      <c r="O3" s="19"/>
      <c r="P3" s="0" t="str">
        <f aca="false">IF(O3="","",IF(O3&gt;G3,"OVER",IF(O3&lt;G3,"UNDER","PUSH")))</f>
        <v/>
      </c>
      <c r="Q3" s="0" t="n">
        <v>24.42</v>
      </c>
      <c r="R3" s="10" t="n">
        <v>0.2425</v>
      </c>
      <c r="S3" s="0" t="n">
        <v>0.962</v>
      </c>
      <c r="T3" s="0" t="n">
        <v>26.36</v>
      </c>
      <c r="U3" s="0" t="n">
        <v>25.36</v>
      </c>
    </row>
    <row r="4" customFormat="false" ht="15" hidden="false" customHeight="false" outlineLevel="0" collapsed="false">
      <c r="A4" s="0" t="s">
        <v>865</v>
      </c>
      <c r="B4" s="0" t="s">
        <v>863</v>
      </c>
      <c r="C4" s="0" t="s">
        <v>568</v>
      </c>
      <c r="D4" s="0" t="s">
        <v>576</v>
      </c>
      <c r="E4" s="0" t="s">
        <v>643</v>
      </c>
      <c r="F4" s="0" t="s">
        <v>637</v>
      </c>
      <c r="G4" s="0" t="n">
        <v>14.5</v>
      </c>
      <c r="H4" s="0" t="n">
        <v>13.58</v>
      </c>
      <c r="I4" s="10" t="n">
        <v>0.4108</v>
      </c>
      <c r="J4" s="10" t="n">
        <v>0.5892</v>
      </c>
      <c r="K4" s="9" t="s">
        <v>1364</v>
      </c>
      <c r="L4" s="9" t="s">
        <v>1365</v>
      </c>
      <c r="N4" s="10" t="n">
        <v>0.5</v>
      </c>
      <c r="O4" s="19"/>
      <c r="P4" s="0" t="str">
        <f aca="false">IF(O4="","",IF(O4&gt;G4,"OVER",IF(O4&lt;G4,"UNDER","PUSH")))</f>
        <v/>
      </c>
      <c r="Q4" s="0" t="n">
        <v>13.07</v>
      </c>
      <c r="R4" s="10" t="n">
        <v>0.3597</v>
      </c>
      <c r="S4" s="0" t="n">
        <v>0.962</v>
      </c>
      <c r="T4" s="0" t="n">
        <v>13.93</v>
      </c>
      <c r="U4" s="0" t="n">
        <v>13.4</v>
      </c>
    </row>
    <row r="5" customFormat="false" ht="15" hidden="false" customHeight="false" outlineLevel="0" collapsed="false">
      <c r="A5" s="0" t="s">
        <v>865</v>
      </c>
      <c r="B5" s="0" t="s">
        <v>863</v>
      </c>
      <c r="C5" s="0" t="s">
        <v>568</v>
      </c>
      <c r="D5" s="0" t="s">
        <v>576</v>
      </c>
      <c r="E5" s="0" t="s">
        <v>643</v>
      </c>
      <c r="F5" s="0" t="s">
        <v>641</v>
      </c>
      <c r="G5" s="0" t="n">
        <v>27.5</v>
      </c>
      <c r="H5" s="0" t="n">
        <v>25.47</v>
      </c>
      <c r="I5" s="10" t="n">
        <v>0.367</v>
      </c>
      <c r="J5" s="10" t="n">
        <v>0.633</v>
      </c>
      <c r="K5" s="9" t="s">
        <v>1364</v>
      </c>
      <c r="L5" s="9" t="s">
        <v>1365</v>
      </c>
      <c r="M5" s="0" t="n">
        <v>25.09</v>
      </c>
      <c r="N5" s="10" t="n">
        <v>0.4</v>
      </c>
      <c r="O5" s="19"/>
      <c r="P5" s="0" t="str">
        <f aca="false">IF(O5="","",IF(O5&gt;G5,"OVER",IF(O5&lt;G5,"UNDER","PUSH")))</f>
        <v/>
      </c>
      <c r="Q5" s="0" t="n">
        <v>24.51</v>
      </c>
      <c r="R5" s="10" t="n">
        <v>0.3046</v>
      </c>
      <c r="S5" s="0" t="n">
        <v>0.9621</v>
      </c>
      <c r="T5" s="0" t="n">
        <v>25.93</v>
      </c>
      <c r="U5" s="0" t="n">
        <v>24.95</v>
      </c>
    </row>
    <row r="6" customFormat="false" ht="15" hidden="false" customHeight="false" outlineLevel="0" collapsed="false">
      <c r="A6" s="0" t="s">
        <v>865</v>
      </c>
      <c r="B6" s="0" t="s">
        <v>863</v>
      </c>
      <c r="C6" s="0" t="s">
        <v>568</v>
      </c>
      <c r="D6" s="0" t="s">
        <v>576</v>
      </c>
      <c r="E6" s="0" t="s">
        <v>647</v>
      </c>
      <c r="F6" s="0" t="s">
        <v>637</v>
      </c>
      <c r="G6" s="0" t="n">
        <v>18.5</v>
      </c>
      <c r="H6" s="0" t="n">
        <v>21.52</v>
      </c>
      <c r="I6" s="10" t="n">
        <v>0.7166</v>
      </c>
      <c r="J6" s="10" t="n">
        <v>0.2834</v>
      </c>
      <c r="K6" s="9" t="s">
        <v>1364</v>
      </c>
      <c r="L6" s="9" t="s">
        <v>1365</v>
      </c>
      <c r="N6" s="10" t="n">
        <v>0.7</v>
      </c>
      <c r="O6" s="19"/>
      <c r="P6" s="0" t="str">
        <f aca="false">IF(O6="","",IF(O6&gt;G6,"OVER",IF(O6&lt;G6,"UNDER","PUSH")))</f>
        <v/>
      </c>
      <c r="Q6" s="0" t="n">
        <v>20.7</v>
      </c>
      <c r="R6" s="10" t="n">
        <v>0.665</v>
      </c>
      <c r="S6" s="0" t="n">
        <v>0.9621</v>
      </c>
      <c r="T6" s="0" t="n">
        <v>20.85</v>
      </c>
      <c r="U6" s="0" t="n">
        <v>20.06</v>
      </c>
    </row>
    <row r="7" customFormat="false" ht="15" hidden="false" customHeight="false" outlineLevel="0" collapsed="false">
      <c r="A7" s="0" t="s">
        <v>865</v>
      </c>
      <c r="B7" s="0" t="s">
        <v>863</v>
      </c>
      <c r="C7" s="0" t="s">
        <v>568</v>
      </c>
      <c r="D7" s="0" t="s">
        <v>576</v>
      </c>
      <c r="E7" s="0" t="s">
        <v>647</v>
      </c>
      <c r="F7" s="0" t="s">
        <v>641</v>
      </c>
      <c r="G7" s="0" t="n">
        <v>29.5</v>
      </c>
      <c r="H7" s="0" t="n">
        <v>29.46</v>
      </c>
      <c r="I7" s="10" t="n">
        <v>0.4973</v>
      </c>
      <c r="J7" s="10" t="n">
        <v>0.5027</v>
      </c>
      <c r="K7" s="9" t="s">
        <v>1364</v>
      </c>
      <c r="L7" s="9" t="s">
        <v>1365</v>
      </c>
      <c r="M7" s="0" t="n">
        <v>26.51</v>
      </c>
      <c r="N7" s="10" t="n">
        <v>0.5</v>
      </c>
      <c r="O7" s="19"/>
      <c r="P7" s="0" t="str">
        <f aca="false">IF(O7="","",IF(O7&gt;G7,"OVER",IF(O7&lt;G7,"UNDER","PUSH")))</f>
        <v/>
      </c>
      <c r="Q7" s="0" t="n">
        <v>28.34</v>
      </c>
      <c r="R7" s="10" t="n">
        <v>0.4269</v>
      </c>
      <c r="S7" s="0" t="n">
        <v>0.9621</v>
      </c>
      <c r="T7" s="0" t="n">
        <v>29.33</v>
      </c>
      <c r="U7" s="0" t="n">
        <v>28.22</v>
      </c>
    </row>
    <row r="8" customFormat="false" ht="15" hidden="false" customHeight="false" outlineLevel="0" collapsed="false">
      <c r="A8" s="0" t="s">
        <v>865</v>
      </c>
      <c r="B8" s="0" t="s">
        <v>863</v>
      </c>
      <c r="C8" s="0" t="s">
        <v>568</v>
      </c>
      <c r="D8" s="0" t="s">
        <v>576</v>
      </c>
      <c r="E8" s="0" t="s">
        <v>651</v>
      </c>
      <c r="F8" s="0" t="s">
        <v>637</v>
      </c>
      <c r="G8" s="0" t="n">
        <v>13.5</v>
      </c>
      <c r="H8" s="0" t="n">
        <v>11.17</v>
      </c>
      <c r="I8" s="10" t="n">
        <v>0.2574</v>
      </c>
      <c r="J8" s="10" t="n">
        <v>0.7426</v>
      </c>
      <c r="K8" s="9" t="s">
        <v>1364</v>
      </c>
      <c r="L8" s="9" t="s">
        <v>1365</v>
      </c>
      <c r="N8" s="10" t="n">
        <v>0.4</v>
      </c>
      <c r="O8" s="19"/>
      <c r="P8" s="0" t="str">
        <f aca="false">IF(O8="","",IF(O8&gt;G8,"OVER",IF(O8&lt;G8,"UNDER","PUSH")))</f>
        <v/>
      </c>
      <c r="Q8" s="0" t="n">
        <v>10.75</v>
      </c>
      <c r="R8" s="10" t="n">
        <v>0.2163</v>
      </c>
      <c r="S8" s="0" t="n">
        <v>0.9621</v>
      </c>
      <c r="T8" s="0" t="n">
        <v>12.21</v>
      </c>
      <c r="U8" s="0" t="n">
        <v>11.75</v>
      </c>
    </row>
    <row r="9" customFormat="false" ht="15" hidden="false" customHeight="false" outlineLevel="0" collapsed="false">
      <c r="A9" s="0" t="s">
        <v>865</v>
      </c>
      <c r="B9" s="0" t="s">
        <v>863</v>
      </c>
      <c r="C9" s="0" t="s">
        <v>568</v>
      </c>
      <c r="D9" s="0" t="s">
        <v>576</v>
      </c>
      <c r="E9" s="0" t="s">
        <v>651</v>
      </c>
      <c r="F9" s="0" t="s">
        <v>641</v>
      </c>
      <c r="G9" s="0" t="n">
        <v>33</v>
      </c>
      <c r="H9" s="0" t="n">
        <v>30.7</v>
      </c>
      <c r="I9" s="10" t="n">
        <v>0.3344</v>
      </c>
      <c r="J9" s="10" t="n">
        <v>0.6084</v>
      </c>
      <c r="K9" s="9" t="s">
        <v>1364</v>
      </c>
      <c r="L9" s="9" t="s">
        <v>1365</v>
      </c>
      <c r="M9" s="0" t="n">
        <v>31.13</v>
      </c>
      <c r="N9" s="10" t="n">
        <v>0.5</v>
      </c>
      <c r="O9" s="19"/>
      <c r="P9" s="0" t="str">
        <f aca="false">IF(O9="","",IF(O9&gt;G9,"OVER",IF(O9&lt;G9,"UNDER","PUSH")))</f>
        <v/>
      </c>
      <c r="Q9" s="0" t="n">
        <v>29.53</v>
      </c>
      <c r="R9" s="10" t="n">
        <v>0.2685</v>
      </c>
      <c r="S9" s="0" t="n">
        <v>0.962</v>
      </c>
      <c r="T9" s="0" t="n">
        <v>32.31</v>
      </c>
      <c r="U9" s="0" t="n">
        <v>31.08</v>
      </c>
    </row>
    <row r="10" customFormat="false" ht="15" hidden="false" customHeight="false" outlineLevel="0" collapsed="false">
      <c r="A10" s="0" t="s">
        <v>865</v>
      </c>
      <c r="B10" s="0" t="s">
        <v>863</v>
      </c>
      <c r="C10" s="0" t="s">
        <v>568</v>
      </c>
      <c r="D10" s="0" t="s">
        <v>576</v>
      </c>
      <c r="E10" s="0" t="s">
        <v>654</v>
      </c>
      <c r="F10" s="0" t="s">
        <v>637</v>
      </c>
      <c r="G10" s="0" t="n">
        <v>19</v>
      </c>
      <c r="H10" s="0" t="n">
        <v>19.19</v>
      </c>
      <c r="I10" s="10" t="n">
        <v>0.4746</v>
      </c>
      <c r="J10" s="10" t="n">
        <v>0.4438</v>
      </c>
      <c r="K10" s="9" t="s">
        <v>1364</v>
      </c>
      <c r="L10" s="9" t="s">
        <v>1365</v>
      </c>
      <c r="N10" s="10" t="n">
        <v>0.5</v>
      </c>
      <c r="O10" s="19"/>
      <c r="P10" s="0" t="str">
        <f aca="false">IF(O10="","",IF(O10&gt;G10,"OVER",IF(O10&lt;G10,"UNDER","PUSH")))</f>
        <v/>
      </c>
      <c r="Q10" s="0" t="n">
        <v>18.46</v>
      </c>
      <c r="R10" s="10" t="n">
        <v>0.414</v>
      </c>
      <c r="S10" s="0" t="n">
        <v>0.962</v>
      </c>
      <c r="T10" s="0" t="n">
        <v>19.26</v>
      </c>
      <c r="U10" s="0" t="n">
        <v>18.53</v>
      </c>
    </row>
    <row r="11" customFormat="false" ht="15" hidden="false" customHeight="false" outlineLevel="0" collapsed="false">
      <c r="A11" s="0" t="s">
        <v>865</v>
      </c>
      <c r="B11" s="0" t="s">
        <v>863</v>
      </c>
      <c r="C11" s="0" t="s">
        <v>568</v>
      </c>
      <c r="D11" s="0" t="s">
        <v>576</v>
      </c>
      <c r="E11" s="0" t="s">
        <v>654</v>
      </c>
      <c r="F11" s="0" t="s">
        <v>641</v>
      </c>
      <c r="G11" s="0" t="n">
        <v>31.5</v>
      </c>
      <c r="H11" s="0" t="n">
        <v>32.18</v>
      </c>
      <c r="I11" s="10" t="n">
        <v>0.5405</v>
      </c>
      <c r="J11" s="10" t="n">
        <v>0.4595</v>
      </c>
      <c r="K11" s="9" t="s">
        <v>1364</v>
      </c>
      <c r="L11" s="9" t="s">
        <v>1365</v>
      </c>
      <c r="M11" s="0" t="n">
        <v>31.04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30.96</v>
      </c>
      <c r="R11" s="10" t="n">
        <v>0.4674</v>
      </c>
      <c r="S11" s="0" t="n">
        <v>0.962</v>
      </c>
      <c r="T11" s="0" t="n">
        <v>31.88</v>
      </c>
      <c r="U11" s="0" t="n">
        <v>30.67</v>
      </c>
    </row>
    <row r="12" customFormat="false" ht="15" hidden="false" customHeight="false" outlineLevel="0" collapsed="false">
      <c r="A12" s="0" t="s">
        <v>865</v>
      </c>
      <c r="B12" s="0" t="s">
        <v>863</v>
      </c>
      <c r="C12" s="0" t="s">
        <v>568</v>
      </c>
      <c r="D12" s="0" t="s">
        <v>576</v>
      </c>
      <c r="E12" s="0" t="s">
        <v>657</v>
      </c>
      <c r="F12" s="0" t="s">
        <v>637</v>
      </c>
      <c r="G12" s="0" t="n">
        <v>14.5</v>
      </c>
      <c r="H12" s="0" t="n">
        <v>12.32</v>
      </c>
      <c r="I12" s="10" t="n">
        <v>0.2839</v>
      </c>
      <c r="J12" s="10" t="n">
        <v>0.7161</v>
      </c>
      <c r="K12" s="9" t="s">
        <v>1364</v>
      </c>
      <c r="L12" s="9" t="s">
        <v>1365</v>
      </c>
      <c r="N12" s="10" t="n">
        <v>0.4</v>
      </c>
      <c r="O12" s="19"/>
      <c r="P12" s="0" t="str">
        <f aca="false">IF(O12="","",IF(O12&gt;G12,"OVER",IF(O12&lt;G12,"UNDER","PUSH")))</f>
        <v/>
      </c>
      <c r="Q12" s="0" t="n">
        <v>11.97</v>
      </c>
      <c r="R12" s="10" t="n">
        <v>0.2503</v>
      </c>
      <c r="S12" s="0" t="n">
        <v>0.9713</v>
      </c>
      <c r="T12" s="0" t="n">
        <v>13.61</v>
      </c>
      <c r="U12" s="0" t="n">
        <v>13.22</v>
      </c>
    </row>
    <row r="13" customFormat="false" ht="15" hidden="false" customHeight="false" outlineLevel="0" collapsed="false">
      <c r="A13" s="0" t="s">
        <v>865</v>
      </c>
      <c r="B13" s="0" t="s">
        <v>863</v>
      </c>
      <c r="C13" s="0" t="s">
        <v>568</v>
      </c>
      <c r="D13" s="0" t="s">
        <v>576</v>
      </c>
      <c r="E13" s="0" t="s">
        <v>657</v>
      </c>
      <c r="F13" s="0" t="s">
        <v>641</v>
      </c>
      <c r="G13" s="0" t="n">
        <v>29.5</v>
      </c>
      <c r="H13" s="0" t="n">
        <v>27.09</v>
      </c>
      <c r="I13" s="10" t="n">
        <v>0.3478</v>
      </c>
      <c r="J13" s="10" t="n">
        <v>0.6522</v>
      </c>
      <c r="K13" s="9" t="s">
        <v>1364</v>
      </c>
      <c r="L13" s="9" t="s">
        <v>1365</v>
      </c>
      <c r="M13" s="0" t="n">
        <v>27.07</v>
      </c>
      <c r="N13" s="10" t="n">
        <v>0.3</v>
      </c>
      <c r="O13" s="19"/>
      <c r="P13" s="0" t="str">
        <f aca="false">IF(O13="","",IF(O13&gt;G13,"OVER",IF(O13&lt;G13,"UNDER","PUSH")))</f>
        <v/>
      </c>
      <c r="Q13" s="0" t="n">
        <v>26.31</v>
      </c>
      <c r="R13" s="10" t="n">
        <v>0.2996</v>
      </c>
      <c r="S13" s="0" t="n">
        <v>0.9712</v>
      </c>
      <c r="T13" s="0" t="n">
        <v>28.48</v>
      </c>
      <c r="U13" s="0" t="n">
        <v>27.66</v>
      </c>
    </row>
    <row r="14" customFormat="false" ht="15" hidden="false" customHeight="false" outlineLevel="0" collapsed="false">
      <c r="A14" s="0" t="s">
        <v>865</v>
      </c>
      <c r="B14" s="0" t="s">
        <v>863</v>
      </c>
      <c r="C14" s="0" t="s">
        <v>568</v>
      </c>
      <c r="D14" s="0" t="s">
        <v>576</v>
      </c>
      <c r="E14" s="0" t="s">
        <v>661</v>
      </c>
      <c r="F14" s="0" t="s">
        <v>637</v>
      </c>
      <c r="G14" s="0" t="n">
        <v>11.5</v>
      </c>
      <c r="H14" s="0" t="n">
        <v>10.78</v>
      </c>
      <c r="I14" s="10" t="n">
        <v>0.419</v>
      </c>
      <c r="J14" s="10" t="n">
        <v>0.581</v>
      </c>
      <c r="K14" s="9" t="s">
        <v>1364</v>
      </c>
      <c r="L14" s="9" t="s">
        <v>1365</v>
      </c>
      <c r="N14" s="10" t="n">
        <v>0.5</v>
      </c>
      <c r="O14" s="19"/>
      <c r="P14" s="0" t="str">
        <f aca="false">IF(O14="","",IF(O14&gt;G14,"OVER",IF(O14&lt;G14,"UNDER","PUSH")))</f>
        <v/>
      </c>
      <c r="Q14" s="0" t="n">
        <v>10.47</v>
      </c>
      <c r="R14" s="10" t="n">
        <v>0.3833</v>
      </c>
      <c r="S14" s="0" t="n">
        <v>0.9713</v>
      </c>
      <c r="T14" s="0" t="n">
        <v>11.18</v>
      </c>
      <c r="U14" s="0" t="n">
        <v>10.85</v>
      </c>
    </row>
    <row r="15" customFormat="false" ht="15" hidden="false" customHeight="false" outlineLevel="0" collapsed="false">
      <c r="A15" s="0" t="s">
        <v>865</v>
      </c>
      <c r="B15" s="0" t="s">
        <v>863</v>
      </c>
      <c r="C15" s="0" t="s">
        <v>568</v>
      </c>
      <c r="D15" s="0" t="s">
        <v>576</v>
      </c>
      <c r="E15" s="0" t="s">
        <v>661</v>
      </c>
      <c r="F15" s="0" t="s">
        <v>641</v>
      </c>
      <c r="G15" s="0" t="n">
        <v>30.5</v>
      </c>
      <c r="H15" s="0" t="n">
        <v>28.98</v>
      </c>
      <c r="I15" s="10" t="n">
        <v>0.4059</v>
      </c>
      <c r="J15" s="10" t="n">
        <v>0.5941</v>
      </c>
      <c r="K15" s="9" t="s">
        <v>1364</v>
      </c>
      <c r="L15" s="9" t="s">
        <v>1365</v>
      </c>
      <c r="M15" s="0" t="n">
        <v>28.36</v>
      </c>
      <c r="N15" s="10" t="n">
        <v>0.4</v>
      </c>
      <c r="O15" s="19"/>
      <c r="P15" s="0" t="str">
        <f aca="false">IF(O15="","",IF(O15&gt;G15,"OVER",IF(O15&lt;G15,"UNDER","PUSH")))</f>
        <v/>
      </c>
      <c r="Q15" s="0" t="n">
        <v>28.15</v>
      </c>
      <c r="R15" s="10" t="n">
        <v>0.3542</v>
      </c>
      <c r="S15" s="0" t="n">
        <v>0.9713</v>
      </c>
      <c r="T15" s="0" t="n">
        <v>29.33</v>
      </c>
      <c r="U15" s="0" t="n">
        <v>28.49</v>
      </c>
    </row>
    <row r="16" customFormat="false" ht="15" hidden="false" customHeight="false" outlineLevel="0" collapsed="false">
      <c r="A16" s="0" t="s">
        <v>865</v>
      </c>
      <c r="B16" s="0" t="s">
        <v>863</v>
      </c>
      <c r="C16" s="0" t="s">
        <v>568</v>
      </c>
      <c r="D16" s="0" t="s">
        <v>576</v>
      </c>
      <c r="E16" s="0" t="s">
        <v>663</v>
      </c>
      <c r="F16" s="0" t="s">
        <v>637</v>
      </c>
      <c r="G16" s="0" t="n">
        <v>19.5</v>
      </c>
      <c r="H16" s="0" t="n">
        <v>20.13</v>
      </c>
      <c r="I16" s="10" t="n">
        <v>0.5498</v>
      </c>
      <c r="J16" s="10" t="n">
        <v>0.4502</v>
      </c>
      <c r="K16" s="9" t="s">
        <v>1364</v>
      </c>
      <c r="L16" s="9" t="s">
        <v>1365</v>
      </c>
      <c r="N16" s="10" t="n">
        <v>0.6</v>
      </c>
      <c r="O16" s="19"/>
      <c r="P16" s="0" t="str">
        <f aca="false">IF(O16="","",IF(O16&gt;G16,"OVER",IF(O16&lt;G16,"UNDER","PUSH")))</f>
        <v/>
      </c>
      <c r="Q16" s="0" t="n">
        <v>19.55</v>
      </c>
      <c r="R16" s="10" t="n">
        <v>0.5041</v>
      </c>
      <c r="S16" s="0" t="n">
        <v>0.9711</v>
      </c>
      <c r="T16" s="0" t="n">
        <v>18.77</v>
      </c>
      <c r="U16" s="0" t="n">
        <v>18.23</v>
      </c>
    </row>
    <row r="17" customFormat="false" ht="15" hidden="false" customHeight="false" outlineLevel="0" collapsed="false">
      <c r="A17" s="0" t="s">
        <v>865</v>
      </c>
      <c r="B17" s="0" t="s">
        <v>863</v>
      </c>
      <c r="C17" s="0" t="s">
        <v>568</v>
      </c>
      <c r="D17" s="0" t="s">
        <v>576</v>
      </c>
      <c r="E17" s="0" t="s">
        <v>663</v>
      </c>
      <c r="F17" s="0" t="s">
        <v>641</v>
      </c>
      <c r="G17" s="0" t="n">
        <v>29.5</v>
      </c>
      <c r="H17" s="0" t="n">
        <v>30.14</v>
      </c>
      <c r="I17" s="10" t="n">
        <v>0.5395</v>
      </c>
      <c r="J17" s="10" t="n">
        <v>0.4605</v>
      </c>
      <c r="K17" s="9" t="s">
        <v>1364</v>
      </c>
      <c r="L17" s="9" t="s">
        <v>1365</v>
      </c>
      <c r="M17" s="0" t="n">
        <v>29.22</v>
      </c>
      <c r="N17" s="10" t="n">
        <v>0.5</v>
      </c>
      <c r="O17" s="19"/>
      <c r="P17" s="0" t="str">
        <f aca="false">IF(O17="","",IF(O17&gt;G17,"OVER",IF(O17&lt;G17,"UNDER","PUSH")))</f>
        <v/>
      </c>
      <c r="Q17" s="0" t="n">
        <v>29.27</v>
      </c>
      <c r="R17" s="10" t="n">
        <v>0.486</v>
      </c>
      <c r="S17" s="0" t="n">
        <v>0.9712</v>
      </c>
      <c r="T17" s="0" t="n">
        <v>28.06</v>
      </c>
      <c r="U17" s="0" t="n">
        <v>27.25</v>
      </c>
    </row>
    <row r="18" customFormat="false" ht="15" hidden="false" customHeight="false" outlineLevel="0" collapsed="false">
      <c r="A18" s="0" t="s">
        <v>865</v>
      </c>
      <c r="B18" s="0" t="s">
        <v>863</v>
      </c>
      <c r="C18" s="0" t="s">
        <v>568</v>
      </c>
      <c r="D18" s="0" t="s">
        <v>576</v>
      </c>
      <c r="E18" s="0" t="s">
        <v>665</v>
      </c>
      <c r="F18" s="0" t="s">
        <v>637</v>
      </c>
      <c r="G18" s="0" t="n">
        <v>14.5</v>
      </c>
      <c r="H18" s="0" t="n">
        <v>12.4</v>
      </c>
      <c r="I18" s="10" t="n">
        <v>0.2942</v>
      </c>
      <c r="J18" s="10" t="n">
        <v>0.7058</v>
      </c>
      <c r="K18" s="9" t="s">
        <v>1364</v>
      </c>
      <c r="L18" s="9" t="s">
        <v>1365</v>
      </c>
      <c r="N18" s="10" t="n">
        <v>0.4</v>
      </c>
      <c r="O18" s="19"/>
      <c r="P18" s="0" t="str">
        <f aca="false">IF(O18="","",IF(O18&gt;G18,"OVER",IF(O18&lt;G18,"UNDER","PUSH")))</f>
        <v/>
      </c>
      <c r="Q18" s="0" t="n">
        <v>12.05</v>
      </c>
      <c r="R18" s="10" t="n">
        <v>0.2601</v>
      </c>
      <c r="S18" s="0" t="n">
        <v>0.9712</v>
      </c>
      <c r="T18" s="0" t="n">
        <v>12.75</v>
      </c>
      <c r="U18" s="0" t="n">
        <v>12.38</v>
      </c>
    </row>
    <row r="19" customFormat="false" ht="15" hidden="false" customHeight="false" outlineLevel="0" collapsed="false">
      <c r="A19" s="0" t="s">
        <v>865</v>
      </c>
      <c r="B19" s="0" t="s">
        <v>863</v>
      </c>
      <c r="C19" s="0" t="s">
        <v>568</v>
      </c>
      <c r="D19" s="0" t="s">
        <v>576</v>
      </c>
      <c r="E19" s="0" t="s">
        <v>665</v>
      </c>
      <c r="F19" s="0" t="s">
        <v>641</v>
      </c>
      <c r="G19" s="0" t="n">
        <v>27.5</v>
      </c>
      <c r="H19" s="0" t="n">
        <v>23.84</v>
      </c>
      <c r="I19" s="10" t="n">
        <v>0.2635</v>
      </c>
      <c r="J19" s="10" t="n">
        <v>0.7365</v>
      </c>
      <c r="K19" s="9" t="s">
        <v>1364</v>
      </c>
      <c r="L19" s="9" t="s">
        <v>1365</v>
      </c>
      <c r="M19" s="0" t="n">
        <v>25.8</v>
      </c>
      <c r="N19" s="10" t="n">
        <v>0.4</v>
      </c>
      <c r="O19" s="19"/>
      <c r="P19" s="0" t="str">
        <f aca="false">IF(O19="","",IF(O19&gt;G19,"OVER",IF(O19&lt;G19,"UNDER","PUSH")))</f>
        <v/>
      </c>
      <c r="Q19" s="0" t="n">
        <v>23.16</v>
      </c>
      <c r="R19" s="10" t="n">
        <v>0.2228</v>
      </c>
      <c r="S19" s="0" t="n">
        <v>0.9712</v>
      </c>
      <c r="T19" s="0" t="n">
        <v>24.66</v>
      </c>
      <c r="U19" s="0" t="n">
        <v>23.95</v>
      </c>
    </row>
    <row r="20" customFormat="false" ht="15" hidden="false" customHeight="false" outlineLevel="0" collapsed="false">
      <c r="A20" s="0" t="s">
        <v>865</v>
      </c>
      <c r="B20" s="0" t="s">
        <v>863</v>
      </c>
      <c r="C20" s="0" t="s">
        <v>568</v>
      </c>
      <c r="D20" s="0" t="s">
        <v>576</v>
      </c>
      <c r="E20" s="0" t="s">
        <v>668</v>
      </c>
      <c r="F20" s="0" t="s">
        <v>637</v>
      </c>
      <c r="G20" s="0" t="n">
        <v>18.5</v>
      </c>
      <c r="H20" s="0" t="n">
        <v>18.23</v>
      </c>
      <c r="I20" s="10" t="n">
        <v>0.477</v>
      </c>
      <c r="J20" s="10" t="n">
        <v>0.523</v>
      </c>
      <c r="K20" s="9" t="s">
        <v>1364</v>
      </c>
      <c r="L20" s="9" t="s">
        <v>1365</v>
      </c>
      <c r="N20" s="10" t="n">
        <v>0.5</v>
      </c>
      <c r="O20" s="19"/>
      <c r="P20" s="0" t="str">
        <f aca="false">IF(O20="","",IF(O20&gt;G20,"OVER",IF(O20&lt;G20,"UNDER","PUSH")))</f>
        <v/>
      </c>
      <c r="Q20" s="0" t="n">
        <v>17.7</v>
      </c>
      <c r="R20" s="10" t="n">
        <v>0.4318</v>
      </c>
      <c r="S20" s="0" t="n">
        <v>0.9712</v>
      </c>
      <c r="T20" s="0" t="n">
        <v>17.76</v>
      </c>
      <c r="U20" s="0" t="n">
        <v>17.25</v>
      </c>
    </row>
    <row r="21" customFormat="false" ht="15" hidden="false" customHeight="false" outlineLevel="0" collapsed="false">
      <c r="A21" s="0" t="s">
        <v>865</v>
      </c>
      <c r="B21" s="0" t="s">
        <v>863</v>
      </c>
      <c r="C21" s="0" t="s">
        <v>568</v>
      </c>
      <c r="D21" s="0" t="s">
        <v>576</v>
      </c>
      <c r="E21" s="0" t="s">
        <v>668</v>
      </c>
      <c r="F21" s="0" t="s">
        <v>641</v>
      </c>
      <c r="G21" s="0" t="n">
        <v>31.5</v>
      </c>
      <c r="H21" s="0" t="n">
        <v>33.62</v>
      </c>
      <c r="I21" s="10" t="n">
        <v>0.6214</v>
      </c>
      <c r="J21" s="10" t="n">
        <v>0.3786</v>
      </c>
      <c r="K21" s="9" t="s">
        <v>1364</v>
      </c>
      <c r="L21" s="9" t="s">
        <v>1365</v>
      </c>
      <c r="M21" s="0" t="n">
        <v>31.36</v>
      </c>
      <c r="N21" s="10" t="n">
        <v>0.7</v>
      </c>
      <c r="O21" s="19"/>
      <c r="P21" s="0" t="str">
        <f aca="false">IF(O21="","",IF(O21&gt;G21,"OVER",IF(O21&lt;G21,"UNDER","PUSH")))</f>
        <v/>
      </c>
      <c r="Q21" s="0" t="n">
        <v>32.65</v>
      </c>
      <c r="R21" s="10" t="n">
        <v>0.5677</v>
      </c>
      <c r="S21" s="0" t="n">
        <v>0.9712</v>
      </c>
      <c r="T21" s="0" t="n">
        <v>31.88</v>
      </c>
      <c r="U21" s="0" t="n">
        <v>30.96</v>
      </c>
    </row>
    <row r="22" customFormat="false" ht="15" hidden="false" customHeight="false" outlineLevel="0" collapsed="false">
      <c r="A22" s="0" t="s">
        <v>865</v>
      </c>
      <c r="B22" s="0" t="s">
        <v>863</v>
      </c>
      <c r="C22" s="0" t="s">
        <v>568</v>
      </c>
      <c r="D22" s="0" t="s">
        <v>485</v>
      </c>
      <c r="E22" s="0" t="s">
        <v>671</v>
      </c>
      <c r="F22" s="0" t="s">
        <v>637</v>
      </c>
      <c r="G22" s="0" t="n">
        <v>15.5</v>
      </c>
      <c r="H22" s="0" t="n">
        <v>14.52</v>
      </c>
      <c r="I22" s="10" t="n">
        <v>0.407</v>
      </c>
      <c r="J22" s="10" t="n">
        <v>0.593</v>
      </c>
      <c r="K22" s="9" t="s">
        <v>1366</v>
      </c>
      <c r="L22" s="9" t="s">
        <v>1367</v>
      </c>
      <c r="N22" s="10" t="n">
        <v>0.5</v>
      </c>
      <c r="O22" s="19"/>
      <c r="P22" s="0" t="str">
        <f aca="false">IF(O22="","",IF(O22&gt;G22,"OVER",IF(O22&lt;G22,"UNDER","PUSH")))</f>
        <v/>
      </c>
      <c r="Q22" s="0" t="n">
        <v>14.18</v>
      </c>
      <c r="R22" s="10" t="n">
        <v>0.3737</v>
      </c>
      <c r="S22" s="0" t="n">
        <v>0.9763</v>
      </c>
      <c r="T22" s="0" t="n">
        <v>15.16</v>
      </c>
      <c r="U22" s="0" t="n">
        <v>14.8</v>
      </c>
    </row>
    <row r="23" customFormat="false" ht="15" hidden="false" customHeight="false" outlineLevel="0" collapsed="false">
      <c r="A23" s="0" t="s">
        <v>865</v>
      </c>
      <c r="B23" s="0" t="s">
        <v>863</v>
      </c>
      <c r="C23" s="0" t="s">
        <v>568</v>
      </c>
      <c r="D23" s="0" t="s">
        <v>485</v>
      </c>
      <c r="E23" s="0" t="s">
        <v>671</v>
      </c>
      <c r="F23" s="0" t="s">
        <v>641</v>
      </c>
      <c r="G23" s="0" t="n">
        <v>32.5</v>
      </c>
      <c r="H23" s="0" t="n">
        <v>31.07</v>
      </c>
      <c r="I23" s="10" t="n">
        <v>0.414</v>
      </c>
      <c r="J23" s="10" t="n">
        <v>0.586</v>
      </c>
      <c r="K23" s="9" t="s">
        <v>1366</v>
      </c>
      <c r="L23" s="9" t="s">
        <v>1367</v>
      </c>
      <c r="N23" s="10" t="n">
        <v>0.6</v>
      </c>
      <c r="O23" s="19"/>
      <c r="P23" s="0" t="str">
        <f aca="false">IF(O23="","",IF(O23&gt;G23,"OVER",IF(O23&lt;G23,"UNDER","PUSH")))</f>
        <v/>
      </c>
      <c r="Q23" s="0" t="n">
        <v>30.35</v>
      </c>
      <c r="R23" s="10" t="n">
        <v>0.3708</v>
      </c>
      <c r="S23" s="0" t="n">
        <v>0.9769</v>
      </c>
      <c r="T23" s="0" t="n">
        <v>32.25</v>
      </c>
      <c r="U23" s="0" t="n">
        <v>31.48</v>
      </c>
    </row>
    <row r="24" customFormat="false" ht="15" hidden="false" customHeight="false" outlineLevel="0" collapsed="false">
      <c r="A24" s="0" t="s">
        <v>865</v>
      </c>
      <c r="B24" s="0" t="s">
        <v>863</v>
      </c>
      <c r="C24" s="0" t="s">
        <v>568</v>
      </c>
      <c r="D24" s="0" t="s">
        <v>485</v>
      </c>
      <c r="E24" s="0" t="s">
        <v>673</v>
      </c>
      <c r="F24" s="0" t="s">
        <v>641</v>
      </c>
      <c r="G24" s="0" t="n">
        <v>27.5</v>
      </c>
      <c r="H24" s="0" t="n">
        <v>28.49</v>
      </c>
      <c r="I24" s="10" t="n">
        <v>0.5621</v>
      </c>
      <c r="J24" s="10" t="n">
        <v>0.4379</v>
      </c>
      <c r="K24" s="9" t="s">
        <v>1366</v>
      </c>
      <c r="L24" s="9" t="s">
        <v>1367</v>
      </c>
      <c r="N24" s="10" t="n">
        <v>0.7</v>
      </c>
      <c r="O24" s="19"/>
      <c r="P24" s="0" t="str">
        <f aca="false">IF(O24="","",IF(O24&gt;G24,"OVER",IF(O24&lt;G24,"UNDER","PUSH")))</f>
        <v/>
      </c>
      <c r="Q24" s="0" t="n">
        <v>27.8</v>
      </c>
      <c r="R24" s="10" t="n">
        <v>0.5193</v>
      </c>
      <c r="S24" s="0" t="n">
        <v>0.9759</v>
      </c>
      <c r="T24" s="0" t="n">
        <v>27.95</v>
      </c>
      <c r="U24" s="0" t="n">
        <v>27.29</v>
      </c>
    </row>
    <row r="25" customFormat="false" ht="15" hidden="false" customHeight="false" outlineLevel="0" collapsed="false">
      <c r="A25" s="0" t="s">
        <v>865</v>
      </c>
      <c r="B25" s="0" t="s">
        <v>863</v>
      </c>
      <c r="C25" s="0" t="s">
        <v>568</v>
      </c>
      <c r="D25" s="0" t="s">
        <v>485</v>
      </c>
      <c r="E25" s="0" t="s">
        <v>676</v>
      </c>
      <c r="F25" s="0" t="s">
        <v>641</v>
      </c>
      <c r="G25" s="0" t="n">
        <v>30.5</v>
      </c>
      <c r="H25" s="0" t="n">
        <v>27.16</v>
      </c>
      <c r="I25" s="10" t="n">
        <v>0.2941</v>
      </c>
      <c r="J25" s="10" t="n">
        <v>0.7059</v>
      </c>
      <c r="K25" s="9" t="s">
        <v>1366</v>
      </c>
      <c r="L25" s="9" t="s">
        <v>1367</v>
      </c>
      <c r="N25" s="10" t="n">
        <v>0.3</v>
      </c>
      <c r="O25" s="19"/>
      <c r="P25" s="0" t="str">
        <f aca="false">IF(O25="","",IF(O25&gt;G25,"OVER",IF(O25&lt;G25,"UNDER","PUSH")))</f>
        <v/>
      </c>
      <c r="Q25" s="0" t="n">
        <v>26.53</v>
      </c>
      <c r="R25" s="10" t="n">
        <v>0.2573</v>
      </c>
      <c r="S25" s="0" t="n">
        <v>0.9767</v>
      </c>
      <c r="T25" s="0" t="n">
        <v>28.81</v>
      </c>
      <c r="U25" s="0" t="n">
        <v>28.13</v>
      </c>
    </row>
    <row r="26" customFormat="false" ht="15" hidden="false" customHeight="false" outlineLevel="0" collapsed="false">
      <c r="A26" s="0" t="s">
        <v>865</v>
      </c>
      <c r="B26" s="0" t="s">
        <v>863</v>
      </c>
      <c r="C26" s="0" t="s">
        <v>568</v>
      </c>
      <c r="D26" s="0" t="s">
        <v>485</v>
      </c>
      <c r="E26" s="0" t="s">
        <v>678</v>
      </c>
      <c r="F26" s="0" t="s">
        <v>637</v>
      </c>
      <c r="G26" s="0" t="n">
        <v>15.5</v>
      </c>
      <c r="H26" s="0" t="n">
        <v>14.76</v>
      </c>
      <c r="I26" s="10" t="n">
        <v>0.4308</v>
      </c>
      <c r="J26" s="10" t="n">
        <v>0.5692</v>
      </c>
      <c r="K26" s="9" t="s">
        <v>1366</v>
      </c>
      <c r="L26" s="9" t="s">
        <v>1367</v>
      </c>
      <c r="N26" s="10" t="n">
        <v>0.4</v>
      </c>
      <c r="O26" s="19"/>
      <c r="P26" s="0" t="str">
        <f aca="false">IF(O26="","",IF(O26&gt;G26,"OVER",IF(O26&lt;G26,"UNDER","PUSH")))</f>
        <v/>
      </c>
      <c r="Q26" s="0" t="n">
        <v>14.41</v>
      </c>
      <c r="R26" s="10" t="n">
        <v>0.3978</v>
      </c>
      <c r="S26" s="0" t="n">
        <v>0.9765</v>
      </c>
      <c r="T26" s="0" t="n">
        <v>14.48</v>
      </c>
      <c r="U26" s="0" t="n">
        <v>14.14</v>
      </c>
    </row>
    <row r="27" customFormat="false" ht="15" hidden="false" customHeight="false" outlineLevel="0" collapsed="false">
      <c r="A27" s="0" t="s">
        <v>865</v>
      </c>
      <c r="B27" s="0" t="s">
        <v>863</v>
      </c>
      <c r="C27" s="0" t="s">
        <v>568</v>
      </c>
      <c r="D27" s="0" t="s">
        <v>485</v>
      </c>
      <c r="E27" s="0" t="s">
        <v>678</v>
      </c>
      <c r="F27" s="0" t="s">
        <v>641</v>
      </c>
      <c r="G27" s="0" t="n">
        <v>28.5</v>
      </c>
      <c r="H27" s="0" t="n">
        <v>27.01</v>
      </c>
      <c r="I27" s="10" t="n">
        <v>0.404</v>
      </c>
      <c r="J27" s="10" t="n">
        <v>0.596</v>
      </c>
      <c r="K27" s="9" t="s">
        <v>1366</v>
      </c>
      <c r="L27" s="9" t="s">
        <v>1367</v>
      </c>
      <c r="N27" s="10" t="n">
        <v>0.4</v>
      </c>
      <c r="O27" s="19"/>
      <c r="P27" s="0" t="str">
        <f aca="false">IF(O27="","",IF(O27&gt;G27,"OVER",IF(O27&lt;G27,"UNDER","PUSH")))</f>
        <v/>
      </c>
      <c r="Q27" s="0" t="n">
        <v>26.38</v>
      </c>
      <c r="R27" s="10" t="n">
        <v>0.3635</v>
      </c>
      <c r="S27" s="0" t="n">
        <v>0.9767</v>
      </c>
      <c r="T27" s="0" t="n">
        <v>26.23</v>
      </c>
      <c r="U27" s="0" t="n">
        <v>25.61</v>
      </c>
    </row>
    <row r="28" customFormat="false" ht="15" hidden="false" customHeight="false" outlineLevel="0" collapsed="false">
      <c r="A28" s="0" t="s">
        <v>865</v>
      </c>
      <c r="B28" s="0" t="s">
        <v>863</v>
      </c>
      <c r="C28" s="0" t="s">
        <v>568</v>
      </c>
      <c r="D28" s="0" t="s">
        <v>485</v>
      </c>
      <c r="E28" s="0" t="s">
        <v>680</v>
      </c>
      <c r="F28" s="0" t="s">
        <v>637</v>
      </c>
      <c r="G28" s="0" t="n">
        <v>12</v>
      </c>
      <c r="H28" s="0" t="n">
        <v>12.63</v>
      </c>
      <c r="I28" s="10" t="n">
        <v>0.5139</v>
      </c>
      <c r="J28" s="10" t="n">
        <v>0.3847</v>
      </c>
      <c r="K28" s="9" t="s">
        <v>1366</v>
      </c>
      <c r="L28" s="9" t="s">
        <v>1367</v>
      </c>
      <c r="N28" s="10" t="n">
        <v>0.5</v>
      </c>
      <c r="O28" s="19"/>
      <c r="P28" s="0" t="str">
        <f aca="false">IF(O28="","",IF(O28&gt;G28,"OVER",IF(O28&lt;G28,"UNDER","PUSH")))</f>
        <v/>
      </c>
      <c r="Q28" s="0" t="n">
        <v>12.33</v>
      </c>
      <c r="R28" s="10" t="n">
        <v>0.4822</v>
      </c>
      <c r="S28" s="0" t="n">
        <v>0.9758</v>
      </c>
      <c r="T28" s="0" t="n">
        <v>12.51</v>
      </c>
      <c r="U28" s="0" t="n">
        <v>12.21</v>
      </c>
    </row>
    <row r="29" customFormat="false" ht="15" hidden="false" customHeight="false" outlineLevel="0" collapsed="false">
      <c r="A29" s="0" t="s">
        <v>865</v>
      </c>
      <c r="B29" s="0" t="s">
        <v>863</v>
      </c>
      <c r="C29" s="0" t="s">
        <v>568</v>
      </c>
      <c r="D29" s="0" t="s">
        <v>485</v>
      </c>
      <c r="E29" s="0" t="s">
        <v>680</v>
      </c>
      <c r="F29" s="0" t="s">
        <v>641</v>
      </c>
      <c r="G29" s="0" t="n">
        <v>25</v>
      </c>
      <c r="H29" s="0" t="n">
        <v>27.29</v>
      </c>
      <c r="I29" s="10" t="n">
        <v>0.6141</v>
      </c>
      <c r="J29" s="10" t="n">
        <v>0.3257</v>
      </c>
      <c r="K29" s="9" t="s">
        <v>1366</v>
      </c>
      <c r="L29" s="9" t="s">
        <v>1367</v>
      </c>
      <c r="N29" s="10" t="n">
        <v>0.5</v>
      </c>
      <c r="O29" s="19"/>
      <c r="P29" s="0" t="str">
        <f aca="false">IF(O29="","",IF(O29&gt;G29,"OVER",IF(O29&lt;G29,"UNDER","PUSH")))</f>
        <v/>
      </c>
      <c r="Q29" s="0" t="n">
        <v>26.64</v>
      </c>
      <c r="R29" s="10" t="n">
        <v>0.5739</v>
      </c>
      <c r="S29" s="0" t="n">
        <v>0.976</v>
      </c>
      <c r="T29" s="0" t="n">
        <v>26.23</v>
      </c>
      <c r="U29" s="0" t="n">
        <v>25.61</v>
      </c>
    </row>
    <row r="30" customFormat="false" ht="15" hidden="false" customHeight="false" outlineLevel="0" collapsed="false">
      <c r="A30" s="0" t="s">
        <v>865</v>
      </c>
      <c r="B30" s="0" t="s">
        <v>863</v>
      </c>
      <c r="C30" s="0" t="s">
        <v>568</v>
      </c>
      <c r="D30" s="0" t="s">
        <v>485</v>
      </c>
      <c r="E30" s="0" t="s">
        <v>682</v>
      </c>
      <c r="F30" s="0" t="s">
        <v>637</v>
      </c>
      <c r="G30" s="0" t="n">
        <v>11.5</v>
      </c>
      <c r="H30" s="0" t="n">
        <v>11.85</v>
      </c>
      <c r="I30" s="10" t="n">
        <v>0.5382</v>
      </c>
      <c r="J30" s="10" t="n">
        <v>0.4618</v>
      </c>
      <c r="K30" s="9" t="s">
        <v>1366</v>
      </c>
      <c r="L30" s="9" t="s">
        <v>1367</v>
      </c>
      <c r="N30" s="10" t="n">
        <v>0.5</v>
      </c>
      <c r="O30" s="19"/>
      <c r="P30" s="0" t="str">
        <f aca="false">IF(O30="","",IF(O30&gt;G30,"OVER",IF(O30&lt;G30,"UNDER","PUSH")))</f>
        <v/>
      </c>
      <c r="Q30" s="0" t="n">
        <v>11.9</v>
      </c>
      <c r="R30" s="10" t="n">
        <v>0.5432</v>
      </c>
      <c r="S30" s="0" t="n">
        <v>1.0039</v>
      </c>
      <c r="T30" s="0" t="n">
        <v>12.48</v>
      </c>
      <c r="U30" s="0" t="n">
        <v>12.55</v>
      </c>
    </row>
    <row r="31" customFormat="false" ht="15" hidden="false" customHeight="false" outlineLevel="0" collapsed="false">
      <c r="A31" s="0" t="s">
        <v>865</v>
      </c>
      <c r="B31" s="0" t="s">
        <v>863</v>
      </c>
      <c r="C31" s="0" t="s">
        <v>568</v>
      </c>
      <c r="D31" s="0" t="s">
        <v>485</v>
      </c>
      <c r="E31" s="0" t="s">
        <v>682</v>
      </c>
      <c r="F31" s="0" t="s">
        <v>641</v>
      </c>
      <c r="G31" s="0" t="n">
        <v>32.5</v>
      </c>
      <c r="H31" s="0" t="n">
        <v>34.17</v>
      </c>
      <c r="I31" s="10" t="n">
        <v>0.5957</v>
      </c>
      <c r="J31" s="10" t="n">
        <v>0.4043</v>
      </c>
      <c r="K31" s="9" t="s">
        <v>1366</v>
      </c>
      <c r="L31" s="9" t="s">
        <v>1367</v>
      </c>
      <c r="N31" s="10" t="n">
        <v>0.7</v>
      </c>
      <c r="O31" s="19"/>
      <c r="P31" s="0" t="str">
        <f aca="false">IF(O31="","",IF(O31&gt;G31,"OVER",IF(O31&lt;G31,"UNDER","PUSH")))</f>
        <v/>
      </c>
      <c r="Q31" s="0" t="n">
        <v>34.38</v>
      </c>
      <c r="R31" s="10" t="n">
        <v>0.6065</v>
      </c>
      <c r="S31" s="0" t="n">
        <v>1.0059</v>
      </c>
      <c r="T31" s="0" t="n">
        <v>33.54</v>
      </c>
      <c r="U31" s="0" t="n">
        <v>33.74</v>
      </c>
    </row>
    <row r="32" customFormat="false" ht="15" hidden="false" customHeight="false" outlineLevel="0" collapsed="false">
      <c r="A32" s="0" t="s">
        <v>865</v>
      </c>
      <c r="B32" s="0" t="s">
        <v>863</v>
      </c>
      <c r="C32" s="0" t="s">
        <v>568</v>
      </c>
      <c r="D32" s="0" t="s">
        <v>485</v>
      </c>
      <c r="E32" s="0" t="s">
        <v>684</v>
      </c>
      <c r="F32" s="0" t="s">
        <v>637</v>
      </c>
      <c r="G32" s="0" t="n">
        <v>13.5</v>
      </c>
      <c r="H32" s="0" t="n">
        <v>12.33</v>
      </c>
      <c r="I32" s="10" t="n">
        <v>0.3788</v>
      </c>
      <c r="J32" s="10" t="n">
        <v>0.6212</v>
      </c>
      <c r="K32" s="9" t="s">
        <v>1366</v>
      </c>
      <c r="L32" s="9" t="s">
        <v>1367</v>
      </c>
      <c r="N32" s="10" t="n">
        <v>0.5</v>
      </c>
      <c r="O32" s="19"/>
      <c r="P32" s="0" t="str">
        <f aca="false">IF(O32="","",IF(O32&gt;G32,"OVER",IF(O32&lt;G32,"UNDER","PUSH")))</f>
        <v/>
      </c>
      <c r="Q32" s="0" t="n">
        <v>12.4</v>
      </c>
      <c r="R32" s="10" t="n">
        <v>0.3871</v>
      </c>
      <c r="S32" s="0" t="n">
        <v>1.0064</v>
      </c>
      <c r="T32" s="0" t="n">
        <v>13.25</v>
      </c>
      <c r="U32" s="0" t="n">
        <v>13.33</v>
      </c>
    </row>
    <row r="33" customFormat="false" ht="15" hidden="false" customHeight="false" outlineLevel="0" collapsed="false">
      <c r="A33" s="0" t="s">
        <v>865</v>
      </c>
      <c r="B33" s="0" t="s">
        <v>863</v>
      </c>
      <c r="C33" s="0" t="s">
        <v>568</v>
      </c>
      <c r="D33" s="0" t="s">
        <v>485</v>
      </c>
      <c r="E33" s="0" t="s">
        <v>684</v>
      </c>
      <c r="F33" s="0" t="s">
        <v>641</v>
      </c>
      <c r="G33" s="0" t="n">
        <v>28.5</v>
      </c>
      <c r="H33" s="0" t="n">
        <v>28.13</v>
      </c>
      <c r="I33" s="10" t="n">
        <v>0.4768</v>
      </c>
      <c r="J33" s="10" t="n">
        <v>0.5232</v>
      </c>
      <c r="K33" s="9" t="s">
        <v>1366</v>
      </c>
      <c r="L33" s="9" t="s">
        <v>1367</v>
      </c>
      <c r="N33" s="10" t="n">
        <v>0.6</v>
      </c>
      <c r="O33" s="19"/>
      <c r="P33" s="0" t="str">
        <f aca="false">IF(O33="","",IF(O33&gt;G33,"OVER",IF(O33&lt;G33,"UNDER","PUSH")))</f>
        <v/>
      </c>
      <c r="Q33" s="0" t="n">
        <v>28.29</v>
      </c>
      <c r="R33" s="10" t="n">
        <v>0.4869</v>
      </c>
      <c r="S33" s="0" t="n">
        <v>1.0057</v>
      </c>
      <c r="T33" s="0" t="n">
        <v>29.24</v>
      </c>
      <c r="U33" s="0" t="n">
        <v>29.42</v>
      </c>
    </row>
    <row r="34" customFormat="false" ht="15" hidden="false" customHeight="false" outlineLevel="0" collapsed="false">
      <c r="A34" s="0" t="s">
        <v>865</v>
      </c>
      <c r="B34" s="0" t="s">
        <v>863</v>
      </c>
      <c r="C34" s="0" t="s">
        <v>568</v>
      </c>
      <c r="D34" s="0" t="s">
        <v>485</v>
      </c>
      <c r="E34" s="0" t="s">
        <v>686</v>
      </c>
      <c r="F34" s="0" t="s">
        <v>637</v>
      </c>
      <c r="G34" s="0" t="n">
        <v>18</v>
      </c>
      <c r="H34" s="0" t="n">
        <v>18.12</v>
      </c>
      <c r="I34" s="10" t="n">
        <v>0.4677</v>
      </c>
      <c r="J34" s="10" t="n">
        <v>0.4481</v>
      </c>
      <c r="K34" s="9" t="s">
        <v>1366</v>
      </c>
      <c r="L34" s="9" t="s">
        <v>1367</v>
      </c>
      <c r="N34" s="10" t="n">
        <v>0.7</v>
      </c>
      <c r="O34" s="19"/>
      <c r="P34" s="0" t="str">
        <f aca="false">IF(O34="","",IF(O34&gt;G34,"OVER",IF(O34&lt;G34,"UNDER","PUSH")))</f>
        <v/>
      </c>
      <c r="Q34" s="0" t="n">
        <v>18.22</v>
      </c>
      <c r="R34" s="10" t="n">
        <v>0.4768</v>
      </c>
      <c r="S34" s="0" t="n">
        <v>1.0059</v>
      </c>
      <c r="T34" s="0" t="n">
        <v>18.2</v>
      </c>
      <c r="U34" s="0" t="n">
        <v>18.31</v>
      </c>
    </row>
    <row r="35" customFormat="false" ht="15" hidden="false" customHeight="false" outlineLevel="0" collapsed="false">
      <c r="A35" s="0" t="s">
        <v>865</v>
      </c>
      <c r="B35" s="0" t="s">
        <v>863</v>
      </c>
      <c r="C35" s="0" t="s">
        <v>568</v>
      </c>
      <c r="D35" s="0" t="s">
        <v>485</v>
      </c>
      <c r="E35" s="0" t="s">
        <v>686</v>
      </c>
      <c r="F35" s="0" t="s">
        <v>641</v>
      </c>
      <c r="G35" s="0" t="n">
        <v>30.5</v>
      </c>
      <c r="H35" s="0" t="n">
        <v>30.92</v>
      </c>
      <c r="I35" s="10" t="n">
        <v>0.5252</v>
      </c>
      <c r="J35" s="10" t="n">
        <v>0.4748</v>
      </c>
      <c r="K35" s="9" t="s">
        <v>1366</v>
      </c>
      <c r="L35" s="9" t="s">
        <v>1367</v>
      </c>
      <c r="N35" s="10" t="n">
        <v>0.6</v>
      </c>
      <c r="O35" s="19"/>
      <c r="P35" s="0" t="str">
        <f aca="false">IF(O35="","",IF(O35&gt;G35,"OVER",IF(O35&lt;G35,"UNDER","PUSH")))</f>
        <v/>
      </c>
      <c r="Q35" s="0" t="n">
        <v>31.11</v>
      </c>
      <c r="R35" s="10" t="n">
        <v>0.5371</v>
      </c>
      <c r="S35" s="0" t="n">
        <v>1.0064</v>
      </c>
      <c r="T35" s="0" t="n">
        <v>30.53</v>
      </c>
      <c r="U35" s="0" t="n">
        <v>30.71</v>
      </c>
    </row>
    <row r="36" customFormat="false" ht="15" hidden="false" customHeight="false" outlineLevel="0" collapsed="false">
      <c r="A36" s="0" t="s">
        <v>865</v>
      </c>
      <c r="B36" s="0" t="s">
        <v>863</v>
      </c>
      <c r="C36" s="0" t="s">
        <v>568</v>
      </c>
      <c r="D36" s="0" t="s">
        <v>485</v>
      </c>
      <c r="E36" s="0" t="s">
        <v>688</v>
      </c>
      <c r="F36" s="0" t="s">
        <v>641</v>
      </c>
      <c r="G36" s="0" t="n">
        <v>28.5</v>
      </c>
      <c r="H36" s="0" t="n">
        <v>26.45</v>
      </c>
      <c r="I36" s="10" t="n">
        <v>0.3681</v>
      </c>
      <c r="J36" s="10" t="n">
        <v>0.6319</v>
      </c>
      <c r="K36" s="9" t="s">
        <v>1366</v>
      </c>
      <c r="L36" s="9" t="s">
        <v>1367</v>
      </c>
      <c r="N36" s="10" t="n">
        <v>0.5</v>
      </c>
      <c r="O36" s="19"/>
      <c r="P36" s="0" t="str">
        <f aca="false">IF(O36="","",IF(O36&gt;G36,"OVER",IF(O36&lt;G36,"UNDER","PUSH")))</f>
        <v/>
      </c>
      <c r="Q36" s="0" t="n">
        <v>26.61</v>
      </c>
      <c r="R36" s="10" t="n">
        <v>0.3781</v>
      </c>
      <c r="S36" s="0" t="n">
        <v>1.0059</v>
      </c>
      <c r="T36" s="0" t="n">
        <v>28.38</v>
      </c>
      <c r="U36" s="0" t="n">
        <v>28.55</v>
      </c>
    </row>
    <row r="37" customFormat="false" ht="15" hidden="false" customHeight="false" outlineLevel="0" collapsed="false">
      <c r="A37" s="0" t="s">
        <v>865</v>
      </c>
      <c r="B37" s="0" t="s">
        <v>863</v>
      </c>
      <c r="C37" s="0" t="s">
        <v>568</v>
      </c>
      <c r="D37" s="0" t="s">
        <v>485</v>
      </c>
      <c r="E37" s="0" t="s">
        <v>690</v>
      </c>
      <c r="F37" s="0" t="s">
        <v>637</v>
      </c>
      <c r="G37" s="0" t="n">
        <v>15.5</v>
      </c>
      <c r="H37" s="0" t="n">
        <v>13.62</v>
      </c>
      <c r="I37" s="10" t="n">
        <v>0.3229</v>
      </c>
      <c r="J37" s="10" t="n">
        <v>0.6771</v>
      </c>
      <c r="K37" s="9" t="s">
        <v>1366</v>
      </c>
      <c r="L37" s="9" t="s">
        <v>1367</v>
      </c>
      <c r="N37" s="10" t="n">
        <v>0.4</v>
      </c>
      <c r="O37" s="19"/>
      <c r="P37" s="0" t="str">
        <f aca="false">IF(O37="","",IF(O37&gt;G37,"OVER",IF(O37&lt;G37,"UNDER","PUSH")))</f>
        <v/>
      </c>
      <c r="Q37" s="0" t="n">
        <v>13.73</v>
      </c>
      <c r="R37" s="10" t="n">
        <v>0.3331</v>
      </c>
      <c r="S37" s="0" t="n">
        <v>1.008</v>
      </c>
      <c r="T37" s="0" t="n">
        <v>14.47</v>
      </c>
      <c r="U37" s="0" t="n">
        <v>14.56</v>
      </c>
    </row>
    <row r="38" customFormat="false" ht="15" hidden="false" customHeight="false" outlineLevel="0" collapsed="false">
      <c r="A38" s="0" t="s">
        <v>865</v>
      </c>
      <c r="B38" s="0" t="s">
        <v>863</v>
      </c>
      <c r="C38" s="0" t="s">
        <v>568</v>
      </c>
      <c r="D38" s="0" t="s">
        <v>485</v>
      </c>
      <c r="E38" s="0" t="s">
        <v>690</v>
      </c>
      <c r="F38" s="0" t="s">
        <v>641</v>
      </c>
      <c r="G38" s="0" t="n">
        <v>25.5</v>
      </c>
      <c r="H38" s="0" t="n">
        <v>23.65</v>
      </c>
      <c r="I38" s="10" t="n">
        <v>0.3742</v>
      </c>
      <c r="J38" s="10" t="n">
        <v>0.6258</v>
      </c>
      <c r="K38" s="9" t="s">
        <v>1366</v>
      </c>
      <c r="L38" s="9" t="s">
        <v>1367</v>
      </c>
      <c r="N38" s="10" t="n">
        <v>0.3</v>
      </c>
      <c r="O38" s="19"/>
      <c r="P38" s="0" t="str">
        <f aca="false">IF(O38="","",IF(O38&gt;G38,"OVER",IF(O38&lt;G38,"UNDER","PUSH")))</f>
        <v/>
      </c>
      <c r="Q38" s="0" t="n">
        <v>23.83</v>
      </c>
      <c r="R38" s="10" t="n">
        <v>0.3862</v>
      </c>
      <c r="S38" s="0" t="n">
        <v>1.0074</v>
      </c>
      <c r="T38" s="0" t="n">
        <v>23.65</v>
      </c>
      <c r="U38" s="0" t="n">
        <v>23.79</v>
      </c>
    </row>
    <row r="39" customFormat="false" ht="15" hidden="false" customHeight="false" outlineLevel="0" collapsed="false">
      <c r="A39" s="0" t="s">
        <v>865</v>
      </c>
      <c r="B39" s="0" t="s">
        <v>863</v>
      </c>
      <c r="C39" s="0" t="s">
        <v>568</v>
      </c>
      <c r="D39" s="0" t="s">
        <v>583</v>
      </c>
      <c r="E39" s="0" t="s">
        <v>692</v>
      </c>
      <c r="F39" s="0" t="s">
        <v>637</v>
      </c>
      <c r="G39" s="0" t="n">
        <v>16</v>
      </c>
      <c r="H39" s="0" t="n">
        <v>16.08</v>
      </c>
      <c r="I39" s="10" t="n">
        <v>0.4623</v>
      </c>
      <c r="J39" s="10" t="n">
        <v>0.4479</v>
      </c>
      <c r="K39" s="9" t="s">
        <v>1368</v>
      </c>
      <c r="L39" s="9" t="s">
        <v>1369</v>
      </c>
      <c r="N39" s="10" t="n">
        <v>0.6</v>
      </c>
      <c r="O39" s="19"/>
      <c r="P39" s="0" t="str">
        <f aca="false">IF(O39="","",IF(O39&gt;G39,"OVER",IF(O39&lt;G39,"UNDER","PUSH")))</f>
        <v/>
      </c>
      <c r="Q39" s="0" t="n">
        <v>16.48</v>
      </c>
      <c r="R39" s="10" t="n">
        <v>0.4978</v>
      </c>
      <c r="S39" s="0" t="n">
        <v>1.0246</v>
      </c>
      <c r="T39" s="0" t="n">
        <v>16.53</v>
      </c>
      <c r="U39" s="0" t="n">
        <v>16.94</v>
      </c>
    </row>
    <row r="40" customFormat="false" ht="15" hidden="false" customHeight="false" outlineLevel="0" collapsed="false">
      <c r="A40" s="0" t="s">
        <v>865</v>
      </c>
      <c r="B40" s="0" t="s">
        <v>863</v>
      </c>
      <c r="C40" s="0" t="s">
        <v>568</v>
      </c>
      <c r="D40" s="0" t="s">
        <v>583</v>
      </c>
      <c r="E40" s="0" t="s">
        <v>692</v>
      </c>
      <c r="F40" s="0" t="s">
        <v>641</v>
      </c>
      <c r="G40" s="0" t="n">
        <v>27.5</v>
      </c>
      <c r="H40" s="0" t="n">
        <v>29.06</v>
      </c>
      <c r="I40" s="10" t="n">
        <v>0.5967</v>
      </c>
      <c r="J40" s="10" t="n">
        <v>0.4033</v>
      </c>
      <c r="K40" s="9" t="s">
        <v>1368</v>
      </c>
      <c r="L40" s="9" t="s">
        <v>1369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29.77</v>
      </c>
      <c r="R40" s="10" t="n">
        <v>0.6375</v>
      </c>
      <c r="S40" s="0" t="n">
        <v>1.0244</v>
      </c>
      <c r="T40" s="0" t="n">
        <v>28.99</v>
      </c>
      <c r="U40" s="0" t="n">
        <v>29.73</v>
      </c>
    </row>
    <row r="41" customFormat="false" ht="15" hidden="false" customHeight="false" outlineLevel="0" collapsed="false">
      <c r="A41" s="0" t="s">
        <v>865</v>
      </c>
      <c r="B41" s="0" t="s">
        <v>863</v>
      </c>
      <c r="C41" s="0" t="s">
        <v>568</v>
      </c>
      <c r="D41" s="0" t="s">
        <v>583</v>
      </c>
      <c r="E41" s="0" t="s">
        <v>694</v>
      </c>
      <c r="F41" s="0" t="s">
        <v>637</v>
      </c>
      <c r="G41" s="0" t="n">
        <v>16.5</v>
      </c>
      <c r="H41" s="0" t="n">
        <v>15.21</v>
      </c>
      <c r="I41" s="10" t="n">
        <v>0.3822</v>
      </c>
      <c r="J41" s="10" t="n">
        <v>0.6178</v>
      </c>
      <c r="K41" s="9" t="s">
        <v>1368</v>
      </c>
      <c r="L41" s="9" t="s">
        <v>1369</v>
      </c>
      <c r="N41" s="10" t="n">
        <v>0.5</v>
      </c>
      <c r="O41" s="19"/>
      <c r="P41" s="0" t="str">
        <f aca="false">IF(O41="","",IF(O41&gt;G41,"OVER",IF(O41&lt;G41,"UNDER","PUSH")))</f>
        <v/>
      </c>
      <c r="Q41" s="0" t="n">
        <v>15.61</v>
      </c>
      <c r="R41" s="10" t="n">
        <v>0.4188</v>
      </c>
      <c r="S41" s="0" t="n">
        <v>1.0259</v>
      </c>
      <c r="T41" s="0" t="n">
        <v>15.75</v>
      </c>
      <c r="U41" s="0" t="n">
        <v>16.15</v>
      </c>
    </row>
    <row r="42" customFormat="false" ht="15" hidden="false" customHeight="false" outlineLevel="0" collapsed="false">
      <c r="A42" s="0" t="s">
        <v>865</v>
      </c>
      <c r="B42" s="0" t="s">
        <v>863</v>
      </c>
      <c r="C42" s="0" t="s">
        <v>568</v>
      </c>
      <c r="D42" s="0" t="s">
        <v>583</v>
      </c>
      <c r="E42" s="0" t="s">
        <v>694</v>
      </c>
      <c r="F42" s="0" t="s">
        <v>641</v>
      </c>
      <c r="G42" s="0" t="n">
        <v>31.5</v>
      </c>
      <c r="H42" s="0" t="n">
        <v>29.06</v>
      </c>
      <c r="I42" s="10" t="n">
        <v>0.3511</v>
      </c>
      <c r="J42" s="10" t="n">
        <v>0.6489</v>
      </c>
      <c r="K42" s="9" t="s">
        <v>1368</v>
      </c>
      <c r="L42" s="9" t="s">
        <v>1369</v>
      </c>
      <c r="N42" s="10" t="n">
        <v>0.5</v>
      </c>
      <c r="O42" s="19"/>
      <c r="P42" s="0" t="str">
        <f aca="false">IF(O42="","",IF(O42&gt;G42,"OVER",IF(O42&lt;G42,"UNDER","PUSH")))</f>
        <v/>
      </c>
      <c r="Q42" s="0" t="n">
        <v>29.8</v>
      </c>
      <c r="R42" s="10" t="n">
        <v>0.396</v>
      </c>
      <c r="S42" s="0" t="n">
        <v>1.0253</v>
      </c>
      <c r="T42" s="0" t="n">
        <v>29.83</v>
      </c>
      <c r="U42" s="0" t="n">
        <v>30.59</v>
      </c>
    </row>
    <row r="43" customFormat="false" ht="15" hidden="false" customHeight="false" outlineLevel="0" collapsed="false">
      <c r="A43" s="0" t="s">
        <v>865</v>
      </c>
      <c r="B43" s="0" t="s">
        <v>863</v>
      </c>
      <c r="C43" s="0" t="s">
        <v>568</v>
      </c>
      <c r="D43" s="0" t="s">
        <v>583</v>
      </c>
      <c r="E43" s="0" t="s">
        <v>696</v>
      </c>
      <c r="F43" s="0" t="s">
        <v>637</v>
      </c>
      <c r="G43" s="0" t="n">
        <v>10.5</v>
      </c>
      <c r="H43" s="0" t="n">
        <v>10.53</v>
      </c>
      <c r="I43" s="10" t="n">
        <v>0.5037</v>
      </c>
      <c r="J43" s="10" t="n">
        <v>0.4963</v>
      </c>
      <c r="K43" s="9" t="s">
        <v>1368</v>
      </c>
      <c r="L43" s="9" t="s">
        <v>1369</v>
      </c>
      <c r="N43" s="10" t="n">
        <v>0.4</v>
      </c>
      <c r="O43" s="19"/>
      <c r="P43" s="0" t="str">
        <f aca="false">IF(O43="","",IF(O43&gt;G43,"OVER",IF(O43&lt;G43,"UNDER","PUSH")))</f>
        <v/>
      </c>
      <c r="Q43" s="0" t="n">
        <v>10.79</v>
      </c>
      <c r="R43" s="10" t="n">
        <v>0.5335</v>
      </c>
      <c r="S43" s="0" t="n">
        <v>1.0249</v>
      </c>
      <c r="T43" s="0" t="n">
        <v>10.38</v>
      </c>
      <c r="U43" s="0" t="n">
        <v>10.64</v>
      </c>
    </row>
    <row r="44" customFormat="false" ht="15" hidden="false" customHeight="false" outlineLevel="0" collapsed="false">
      <c r="A44" s="0" t="s">
        <v>865</v>
      </c>
      <c r="B44" s="0" t="s">
        <v>863</v>
      </c>
      <c r="C44" s="0" t="s">
        <v>568</v>
      </c>
      <c r="D44" s="0" t="s">
        <v>583</v>
      </c>
      <c r="E44" s="0" t="s">
        <v>696</v>
      </c>
      <c r="F44" s="0" t="s">
        <v>641</v>
      </c>
      <c r="G44" s="0" t="n">
        <v>31.5</v>
      </c>
      <c r="H44" s="0" t="n">
        <v>31.49</v>
      </c>
      <c r="I44" s="10" t="n">
        <v>0.4992</v>
      </c>
      <c r="J44" s="10" t="n">
        <v>0.5008</v>
      </c>
      <c r="K44" s="9" t="s">
        <v>1368</v>
      </c>
      <c r="L44" s="9" t="s">
        <v>1369</v>
      </c>
      <c r="N44" s="10" t="n">
        <v>0.7</v>
      </c>
      <c r="O44" s="19"/>
      <c r="P44" s="0" t="str">
        <f aca="false">IF(O44="","",IF(O44&gt;G44,"OVER",IF(O44&lt;G44,"UNDER","PUSH")))</f>
        <v/>
      </c>
      <c r="Q44" s="0" t="n">
        <v>32.29</v>
      </c>
      <c r="R44" s="10" t="n">
        <v>0.5465</v>
      </c>
      <c r="S44" s="0" t="n">
        <v>1.0254</v>
      </c>
      <c r="T44" s="0" t="n">
        <v>31.94</v>
      </c>
      <c r="U44" s="0" t="n">
        <v>32.74</v>
      </c>
    </row>
    <row r="45" customFormat="false" ht="15" hidden="false" customHeight="false" outlineLevel="0" collapsed="false">
      <c r="A45" s="0" t="s">
        <v>865</v>
      </c>
      <c r="B45" s="0" t="s">
        <v>863</v>
      </c>
      <c r="C45" s="0" t="s">
        <v>568</v>
      </c>
      <c r="D45" s="0" t="s">
        <v>583</v>
      </c>
      <c r="E45" s="0" t="s">
        <v>698</v>
      </c>
      <c r="F45" s="0" t="s">
        <v>637</v>
      </c>
      <c r="G45" s="0" t="n">
        <v>15</v>
      </c>
      <c r="H45" s="0" t="n">
        <v>13.18</v>
      </c>
      <c r="I45" s="10" t="n">
        <v>0.2806</v>
      </c>
      <c r="J45" s="10" t="n">
        <v>0.6296</v>
      </c>
      <c r="K45" s="9" t="s">
        <v>1368</v>
      </c>
      <c r="L45" s="9" t="s">
        <v>1369</v>
      </c>
      <c r="N45" s="10" t="n">
        <v>0.4</v>
      </c>
      <c r="O45" s="19"/>
      <c r="P45" s="0" t="str">
        <f aca="false">IF(O45="","",IF(O45&gt;G45,"OVER",IF(O45&lt;G45,"UNDER","PUSH")))</f>
        <v/>
      </c>
      <c r="Q45" s="0" t="n">
        <v>13.49</v>
      </c>
      <c r="R45" s="10" t="n">
        <v>0.3099</v>
      </c>
      <c r="S45" s="0" t="n">
        <v>1.0239</v>
      </c>
      <c r="T45" s="0" t="n">
        <v>12.75</v>
      </c>
      <c r="U45" s="0" t="n">
        <v>13.07</v>
      </c>
    </row>
    <row r="46" customFormat="false" ht="15" hidden="false" customHeight="false" outlineLevel="0" collapsed="false">
      <c r="A46" s="0" t="s">
        <v>865</v>
      </c>
      <c r="B46" s="0" t="s">
        <v>863</v>
      </c>
      <c r="C46" s="0" t="s">
        <v>568</v>
      </c>
      <c r="D46" s="0" t="s">
        <v>583</v>
      </c>
      <c r="E46" s="0" t="s">
        <v>698</v>
      </c>
      <c r="F46" s="0" t="s">
        <v>641</v>
      </c>
      <c r="G46" s="0" t="n">
        <v>27.5</v>
      </c>
      <c r="H46" s="0" t="n">
        <v>24.95</v>
      </c>
      <c r="I46" s="10" t="n">
        <v>0.3328</v>
      </c>
      <c r="J46" s="10" t="n">
        <v>0.6672</v>
      </c>
      <c r="K46" s="9" t="s">
        <v>1368</v>
      </c>
      <c r="L46" s="9" t="s">
        <v>1369</v>
      </c>
      <c r="N46" s="10" t="n">
        <v>0.3</v>
      </c>
      <c r="O46" s="19"/>
      <c r="P46" s="0" t="str">
        <f aca="false">IF(O46="","",IF(O46&gt;G46,"OVER",IF(O46&lt;G46,"UNDER","PUSH")))</f>
        <v/>
      </c>
      <c r="Q46" s="0" t="n">
        <v>25.57</v>
      </c>
      <c r="R46" s="10" t="n">
        <v>0.3733</v>
      </c>
      <c r="S46" s="0" t="n">
        <v>1.0249</v>
      </c>
      <c r="T46" s="0" t="n">
        <v>24.37</v>
      </c>
      <c r="U46" s="0" t="n">
        <v>24.99</v>
      </c>
    </row>
    <row r="47" customFormat="false" ht="15" hidden="false" customHeight="false" outlineLevel="0" collapsed="false">
      <c r="A47" s="0" t="s">
        <v>865</v>
      </c>
      <c r="B47" s="0" t="s">
        <v>863</v>
      </c>
      <c r="C47" s="0" t="s">
        <v>568</v>
      </c>
      <c r="D47" s="0" t="s">
        <v>590</v>
      </c>
      <c r="E47" s="0" t="s">
        <v>700</v>
      </c>
      <c r="F47" s="0" t="s">
        <v>637</v>
      </c>
      <c r="G47" s="0" t="n">
        <v>20.5</v>
      </c>
      <c r="H47" s="0" t="n">
        <v>20.75</v>
      </c>
      <c r="I47" s="10" t="n">
        <v>0.5193</v>
      </c>
      <c r="J47" s="10" t="n">
        <v>0.4807</v>
      </c>
      <c r="K47" s="9" t="s">
        <v>1370</v>
      </c>
      <c r="L47" s="9" t="s">
        <v>1371</v>
      </c>
      <c r="N47" s="10" t="n">
        <v>0.5</v>
      </c>
      <c r="O47" s="19"/>
      <c r="P47" s="0" t="str">
        <f aca="false">IF(O47="","",IF(O47&gt;G47,"OVER",IF(O47&lt;G47,"UNDER","PUSH")))</f>
        <v/>
      </c>
      <c r="Q47" s="0" t="n">
        <v>20.49</v>
      </c>
      <c r="R47" s="10" t="n">
        <v>0.4989</v>
      </c>
      <c r="S47" s="0" t="n">
        <v>0.9875</v>
      </c>
      <c r="T47" s="0" t="n">
        <v>20.85</v>
      </c>
      <c r="U47" s="0" t="n">
        <v>20.59</v>
      </c>
    </row>
    <row r="48" customFormat="false" ht="15" hidden="false" customHeight="false" outlineLevel="0" collapsed="false">
      <c r="A48" s="0" t="s">
        <v>865</v>
      </c>
      <c r="B48" s="0" t="s">
        <v>863</v>
      </c>
      <c r="C48" s="0" t="s">
        <v>568</v>
      </c>
      <c r="D48" s="0" t="s">
        <v>590</v>
      </c>
      <c r="E48" s="0" t="s">
        <v>700</v>
      </c>
      <c r="F48" s="0" t="s">
        <v>641</v>
      </c>
      <c r="G48" s="0" t="n">
        <v>33.5</v>
      </c>
      <c r="H48" s="0" t="n">
        <v>35.86</v>
      </c>
      <c r="I48" s="10" t="n">
        <v>0.6302</v>
      </c>
      <c r="J48" s="10" t="n">
        <v>0.3698</v>
      </c>
      <c r="K48" s="9" t="s">
        <v>1370</v>
      </c>
      <c r="L48" s="9" t="s">
        <v>1371</v>
      </c>
      <c r="M48" s="0" t="n">
        <v>31.46</v>
      </c>
      <c r="N48" s="10" t="n">
        <v>0.3</v>
      </c>
      <c r="O48" s="19"/>
      <c r="P48" s="0" t="str">
        <f aca="false">IF(O48="","",IF(O48&gt;G48,"OVER",IF(O48&lt;G48,"UNDER","PUSH")))</f>
        <v/>
      </c>
      <c r="Q48" s="0" t="n">
        <v>35.4</v>
      </c>
      <c r="R48" s="10" t="n">
        <v>0.6066</v>
      </c>
      <c r="S48" s="0" t="n">
        <v>0.9874</v>
      </c>
      <c r="T48" s="0" t="n">
        <v>34.87</v>
      </c>
      <c r="U48" s="0" t="n">
        <v>34.43</v>
      </c>
    </row>
    <row r="49" customFormat="false" ht="15" hidden="false" customHeight="false" outlineLevel="0" collapsed="false">
      <c r="A49" s="0" t="s">
        <v>865</v>
      </c>
      <c r="B49" s="0" t="s">
        <v>863</v>
      </c>
      <c r="C49" s="0" t="s">
        <v>568</v>
      </c>
      <c r="D49" s="0" t="s">
        <v>590</v>
      </c>
      <c r="E49" s="0" t="s">
        <v>702</v>
      </c>
      <c r="F49" s="0" t="s">
        <v>637</v>
      </c>
      <c r="G49" s="0" t="n">
        <v>18.5</v>
      </c>
      <c r="H49" s="0" t="n">
        <v>17.84</v>
      </c>
      <c r="I49" s="10" t="n">
        <v>0.4437</v>
      </c>
      <c r="J49" s="10" t="n">
        <v>0.5563</v>
      </c>
      <c r="K49" s="9" t="s">
        <v>1370</v>
      </c>
      <c r="L49" s="9" t="s">
        <v>1371</v>
      </c>
      <c r="N49" s="10" t="n">
        <v>0.5</v>
      </c>
      <c r="O49" s="19"/>
      <c r="P49" s="0" t="str">
        <f aca="false">IF(O49="","",IF(O49&gt;G49,"OVER",IF(O49&lt;G49,"UNDER","PUSH")))</f>
        <v/>
      </c>
      <c r="Q49" s="0" t="n">
        <v>17.61</v>
      </c>
      <c r="R49" s="10" t="n">
        <v>0.4244</v>
      </c>
      <c r="S49" s="0" t="n">
        <v>0.9874</v>
      </c>
      <c r="T49" s="0" t="n">
        <v>17.2</v>
      </c>
      <c r="U49" s="0" t="n">
        <v>16.99</v>
      </c>
    </row>
    <row r="50" customFormat="false" ht="15" hidden="false" customHeight="false" outlineLevel="0" collapsed="false">
      <c r="A50" s="0" t="s">
        <v>865</v>
      </c>
      <c r="B50" s="0" t="s">
        <v>863</v>
      </c>
      <c r="C50" s="0" t="s">
        <v>568</v>
      </c>
      <c r="D50" s="0" t="s">
        <v>590</v>
      </c>
      <c r="E50" s="0" t="s">
        <v>702</v>
      </c>
      <c r="F50" s="0" t="s">
        <v>641</v>
      </c>
      <c r="G50" s="0" t="n">
        <v>32.5</v>
      </c>
      <c r="H50" s="0" t="n">
        <v>30.75</v>
      </c>
      <c r="I50" s="10" t="n">
        <v>0.395</v>
      </c>
      <c r="J50" s="10" t="n">
        <v>0.605</v>
      </c>
      <c r="K50" s="9" t="s">
        <v>1370</v>
      </c>
      <c r="L50" s="9" t="s">
        <v>1371</v>
      </c>
      <c r="M50" s="0" t="n">
        <v>29.85</v>
      </c>
      <c r="N50" s="10" t="n">
        <v>0.5</v>
      </c>
      <c r="O50" s="19"/>
      <c r="P50" s="0" t="str">
        <f aca="false">IF(O50="","",IF(O50&gt;G50,"OVER",IF(O50&lt;G50,"UNDER","PUSH")))</f>
        <v/>
      </c>
      <c r="Q50" s="0" t="n">
        <v>30.37</v>
      </c>
      <c r="R50" s="10" t="n">
        <v>0.3717</v>
      </c>
      <c r="S50" s="0" t="n">
        <v>0.9874</v>
      </c>
      <c r="T50" s="0" t="n">
        <v>29.76</v>
      </c>
      <c r="U50" s="0" t="n">
        <v>29.39</v>
      </c>
    </row>
    <row r="51" customFormat="false" ht="15" hidden="false" customHeight="false" outlineLevel="0" collapsed="false">
      <c r="A51" s="0" t="s">
        <v>865</v>
      </c>
      <c r="B51" s="0" t="s">
        <v>863</v>
      </c>
      <c r="C51" s="0" t="s">
        <v>568</v>
      </c>
      <c r="D51" s="0" t="s">
        <v>590</v>
      </c>
      <c r="E51" s="0" t="s">
        <v>704</v>
      </c>
      <c r="F51" s="0" t="s">
        <v>637</v>
      </c>
      <c r="G51" s="0" t="n">
        <v>14.5</v>
      </c>
      <c r="H51" s="0" t="n">
        <v>14.44</v>
      </c>
      <c r="I51" s="10" t="n">
        <v>0.4942</v>
      </c>
      <c r="J51" s="10" t="n">
        <v>0.5058</v>
      </c>
      <c r="K51" s="9" t="s">
        <v>1370</v>
      </c>
      <c r="L51" s="9" t="s">
        <v>1371</v>
      </c>
      <c r="N51" s="10" t="n">
        <v>0.4</v>
      </c>
      <c r="O51" s="19"/>
      <c r="P51" s="0" t="str">
        <f aca="false">IF(O51="","",IF(O51&gt;G51,"OVER",IF(O51&lt;G51,"UNDER","PUSH")))</f>
        <v/>
      </c>
      <c r="Q51" s="0" t="n">
        <v>14.26</v>
      </c>
      <c r="R51" s="10" t="n">
        <v>0.4769</v>
      </c>
      <c r="S51" s="0" t="n">
        <v>0.9874</v>
      </c>
      <c r="T51" s="0" t="n">
        <v>14.03</v>
      </c>
      <c r="U51" s="0" t="n">
        <v>13.86</v>
      </c>
    </row>
    <row r="52" customFormat="false" ht="15" hidden="false" customHeight="false" outlineLevel="0" collapsed="false">
      <c r="A52" s="0" t="s">
        <v>865</v>
      </c>
      <c r="B52" s="0" t="s">
        <v>863</v>
      </c>
      <c r="C52" s="0" t="s">
        <v>568</v>
      </c>
      <c r="D52" s="0" t="s">
        <v>590</v>
      </c>
      <c r="E52" s="0" t="s">
        <v>704</v>
      </c>
      <c r="F52" s="0" t="s">
        <v>641</v>
      </c>
      <c r="G52" s="0" t="n">
        <v>25.5</v>
      </c>
      <c r="H52" s="0" t="n">
        <v>25.86</v>
      </c>
      <c r="I52" s="10" t="n">
        <v>0.5236</v>
      </c>
      <c r="J52" s="10" t="n">
        <v>0.4764</v>
      </c>
      <c r="K52" s="9" t="s">
        <v>1370</v>
      </c>
      <c r="L52" s="9" t="s">
        <v>1371</v>
      </c>
      <c r="M52" s="0" t="n">
        <v>24.14</v>
      </c>
      <c r="N52" s="10" t="n">
        <v>0.6</v>
      </c>
      <c r="O52" s="19"/>
      <c r="P52" s="0" t="str">
        <f aca="false">IF(O52="","",IF(O52&gt;G52,"OVER",IF(O52&lt;G52,"UNDER","PUSH")))</f>
        <v/>
      </c>
      <c r="Q52" s="0" t="n">
        <v>25.53</v>
      </c>
      <c r="R52" s="10" t="n">
        <v>0.5022</v>
      </c>
      <c r="S52" s="0" t="n">
        <v>0.9875</v>
      </c>
      <c r="T52" s="0" t="n">
        <v>25.51</v>
      </c>
      <c r="U52" s="0" t="n">
        <v>25.19</v>
      </c>
    </row>
    <row r="53" customFormat="false" ht="15" hidden="false" customHeight="false" outlineLevel="0" collapsed="false">
      <c r="A53" s="0" t="s">
        <v>865</v>
      </c>
      <c r="B53" s="0" t="s">
        <v>863</v>
      </c>
      <c r="C53" s="0" t="s">
        <v>568</v>
      </c>
      <c r="D53" s="0" t="s">
        <v>590</v>
      </c>
      <c r="E53" s="0" t="s">
        <v>706</v>
      </c>
      <c r="F53" s="0" t="s">
        <v>637</v>
      </c>
      <c r="G53" s="0" t="n">
        <v>12.5</v>
      </c>
      <c r="H53" s="0" t="n">
        <v>11.6</v>
      </c>
      <c r="I53" s="10" t="n">
        <v>0.4028</v>
      </c>
      <c r="J53" s="10" t="n">
        <v>0.5972</v>
      </c>
      <c r="K53" s="9" t="s">
        <v>1370</v>
      </c>
      <c r="L53" s="9" t="s">
        <v>1371</v>
      </c>
      <c r="N53" s="10" t="n">
        <v>0.7</v>
      </c>
      <c r="O53" s="19"/>
      <c r="P53" s="0" t="str">
        <f aca="false">IF(O53="","",IF(O53&gt;G53,"OVER",IF(O53&lt;G53,"UNDER","PUSH")))</f>
        <v/>
      </c>
      <c r="Q53" s="0" t="n">
        <v>11.45</v>
      </c>
      <c r="R53" s="10" t="n">
        <v>0.3867</v>
      </c>
      <c r="S53" s="0" t="n">
        <v>0.9874</v>
      </c>
      <c r="T53" s="0" t="n">
        <v>11.88</v>
      </c>
      <c r="U53" s="0" t="n">
        <v>11.74</v>
      </c>
    </row>
    <row r="54" customFormat="false" ht="15" hidden="false" customHeight="false" outlineLevel="0" collapsed="false">
      <c r="A54" s="0" t="s">
        <v>865</v>
      </c>
      <c r="B54" s="0" t="s">
        <v>863</v>
      </c>
      <c r="C54" s="0" t="s">
        <v>568</v>
      </c>
      <c r="D54" s="0" t="s">
        <v>590</v>
      </c>
      <c r="E54" s="0" t="s">
        <v>706</v>
      </c>
      <c r="F54" s="0" t="s">
        <v>641</v>
      </c>
      <c r="G54" s="0" t="n">
        <v>28.5</v>
      </c>
      <c r="H54" s="0" t="n">
        <v>30.62</v>
      </c>
      <c r="I54" s="10" t="n">
        <v>0.6271</v>
      </c>
      <c r="J54" s="10" t="n">
        <v>0.3729</v>
      </c>
      <c r="K54" s="9" t="s">
        <v>1370</v>
      </c>
      <c r="L54" s="9" t="s">
        <v>1371</v>
      </c>
      <c r="M54" s="0" t="n">
        <v>26.56</v>
      </c>
      <c r="N54" s="10" t="n">
        <v>0.7</v>
      </c>
      <c r="O54" s="19"/>
      <c r="P54" s="0" t="str">
        <f aca="false">IF(O54="","",IF(O54&gt;G54,"OVER",IF(O54&lt;G54,"UNDER","PUSH")))</f>
        <v/>
      </c>
      <c r="Q54" s="0" t="n">
        <v>30.23</v>
      </c>
      <c r="R54" s="10" t="n">
        <v>0.6051</v>
      </c>
      <c r="S54" s="0" t="n">
        <v>0.9873</v>
      </c>
      <c r="T54" s="0" t="n">
        <v>28.91</v>
      </c>
      <c r="U54" s="0" t="n">
        <v>28.55</v>
      </c>
    </row>
    <row r="55" customFormat="false" ht="15" hidden="false" customHeight="false" outlineLevel="0" collapsed="false">
      <c r="A55" s="0" t="s">
        <v>865</v>
      </c>
      <c r="B55" s="0" t="s">
        <v>863</v>
      </c>
      <c r="C55" s="0" t="s">
        <v>568</v>
      </c>
      <c r="D55" s="0" t="s">
        <v>590</v>
      </c>
      <c r="E55" s="0" t="s">
        <v>708</v>
      </c>
      <c r="F55" s="0" t="s">
        <v>637</v>
      </c>
      <c r="G55" s="0" t="n">
        <v>16.5</v>
      </c>
      <c r="H55" s="0" t="n">
        <v>15.73</v>
      </c>
      <c r="I55" s="10" t="n">
        <v>0.4303</v>
      </c>
      <c r="J55" s="10" t="n">
        <v>0.5697</v>
      </c>
      <c r="K55" s="9" t="s">
        <v>1370</v>
      </c>
      <c r="L55" s="9" t="s">
        <v>1371</v>
      </c>
      <c r="N55" s="10" t="n">
        <v>0.5</v>
      </c>
      <c r="O55" s="19"/>
      <c r="P55" s="0" t="str">
        <f aca="false">IF(O55="","",IF(O55&gt;G55,"OVER",IF(O55&lt;G55,"UNDER","PUSH")))</f>
        <v/>
      </c>
      <c r="Q55" s="0" t="n">
        <v>15.53</v>
      </c>
      <c r="R55" s="10" t="n">
        <v>0.412</v>
      </c>
      <c r="S55" s="0" t="n">
        <v>0.9874</v>
      </c>
      <c r="T55" s="0" t="n">
        <v>16.11</v>
      </c>
      <c r="U55" s="0" t="n">
        <v>15.91</v>
      </c>
    </row>
    <row r="56" customFormat="false" ht="15" hidden="false" customHeight="false" outlineLevel="0" collapsed="false">
      <c r="A56" s="0" t="s">
        <v>865</v>
      </c>
      <c r="B56" s="0" t="s">
        <v>863</v>
      </c>
      <c r="C56" s="0" t="s">
        <v>568</v>
      </c>
      <c r="D56" s="0" t="s">
        <v>590</v>
      </c>
      <c r="E56" s="0" t="s">
        <v>708</v>
      </c>
      <c r="F56" s="0" t="s">
        <v>641</v>
      </c>
      <c r="G56" s="0" t="n">
        <v>32</v>
      </c>
      <c r="H56" s="0" t="n">
        <v>29.3</v>
      </c>
      <c r="I56" s="10" t="n">
        <v>0.3085</v>
      </c>
      <c r="J56" s="10" t="n">
        <v>0.6345</v>
      </c>
      <c r="K56" s="9" t="s">
        <v>1370</v>
      </c>
      <c r="L56" s="9" t="s">
        <v>1371</v>
      </c>
      <c r="M56" s="0" t="n">
        <v>29.41</v>
      </c>
      <c r="N56" s="10" t="n">
        <v>0.4</v>
      </c>
      <c r="O56" s="19"/>
      <c r="P56" s="0" t="str">
        <f aca="false">IF(O56="","",IF(O56&gt;G56,"OVER",IF(O56&lt;G56,"UNDER","PUSH")))</f>
        <v/>
      </c>
      <c r="Q56" s="0" t="n">
        <v>28.93</v>
      </c>
      <c r="R56" s="10" t="n">
        <v>0.2874</v>
      </c>
      <c r="S56" s="0" t="n">
        <v>0.9874</v>
      </c>
      <c r="T56" s="0" t="n">
        <v>29.34</v>
      </c>
      <c r="U56" s="0" t="n">
        <v>28.97</v>
      </c>
    </row>
    <row r="57" customFormat="false" ht="15" hidden="false" customHeight="false" outlineLevel="0" collapsed="false">
      <c r="A57" s="0" t="s">
        <v>865</v>
      </c>
      <c r="B57" s="0" t="s">
        <v>863</v>
      </c>
      <c r="C57" s="0" t="s">
        <v>568</v>
      </c>
      <c r="D57" s="0" t="s">
        <v>590</v>
      </c>
      <c r="E57" s="0" t="s">
        <v>710</v>
      </c>
      <c r="F57" s="0" t="s">
        <v>637</v>
      </c>
      <c r="G57" s="0" t="n">
        <v>15.5</v>
      </c>
      <c r="H57" s="0" t="n">
        <v>16.44</v>
      </c>
      <c r="I57" s="10" t="n">
        <v>0.5829</v>
      </c>
      <c r="J57" s="10" t="n">
        <v>0.4171</v>
      </c>
      <c r="K57" s="9" t="s">
        <v>1370</v>
      </c>
      <c r="L57" s="9" t="s">
        <v>1371</v>
      </c>
      <c r="N57" s="10" t="n">
        <v>0.6</v>
      </c>
      <c r="O57" s="19"/>
      <c r="P57" s="0" t="str">
        <f aca="false">IF(O57="","",IF(O57&gt;G57,"OVER",IF(O57&lt;G57,"UNDER","PUSH")))</f>
        <v/>
      </c>
      <c r="Q57" s="0" t="n">
        <v>16.05</v>
      </c>
      <c r="R57" s="10" t="n">
        <v>0.5488</v>
      </c>
      <c r="S57" s="0" t="n">
        <v>0.9759</v>
      </c>
      <c r="T57" s="0" t="n">
        <v>16.89</v>
      </c>
      <c r="U57" s="0" t="n">
        <v>16.48</v>
      </c>
    </row>
    <row r="58" customFormat="false" ht="15" hidden="false" customHeight="false" outlineLevel="0" collapsed="false">
      <c r="A58" s="0" t="s">
        <v>865</v>
      </c>
      <c r="B58" s="0" t="s">
        <v>863</v>
      </c>
      <c r="C58" s="0" t="s">
        <v>568</v>
      </c>
      <c r="D58" s="0" t="s">
        <v>590</v>
      </c>
      <c r="E58" s="0" t="s">
        <v>710</v>
      </c>
      <c r="F58" s="0" t="s">
        <v>641</v>
      </c>
      <c r="G58" s="0" t="n">
        <v>28.5</v>
      </c>
      <c r="H58" s="0" t="n">
        <v>28.12</v>
      </c>
      <c r="I58" s="10" t="n">
        <v>0.4761</v>
      </c>
      <c r="J58" s="10" t="n">
        <v>0.5239</v>
      </c>
      <c r="K58" s="9" t="s">
        <v>1370</v>
      </c>
      <c r="L58" s="9" t="s">
        <v>1371</v>
      </c>
      <c r="M58" s="0" t="n">
        <v>25.98</v>
      </c>
      <c r="N58" s="10" t="n">
        <v>0.6</v>
      </c>
      <c r="O58" s="19"/>
      <c r="P58" s="0" t="str">
        <f aca="false">IF(O58="","",IF(O58&gt;G58,"OVER",IF(O58&lt;G58,"UNDER","PUSH")))</f>
        <v/>
      </c>
      <c r="Q58" s="0" t="n">
        <v>27.44</v>
      </c>
      <c r="R58" s="10" t="n">
        <v>0.4324</v>
      </c>
      <c r="S58" s="0" t="n">
        <v>0.9758</v>
      </c>
      <c r="T58" s="0" t="n">
        <v>28.91</v>
      </c>
      <c r="U58" s="0" t="n">
        <v>28.22</v>
      </c>
    </row>
    <row r="59" customFormat="false" ht="15" hidden="false" customHeight="false" outlineLevel="0" collapsed="false">
      <c r="A59" s="0" t="s">
        <v>865</v>
      </c>
      <c r="B59" s="0" t="s">
        <v>863</v>
      </c>
      <c r="C59" s="0" t="s">
        <v>568</v>
      </c>
      <c r="D59" s="0" t="s">
        <v>590</v>
      </c>
      <c r="E59" s="0" t="s">
        <v>712</v>
      </c>
      <c r="F59" s="0" t="s">
        <v>637</v>
      </c>
      <c r="G59" s="0" t="n">
        <v>15.5</v>
      </c>
      <c r="H59" s="0" t="n">
        <v>14.6</v>
      </c>
      <c r="I59" s="10" t="n">
        <v>0.4146</v>
      </c>
      <c r="J59" s="10" t="n">
        <v>0.5854</v>
      </c>
      <c r="K59" s="9" t="s">
        <v>1370</v>
      </c>
      <c r="L59" s="9" t="s">
        <v>1371</v>
      </c>
      <c r="N59" s="10" t="n">
        <v>0.6</v>
      </c>
      <c r="O59" s="19"/>
      <c r="P59" s="0" t="str">
        <f aca="false">IF(O59="","",IF(O59&gt;G59,"OVER",IF(O59&lt;G59,"UNDER","PUSH")))</f>
        <v/>
      </c>
      <c r="Q59" s="0" t="n">
        <v>14.24</v>
      </c>
      <c r="R59" s="10" t="n">
        <v>0.3807</v>
      </c>
      <c r="S59" s="0" t="n">
        <v>0.9759</v>
      </c>
      <c r="T59" s="0" t="n">
        <v>14.51</v>
      </c>
      <c r="U59" s="0" t="n">
        <v>14.16</v>
      </c>
    </row>
    <row r="60" customFormat="false" ht="15" hidden="false" customHeight="false" outlineLevel="0" collapsed="false">
      <c r="A60" s="0" t="s">
        <v>865</v>
      </c>
      <c r="B60" s="0" t="s">
        <v>863</v>
      </c>
      <c r="C60" s="0" t="s">
        <v>568</v>
      </c>
      <c r="D60" s="0" t="s">
        <v>590</v>
      </c>
      <c r="E60" s="0" t="s">
        <v>712</v>
      </c>
      <c r="F60" s="0" t="s">
        <v>641</v>
      </c>
      <c r="G60" s="0" t="n">
        <v>28.5</v>
      </c>
      <c r="H60" s="0" t="n">
        <v>28.64</v>
      </c>
      <c r="I60" s="10" t="n">
        <v>0.509</v>
      </c>
      <c r="J60" s="10" t="n">
        <v>0.491</v>
      </c>
      <c r="K60" s="9" t="s">
        <v>1370</v>
      </c>
      <c r="L60" s="9" t="s">
        <v>1371</v>
      </c>
      <c r="M60" s="0" t="n">
        <v>28.51</v>
      </c>
      <c r="N60" s="10" t="n">
        <v>0.4</v>
      </c>
      <c r="O60" s="19"/>
      <c r="P60" s="0" t="str">
        <f aca="false">IF(O60="","",IF(O60&gt;G60,"OVER",IF(O60&lt;G60,"UNDER","PUSH")))</f>
        <v/>
      </c>
      <c r="Q60" s="0" t="n">
        <v>27.95</v>
      </c>
      <c r="R60" s="10" t="n">
        <v>0.465</v>
      </c>
      <c r="S60" s="0" t="n">
        <v>0.9758</v>
      </c>
      <c r="T60" s="0" t="n">
        <v>28.06</v>
      </c>
      <c r="U60" s="0" t="n">
        <v>27.39</v>
      </c>
    </row>
    <row r="61" customFormat="false" ht="15" hidden="false" customHeight="false" outlineLevel="0" collapsed="false">
      <c r="A61" s="0" t="s">
        <v>865</v>
      </c>
      <c r="B61" s="0" t="s">
        <v>863</v>
      </c>
      <c r="C61" s="0" t="s">
        <v>568</v>
      </c>
      <c r="D61" s="0" t="s">
        <v>590</v>
      </c>
      <c r="E61" s="0" t="s">
        <v>714</v>
      </c>
      <c r="F61" s="0" t="s">
        <v>637</v>
      </c>
      <c r="G61" s="0" t="n">
        <v>9.5</v>
      </c>
      <c r="H61" s="0" t="n">
        <v>8.76</v>
      </c>
      <c r="I61" s="10" t="n">
        <v>0.4065</v>
      </c>
      <c r="J61" s="10" t="n">
        <v>0.5935</v>
      </c>
      <c r="K61" s="9" t="s">
        <v>1370</v>
      </c>
      <c r="L61" s="9" t="s">
        <v>1371</v>
      </c>
      <c r="N61" s="10" t="n">
        <v>0.4</v>
      </c>
      <c r="O61" s="19"/>
      <c r="P61" s="0" t="str">
        <f aca="false">IF(O61="","",IF(O61&gt;G61,"OVER",IF(O61&lt;G61,"UNDER","PUSH")))</f>
        <v/>
      </c>
      <c r="Q61" s="0" t="n">
        <v>8.55</v>
      </c>
      <c r="R61" s="10" t="n">
        <v>0.3791</v>
      </c>
      <c r="S61" s="0" t="n">
        <v>0.9759</v>
      </c>
      <c r="T61" s="0" t="n">
        <v>8.6</v>
      </c>
      <c r="U61" s="0" t="n">
        <v>8.39</v>
      </c>
    </row>
    <row r="62" customFormat="false" ht="15" hidden="false" customHeight="false" outlineLevel="0" collapsed="false">
      <c r="A62" s="0" t="s">
        <v>865</v>
      </c>
      <c r="B62" s="0" t="s">
        <v>863</v>
      </c>
      <c r="C62" s="0" t="s">
        <v>568</v>
      </c>
      <c r="D62" s="0" t="s">
        <v>590</v>
      </c>
      <c r="E62" s="0" t="s">
        <v>714</v>
      </c>
      <c r="F62" s="0" t="s">
        <v>641</v>
      </c>
      <c r="G62" s="0" t="n">
        <v>28.5</v>
      </c>
      <c r="H62" s="0" t="n">
        <v>28.77</v>
      </c>
      <c r="I62" s="10" t="n">
        <v>0.5169</v>
      </c>
      <c r="J62" s="10" t="n">
        <v>0.4831</v>
      </c>
      <c r="K62" s="9" t="s">
        <v>1370</v>
      </c>
      <c r="L62" s="9" t="s">
        <v>1371</v>
      </c>
      <c r="M62" s="0" t="n">
        <v>28.51</v>
      </c>
      <c r="N62" s="10" t="n">
        <v>0.2</v>
      </c>
      <c r="O62" s="19"/>
      <c r="P62" s="0" t="str">
        <f aca="false">IF(O62="","",IF(O62&gt;G62,"OVER",IF(O62&lt;G62,"UNDER","PUSH")))</f>
        <v/>
      </c>
      <c r="Q62" s="0" t="n">
        <v>28.07</v>
      </c>
      <c r="R62" s="10" t="n">
        <v>0.4729</v>
      </c>
      <c r="S62" s="0" t="n">
        <v>0.9758</v>
      </c>
      <c r="T62" s="0" t="n">
        <v>27.64</v>
      </c>
      <c r="U62" s="0" t="n">
        <v>26.97</v>
      </c>
    </row>
    <row r="63" customFormat="false" ht="15" hidden="false" customHeight="false" outlineLevel="0" collapsed="false">
      <c r="A63" s="0" t="s">
        <v>865</v>
      </c>
      <c r="B63" s="0" t="s">
        <v>863</v>
      </c>
      <c r="C63" s="0" t="s">
        <v>568</v>
      </c>
      <c r="D63" s="0" t="s">
        <v>590</v>
      </c>
      <c r="E63" s="0" t="s">
        <v>716</v>
      </c>
      <c r="F63" s="0" t="s">
        <v>637</v>
      </c>
      <c r="G63" s="0" t="n">
        <v>15.5</v>
      </c>
      <c r="H63" s="0" t="n">
        <v>18.57</v>
      </c>
      <c r="I63" s="10" t="n">
        <v>0.7396</v>
      </c>
      <c r="J63" s="10" t="n">
        <v>0.2604</v>
      </c>
      <c r="K63" s="9" t="s">
        <v>1370</v>
      </c>
      <c r="L63" s="9" t="s">
        <v>1371</v>
      </c>
      <c r="N63" s="10" t="n">
        <v>0.6</v>
      </c>
      <c r="O63" s="19"/>
      <c r="P63" s="0" t="str">
        <f aca="false">IF(O63="","",IF(O63&gt;G63,"OVER",IF(O63&lt;G63,"UNDER","PUSH")))</f>
        <v/>
      </c>
      <c r="Q63" s="0" t="n">
        <v>18.12</v>
      </c>
      <c r="R63" s="10" t="n">
        <v>0.7105</v>
      </c>
      <c r="S63" s="0" t="n">
        <v>0.9758</v>
      </c>
      <c r="T63" s="0" t="n">
        <v>17.4</v>
      </c>
      <c r="U63" s="0" t="n">
        <v>16.98</v>
      </c>
    </row>
    <row r="64" customFormat="false" ht="15" hidden="false" customHeight="false" outlineLevel="0" collapsed="false">
      <c r="A64" s="0" t="s">
        <v>865</v>
      </c>
      <c r="B64" s="0" t="s">
        <v>863</v>
      </c>
      <c r="C64" s="0" t="s">
        <v>568</v>
      </c>
      <c r="D64" s="0" t="s">
        <v>590</v>
      </c>
      <c r="E64" s="0" t="s">
        <v>716</v>
      </c>
      <c r="F64" s="0" t="s">
        <v>641</v>
      </c>
      <c r="G64" s="0" t="n">
        <v>27.5</v>
      </c>
      <c r="H64" s="0" t="n">
        <v>31.64</v>
      </c>
      <c r="I64" s="10" t="n">
        <v>0.7332</v>
      </c>
      <c r="J64" s="10" t="n">
        <v>0.2668</v>
      </c>
      <c r="K64" s="9" t="s">
        <v>1370</v>
      </c>
      <c r="L64" s="9" t="s">
        <v>1371</v>
      </c>
      <c r="M64" s="0" t="n">
        <v>26.81</v>
      </c>
      <c r="N64" s="10" t="n">
        <v>0.7</v>
      </c>
      <c r="O64" s="19"/>
      <c r="P64" s="0" t="str">
        <f aca="false">IF(O64="","",IF(O64&gt;G64,"OVER",IF(O64&lt;G64,"UNDER","PUSH")))</f>
        <v/>
      </c>
      <c r="Q64" s="0" t="n">
        <v>30.88</v>
      </c>
      <c r="R64" s="10" t="n">
        <v>0.6963</v>
      </c>
      <c r="S64" s="0" t="n">
        <v>0.9758</v>
      </c>
      <c r="T64" s="0" t="n">
        <v>29.34</v>
      </c>
      <c r="U64" s="0" t="n">
        <v>28.63</v>
      </c>
    </row>
    <row r="65" customFormat="false" ht="15" hidden="false" customHeight="false" outlineLevel="0" collapsed="false">
      <c r="A65" s="0" t="s">
        <v>865</v>
      </c>
      <c r="B65" s="0" t="s">
        <v>863</v>
      </c>
      <c r="C65" s="0" t="s">
        <v>568</v>
      </c>
      <c r="D65" s="0" t="s">
        <v>590</v>
      </c>
      <c r="E65" s="0" t="s">
        <v>718</v>
      </c>
      <c r="F65" s="0" t="s">
        <v>637</v>
      </c>
      <c r="G65" s="0" t="n">
        <v>17.5</v>
      </c>
      <c r="H65" s="0" t="n">
        <v>17.15</v>
      </c>
      <c r="I65" s="10" t="n">
        <v>0.4696</v>
      </c>
      <c r="J65" s="10" t="n">
        <v>0.5304</v>
      </c>
      <c r="K65" s="9" t="s">
        <v>1370</v>
      </c>
      <c r="L65" s="9" t="s">
        <v>1371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16.74</v>
      </c>
      <c r="R65" s="10" t="n">
        <v>0.4329</v>
      </c>
      <c r="S65" s="0" t="n">
        <v>0.9759</v>
      </c>
      <c r="T65" s="0" t="n">
        <v>17.67</v>
      </c>
      <c r="U65" s="0" t="n">
        <v>17.24</v>
      </c>
    </row>
    <row r="66" customFormat="false" ht="15" hidden="false" customHeight="false" outlineLevel="0" collapsed="false">
      <c r="A66" s="0" t="s">
        <v>865</v>
      </c>
      <c r="B66" s="0" t="s">
        <v>863</v>
      </c>
      <c r="C66" s="0" t="s">
        <v>568</v>
      </c>
      <c r="D66" s="0" t="s">
        <v>590</v>
      </c>
      <c r="E66" s="0" t="s">
        <v>718</v>
      </c>
      <c r="F66" s="0" t="s">
        <v>641</v>
      </c>
      <c r="G66" s="0" t="n">
        <v>31.5</v>
      </c>
      <c r="H66" s="0" t="n">
        <v>31.28</v>
      </c>
      <c r="I66" s="10" t="n">
        <v>0.4868</v>
      </c>
      <c r="J66" s="10" t="n">
        <v>0.5132</v>
      </c>
      <c r="K66" s="9" t="s">
        <v>1370</v>
      </c>
      <c r="L66" s="9" t="s">
        <v>1371</v>
      </c>
      <c r="M66" s="0" t="n">
        <v>31.48</v>
      </c>
      <c r="N66" s="10" t="n">
        <v>0.5</v>
      </c>
      <c r="O66" s="19"/>
      <c r="P66" s="0" t="str">
        <f aca="false">IF(O66="","",IF(O66&gt;G66,"OVER",IF(O66&lt;G66,"UNDER","PUSH")))</f>
        <v/>
      </c>
      <c r="Q66" s="0" t="n">
        <v>30.53</v>
      </c>
      <c r="R66" s="10" t="n">
        <v>0.4409</v>
      </c>
      <c r="S66" s="0" t="n">
        <v>0.9759</v>
      </c>
      <c r="T66" s="0" t="n">
        <v>31.89</v>
      </c>
      <c r="U66" s="0" t="n">
        <v>31.12</v>
      </c>
    </row>
    <row r="67" customFormat="false" ht="15" hidden="false" customHeight="false" outlineLevel="0" collapsed="false">
      <c r="A67" s="0" t="s">
        <v>865</v>
      </c>
      <c r="B67" s="0" t="s">
        <v>863</v>
      </c>
      <c r="C67" s="0" t="s">
        <v>598</v>
      </c>
      <c r="D67" s="0" t="s">
        <v>597</v>
      </c>
      <c r="E67" s="0" t="s">
        <v>720</v>
      </c>
      <c r="F67" s="0" t="s">
        <v>641</v>
      </c>
      <c r="G67" s="0" t="n">
        <v>30.5</v>
      </c>
      <c r="H67" s="0" t="n">
        <v>29.55</v>
      </c>
      <c r="I67" s="10" t="n">
        <v>0.4414</v>
      </c>
      <c r="J67" s="10" t="n">
        <v>0.5586</v>
      </c>
      <c r="K67" s="9" t="s">
        <v>1372</v>
      </c>
      <c r="L67" s="9" t="s">
        <v>1371</v>
      </c>
      <c r="N67" s="10"/>
      <c r="O67" s="19"/>
      <c r="P67" s="0" t="str">
        <f aca="false">IF(O67="","",IF(O67&gt;G67,"OVER",IF(O67&lt;G67,"UNDER","PUSH")))</f>
        <v/>
      </c>
      <c r="Q67" s="0" t="n">
        <v>29.55</v>
      </c>
      <c r="R67" s="10" t="n">
        <v>0.4414</v>
      </c>
      <c r="S67" s="0" t="n">
        <v>1</v>
      </c>
      <c r="T67" s="0" t="n">
        <v>29.41</v>
      </c>
      <c r="U67" s="0" t="n">
        <v>29.41</v>
      </c>
    </row>
    <row r="68" customFormat="false" ht="15" hidden="false" customHeight="false" outlineLevel="0" collapsed="false">
      <c r="A68" s="0" t="s">
        <v>865</v>
      </c>
      <c r="B68" s="0" t="s">
        <v>863</v>
      </c>
      <c r="C68" s="0" t="s">
        <v>598</v>
      </c>
      <c r="D68" s="0" t="s">
        <v>597</v>
      </c>
      <c r="E68" s="0" t="s">
        <v>722</v>
      </c>
      <c r="F68" s="0" t="s">
        <v>641</v>
      </c>
      <c r="G68" s="0" t="n">
        <v>29.5</v>
      </c>
      <c r="H68" s="0" t="n">
        <v>36.94</v>
      </c>
      <c r="I68" s="10" t="n">
        <v>0.8496</v>
      </c>
      <c r="J68" s="10" t="n">
        <v>0.1504</v>
      </c>
      <c r="K68" s="9" t="s">
        <v>1372</v>
      </c>
      <c r="L68" s="9" t="s">
        <v>1371</v>
      </c>
      <c r="N68" s="10" t="n">
        <v>0.7</v>
      </c>
      <c r="O68" s="19"/>
      <c r="P68" s="0" t="str">
        <f aca="false">IF(O68="","",IF(O68&gt;G68,"OVER",IF(O68&lt;G68,"UNDER","PUSH")))</f>
        <v/>
      </c>
      <c r="Q68" s="0" t="n">
        <v>36.94</v>
      </c>
      <c r="R68" s="10" t="n">
        <v>0.8496</v>
      </c>
      <c r="S68" s="0" t="n">
        <v>1</v>
      </c>
      <c r="T68" s="0" t="n">
        <v>35.8</v>
      </c>
      <c r="U68" s="0" t="n">
        <v>35.8</v>
      </c>
    </row>
    <row r="69" customFormat="false" ht="15" hidden="false" customHeight="false" outlineLevel="0" collapsed="false">
      <c r="A69" s="0" t="s">
        <v>865</v>
      </c>
      <c r="B69" s="0" t="s">
        <v>863</v>
      </c>
      <c r="C69" s="0" t="s">
        <v>598</v>
      </c>
      <c r="D69" s="0" t="s">
        <v>597</v>
      </c>
      <c r="E69" s="0" t="s">
        <v>724</v>
      </c>
      <c r="F69" s="0" t="s">
        <v>641</v>
      </c>
      <c r="G69" s="0" t="n">
        <v>33.5</v>
      </c>
      <c r="H69" s="0" t="n">
        <v>36.31</v>
      </c>
      <c r="I69" s="10" t="n">
        <v>0.6534</v>
      </c>
      <c r="J69" s="10" t="n">
        <v>0.3466</v>
      </c>
      <c r="K69" s="9" t="s">
        <v>1372</v>
      </c>
      <c r="L69" s="9" t="s">
        <v>1371</v>
      </c>
      <c r="N69" s="10"/>
      <c r="O69" s="19"/>
      <c r="P69" s="0" t="str">
        <f aca="false">IF(O69="","",IF(O69&gt;G69,"OVER",IF(O69&lt;G69,"UNDER","PUSH")))</f>
        <v/>
      </c>
      <c r="Q69" s="0" t="n">
        <v>36.31</v>
      </c>
      <c r="R69" s="10" t="n">
        <v>0.6534</v>
      </c>
      <c r="S69" s="0" t="n">
        <v>1</v>
      </c>
      <c r="T69" s="0" t="n">
        <v>36.23</v>
      </c>
      <c r="U69" s="0" t="n">
        <v>36.23</v>
      </c>
    </row>
    <row r="70" customFormat="false" ht="15" hidden="false" customHeight="false" outlineLevel="0" collapsed="false">
      <c r="A70" s="0" t="s">
        <v>865</v>
      </c>
      <c r="B70" s="0" t="s">
        <v>863</v>
      </c>
      <c r="C70" s="0" t="s">
        <v>598</v>
      </c>
      <c r="D70" s="0" t="s">
        <v>597</v>
      </c>
      <c r="E70" s="0" t="s">
        <v>726</v>
      </c>
      <c r="F70" s="0" t="s">
        <v>641</v>
      </c>
      <c r="G70" s="0" t="n">
        <v>31.5</v>
      </c>
      <c r="H70" s="0" t="n">
        <v>17.05</v>
      </c>
      <c r="I70" s="10" t="n">
        <v>0.0015</v>
      </c>
      <c r="J70" s="10" t="n">
        <v>0.9985</v>
      </c>
      <c r="K70" s="9" t="s">
        <v>1372</v>
      </c>
      <c r="L70" s="9" t="s">
        <v>1371</v>
      </c>
      <c r="N70" s="10"/>
      <c r="O70" s="19"/>
      <c r="P70" s="0" t="str">
        <f aca="false">IF(O70="","",IF(O70&gt;G70,"OVER",IF(O70&lt;G70,"UNDER","PUSH")))</f>
        <v/>
      </c>
      <c r="Q70" s="0" t="n">
        <v>17.05</v>
      </c>
      <c r="R70" s="10" t="n">
        <v>0.0015</v>
      </c>
      <c r="S70" s="0" t="n">
        <v>1</v>
      </c>
      <c r="T70" s="0" t="n">
        <v>17.05</v>
      </c>
      <c r="U70" s="0" t="n">
        <v>17.05</v>
      </c>
    </row>
    <row r="71" customFormat="false" ht="15" hidden="false" customHeight="false" outlineLevel="0" collapsed="false">
      <c r="A71" s="0" t="s">
        <v>865</v>
      </c>
      <c r="B71" s="0" t="s">
        <v>863</v>
      </c>
      <c r="C71" s="0" t="s">
        <v>598</v>
      </c>
      <c r="D71" s="0" t="s">
        <v>606</v>
      </c>
      <c r="E71" s="0" t="s">
        <v>728</v>
      </c>
      <c r="F71" s="0" t="s">
        <v>641</v>
      </c>
      <c r="G71" s="0" t="n">
        <v>32.5</v>
      </c>
      <c r="H71" s="0" t="n">
        <v>31.51</v>
      </c>
      <c r="I71" s="10" t="n">
        <v>0.4409</v>
      </c>
      <c r="J71" s="10" t="n">
        <v>0.5591</v>
      </c>
      <c r="K71" s="9" t="s">
        <v>1373</v>
      </c>
      <c r="L71" s="9" t="s">
        <v>1369</v>
      </c>
      <c r="N71" s="10" t="n">
        <v>0.7</v>
      </c>
      <c r="O71" s="19"/>
      <c r="P71" s="0" t="str">
        <f aca="false">IF(O71="","",IF(O71&gt;G71,"OVER",IF(O71&lt;G71,"UNDER","PUSH")))</f>
        <v/>
      </c>
      <c r="Q71" s="0" t="n">
        <v>31.51</v>
      </c>
      <c r="R71" s="10" t="n">
        <v>0.4409</v>
      </c>
      <c r="S71" s="0" t="n">
        <v>1</v>
      </c>
      <c r="T71" s="0" t="n">
        <v>32.35</v>
      </c>
      <c r="U71" s="0" t="n">
        <v>32.35</v>
      </c>
    </row>
    <row r="72" customFormat="false" ht="15" hidden="false" customHeight="false" outlineLevel="0" collapsed="false">
      <c r="A72" s="0" t="s">
        <v>865</v>
      </c>
      <c r="B72" s="0" t="s">
        <v>863</v>
      </c>
      <c r="C72" s="0" t="s">
        <v>598</v>
      </c>
      <c r="D72" s="0" t="s">
        <v>606</v>
      </c>
      <c r="E72" s="0" t="s">
        <v>730</v>
      </c>
      <c r="F72" s="0" t="s">
        <v>641</v>
      </c>
      <c r="G72" s="0" t="n">
        <v>25.5</v>
      </c>
      <c r="H72" s="0" t="n">
        <v>23.2</v>
      </c>
      <c r="I72" s="10" t="n">
        <v>0.343</v>
      </c>
      <c r="J72" s="10" t="n">
        <v>0.657</v>
      </c>
      <c r="K72" s="9" t="s">
        <v>1373</v>
      </c>
      <c r="L72" s="9" t="s">
        <v>1369</v>
      </c>
      <c r="N72" s="10" t="n">
        <v>0.3</v>
      </c>
      <c r="O72" s="19"/>
      <c r="P72" s="0" t="str">
        <f aca="false">IF(O72="","",IF(O72&gt;G72,"OVER",IF(O72&lt;G72,"UNDER","PUSH")))</f>
        <v/>
      </c>
      <c r="Q72" s="0" t="n">
        <v>23.2</v>
      </c>
      <c r="R72" s="10" t="n">
        <v>0.343</v>
      </c>
      <c r="S72" s="0" t="n">
        <v>1</v>
      </c>
      <c r="T72" s="0" t="n">
        <v>23.53</v>
      </c>
      <c r="U72" s="0" t="n">
        <v>23.53</v>
      </c>
    </row>
    <row r="73" customFormat="false" ht="15" hidden="false" customHeight="false" outlineLevel="0" collapsed="false">
      <c r="A73" s="0" t="s">
        <v>865</v>
      </c>
      <c r="B73" s="0" t="s">
        <v>863</v>
      </c>
      <c r="C73" s="0" t="s">
        <v>598</v>
      </c>
      <c r="D73" s="0" t="s">
        <v>606</v>
      </c>
      <c r="E73" s="0" t="s">
        <v>732</v>
      </c>
      <c r="F73" s="0" t="s">
        <v>641</v>
      </c>
      <c r="G73" s="0" t="n">
        <v>27.5</v>
      </c>
      <c r="H73" s="0" t="n">
        <v>30.88</v>
      </c>
      <c r="I73" s="10" t="n">
        <v>0.6964</v>
      </c>
      <c r="J73" s="10" t="n">
        <v>0.3036</v>
      </c>
      <c r="K73" s="9" t="s">
        <v>1373</v>
      </c>
      <c r="L73" s="9" t="s">
        <v>1369</v>
      </c>
      <c r="N73" s="10"/>
      <c r="O73" s="19"/>
      <c r="P73" s="0" t="str">
        <f aca="false">IF(O73="","",IF(O73&gt;G73,"OVER",IF(O73&lt;G73,"UNDER","PUSH")))</f>
        <v/>
      </c>
      <c r="Q73" s="0" t="n">
        <v>30.88</v>
      </c>
      <c r="R73" s="10" t="n">
        <v>0.6964</v>
      </c>
      <c r="S73" s="0" t="n">
        <v>1</v>
      </c>
      <c r="T73" s="0" t="n">
        <v>30.67</v>
      </c>
      <c r="U73" s="0" t="n">
        <v>30.67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1374</v>
      </c>
      <c r="B1" s="12" t="s">
        <v>1361</v>
      </c>
    </row>
    <row r="2" customFormat="false" ht="15" hidden="false" customHeight="false" outlineLevel="0" collapsed="false">
      <c r="A2" s="0" t="s">
        <v>1375</v>
      </c>
      <c r="B2" s="0" t="n">
        <v>72</v>
      </c>
    </row>
    <row r="3" customFormat="false" ht="15" hidden="false" customHeight="false" outlineLevel="0" collapsed="false">
      <c r="A3" s="0" t="s">
        <v>1376</v>
      </c>
      <c r="B3" s="0" t="n">
        <v>41</v>
      </c>
    </row>
    <row r="4" customFormat="false" ht="15" hidden="false" customHeight="false" outlineLevel="0" collapsed="false">
      <c r="A4" s="0" t="s">
        <v>1377</v>
      </c>
      <c r="B4" s="0" t="s">
        <v>1378</v>
      </c>
    </row>
    <row r="5" customFormat="false" ht="15" hidden="false" customHeight="false" outlineLevel="0" collapsed="false">
      <c r="A5" s="0" t="s">
        <v>1379</v>
      </c>
      <c r="B5" s="0" t="n">
        <v>0</v>
      </c>
    </row>
    <row r="6" customFormat="false" ht="15" hidden="false" customHeight="false" outlineLevel="0" collapsed="false">
      <c r="A6" s="0" t="s">
        <v>1380</v>
      </c>
      <c r="B6" s="0" t="s">
        <v>124</v>
      </c>
    </row>
    <row r="7" customFormat="false" ht="15" hidden="false" customHeight="false" outlineLevel="0" collapsed="false">
      <c r="A7" s="0" t="s">
        <v>1381</v>
      </c>
      <c r="B7" s="0" t="n">
        <v>6</v>
      </c>
    </row>
    <row r="8" customFormat="false" ht="15" hidden="false" customHeight="false" outlineLevel="0" collapsed="false">
      <c r="A8" s="0" t="s">
        <v>1382</v>
      </c>
      <c r="B8" s="0" t="n">
        <v>6</v>
      </c>
    </row>
    <row r="9" customFormat="false" ht="15" hidden="false" customHeight="false" outlineLevel="0" collapsed="false">
      <c r="A9" s="0" t="s">
        <v>1383</v>
      </c>
      <c r="B9" s="0" t="n">
        <v>3</v>
      </c>
    </row>
    <row r="10" customFormat="false" ht="15" hidden="false" customHeight="false" outlineLevel="0" collapsed="false">
      <c r="A10" s="0" t="s">
        <v>1384</v>
      </c>
      <c r="B10" s="0" t="n">
        <v>20</v>
      </c>
    </row>
    <row r="11" customFormat="false" ht="15" hidden="false" customHeight="false" outlineLevel="0" collapsed="false">
      <c r="A11" s="0" t="s">
        <v>1385</v>
      </c>
      <c r="B11" s="0" t="n">
        <f aca="false">SUMPRODUCT(--ISERROR(Projections!G2:L73))</f>
        <v>0</v>
      </c>
    </row>
    <row r="12" customFormat="false" ht="15" hidden="false" customHeight="false" outlineLevel="0" collapsed="false">
      <c r="A12" s="0" t="s">
        <v>1386</v>
      </c>
      <c r="B12" s="0" t="n">
        <f aca="false">COUNTBLANK(Projections!G2:G73)</f>
        <v>0</v>
      </c>
    </row>
    <row r="13" customFormat="false" ht="15" hidden="false" customHeight="false" outlineLevel="0" collapsed="false">
      <c r="A13" s="0" t="s">
        <v>1387</v>
      </c>
      <c r="B13" s="0" t="n">
        <f aca="false">SUMPRODUCT(--ISERROR(Calc!A2:BK42))</f>
        <v>0</v>
      </c>
    </row>
    <row r="14" customFormat="false" ht="15" hidden="false" customHeight="false" outlineLevel="0" collapsed="false">
      <c r="A14" s="0" t="s">
        <v>1388</v>
      </c>
      <c r="B14" s="0" t="n">
        <f aca="false">SUMPRODUCT(MAX(ABS(N(+Projections!G2:G73)-N(+Log!H2:H73))))</f>
        <v>0.00494415123456804</v>
      </c>
    </row>
    <row r="15" customFormat="false" ht="15" hidden="false" customHeight="false" outlineLevel="0" collapsed="false">
      <c r="A15" s="0" t="s">
        <v>1389</v>
      </c>
      <c r="B15" s="0" t="n">
        <f aca="false">SUMPRODUCT(MAX(ABS(N(+Projections!Z2:Z73)-N(+Log!Q2:Q73))))</f>
        <v>0.00499434529884724</v>
      </c>
    </row>
    <row r="16" customFormat="false" ht="15" hidden="false" customHeight="false" outlineLevel="0" collapsed="false">
      <c r="A16" s="0" t="s">
        <v>1390</v>
      </c>
      <c r="B16" s="0" t="n">
        <f aca="false">SUMPRODUCT(--ISERROR(Matches!A5:BB10))</f>
        <v>0</v>
      </c>
    </row>
    <row r="17" customFormat="false" ht="15" hidden="false" customHeight="false" outlineLevel="0" collapsed="false">
      <c r="A17" s="0" t="s">
        <v>1391</v>
      </c>
      <c r="B17" s="0" t="n">
        <v>4</v>
      </c>
    </row>
    <row r="18" customFormat="false" ht="15" hidden="false" customHeight="false" outlineLevel="0" collapsed="false">
      <c r="A18" s="0" t="s">
        <v>1392</v>
      </c>
      <c r="B18" s="0" t="s">
        <v>1393</v>
      </c>
    </row>
    <row r="19" customFormat="false" ht="15" hidden="false" customHeight="false" outlineLevel="0" collapsed="false">
      <c r="A19" s="0" t="s">
        <v>1392</v>
      </c>
      <c r="B19" s="0" t="s">
        <v>1394</v>
      </c>
    </row>
    <row r="20" customFormat="false" ht="15" hidden="false" customHeight="false" outlineLevel="0" collapsed="false">
      <c r="A20" s="0" t="s">
        <v>1392</v>
      </c>
      <c r="B20" s="0" t="s">
        <v>1395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2026-10-22T03:19:20Z</dcterms:created>
  <dc:creator>openpyxl</dc:creator>
  <dc:description/>
  <dc:language>en-US</dc:language>
  <cp:lastModifiedBy/>
  <dcterms:modified xsi:type="dcterms:W3CDTF">2026-10-22T03:19:20Z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