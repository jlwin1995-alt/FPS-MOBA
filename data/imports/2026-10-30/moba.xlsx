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<sst xmlns="http://schemas.openxmlformats.org/spreadsheetml/2006/main" count="2466" uniqueCount="540">
  <si>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</si>
  <si>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</si>
  <si>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2026-10-30 · 30 board legs · 4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</si>
  <si>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</si>
  <si>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</si>
  <si>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</si>
  <si>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</si>
  <si>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</si>
  <si>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</si>
  <si>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</si>
  <si>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</si>
  <si>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</si>
  <si>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</si>
  <si>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</si>
  <si>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</si>
  <si>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</si>
  <si>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</si>
  <si>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</si>
  <si>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</si>
  <si>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</si>
  <si>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</si>
  <si>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</si>
  <si>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</si>
  <si>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</si>
  <si>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</si>
  <si>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</si>
  <si>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</si>
  <si>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PARI vs TS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</si>
  <si>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</si>
  <si>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</si>
  <si>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</si>
  <si>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</si>
  <si>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</si>
  <si>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</si>
  <si>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</si>
  <si>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</si>
  <si>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</si>
  <si>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</si>
  <si>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</si>
  <si>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</si>
  <si>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</si>
  <si>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</si>
  <si>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</si>
  <si>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</si>
  <si>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</si>
  <si>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</si>
  <si>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</si>
  <si>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</si>
  <si>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</si>
  <si>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</si>
  <si>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</si>
  <si>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</si>
  <si>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</si>
  <si>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</si>
  <si>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</si>
  <si>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</si>
  <si>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</si>
  <si>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</si>
  <si>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</si>
  <si>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</si>
  <si>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</si>
  <si>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</si>
  <si>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</si>
  <si>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</si>
  <si>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</si>
  <si>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</si>
  <si>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</si>
  <si>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</si>
  <si>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</si>
  <si>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</si>
  <si>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</si>
  <si>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</si>
  <si>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</si>
  <si>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</si>
  <si>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</si>
  <si>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Fri 05:00</t>
  </si>
  <si>
    <t xml:space="preserve">PariVision (PARI)</t>
  </si>
  <si>
    <t xml:space="preserve">Team Spirit (TS)</t>
  </si>
  <si>
    <t xml:space="preserve">PARI</t>
  </si>
  <si>
    <t xml:space="preserve">TS</t>
  </si>
  <si>
    <t xml:space="preserve">DOTA · OG vs Liquid</t>
  </si>
  <si>
    <t xml:space="preserve">Fri 08:00</t>
  </si>
  <si>
    <t xml:space="preserve">OG (OG)</t>
  </si>
  <si>
    <t xml:space="preserve">Team Liquid (Liquid)</t>
  </si>
  <si>
    <t xml:space="preserve">OG</t>
  </si>
  <si>
    <t xml:space="preserve">Liquid</t>
  </si>
  <si>
    <t xml:space="preserve">LOL · TL vs LOS</t>
  </si>
  <si>
    <t xml:space="preserve">Worlds 2026</t>
  </si>
  <si>
    <t xml:space="preserve">Fri 15:00</t>
  </si>
  <si>
    <t xml:space="preserve">Team Liquid (TL)</t>
  </si>
  <si>
    <t xml:space="preserve">LOS (LOS)</t>
  </si>
  <si>
    <t xml:space="preserve">TL</t>
  </si>
  <si>
    <t xml:space="preserve">LOS</t>
  </si>
  <si>
    <t xml:space="preserve">LOL · HLE vs G2</t>
  </si>
  <si>
    <t xml:space="preserve">Fri 18:00</t>
  </si>
  <si>
    <t xml:space="preserve">Hanwha Life Esports (HLE)</t>
  </si>
  <si>
    <t xml:space="preserve">G2 Esports (G2)</t>
  </si>
  <si>
    <t xml:space="preserve">HLE</t>
  </si>
  <si>
    <t xml:space="preserve">G2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</si>
  <si>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</si>
  <si>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</si>
  <si>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</si>
  <si>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</si>
  <si>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</si>
  <si>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</si>
  <si>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</si>
  <si>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</si>
  <si>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</si>
  <si>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</si>
  <si>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</si>
  <si>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</si>
  <si>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</si>
  <si>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</si>
  <si>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</si>
  <si>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</si>
  <si>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</si>
  <si>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</si>
  <si>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</si>
  <si>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</si>
  <si>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</si>
  <si>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Boxi</t>
  </si>
  <si>
    <t xml:space="preserve">Maps 1-2 Kills</t>
  </si>
  <si>
    <t xml:space="preserve">25%/2/8</t>
  </si>
  <si>
    <t xml:space="preserve">6fh3v4zhup45apx|DOTA · OG vs Liquid</t>
  </si>
  <si>
    <t xml:space="preserve">K12</t>
  </si>
  <si>
    <t xml:space="preserve">Malr1ne</t>
  </si>
  <si>
    <t xml:space="preserve">50%/5/10</t>
  </si>
  <si>
    <t xml:space="preserve">okwa876y1o8h4ow|DOTA · OG vs Liquid</t>
  </si>
  <si>
    <t xml:space="preserve">miCKe</t>
  </si>
  <si>
    <t xml:space="preserve">63%/5/8</t>
  </si>
  <si>
    <t xml:space="preserve">m59p9wlox0y2f5p|DOTA · OG vs Liquid</t>
  </si>
  <si>
    <t xml:space="preserve">tOfu</t>
  </si>
  <si>
    <t xml:space="preserve">82%/9/11</t>
  </si>
  <si>
    <t xml:space="preserve">27h10ey3h2ra0ol|DOTA · OG vs Liquid</t>
  </si>
  <si>
    <t xml:space="preserve">Wisper</t>
  </si>
  <si>
    <t xml:space="preserve">50%/2/4</t>
  </si>
  <si>
    <t xml:space="preserve">yfzz8fis0ra5e8p|DOTA · OG vs Liquid</t>
  </si>
  <si>
    <t xml:space="preserve">Natsumi-</t>
  </si>
  <si>
    <t xml:space="preserve">29%/2/7</t>
  </si>
  <si>
    <t xml:space="preserve">5vihvu65ghkyan1|DOTA · OG vs Liquid</t>
  </si>
  <si>
    <t xml:space="preserve">OneJey</t>
  </si>
  <si>
    <t xml:space="preserve">60%/3/5</t>
  </si>
  <si>
    <t xml:space="preserve">gf5trr3nqlr6rzi|DOTA · OG vs Liquid</t>
  </si>
  <si>
    <t xml:space="preserve">Skem</t>
  </si>
  <si>
    <t xml:space="preserve">46%/5/11</t>
  </si>
  <si>
    <t xml:space="preserve">327bydu6uqe51dl|DOTA · OG vs Liquid</t>
  </si>
  <si>
    <t xml:space="preserve">TOPSON</t>
  </si>
  <si>
    <t xml:space="preserve">50%/3/6</t>
  </si>
  <si>
    <t xml:space="preserve">c9666oyxnrvurur|DOTA · OG vs Liquid</t>
  </si>
  <si>
    <t xml:space="preserve">9Class</t>
  </si>
  <si>
    <t xml:space="preserve">37%/10/27</t>
  </si>
  <si>
    <t xml:space="preserve">p48p2vywpenq4iz|DOTA · PARI vs TS</t>
  </si>
  <si>
    <t xml:space="preserve">Dukalis</t>
  </si>
  <si>
    <t xml:space="preserve">33%/9/27</t>
  </si>
  <si>
    <t xml:space="preserve">38c4z9ycctww8gl|DOTA · PARI vs TS</t>
  </si>
  <si>
    <t xml:space="preserve">No[o]ne</t>
  </si>
  <si>
    <t xml:space="preserve">48%/13/27</t>
  </si>
  <si>
    <t xml:space="preserve">te1ihvul0whu8k1|DOTA · PARI vs TS</t>
  </si>
  <si>
    <t xml:space="preserve">Satanic</t>
  </si>
  <si>
    <t xml:space="preserve">18%/4/22</t>
  </si>
  <si>
    <t xml:space="preserve">s178rxweg2uixdf|DOTA · PARI vs TS</t>
  </si>
  <si>
    <t xml:space="preserve">Larl</t>
  </si>
  <si>
    <t xml:space="preserve">43%/9/21</t>
  </si>
  <si>
    <t xml:space="preserve">3nhf9uupulsq9gw|DOTA · PARI vs TS</t>
  </si>
  <si>
    <t xml:space="preserve">not me</t>
  </si>
  <si>
    <t xml:space="preserve">80%/4/5</t>
  </si>
  <si>
    <t xml:space="preserve">eu78tcmea0duae0|DOTA · PARI vs TS</t>
  </si>
  <si>
    <t xml:space="preserve">rue</t>
  </si>
  <si>
    <t xml:space="preserve">48%/10/21</t>
  </si>
  <si>
    <t xml:space="preserve">sw7j8rqyn0xsj7y|DOTA · PARI vs TS</t>
  </si>
  <si>
    <t xml:space="preserve">Yatoro</t>
  </si>
  <si>
    <t xml:space="preserve">37%/7/19</t>
  </si>
  <si>
    <t xml:space="preserve">7i0n30c69c9zmve|DOTA · PARI vs TS</t>
  </si>
  <si>
    <t xml:space="preserve">BrokenBlade</t>
  </si>
  <si>
    <t xml:space="preserve">100%/1/1</t>
  </si>
  <si>
    <t xml:space="preserve">fcu6c9alckgkcdm|LOL · HLE vs G2</t>
  </si>
  <si>
    <t xml:space="preserve">Caps</t>
  </si>
  <si>
    <t xml:space="preserve">k04ep06dphq53i6|LOL · HLE vs G2</t>
  </si>
  <si>
    <t xml:space="preserve">Hans sama</t>
  </si>
  <si>
    <t xml:space="preserve">0%/0/1</t>
  </si>
  <si>
    <t xml:space="preserve">igjqi725ffi2xyn|LOL · HLE vs G2</t>
  </si>
  <si>
    <t xml:space="preserve">Gumayusi</t>
  </si>
  <si>
    <t xml:space="preserve">dk2xvnogliulqvm|LOL · HLE vs G2</t>
  </si>
  <si>
    <t xml:space="preserve">Kanavi</t>
  </si>
  <si>
    <t xml:space="preserve">100%/2/2</t>
  </si>
  <si>
    <t xml:space="preserve">sz58hgh9evxsz7i|LOL · HLE vs G2</t>
  </si>
  <si>
    <t xml:space="preserve">Zeka</t>
  </si>
  <si>
    <t xml:space="preserve">a9kybbin6grz064|LOL · HLE vs G2</t>
  </si>
  <si>
    <t xml:space="preserve">Zeus</t>
  </si>
  <si>
    <t xml:space="preserve">75%/3/4</t>
  </si>
  <si>
    <t xml:space="preserve">tdvdf1h4ixtxv6x|LOL · HLE vs G2</t>
  </si>
  <si>
    <t xml:space="preserve">Feisty</t>
  </si>
  <si>
    <t xml:space="preserve">-</t>
  </si>
  <si>
    <t xml:space="preserve">7an3gm5ji18vw08|LOL · TL vs LOS</t>
  </si>
  <si>
    <t xml:space="preserve">ZEST</t>
  </si>
  <si>
    <t xml:space="preserve">1wrgwhi0wuse7fq|LOL · TL vs LOS</t>
  </si>
  <si>
    <t xml:space="preserve">Josedeodo</t>
  </si>
  <si>
    <t xml:space="preserve">qq49f66td1g1ang|LOL · TL vs LOS</t>
  </si>
  <si>
    <t xml:space="preserve">Morgan</t>
  </si>
  <si>
    <t xml:space="preserve">2ol95p2vqnex4vi|LOL · TL vs LOS</t>
  </si>
  <si>
    <t xml:space="preserve">Quid</t>
  </si>
  <si>
    <t xml:space="preserve">i3s02n3914ztm0s|LOL · TL vs LOS</t>
  </si>
  <si>
    <t xml:space="preserve">Yeon</t>
  </si>
  <si>
    <t xml:space="preserve">3veg6sl2qg2nwcd|LOL · TL vs LOS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</si>
  <si>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</si>
  <si>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</si>
  <si>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</si>
  <si>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</si>
  <si>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</si>
  <si>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</si>
  <si>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</si>
  <si>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</si>
  <si>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</si>
  <si>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</si>
  <si>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</si>
  <si>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</si>
  <si>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</si>
  <si>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</si>
  <si>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</si>
  <si>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</si>
  <si>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</si>
  <si>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</si>
  <si>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</si>
  <si>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</si>
  <si>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</si>
  <si>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</si>
  <si>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</si>
  <si>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</si>
  <si>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</si>
  <si>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</si>
  <si>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</si>
  <si>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</si>
  <si>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</si>
  <si>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6fh3v4zhup45apx</t>
  </si>
  <si>
    <t xml:space="preserve">okwa876y1o8h4ow</t>
  </si>
  <si>
    <t xml:space="preserve">m59p9wlox0y2f5p</t>
  </si>
  <si>
    <t xml:space="preserve">27h10ey3h2ra0ol</t>
  </si>
  <si>
    <t xml:space="preserve">yfzz8fis0ra5e8p</t>
  </si>
  <si>
    <t xml:space="preserve">5vihvu65ghkyan1</t>
  </si>
  <si>
    <t xml:space="preserve">gf5trr3nqlr6rzi</t>
  </si>
  <si>
    <t xml:space="preserve">327bydu6uqe51dl</t>
  </si>
  <si>
    <t xml:space="preserve">c9666oyxnrvurur</t>
  </si>
  <si>
    <t xml:space="preserve">p48p2vywpenq4iz</t>
  </si>
  <si>
    <t xml:space="preserve">38c4z9ycctww8gl</t>
  </si>
  <si>
    <t xml:space="preserve">te1ihvul0whu8k1</t>
  </si>
  <si>
    <t xml:space="preserve">s178rxweg2uixdf</t>
  </si>
  <si>
    <t xml:space="preserve">3nhf9uupulsq9gw</t>
  </si>
  <si>
    <t xml:space="preserve">eu78tcmea0duae0</t>
  </si>
  <si>
    <t xml:space="preserve">sw7j8rqyn0xsj7y</t>
  </si>
  <si>
    <t xml:space="preserve">7i0n30c69c9zmve</t>
  </si>
  <si>
    <t xml:space="preserve">fcu6c9alckgkcdm</t>
  </si>
  <si>
    <t xml:space="preserve">k04ep06dphq53i6</t>
  </si>
  <si>
    <t xml:space="preserve">igjqi725ffi2xyn</t>
  </si>
  <si>
    <t xml:space="preserve">dk2xvnogliulqvm</t>
  </si>
  <si>
    <t xml:space="preserve">sz58hgh9evxsz7i</t>
  </si>
  <si>
    <t xml:space="preserve">a9kybbin6grz064</t>
  </si>
  <si>
    <t xml:space="preserve">tdvdf1h4ixtxv6x</t>
  </si>
  <si>
    <t xml:space="preserve">7an3gm5ji18vw08</t>
  </si>
  <si>
    <t xml:space="preserve">1wrgwhi0wuse7fq</t>
  </si>
  <si>
    <t xml:space="preserve">qq49f66td1g1ang</t>
  </si>
  <si>
    <t xml:space="preserve">2ol95p2vqnex4vi</t>
  </si>
  <si>
    <t xml:space="preserve">i3s02n3914ztm0s</t>
  </si>
  <si>
    <t xml:space="preserve">3veg6sl2qg2nwcd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</si>
  <si>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</si>
  <si>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</si>
  <si>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</si>
  <si>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</si>
  <si>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</si>
  <si>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</si>
  <si>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</si>
  <si>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</si>
  <si>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</si>
  <si>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</si>
  <si>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</si>
  <si>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</si>
  <si>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</si>
  <si>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</si>
  <si>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</si>
  <si>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</si>
  <si>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</si>
  <si>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2026-10-30</t>
  </si>
  <si>
    <t xml:space="preserve">BUILT_UTC</t>
  </si>
  <si>
    <t xml:space="preserve">2026-10-30 03:26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</si>
  <si>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</si>
  <si>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</si>
  <si>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</si>
  <si>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</si>
  <si>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</si>
  <si>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</si>
  <si>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</si>
  <si>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</si>
  <si>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</si>
  <si>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</si>
  <si>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</si>
  <si>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</si>
  <si>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</si>
  <si>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</si>
  <si>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</si>
  <si>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</si>
  <si>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</si>
  <si>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G2 vs HLE</t>
  </si>
  <si>
    <t xml:space="preserve">OK</t>
  </si>
  <si>
    <t xml:space="preserve">https://www.pickfinder.app/players/lol/fcu6c9alckgkcdm</t>
  </si>
  <si>
    <t xml:space="preserve">LOL</t>
  </si>
  <si>
    <t xml:space="preserve">top</t>
  </si>
  <si>
    <t xml:space="preserve">https://www.pickfinder.app/players/lol/k04ep06dphq53i6</t>
  </si>
  <si>
    <t xml:space="preserve">mid</t>
  </si>
  <si>
    <t xml:space="preserve">https://www.pickfinder.app/players/lol/igjqi725ffi2xyn</t>
  </si>
  <si>
    <t xml:space="preserve">adc</t>
  </si>
  <si>
    <t xml:space="preserve">HLE vs G2</t>
  </si>
  <si>
    <t xml:space="preserve">https://www.pickfinder.app/players/lol/dk2xvnogliulqvm</t>
  </si>
  <si>
    <t xml:space="preserve">https://www.pickfinder.app/players/lol/sz58hgh9evxsz7i</t>
  </si>
  <si>
    <t xml:space="preserve">jun</t>
  </si>
  <si>
    <t xml:space="preserve">https://www.pickfinder.app/players/lol/a9kybbin6grz064</t>
  </si>
  <si>
    <t xml:space="preserve">https://www.pickfinder.app/players/lol/tdvdf1h4ixtxv6x</t>
  </si>
  <si>
    <t xml:space="preserve">LOS vs TL</t>
  </si>
  <si>
    <t xml:space="preserve">https://www.pickfinder.app/players/lol/7an3gm5ji18vw08</t>
  </si>
  <si>
    <t xml:space="preserve">https://www.pickfinder.app/players/lol/1wrgwhi0wuse7fq</t>
  </si>
  <si>
    <t xml:space="preserve">Liquid vs OG</t>
  </si>
  <si>
    <t xml:space="preserve">https://www.pickfinder.app/players/dota2/6fh3v4zhup45apx</t>
  </si>
  <si>
    <t xml:space="preserve">DOTA</t>
  </si>
  <si>
    <t xml:space="preserve">4</t>
  </si>
  <si>
    <t xml:space="preserve">https://www.pickfinder.app/players/dota2/okwa876y1o8h4ow</t>
  </si>
  <si>
    <t xml:space="preserve">2</t>
  </si>
  <si>
    <t xml:space="preserve">https://www.pickfinder.app/players/dota2/m59p9wlox0y2f5p</t>
  </si>
  <si>
    <t xml:space="preserve">1</t>
  </si>
  <si>
    <t xml:space="preserve">https://www.pickfinder.app/players/dota2/27h10ey3h2ra0ol</t>
  </si>
  <si>
    <t xml:space="preserve">5</t>
  </si>
  <si>
    <t xml:space="preserve">https://www.pickfinder.app/players/dota2/yfzz8fis0ra5e8p</t>
  </si>
  <si>
    <t xml:space="preserve">3</t>
  </si>
  <si>
    <t xml:space="preserve">OG vs Liquid</t>
  </si>
  <si>
    <t xml:space="preserve">https://www.pickfinder.app/players/dota2/5vihvu65ghkyan1</t>
  </si>
  <si>
    <t xml:space="preserve">https://www.pickfinder.app/players/dota2/gf5trr3nqlr6rzi</t>
  </si>
  <si>
    <t xml:space="preserve">https://www.pickfinder.app/players/dota2/327bydu6uqe51dl</t>
  </si>
  <si>
    <t xml:space="preserve">https://www.pickfinder.app/players/dota2/c9666oyxnrvurur</t>
  </si>
  <si>
    <t xml:space="preserve">PARI vs TS</t>
  </si>
  <si>
    <t xml:space="preserve">https://www.pickfinder.app/players/dota2/p48p2vywpenq4iz</t>
  </si>
  <si>
    <t xml:space="preserve">https://www.pickfinder.app/players/dota2/38c4z9ycctww8gl</t>
  </si>
  <si>
    <t xml:space="preserve">https://www.pickfinder.app/players/dota2/te1ihvul0whu8k1</t>
  </si>
  <si>
    <t xml:space="preserve">https://www.pickfinder.app/players/dota2/s178rxweg2uixdf</t>
  </si>
  <si>
    <t xml:space="preserve">TL vs LOS</t>
  </si>
  <si>
    <t xml:space="preserve">https://www.pickfinder.app/players/lol/qq49f66td1g1ang</t>
  </si>
  <si>
    <t xml:space="preserve">https://www.pickfinder.app/players/lol/2ol95p2vqnex4vi</t>
  </si>
  <si>
    <t xml:space="preserve">https://www.pickfinder.app/players/lol/i3s02n3914ztm0s</t>
  </si>
  <si>
    <t xml:space="preserve">https://www.pickfinder.app/players/lol/3veg6sl2qg2nwcd</t>
  </si>
  <si>
    <t xml:space="preserve">TS vs PARI</t>
  </si>
  <si>
    <t xml:space="preserve">https://www.pickfinder.app/players/dota2/3nhf9uupulsq9gw</t>
  </si>
  <si>
    <t xml:space="preserve">https://www.pickfinder.app/players/dota2/eu78tcmea0duae0</t>
  </si>
  <si>
    <t xml:space="preserve">https://www.pickfinder.app/players/dota2/sw7j8rqyn0xsj7y</t>
  </si>
  <si>
    <t xml:space="preserve">https://www.pickfinder.app/players/dota2/7i0n30c69c9zmve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</si>
  <si>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</si>
  <si>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</si>
  <si>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</si>
  <si>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</si>
  <si>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</si>
  <si>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</si>
  <si>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</si>
  <si>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10/25</t>
  </si>
  <si>
    <t xml:space="preserve">TES</t>
  </si>
  <si>
    <t xml:space="preserve">10/24</t>
  </si>
  <si>
    <t xml:space="preserve">10/23</t>
  </si>
  <si>
    <t xml:space="preserve">DK</t>
  </si>
  <si>
    <t xml:space="preserve">09/20</t>
  </si>
  <si>
    <t xml:space="preserve">MKOI</t>
  </si>
  <si>
    <t xml:space="preserve">09/06</t>
  </si>
  <si>
    <t xml:space="preserve">KC</t>
  </si>
  <si>
    <t xml:space="preserve">09/05</t>
  </si>
  <si>
    <t xml:space="preserve">VIT</t>
  </si>
  <si>
    <t xml:space="preserve">08/24</t>
  </si>
  <si>
    <t xml:space="preserve">GX</t>
  </si>
  <si>
    <t xml:space="preserve">08/16</t>
  </si>
  <si>
    <t xml:space="preserve">FNC</t>
  </si>
  <si>
    <t xml:space="preserve">08/15</t>
  </si>
  <si>
    <t xml:space="preserve">SHFT</t>
  </si>
  <si>
    <t xml:space="preserve">08/10</t>
  </si>
  <si>
    <t xml:space="preserve">Navi</t>
  </si>
  <si>
    <t xml:space="preserve">08/09</t>
  </si>
  <si>
    <t xml:space="preserve">TH</t>
  </si>
  <si>
    <t xml:space="preserve">08/02</t>
  </si>
  <si>
    <t xml:space="preserve">SK</t>
  </si>
  <si>
    <t xml:space="preserve">07/26</t>
  </si>
  <si>
    <t xml:space="preserve">07/25</t>
  </si>
  <si>
    <t xml:space="preserve">07/24</t>
  </si>
  <si>
    <t xml:space="preserve">IG</t>
  </si>
  <si>
    <t xml:space="preserve">GEN</t>
  </si>
  <si>
    <t xml:space="preserve">10/02</t>
  </si>
  <si>
    <t xml:space="preserve">TPE</t>
  </si>
  <si>
    <t xml:space="preserve">10/01</t>
  </si>
  <si>
    <t xml:space="preserve">KSA</t>
  </si>
  <si>
    <t xml:space="preserve">09/30</t>
  </si>
  <si>
    <t xml:space="preserve">HKG</t>
  </si>
  <si>
    <t xml:space="preserve">09/13</t>
  </si>
  <si>
    <t xml:space="preserve">09/12</t>
  </si>
  <si>
    <t xml:space="preserve">T1</t>
  </si>
  <si>
    <t xml:space="preserve">09/02</t>
  </si>
  <si>
    <t xml:space="preserve">08/23</t>
  </si>
  <si>
    <t xml:space="preserve">08/20</t>
  </si>
  <si>
    <t xml:space="preserve">KT</t>
  </si>
  <si>
    <t xml:space="preserve">08/13</t>
  </si>
  <si>
    <t xml:space="preserve">08/08</t>
  </si>
  <si>
    <t xml:space="preserve">08/05</t>
  </si>
  <si>
    <t xml:space="preserve">08/04</t>
  </si>
  <si>
    <t xml:space="preserve">10/26</t>
  </si>
  <si>
    <t xml:space="preserve">TSW</t>
  </si>
  <si>
    <t xml:space="preserve">10/12</t>
  </si>
  <si>
    <t xml:space="preserve">KBM</t>
  </si>
  <si>
    <t xml:space="preserve">10/10</t>
  </si>
  <si>
    <t xml:space="preserve">FUR</t>
  </si>
  <si>
    <t xml:space="preserve">EST</t>
  </si>
  <si>
    <t xml:space="preserve">09/27</t>
  </si>
  <si>
    <t xml:space="preserve">LLL</t>
  </si>
  <si>
    <t xml:space="preserve">08/29</t>
  </si>
  <si>
    <t xml:space="preserve">FXW7</t>
  </si>
  <si>
    <t xml:space="preserve">VKS</t>
  </si>
  <si>
    <t xml:space="preserve">PNG</t>
  </si>
  <si>
    <t xml:space="preserve">LEV</t>
  </si>
  <si>
    <t xml:space="preserve">RED</t>
  </si>
  <si>
    <t xml:space="preserve">10/29</t>
  </si>
  <si>
    <t xml:space="preserve">AI</t>
  </si>
  <si>
    <t xml:space="preserve">10/28</t>
  </si>
  <si>
    <t xml:space="preserve">TY</t>
  </si>
  <si>
    <t xml:space="preserve">GL</t>
  </si>
  <si>
    <t xml:space="preserve">10/22</t>
  </si>
  <si>
    <t xml:space="preserve">1WIN</t>
  </si>
  <si>
    <t xml:space="preserve">AUR</t>
  </si>
  <si>
    <t xml:space="preserve">09/29</t>
  </si>
  <si>
    <t xml:space="preserve">YB</t>
  </si>
  <si>
    <t xml:space="preserve">08/22</t>
  </si>
  <si>
    <t xml:space="preserve">08/21</t>
  </si>
  <si>
    <t xml:space="preserve">FLC</t>
  </si>
  <si>
    <t xml:space="preserve">Iron Wing</t>
  </si>
  <si>
    <t xml:space="preserve">08/14</t>
  </si>
  <si>
    <t xml:space="preserve">NGX</t>
  </si>
  <si>
    <t xml:space="preserve">VG</t>
  </si>
  <si>
    <t xml:space="preserve">BoomBoys</t>
  </si>
  <si>
    <t xml:space="preserve">VSN</t>
  </si>
  <si>
    <t xml:space="preserve">LGD</t>
  </si>
  <si>
    <t xml:space="preserve">Xtreme</t>
  </si>
  <si>
    <t xml:space="preserve">TR</t>
  </si>
  <si>
    <t xml:space="preserve">10/16</t>
  </si>
  <si>
    <t xml:space="preserve">LEGION</t>
  </si>
  <si>
    <t xml:space="preserve">10/15</t>
  </si>
  <si>
    <t xml:space="preserve">Team Synapse</t>
  </si>
  <si>
    <t xml:space="preserve">P-</t>
  </si>
  <si>
    <t xml:space="preserve">10/03</t>
  </si>
  <si>
    <t xml:space="preserve">BB</t>
  </si>
  <si>
    <t xml:space="preserve">MOUZ</t>
  </si>
  <si>
    <t xml:space="preserve">HULIGANI</t>
  </si>
  <si>
    <t xml:space="preserve">08/11</t>
  </si>
  <si>
    <t xml:space="preserve">RE</t>
  </si>
  <si>
    <t xml:space="preserve">PR</t>
  </si>
  <si>
    <t xml:space="preserve">10/11</t>
  </si>
  <si>
    <t xml:space="preserve">10/09</t>
  </si>
  <si>
    <t xml:space="preserve">10/08</t>
  </si>
  <si>
    <t xml:space="preserve">LVLUP</t>
  </si>
  <si>
    <t xml:space="preserve">09/19</t>
  </si>
  <si>
    <t xml:space="preserve">Daxak Club</t>
  </si>
  <si>
    <t xml:space="preserve">VooDooSh Club</t>
  </si>
  <si>
    <t xml:space="preserve">AL</t>
  </si>
  <si>
    <t xml:space="preserve">BLG</t>
  </si>
  <si>
    <t xml:space="preserve">CFO</t>
  </si>
  <si>
    <t xml:space="preserve">10/04</t>
  </si>
  <si>
    <t xml:space="preserve">LY</t>
  </si>
  <si>
    <t xml:space="preserve">C9</t>
  </si>
  <si>
    <t xml:space="preserve">FLY</t>
  </si>
  <si>
    <t xml:space="preserve">DIG</t>
  </si>
  <si>
    <t xml:space="preserve">08/30</t>
  </si>
  <si>
    <t xml:space="preserve">SR</t>
  </si>
  <si>
    <t xml:space="preserve">DSG</t>
  </si>
  <si>
    <t xml:space="preserve">SEN</t>
  </si>
  <si>
    <t xml:space="preserve">07/01</t>
  </si>
  <si>
    <t xml:space="preserve">06/30</t>
  </si>
  <si>
    <t xml:space="preserve">Nem</t>
  </si>
  <si>
    <t xml:space="preserve">SBT</t>
  </si>
  <si>
    <t xml:space="preserve">Stray</t>
  </si>
  <si>
    <t xml:space="preserve">10/14</t>
  </si>
  <si>
    <t xml:space="preserve">BOT</t>
  </si>
  <si>
    <t xml:space="preserve">10/17</t>
  </si>
  <si>
    <t xml:space="preserve">Nix</t>
  </si>
  <si>
    <t xml:space="preserve">10/13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</si>
  <si>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</si>
  <si>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</si>
  <si>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</si>
  <si>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</si>
  <si>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</si>
  <si>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</si>
  <si>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9class</t>
  </si>
  <si>
    <t xml:space="preserve">batyuk</t>
  </si>
  <si>
    <t xml:space="preserve">dukalis</t>
  </si>
  <si>
    <t xml:space="preserve">larl</t>
  </si>
  <si>
    <t xml:space="preserve">no[o]ne-</t>
  </si>
  <si>
    <t xml:space="preserve">noticed</t>
  </si>
  <si>
    <t xml:space="preserve">satanic</t>
  </si>
  <si>
    <t xml:space="preserve">yatoro</t>
  </si>
  <si>
    <t xml:space="preserve">boxi</t>
  </si>
  <si>
    <t xml:space="preserve">malr1ne</t>
  </si>
  <si>
    <t xml:space="preserve">micke</t>
  </si>
  <si>
    <t xml:space="preserve">natsumi</t>
  </si>
  <si>
    <t xml:space="preserve">onejey</t>
  </si>
  <si>
    <t xml:space="preserve">skem</t>
  </si>
  <si>
    <t xml:space="preserve">tofu</t>
  </si>
  <si>
    <t xml:space="preserve">topson</t>
  </si>
  <si>
    <t xml:space="preserve">triplesss</t>
  </si>
  <si>
    <t xml:space="preserve">wisper</t>
  </si>
  <si>
    <t xml:space="preserve">ackerman</t>
  </si>
  <si>
    <t xml:space="preserve">corejj</t>
  </si>
  <si>
    <t xml:space="preserve">curse</t>
  </si>
  <si>
    <t xml:space="preserve">duduhh</t>
  </si>
  <si>
    <t xml:space="preserve">feisty</t>
  </si>
  <si>
    <t xml:space="preserve">josedeodo</t>
  </si>
  <si>
    <t xml:space="preserve">morgan</t>
  </si>
  <si>
    <t xml:space="preserve">quid</t>
  </si>
  <si>
    <t xml:space="preserve">yeon</t>
  </si>
  <si>
    <t xml:space="preserve">zest</t>
  </si>
  <si>
    <t xml:space="preserve">brokenblade</t>
  </si>
  <si>
    <t xml:space="preserve">caps</t>
  </si>
  <si>
    <t xml:space="preserve">delight</t>
  </si>
  <si>
    <t xml:space="preserve">gumayusi</t>
  </si>
  <si>
    <t xml:space="preserve">hans sama</t>
  </si>
  <si>
    <t xml:space="preserve">kanavi</t>
  </si>
  <si>
    <t xml:space="preserve">labrov</t>
  </si>
  <si>
    <t xml:space="preserve">skewmond</t>
  </si>
  <si>
    <t xml:space="preserve">zeka</t>
  </si>
  <si>
    <t xml:space="preserve">zeus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</si>
  <si>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</si>
  <si>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</si>
  <si>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</si>
  <si>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</si>
  <si>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</si>
  <si>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</si>
  <si>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</si>
  <si>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</si>
  <si>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30 / 30 players pass</t>
  </si>
  <si>
    <t xml:space="preserve">Matches resolved to Thunderpick</t>
  </si>
  <si>
    <t xml:space="preserve">4 / 4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</si>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</sst>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EAE0"/>
          <bgColor rgb="FF000000"/>
        </patternFill>
      </fill>
    </dxf>
    <dxf>
      <fill>
        <patternFill patternType="solid">
          <fgColor rgb="FFDBECE4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IFERROR(IF(INDEX(Matches!$E$5:$E$8,MATCH($B$2,Matches!$A$5:$A$8,0))="","",INDEX(Matches!$E$5:$E$8,MATCH($B$2,Matches!$A$5:$A$8,0))),"")&amp;"  vs  "&amp;IFERROR(IF(INDEX(Matches!$F$5:$F$8,MATCH($B$2,Matches!$A$5:$A$8,0))="","",INDEX(Matches!$F$5:$F$8,MATCH($B$2,Matches!$A$5:$A$8,0))),"")</f>
        <v>PariVision (PARI)  vs  Team Spirit (TS)</v>
      </c>
      <c r="D4" s="4" t="s">
        <v>29</v>
      </c>
      <c r="E4" s="0" t="str">
        <f aca="false">IFERROR(IF(INDEX(Matches!$C$5:$C$8,MATCH($B$2,Matches!$A$5:$A$8,0))="","",INDEX(Matches!$C$5:$C$8,MATCH($B$2,Matches!$A$5:$A$8,0))),"")</f>
        <v>Fri 05:00</v>
      </c>
      <c r="G4" s="4" t="s">
        <v>30</v>
      </c>
      <c r="H4" s="6" t="n">
        <f aca="false">IFERROR(IF(INDEX(Matches!$D$5:$D$8,MATCH($B$2,Matches!$A$5:$A$8,0))="","",INDEX(Matches!$D$5:$D$8,MATCH($B$2,Matches!$A$5:$A$8,0))),"")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IFERROR(IF(INDEX(Matches!$B$5:$B$8,MATCH($B$2,Matches!$A$5:$A$8,0))="","",INDEX(Matches!$B$5:$B$8,MATCH($B$2,Matches!$A$5:$A$8,0))),"")</f>
        <v>P Universe</v>
      </c>
      <c r="D5" s="4" t="s">
        <v>32</v>
      </c>
      <c r="E5" s="7" t="n">
        <f aca="false">IFERROR(IF(INDEX(Matches!$G$5:$G$8,MATCH($B$2,Matches!$A$5:$A$8,0))="","",INDEX(Matches!$G$5:$G$8,MATCH($B$2,Matches!$A$5:$A$8,0))),"")</f>
        <v>0.541114058355438</v>
      </c>
      <c r="G5" s="4" t="s">
        <v>33</v>
      </c>
      <c r="H5" s="7" t="n">
        <f aca="false">IFERROR(IF(INDEX(Matches!$M$5:$M$8,MATCH($B$2,Matches!$A$5:$A$8,0))="","",INDEX(Matches!$M$5:$M$8,MATCH($B$2,Matches!$A$5:$A$8,0))),"")</f>
        <v>0.528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IFERROR(IF(INDEX(Matches!$H$5:$H$8,MATCH($B$2,Matches!$A$5:$A$8,0))="","",INDEX(Matches!$H$5:$H$8,MATCH($B$2,Matches!$A$5:$A$8,0))),"")</f>
        <v>57.9111039794609</v>
      </c>
      <c r="D6" s="4" t="s">
        <v>35</v>
      </c>
      <c r="E6" s="0" t="str">
        <f aca="false">IF(IFERROR(IF(INDEX(Matches!$I$5:$I$8,MATCH($B$2,Matches!$A$5:$A$8,0))="","",INDEX(Matches!$I$5:$I$8,MATCH($B$2,Matches!$A$5:$A$8,0))),"")="","",TEXT(IFERROR(IF(INDEX(Matches!$I$5:$I$8,MATCH($B$2,Matches!$A$5:$A$8,0))="","",INDEX(Matches!$I$5:$I$8,MATCH($B$2,Matches!$A$5:$A$8,0))),""),"0.0")&amp;" / "&amp;TEXT(IFERROR(IF(INDEX(Matches!$J$5:$J$8,MATCH($B$2,Matches!$A$5:$A$8,0))="","",INDEX(Matches!$J$5:$J$8,MATCH($B$2,Matches!$A$5:$A$8,0))),""),"0.0"))</f>
        <v/>
      </c>
      <c r="G6" s="4" t="s">
        <v>36</v>
      </c>
      <c r="H6" s="8" t="n">
        <f aca="false">IFERROR(IF(INDEX(Matches!$K$5:$K$8,MATCH($B$2,Matches!$A$5:$A$8,0))="","",INDEX(Matches!$K$5:$K$8,MATCH($B$2,Matches!$A$5:$A$8,0))),"")</f>
        <v>44.3692562766461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IFERROR(IF(INDEX(Matches!$R$5:$R$8,MATCH($B$2,Matches!$A$5:$A$8,0))="","",INDEX(Matches!$R$5:$R$8,MATCH($B$2,Matches!$A$5:$A$8,0))),"")</f>
        <v>1</v>
      </c>
      <c r="D7" s="4" t="s">
        <v>38</v>
      </c>
      <c r="E7" s="0" t="str">
        <f aca="false">TEXT(IFERROR(IF(INDEX(Matches!$P$5:$P$8,MATCH($B$2,Matches!$A$5:$A$8,0))="","",INDEX(Matches!$P$5:$P$8,MATCH($B$2,Matches!$A$5:$A$8,0))),""),"0%")&amp;" / "&amp;TEXT(IFERROR(IF(INDEX(Matches!$Q$5:$Q$8,MATCH($B$2,Matches!$A$5:$A$8,0))="","",INDEX(Matches!$Q$5:$Q$8,MATCH($B$2,Matches!$A$5:$A$8,0))),""),"0%")</f>
        <v>100% / 50%</v>
      </c>
      <c r="G7" s="4" t="s">
        <v>39</v>
      </c>
      <c r="H7" s="8" t="str">
        <f aca="false">IF(IFERROR(IF(INDEX(Matches!$I$5:$I$8,MATCH($B$2,Matches!$A$5:$A$8,0))="","",INDEX(Matches!$I$5:$I$8,MATCH($B$2,Matches!$A$5:$A$8,0))),"")="","",IFERROR(IF(INDEX(Matches!$I$5:$I$8,MATCH($B$2,Matches!$A$5:$A$8,0))="","",INDEX(Matches!$I$5:$I$8,MATCH($B$2,Matches!$A$5:$A$8,0))),"")-IFERROR(IF(INDEX(Matches!$J$5:$J$8,MATCH($B$2,Matches!$A$5:$A$8,0))="","",INDEX(Matches!$J$5:$J$8,MATCH($B$2,Matches!$A$5:$A$8,0))),""))</f>
        <v/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"&amp;(MATCH($B$2,Matches!$A$5:$A$8,0)+4)&amp;"."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IF($T12="","",INDEX(Calc!$C$2:$C$31,$T12))</f>
        <v>PARI</v>
      </c>
      <c r="B12" s="0" t="str">
        <f aca="false">IF($T12="","",INDEX(Calc!$D$2:$D$31,$T12))</f>
        <v>Satanic</v>
      </c>
      <c r="C12" s="7" t="n">
        <f aca="false">IF($T12="","",INDEX(Calc!$H$2:$H$31,$T12))</f>
        <v>0.67</v>
      </c>
      <c r="D12" s="8" t="n">
        <f aca="false">IF($T12="","",INDEX(Calc!$I$2:$I$31,$T12))</f>
        <v>10.8</v>
      </c>
      <c r="E12" s="8" t="n">
        <f aca="false">IF($T12="","",INDEX(Calc!$J$2:$J$31,$T12))</f>
        <v>12.6103304967346</v>
      </c>
      <c r="F12" s="8" t="n">
        <f aca="false">IF($T12="","",INDEX(Calc!$K$2:$K$31,$T12))</f>
        <v>7.12448050662972</v>
      </c>
      <c r="G12" s="7" t="n">
        <f aca="false">IF($T12="","",INDEX(Calc!$M$2:$M$31,$T12))</f>
        <v>0.528</v>
      </c>
      <c r="H12" s="8" t="n">
        <f aca="false">IF($T12="","",INDEX(Calc!$Y$2:$Y$31,$T12))</f>
        <v>10.0210093014051</v>
      </c>
      <c r="I12" s="8" t="n">
        <f aca="false">IF($T12="","",INDEX(Calc!$AE$2:$AE$31,$T12))</f>
        <v>10.8</v>
      </c>
      <c r="J12" s="0" t="str">
        <f aca="false">IF($T12="","",IFERROR(INDEX(Projections!$E$2:$E$31,MATCH(INDEX(Calc!$A$2:$A$31,$T12)&amp;"|K1",Projections!$AA$2:$AA$31,0)),""))</f>
        <v/>
      </c>
      <c r="K12" s="7" t="str">
        <f aca="false">IF($T12="","",IFERROR(INDEX(Projections!$H$2:$H$31,MATCH(INDEX(Calc!$A$2:$A$31,$T12)&amp;"|K1",Projections!$AA$2:$AA$31,0)),""))</f>
        <v/>
      </c>
      <c r="L12" s="8" t="n">
        <f aca="false">IF($T12="","",INDEX(Calc!$AK$2:$AK$31,$T12))</f>
        <v>20.0420186028102</v>
      </c>
      <c r="M12" s="6" t="n">
        <f aca="false">IF($T12="","",IFERROR(INDEX(Projections!$E$2:$E$31,MATCH(INDEX(Calc!$A$2:$A$31,$T12)&amp;"|"&amp;INDEX(Calc!$AJ$2:$AJ$31,$T12),Projections!$AA$2:$AA$31,0)),""))</f>
        <v>19.5</v>
      </c>
      <c r="N12" s="7" t="n">
        <f aca="false">IF($T12="","",IFERROR(INDEX(Projections!$H$2:$H$31,MATCH(INDEX(Calc!$A$2:$A$31,$T12)&amp;"|"&amp;INDEX(Calc!$AJ$2:$AJ$31,$T12),Projections!$AA$2:$AA$31,0)),""))</f>
        <v>0.529993379502179</v>
      </c>
      <c r="O12" s="6" t="n">
        <f aca="false">IF($T12="","",IFERROR(INDEX(Projections!$N$2:$N$31,MATCH(INDEX(Calc!$A$2:$A$31,$T12)&amp;"|K1",Projections!$AA$2:$AA$31,0)),IFERROR(INDEX(Projections!$N$2:$N$31,MATCH(INDEX(Calc!$A$2:$A$31,$T12)&amp;"|"&amp;INDEX(Calc!$AJ$2:$AJ$31,$T12),Projections!$AA$2:$AA$31,0)),"")))</f>
        <v>19.28</v>
      </c>
      <c r="P12" s="7" t="n">
        <f aca="false">IF($T12="","",IFERROR(INDEX(Projections!$S$2:$S$31,MATCH(INDEX(Calc!$A$2:$A$31,$T12)&amp;"|K1",Projections!$AA$2:$AA$31,0)),IFERROR(INDEX(Projections!$S$2:$S$31,MATCH(INDEX(Calc!$A$2:$A$31,$T12)&amp;"|"&amp;INDEX(Calc!$AJ$2:$AJ$31,$T12),Projections!$AA$2:$AA$31,0)),"")))</f>
        <v>0.6</v>
      </c>
      <c r="Q12" s="6" t="n">
        <f aca="false">IF($T12="","",INDEX(Calc!$G$2:$G$31,$T12))</f>
        <v>30</v>
      </c>
      <c r="R12" s="0" t="str">
        <f aca="false">IF($T12="","",INDEX(Calc!$AH$2:$AH$31,$T12))</f>
        <v>new roster: 0% of his recent games with these teammates</v>
      </c>
      <c r="T12" s="6" t="n">
        <f aca="false">IFERROR(MATCH(1,Calc!$AI$2:$AI$31,0),"")</f>
        <v>13</v>
      </c>
    </row>
    <row r="13" customFormat="false" ht="15" hidden="false" customHeight="false" outlineLevel="0" collapsed="false">
      <c r="A13" s="0" t="str">
        <f aca="false">IF($T13="","",INDEX(Calc!$C$2:$C$31,$T13))</f>
        <v>TS</v>
      </c>
      <c r="B13" s="0" t="str">
        <f aca="false">IF($T13="","",INDEX(Calc!$D$2:$D$31,$T13))</f>
        <v>Yatoro</v>
      </c>
      <c r="C13" s="7" t="n">
        <f aca="false">IF($T13="","",INDEX(Calc!$H$2:$H$31,$T13))</f>
        <v>0.67</v>
      </c>
      <c r="D13" s="8" t="n">
        <f aca="false">IF($T13="","",INDEX(Calc!$I$2:$I$31,$T13))</f>
        <v>9.5</v>
      </c>
      <c r="E13" s="8" t="n">
        <f aca="false">IF($T13="","",INDEX(Calc!$J$2:$J$31,$T13))</f>
        <v>11.0924203443499</v>
      </c>
      <c r="F13" s="8" t="n">
        <f aca="false">IF($T13="","",INDEX(Calc!$K$2:$K$31,$T13))</f>
        <v>6.26690414935022</v>
      </c>
      <c r="G13" s="7" t="n">
        <f aca="false">IF($T13="","",INDEX(Calc!$M$2:$M$31,$T13))</f>
        <v>0.472</v>
      </c>
      <c r="H13" s="8" t="n">
        <f aca="false">IF($T13="","",INDEX(Calc!$Y$2:$Y$31,$T13))</f>
        <v>8.54454779339006</v>
      </c>
      <c r="I13" s="8" t="n">
        <f aca="false">IF($T13="","",INDEX(Calc!$AE$2:$AE$31,$T13))</f>
        <v>9.5</v>
      </c>
      <c r="J13" s="0" t="str">
        <f aca="false">IF($T13="","",IFERROR(INDEX(Projections!$E$2:$E$31,MATCH(INDEX(Calc!$A$2:$A$31,$T13)&amp;"|K1",Projections!$AA$2:$AA$31,0)),""))</f>
        <v/>
      </c>
      <c r="K13" s="7" t="str">
        <f aca="false">IF($T13="","",IFERROR(INDEX(Projections!$H$2:$H$31,MATCH(INDEX(Calc!$A$2:$A$31,$T13)&amp;"|K1",Projections!$AA$2:$AA$31,0)),""))</f>
        <v/>
      </c>
      <c r="L13" s="8" t="n">
        <f aca="false">IF($T13="","",INDEX(Calc!$AK$2:$AK$31,$T13))</f>
        <v>17.0890955867801</v>
      </c>
      <c r="M13" s="6" t="n">
        <f aca="false">IF($T13="","",IFERROR(INDEX(Projections!$E$2:$E$31,MATCH(INDEX(Calc!$A$2:$A$31,$T13)&amp;"|"&amp;INDEX(Calc!$AJ$2:$AJ$31,$T13),Projections!$AA$2:$AA$31,0)),""))</f>
        <v>17.5</v>
      </c>
      <c r="N13" s="7" t="n">
        <f aca="false">IF($T13="","",IFERROR(INDEX(Projections!$H$2:$H$31,MATCH(INDEX(Calc!$A$2:$A$31,$T13)&amp;"|"&amp;INDEX(Calc!$AJ$2:$AJ$31,$T13),Projections!$AA$2:$AA$31,0)),""))</f>
        <v>0.475032253954316</v>
      </c>
      <c r="O13" s="6" t="n">
        <f aca="false">IF($T13="","",IFERROR(INDEX(Projections!$N$2:$N$31,MATCH(INDEX(Calc!$A$2:$A$31,$T13)&amp;"|K1",Projections!$AA$2:$AA$31,0)),IFERROR(INDEX(Projections!$N$2:$N$31,MATCH(INDEX(Calc!$A$2:$A$31,$T13)&amp;"|"&amp;INDEX(Calc!$AJ$2:$AJ$31,$T13),Projections!$AA$2:$AA$31,0)),"")))</f>
        <v>17.44</v>
      </c>
      <c r="P13" s="7" t="n">
        <f aca="false">IF($T13="","",IFERROR(INDEX(Projections!$S$2:$S$31,MATCH(INDEX(Calc!$A$2:$A$31,$T13)&amp;"|K1",Projections!$AA$2:$AA$31,0)),IFERROR(INDEX(Projections!$S$2:$S$31,MATCH(INDEX(Calc!$A$2:$A$31,$T13)&amp;"|"&amp;INDEX(Calc!$AJ$2:$AJ$31,$T13),Projections!$AA$2:$AA$31,0)),"")))</f>
        <v>0.6</v>
      </c>
      <c r="Q13" s="6" t="n">
        <f aca="false">IF($T13="","",INDEX(Calc!$G$2:$G$31,$T13))</f>
        <v>30</v>
      </c>
      <c r="R13" s="0" t="str">
        <f aca="false">IF($T13="","",INDEX(Calc!$AH$2:$AH$31,$T13))</f>
        <v>new roster: 0% of his recent games with these teammates</v>
      </c>
      <c r="T13" s="6" t="n">
        <f aca="false">IFERROR(MATCH(2,Calc!$AI$2:$AI$31,0),"")</f>
        <v>17</v>
      </c>
    </row>
    <row r="14" customFormat="false" ht="15" hidden="false" customHeight="false" outlineLevel="0" collapsed="false">
      <c r="A14" s="0" t="str">
        <f aca="false">IF($T14="","",INDEX(Calc!$C$2:$C$31,$T14))</f>
        <v>TS</v>
      </c>
      <c r="B14" s="0" t="str">
        <f aca="false">IF($T14="","",INDEX(Calc!$D$2:$D$31,$T14))</f>
        <v>Larl</v>
      </c>
      <c r="C14" s="7" t="n">
        <f aca="false">IF($T14="","",INDEX(Calc!$H$2:$H$31,$T14))</f>
        <v>0.63</v>
      </c>
      <c r="D14" s="8" t="n">
        <f aca="false">IF($T14="","",INDEX(Calc!$I$2:$I$31,$T14))</f>
        <v>7.9</v>
      </c>
      <c r="E14" s="8" t="n">
        <f aca="false">IF($T14="","",INDEX(Calc!$J$2:$J$31,$T14))</f>
        <v>9.41552757390075</v>
      </c>
      <c r="F14" s="8" t="n">
        <f aca="false">IF($T14="","",INDEX(Calc!$K$2:$K$31,$T14))</f>
        <v>5.31950710389873</v>
      </c>
      <c r="G14" s="7" t="n">
        <f aca="false">IF($T14="","",INDEX(Calc!$M$2:$M$31,$T14))</f>
        <v>0.472</v>
      </c>
      <c r="H14" s="8" t="n">
        <f aca="false">IF($T14="","",INDEX(Calc!$Y$2:$Y$31,$T14))</f>
        <v>7.25282876573968</v>
      </c>
      <c r="I14" s="8" t="n">
        <f aca="false">IF($T14="","",INDEX(Calc!$AE$2:$AE$31,$T14))</f>
        <v>7.9</v>
      </c>
      <c r="J14" s="0" t="str">
        <f aca="false">IF($T14="","",IFERROR(INDEX(Projections!$E$2:$E$31,MATCH(INDEX(Calc!$A$2:$A$31,$T14)&amp;"|K1",Projections!$AA$2:$AA$31,0)),""))</f>
        <v/>
      </c>
      <c r="K14" s="7" t="str">
        <f aca="false">IF($T14="","",IFERROR(INDEX(Projections!$H$2:$H$31,MATCH(INDEX(Calc!$A$2:$A$31,$T14)&amp;"|K1",Projections!$AA$2:$AA$31,0)),""))</f>
        <v/>
      </c>
      <c r="L14" s="8" t="n">
        <f aca="false">IF($T14="","",INDEX(Calc!$AK$2:$AK$31,$T14))</f>
        <v>14.5056575314794</v>
      </c>
      <c r="M14" s="6" t="n">
        <f aca="false">IF($T14="","",IFERROR(INDEX(Projections!$E$2:$E$31,MATCH(INDEX(Calc!$A$2:$A$31,$T14)&amp;"|"&amp;INDEX(Calc!$AJ$2:$AJ$31,$T14),Projections!$AA$2:$AA$31,0)),""))</f>
        <v>13.5</v>
      </c>
      <c r="N14" s="7" t="n">
        <f aca="false">IF($T14="","",IFERROR(INDEX(Projections!$H$2:$H$31,MATCH(INDEX(Calc!$A$2:$A$31,$T14)&amp;"|"&amp;INDEX(Calc!$AJ$2:$AJ$31,$T14),Projections!$AA$2:$AA$31,0)),""))</f>
        <v>0.567439521340165</v>
      </c>
      <c r="O14" s="6" t="n">
        <f aca="false">IF($T14="","",IFERROR(INDEX(Projections!$N$2:$N$31,MATCH(INDEX(Calc!$A$2:$A$31,$T14)&amp;"|K1",Projections!$AA$2:$AA$31,0)),IFERROR(INDEX(Projections!$N$2:$N$31,MATCH(INDEX(Calc!$A$2:$A$31,$T14)&amp;"|"&amp;INDEX(Calc!$AJ$2:$AJ$31,$T14),Projections!$AA$2:$AA$31,0)),"")))</f>
        <v>12.96</v>
      </c>
      <c r="P14" s="7" t="n">
        <f aca="false">IF($T14="","",IFERROR(INDEX(Projections!$S$2:$S$31,MATCH(INDEX(Calc!$A$2:$A$31,$T14)&amp;"|K1",Projections!$AA$2:$AA$31,0)),IFERROR(INDEX(Projections!$S$2:$S$31,MATCH(INDEX(Calc!$A$2:$A$31,$T14)&amp;"|"&amp;INDEX(Calc!$AJ$2:$AJ$31,$T14),Projections!$AA$2:$AA$31,0)),"")))</f>
        <v>0.7</v>
      </c>
      <c r="Q14" s="6" t="n">
        <f aca="false">IF($T14="","",INDEX(Calc!$G$2:$G$31,$T14))</f>
        <v>30</v>
      </c>
      <c r="R14" s="0" t="str">
        <f aca="false">IF($T14="","",INDEX(Calc!$AH$2:$AH$31,$T14))</f>
        <v>new roster: 0% of his recent games with these teammates</v>
      </c>
      <c r="T14" s="6" t="n">
        <f aca="false">IFERROR(MATCH(3,Calc!$AI$2:$AI$31,0),"")</f>
        <v>14</v>
      </c>
    </row>
    <row r="15" customFormat="false" ht="15" hidden="false" customHeight="false" outlineLevel="0" collapsed="false">
      <c r="A15" s="0" t="str">
        <f aca="false">IF($T15="","",INDEX(Calc!$C$2:$C$31,$T15))</f>
        <v>PARI</v>
      </c>
      <c r="B15" s="0" t="str">
        <f aca="false">IF($T15="","",INDEX(Calc!$D$2:$D$31,$T15))</f>
        <v>No[o]ne</v>
      </c>
      <c r="C15" s="7" t="n">
        <f aca="false">IF($T15="","",INDEX(Calc!$H$2:$H$31,$T15))</f>
        <v>0.67</v>
      </c>
      <c r="D15" s="8" t="n">
        <f aca="false">IF($T15="","",INDEX(Calc!$I$2:$I$31,$T15))</f>
        <v>7.4</v>
      </c>
      <c r="E15" s="8" t="n">
        <f aca="false">IF($T15="","",INDEX(Calc!$J$2:$J$31,$T15))</f>
        <v>8.64041163665149</v>
      </c>
      <c r="F15" s="8" t="n">
        <f aca="false">IF($T15="","",INDEX(Calc!$K$2:$K$31,$T15))</f>
        <v>4.88158849528333</v>
      </c>
      <c r="G15" s="7" t="n">
        <f aca="false">IF($T15="","",INDEX(Calc!$M$2:$M$31,$T15))</f>
        <v>0.528</v>
      </c>
      <c r="H15" s="8" t="n">
        <f aca="false">IF($T15="","",INDEX(Calc!$Y$2:$Y$31,$T15))</f>
        <v>6.86624711392572</v>
      </c>
      <c r="I15" s="8" t="n">
        <f aca="false">IF($T15="","",INDEX(Calc!$AE$2:$AE$31,$T15))</f>
        <v>7.4</v>
      </c>
      <c r="J15" s="0" t="str">
        <f aca="false">IF($T15="","",IFERROR(INDEX(Projections!$E$2:$E$31,MATCH(INDEX(Calc!$A$2:$A$31,$T15)&amp;"|K1",Projections!$AA$2:$AA$31,0)),""))</f>
        <v/>
      </c>
      <c r="K15" s="7" t="str">
        <f aca="false">IF($T15="","",IFERROR(INDEX(Projections!$H$2:$H$31,MATCH(INDEX(Calc!$A$2:$A$31,$T15)&amp;"|K1",Projections!$AA$2:$AA$31,0)),""))</f>
        <v/>
      </c>
      <c r="L15" s="8" t="n">
        <f aca="false">IF($T15="","",INDEX(Calc!$AK$2:$AK$31,$T15))</f>
        <v>13.7324942278514</v>
      </c>
      <c r="M15" s="6" t="n">
        <f aca="false">IF($T15="","",IFERROR(INDEX(Projections!$E$2:$E$31,MATCH(INDEX(Calc!$A$2:$A$31,$T15)&amp;"|"&amp;INDEX(Calc!$AJ$2:$AJ$31,$T15),Projections!$AA$2:$AA$31,0)),""))</f>
        <v>15</v>
      </c>
      <c r="N15" s="7" t="n">
        <f aca="false">IF($T15="","",IFERROR(INDEX(Projections!$H$2:$H$31,MATCH(INDEX(Calc!$A$2:$A$31,$T15)&amp;"|"&amp;INDEX(Calc!$AJ$2:$AJ$31,$T15),Projections!$AA$2:$AA$31,0)),""))</f>
        <v>0.377918846822011</v>
      </c>
      <c r="O15" s="6" t="n">
        <f aca="false">IF($T15="","",IFERROR(INDEX(Projections!$N$2:$N$31,MATCH(INDEX(Calc!$A$2:$A$31,$T15)&amp;"|K1",Projections!$AA$2:$AA$31,0)),IFERROR(INDEX(Projections!$N$2:$N$31,MATCH(INDEX(Calc!$A$2:$A$31,$T15)&amp;"|"&amp;INDEX(Calc!$AJ$2:$AJ$31,$T15),Projections!$AA$2:$AA$31,0)),"")))</f>
        <v>0</v>
      </c>
      <c r="P15" s="7" t="n">
        <f aca="false">IF($T15="","",IFERROR(INDEX(Projections!$S$2:$S$31,MATCH(INDEX(Calc!$A$2:$A$31,$T15)&amp;"|K1",Projections!$AA$2:$AA$31,0)),IFERROR(INDEX(Projections!$S$2:$S$31,MATCH(INDEX(Calc!$A$2:$A$31,$T15)&amp;"|"&amp;INDEX(Calc!$AJ$2:$AJ$31,$T15),Projections!$AA$2:$AA$31,0)),"")))</f>
        <v>0.6</v>
      </c>
      <c r="Q15" s="6" t="n">
        <f aca="false">IF($T15="","",INDEX(Calc!$G$2:$G$31,$T15))</f>
        <v>30</v>
      </c>
      <c r="R15" s="0" t="str">
        <f aca="false">IF($T15="","",INDEX(Calc!$AH$2:$AH$31,$T15))</f>
        <v>new roster: 0% of his recent games with these teammates</v>
      </c>
      <c r="T15" s="6" t="n">
        <f aca="false">IFERROR(MATCH(4,Calc!$AI$2:$AI$31,0),"")</f>
        <v>12</v>
      </c>
    </row>
    <row r="16" customFormat="false" ht="15" hidden="false" customHeight="false" outlineLevel="0" collapsed="false">
      <c r="A16" s="0" t="str">
        <f aca="false">IF($T16="","",INDEX(Calc!$C$2:$C$31,$T16))</f>
        <v>TS</v>
      </c>
      <c r="B16" s="0" t="str">
        <f aca="false">IF($T16="","",INDEX(Calc!$D$2:$D$31,$T16))</f>
        <v>not me</v>
      </c>
      <c r="C16" s="7" t="n">
        <f aca="false">IF($T16="","",INDEX(Calc!$H$2:$H$31,$T16))</f>
        <v>0.63</v>
      </c>
      <c r="D16" s="8" t="n">
        <f aca="false">IF($T16="","",INDEX(Calc!$I$2:$I$31,$T16))</f>
        <v>5.1</v>
      </c>
      <c r="E16" s="8" t="n">
        <f aca="false">IF($T16="","",INDEX(Calc!$J$2:$J$31,$T16))</f>
        <v>6.0783785603663</v>
      </c>
      <c r="F16" s="8" t="n">
        <f aca="false">IF($T16="","",INDEX(Calc!$K$2:$K$31,$T16))</f>
        <v>3.43411218099791</v>
      </c>
      <c r="G16" s="7" t="n">
        <f aca="false">IF($T16="","",INDEX(Calc!$M$2:$M$31,$T16))</f>
        <v>0.472</v>
      </c>
      <c r="H16" s="8" t="n">
        <f aca="false">IF($T16="","",INDEX(Calc!$Y$2:$Y$31,$T16))</f>
        <v>4.68220591205979</v>
      </c>
      <c r="I16" s="8" t="n">
        <f aca="false">IF($T16="","",INDEX(Calc!$AE$2:$AE$31,$T16))</f>
        <v>5.1</v>
      </c>
      <c r="J16" s="0" t="str">
        <f aca="false">IF($T16="","",IFERROR(INDEX(Projections!$E$2:$E$31,MATCH(INDEX(Calc!$A$2:$A$31,$T16)&amp;"|K1",Projections!$AA$2:$AA$31,0)),""))</f>
        <v/>
      </c>
      <c r="K16" s="7" t="str">
        <f aca="false">IF($T16="","",IFERROR(INDEX(Projections!$H$2:$H$31,MATCH(INDEX(Calc!$A$2:$A$31,$T16)&amp;"|K1",Projections!$AA$2:$AA$31,0)),""))</f>
        <v/>
      </c>
      <c r="L16" s="8" t="n">
        <f aca="false">IF($T16="","",INDEX(Calc!$AK$2:$AK$31,$T16))</f>
        <v>9.36441182411959</v>
      </c>
      <c r="M16" s="6" t="n">
        <f aca="false">IF($T16="","",IFERROR(INDEX(Projections!$E$2:$E$31,MATCH(INDEX(Calc!$A$2:$A$31,$T16)&amp;"|"&amp;INDEX(Calc!$AJ$2:$AJ$31,$T16),Projections!$AA$2:$AA$31,0)),""))</f>
        <v>7</v>
      </c>
      <c r="N16" s="7" t="n">
        <f aca="false">IF($T16="","",IFERROR(INDEX(Projections!$H$2:$H$31,MATCH(INDEX(Calc!$A$2:$A$31,$T16)&amp;"|"&amp;INDEX(Calc!$AJ$2:$AJ$31,$T16),Projections!$AA$2:$AA$31,0)),""))</f>
        <v>0.658961672758215</v>
      </c>
      <c r="O16" s="6" t="n">
        <f aca="false">IF($T16="","",IFERROR(INDEX(Projections!$N$2:$N$31,MATCH(INDEX(Calc!$A$2:$A$31,$T16)&amp;"|K1",Projections!$AA$2:$AA$31,0)),IFERROR(INDEX(Projections!$N$2:$N$31,MATCH(INDEX(Calc!$A$2:$A$31,$T16)&amp;"|"&amp;INDEX(Calc!$AJ$2:$AJ$31,$T16),Projections!$AA$2:$AA$31,0)),"")))</f>
        <v>7.66</v>
      </c>
      <c r="P16" s="7" t="n">
        <f aca="false">IF($T16="","",IFERROR(INDEX(Projections!$S$2:$S$31,MATCH(INDEX(Calc!$A$2:$A$31,$T16)&amp;"|K1",Projections!$AA$2:$AA$31,0)),IFERROR(INDEX(Projections!$S$2:$S$31,MATCH(INDEX(Calc!$A$2:$A$31,$T16)&amp;"|"&amp;INDEX(Calc!$AJ$2:$AJ$31,$T16),Projections!$AA$2:$AA$31,0)),"")))</f>
        <v>0.8</v>
      </c>
      <c r="Q16" s="6" t="n">
        <f aca="false">IF($T16="","",INDEX(Calc!$G$2:$G$31,$T16))</f>
        <v>30</v>
      </c>
      <c r="R16" s="0" t="str">
        <f aca="false">IF($T16="","",INDEX(Calc!$AH$2:$AH$31,$T16))</f>
        <v>new roster: 0% of his recent games with these teammates</v>
      </c>
      <c r="T16" s="6" t="n">
        <f aca="false">IFERROR(MATCH(5,Calc!$AI$2:$AI$31,0),"")</f>
        <v>15</v>
      </c>
    </row>
    <row r="17" customFormat="false" ht="15" hidden="false" customHeight="false" outlineLevel="0" collapsed="false">
      <c r="A17" s="0" t="str">
        <f aca="false">IF($T17="","",INDEX(Calc!$C$2:$C$31,$T17))</f>
        <v>PARI</v>
      </c>
      <c r="B17" s="0" t="str">
        <f aca="false">IF($T17="","",INDEX(Calc!$D$2:$D$31,$T17))</f>
        <v>9Class</v>
      </c>
      <c r="C17" s="7" t="n">
        <f aca="false">IF($T17="","",INDEX(Calc!$H$2:$H$31,$T17))</f>
        <v>0.67</v>
      </c>
      <c r="D17" s="8" t="n">
        <f aca="false">IF($T17="","",INDEX(Calc!$I$2:$I$31,$T17))</f>
        <v>4.9</v>
      </c>
      <c r="E17" s="8" t="n">
        <f aca="false">IF($T17="","",INDEX(Calc!$J$2:$J$31,$T17))</f>
        <v>5.72135365129626</v>
      </c>
      <c r="F17" s="8" t="n">
        <f aca="false">IF($T17="","",INDEX(Calc!$K$2:$K$31,$T17))</f>
        <v>3.23240319282275</v>
      </c>
      <c r="G17" s="7" t="n">
        <f aca="false">IF($T17="","",INDEX(Calc!$M$2:$M$31,$T17))</f>
        <v>0.528</v>
      </c>
      <c r="H17" s="8" t="n">
        <f aca="false">IF($T17="","",INDEX(Calc!$Y$2:$Y$31,$T17))</f>
        <v>4.54656903489676</v>
      </c>
      <c r="I17" s="8" t="n">
        <f aca="false">IF($T17="","",INDEX(Calc!$AE$2:$AE$31,$T17))</f>
        <v>4.9</v>
      </c>
      <c r="J17" s="0" t="str">
        <f aca="false">IF($T17="","",IFERROR(INDEX(Projections!$E$2:$E$31,MATCH(INDEX(Calc!$A$2:$A$31,$T17)&amp;"|K1",Projections!$AA$2:$AA$31,0)),""))</f>
        <v/>
      </c>
      <c r="K17" s="7" t="str">
        <f aca="false">IF($T17="","",IFERROR(INDEX(Projections!$H$2:$H$31,MATCH(INDEX(Calc!$A$2:$A$31,$T17)&amp;"|K1",Projections!$AA$2:$AA$31,0)),""))</f>
        <v/>
      </c>
      <c r="L17" s="8" t="n">
        <f aca="false">IF($T17="","",INDEX(Calc!$AK$2:$AK$31,$T17))</f>
        <v>9.09313806979352</v>
      </c>
      <c r="M17" s="6" t="n">
        <f aca="false">IF($T17="","",IFERROR(INDEX(Projections!$E$2:$E$31,MATCH(INDEX(Calc!$A$2:$A$31,$T17)&amp;"|"&amp;INDEX(Calc!$AJ$2:$AJ$31,$T17),Projections!$AA$2:$AA$31,0)),""))</f>
        <v>7</v>
      </c>
      <c r="N17" s="7" t="n">
        <f aca="false">IF($T17="","",IFERROR(INDEX(Projections!$H$2:$H$31,MATCH(INDEX(Calc!$A$2:$A$31,$T17)&amp;"|"&amp;INDEX(Calc!$AJ$2:$AJ$31,$T17),Projections!$AA$2:$AA$31,0)),""))</f>
        <v>0.639775438529139</v>
      </c>
      <c r="O17" s="6" t="n">
        <f aca="false">IF($T17="","",IFERROR(INDEX(Projections!$N$2:$N$31,MATCH(INDEX(Calc!$A$2:$A$31,$T17)&amp;"|K1",Projections!$AA$2:$AA$31,0)),IFERROR(INDEX(Projections!$N$2:$N$31,MATCH(INDEX(Calc!$A$2:$A$31,$T17)&amp;"|"&amp;INDEX(Calc!$AJ$2:$AJ$31,$T17),Projections!$AA$2:$AA$31,0)),"")))</f>
        <v>6.98</v>
      </c>
      <c r="P17" s="7" t="n">
        <f aca="false">IF($T17="","",IFERROR(INDEX(Projections!$S$2:$S$31,MATCH(INDEX(Calc!$A$2:$A$31,$T17)&amp;"|K1",Projections!$AA$2:$AA$31,0)),IFERROR(INDEX(Projections!$S$2:$S$31,MATCH(INDEX(Calc!$A$2:$A$31,$T17)&amp;"|"&amp;INDEX(Calc!$AJ$2:$AJ$31,$T17),Projections!$AA$2:$AA$31,0)),"")))</f>
        <v>0.8</v>
      </c>
      <c r="Q17" s="6" t="n">
        <f aca="false">IF($T17="","",INDEX(Calc!$G$2:$G$31,$T17))</f>
        <v>30</v>
      </c>
      <c r="R17" s="0" t="str">
        <f aca="false">IF($T17="","",INDEX(Calc!$AH$2:$AH$31,$T17))</f>
        <v>new roster: 0% of his recent games with these teammates</v>
      </c>
      <c r="T17" s="6" t="n">
        <f aca="false">IFERROR(MATCH(6,Calc!$AI$2:$AI$31,0),"")</f>
        <v>10</v>
      </c>
    </row>
    <row r="18" customFormat="false" ht="15" hidden="false" customHeight="false" outlineLevel="0" collapsed="false">
      <c r="A18" s="0" t="str">
        <f aca="false">IF($T18="","",INDEX(Calc!$C$2:$C$31,$T18))</f>
        <v>TS</v>
      </c>
      <c r="B18" s="0" t="str">
        <f aca="false">IF($T18="","",INDEX(Calc!$D$2:$D$31,$T18))</f>
        <v>rue</v>
      </c>
      <c r="C18" s="7" t="n">
        <f aca="false">IF($T18="","",INDEX(Calc!$H$2:$H$31,$T18))</f>
        <v>0.63</v>
      </c>
      <c r="D18" s="8" t="n">
        <f aca="false">IF($T18="","",INDEX(Calc!$I$2:$I$31,$T18))</f>
        <v>3.7</v>
      </c>
      <c r="E18" s="8" t="n">
        <f aca="false">IF($T18="","",INDEX(Calc!$J$2:$J$31,$T18))</f>
        <v>4.40980405359909</v>
      </c>
      <c r="F18" s="8" t="n">
        <f aca="false">IF($T18="","",INDEX(Calc!$K$2:$K$31,$T18))</f>
        <v>2.49141471954751</v>
      </c>
      <c r="G18" s="7" t="n">
        <f aca="false">IF($T18="","",INDEX(Calc!$M$2:$M$31,$T18))</f>
        <v>0.472</v>
      </c>
      <c r="H18" s="8" t="n">
        <f aca="false">IF($T18="","",INDEX(Calc!$Y$2:$Y$31,$T18))</f>
        <v>3.39689448521985</v>
      </c>
      <c r="I18" s="8" t="n">
        <f aca="false">IF($T18="","",INDEX(Calc!$AE$2:$AE$31,$T18))</f>
        <v>3.7</v>
      </c>
      <c r="J18" s="0" t="str">
        <f aca="false">IF($T18="","",IFERROR(INDEX(Projections!$E$2:$E$31,MATCH(INDEX(Calc!$A$2:$A$31,$T18)&amp;"|K1",Projections!$AA$2:$AA$31,0)),""))</f>
        <v/>
      </c>
      <c r="K18" s="7" t="str">
        <f aca="false">IF($T18="","",IFERROR(INDEX(Projections!$H$2:$H$31,MATCH(INDEX(Calc!$A$2:$A$31,$T18)&amp;"|K1",Projections!$AA$2:$AA$31,0)),""))</f>
        <v/>
      </c>
      <c r="L18" s="8" t="n">
        <f aca="false">IF($T18="","",INDEX(Calc!$AK$2:$AK$31,$T18))</f>
        <v>6.7937889704397</v>
      </c>
      <c r="M18" s="6" t="n">
        <f aca="false">IF($T18="","",IFERROR(INDEX(Projections!$E$2:$E$31,MATCH(INDEX(Calc!$A$2:$A$31,$T18)&amp;"|"&amp;INDEX(Calc!$AJ$2:$AJ$31,$T18),Projections!$AA$2:$AA$31,0)),""))</f>
        <v>5.5</v>
      </c>
      <c r="N18" s="7" t="n">
        <f aca="false">IF($T18="","",IFERROR(INDEX(Projections!$H$2:$H$31,MATCH(INDEX(Calc!$A$2:$A$31,$T18)&amp;"|"&amp;INDEX(Calc!$AJ$2:$AJ$31,$T18),Projections!$AA$2:$AA$31,0)),""))</f>
        <v>0.633717876306727</v>
      </c>
      <c r="O18" s="6" t="n">
        <f aca="false">IF($T18="","",IFERROR(INDEX(Projections!$N$2:$N$31,MATCH(INDEX(Calc!$A$2:$A$31,$T18)&amp;"|K1",Projections!$AA$2:$AA$31,0)),IFERROR(INDEX(Projections!$N$2:$N$31,MATCH(INDEX(Calc!$A$2:$A$31,$T18)&amp;"|"&amp;INDEX(Calc!$AJ$2:$AJ$31,$T18),Projections!$AA$2:$AA$31,0)),"")))</f>
        <v>0</v>
      </c>
      <c r="P18" s="7" t="n">
        <f aca="false">IF($T18="","",IFERROR(INDEX(Projections!$S$2:$S$31,MATCH(INDEX(Calc!$A$2:$A$31,$T18)&amp;"|K1",Projections!$AA$2:$AA$31,0)),IFERROR(INDEX(Projections!$S$2:$S$31,MATCH(INDEX(Calc!$A$2:$A$31,$T18)&amp;"|"&amp;INDEX(Calc!$AJ$2:$AJ$31,$T18),Projections!$AA$2:$AA$31,0)),"")))</f>
        <v>0.7</v>
      </c>
      <c r="Q18" s="6" t="n">
        <f aca="false">IF($T18="","",INDEX(Calc!$G$2:$G$31,$T18))</f>
        <v>30</v>
      </c>
      <c r="R18" s="0" t="str">
        <f aca="false">IF($T18="","",INDEX(Calc!$AH$2:$AH$31,$T18))</f>
        <v>new roster: 0% of his recent games with these teammates</v>
      </c>
      <c r="T18" s="6" t="n">
        <f aca="false">IFERROR(MATCH(7,Calc!$AI$2:$AI$31,0),"")</f>
        <v>16</v>
      </c>
    </row>
    <row r="19" customFormat="false" ht="15" hidden="false" customHeight="false" outlineLevel="0" collapsed="false">
      <c r="A19" s="0" t="str">
        <f aca="false">IF($T19="","",INDEX(Calc!$C$2:$C$31,$T19))</f>
        <v>PARI</v>
      </c>
      <c r="B19" s="0" t="str">
        <f aca="false">IF($T19="","",INDEX(Calc!$D$2:$D$31,$T19))</f>
        <v>Dukalis</v>
      </c>
      <c r="C19" s="7" t="n">
        <f aca="false">IF($T19="","",INDEX(Calc!$H$2:$H$31,$T19))</f>
        <v>0.67</v>
      </c>
      <c r="D19" s="8" t="n">
        <f aca="false">IF($T19="","",INDEX(Calc!$I$2:$I$31,$T19))</f>
        <v>2.8</v>
      </c>
      <c r="E19" s="8" t="n">
        <f aca="false">IF($T19="","",INDEX(Calc!$J$2:$J$31,$T19))</f>
        <v>3.26934494359786</v>
      </c>
      <c r="F19" s="8" t="n">
        <f aca="false">IF($T19="","",INDEX(Calc!$K$2:$K$31,$T19))</f>
        <v>1.84708753875585</v>
      </c>
      <c r="G19" s="7" t="n">
        <f aca="false">IF($T19="","",INDEX(Calc!$M$2:$M$31,$T19))</f>
        <v>0.528</v>
      </c>
      <c r="H19" s="8" t="n">
        <f aca="false">IF($T19="","",INDEX(Calc!$Y$2:$Y$31,$T19))</f>
        <v>2.59803944851243</v>
      </c>
      <c r="I19" s="8" t="n">
        <f aca="false">IF($T19="","",INDEX(Calc!$AE$2:$AE$31,$T19))</f>
        <v>2.8</v>
      </c>
      <c r="J19" s="0" t="str">
        <f aca="false">IF($T19="","",IFERROR(INDEX(Projections!$E$2:$E$31,MATCH(INDEX(Calc!$A$2:$A$31,$T19)&amp;"|K1",Projections!$AA$2:$AA$31,0)),""))</f>
        <v/>
      </c>
      <c r="K19" s="7" t="str">
        <f aca="false">IF($T19="","",IFERROR(INDEX(Projections!$H$2:$H$31,MATCH(INDEX(Calc!$A$2:$A$31,$T19)&amp;"|K1",Projections!$AA$2:$AA$31,0)),""))</f>
        <v/>
      </c>
      <c r="L19" s="8" t="n">
        <f aca="false">IF($T19="","",INDEX(Calc!$AK$2:$AK$31,$T19))</f>
        <v>5.19607889702487</v>
      </c>
      <c r="M19" s="6" t="n">
        <f aca="false">IF($T19="","",IFERROR(INDEX(Projections!$E$2:$E$31,MATCH(INDEX(Calc!$A$2:$A$31,$T19)&amp;"|"&amp;INDEX(Calc!$AJ$2:$AJ$31,$T19),Projections!$AA$2:$AA$31,0)),""))</f>
        <v>5.5</v>
      </c>
      <c r="N19" s="7" t="n">
        <f aca="false">IF($T19="","",IFERROR(INDEX(Projections!$H$2:$H$31,MATCH(INDEX(Calc!$A$2:$A$31,$T19)&amp;"|"&amp;INDEX(Calc!$AJ$2:$AJ$31,$T19),Projections!$AA$2:$AA$31,0)),""))</f>
        <v>0.462759001686129</v>
      </c>
      <c r="O19" s="6" t="n">
        <f aca="false">IF($T19="","",IFERROR(INDEX(Projections!$N$2:$N$31,MATCH(INDEX(Calc!$A$2:$A$31,$T19)&amp;"|K1",Projections!$AA$2:$AA$31,0)),IFERROR(INDEX(Projections!$N$2:$N$31,MATCH(INDEX(Calc!$A$2:$A$31,$T19)&amp;"|"&amp;INDEX(Calc!$AJ$2:$AJ$31,$T19),Projections!$AA$2:$AA$31,0)),"")))</f>
        <v>0</v>
      </c>
      <c r="P19" s="7" t="n">
        <f aca="false">IF($T19="","",IFERROR(INDEX(Projections!$S$2:$S$31,MATCH(INDEX(Calc!$A$2:$A$31,$T19)&amp;"|K1",Projections!$AA$2:$AA$31,0)),IFERROR(INDEX(Projections!$S$2:$S$31,MATCH(INDEX(Calc!$A$2:$A$31,$T19)&amp;"|"&amp;INDEX(Calc!$AJ$2:$AJ$31,$T19),Projections!$AA$2:$AA$31,0)),"")))</f>
        <v>0.4</v>
      </c>
      <c r="Q19" s="6" t="n">
        <f aca="false">IF($T19="","",INDEX(Calc!$G$2:$G$31,$T19))</f>
        <v>30</v>
      </c>
      <c r="R19" s="0" t="str">
        <f aca="false">IF($T19="","",INDEX(Calc!$AH$2:$AH$31,$T19))</f>
        <v>new roster: 0% of his recent games with these teammates</v>
      </c>
      <c r="T19" s="6" t="n">
        <f aca="false">IFERROR(MATCH(8,Calc!$AI$2:$AI$31,0),"")</f>
        <v>11</v>
      </c>
    </row>
    <row r="20" customFormat="false" ht="15" hidden="false" customHeight="false" outlineLevel="0" collapsed="false">
      <c r="A20" s="0" t="str">
        <f aca="false">IF($T20="","",INDEX(Calc!$C$2:$C$31,$T20))</f>
        <v/>
      </c>
      <c r="B20" s="0" t="str">
        <f aca="false">IF($T20="","",INDEX(Calc!$D$2:$D$31,$T20))</f>
        <v/>
      </c>
      <c r="C20" s="7" t="str">
        <f aca="false">IF($T20="","",INDEX(Calc!$H$2:$H$31,$T20))</f>
        <v/>
      </c>
      <c r="D20" s="8" t="str">
        <f aca="false">IF($T20="","",INDEX(Calc!$I$2:$I$31,$T20))</f>
        <v/>
      </c>
      <c r="E20" s="8" t="str">
        <f aca="false">IF($T20="","",INDEX(Calc!$J$2:$J$31,$T20))</f>
        <v/>
      </c>
      <c r="F20" s="8" t="str">
        <f aca="false">IF($T20="","",INDEX(Calc!$K$2:$K$31,$T20))</f>
        <v/>
      </c>
      <c r="G20" s="7" t="str">
        <f aca="false">IF($T20="","",INDEX(Calc!$M$2:$M$31,$T20))</f>
        <v/>
      </c>
      <c r="H20" s="8" t="str">
        <f aca="false">IF($T20="","",INDEX(Calc!$Y$2:$Y$31,$T20))</f>
        <v/>
      </c>
      <c r="I20" s="8" t="str">
        <f aca="false">IF($T20="","",INDEX(Calc!$AE$2:$AE$31,$T20))</f>
        <v/>
      </c>
      <c r="J20" s="0" t="str">
        <f aca="false">IF($T20="","",IFERROR(INDEX(Projections!$E$2:$E$31,MATCH(INDEX(Calc!$A$2:$A$31,$T20)&amp;"|K1",Projections!$AA$2:$AA$31,0)),""))</f>
        <v/>
      </c>
      <c r="K20" s="7" t="str">
        <f aca="false">IF($T20="","",IFERROR(INDEX(Projections!$H$2:$H$31,MATCH(INDEX(Calc!$A$2:$A$31,$T20)&amp;"|K1",Projections!$AA$2:$AA$31,0)),""))</f>
        <v/>
      </c>
      <c r="L20" s="8" t="str">
        <f aca="false">IF($T20="","",INDEX(Calc!$AK$2:$AK$31,$T20))</f>
        <v/>
      </c>
      <c r="M20" s="0" t="str">
        <f aca="false">IF($T20="","",IFERROR(INDEX(Projections!$E$2:$E$31,MATCH(INDEX(Calc!$A$2:$A$31,$T20)&amp;"|"&amp;INDEX(Calc!$AJ$2:$AJ$31,$T20),Projections!$AA$2:$AA$31,0)),""))</f>
        <v/>
      </c>
      <c r="N20" s="7" t="str">
        <f aca="false">IF($T20="","",IFERROR(INDEX(Projections!$H$2:$H$31,MATCH(INDEX(Calc!$A$2:$A$31,$T20)&amp;"|"&amp;INDEX(Calc!$AJ$2:$AJ$31,$T20),Projections!$AA$2:$AA$31,0)),""))</f>
        <v/>
      </c>
      <c r="O20" s="0" t="str">
        <f aca="false">IF($T20="","",IFERROR(INDEX(Projections!$N$2:$N$31,MATCH(INDEX(Calc!$A$2:$A$31,$T20)&amp;"|K1",Projections!$AA$2:$AA$31,0)),IFERROR(INDEX(Projections!$N$2:$N$31,MATCH(INDEX(Calc!$A$2:$A$31,$T20)&amp;"|"&amp;INDEX(Calc!$AJ$2:$AJ$31,$T20),Projections!$AA$2:$AA$31,0)),"")))</f>
        <v/>
      </c>
      <c r="P20" s="7" t="str">
        <f aca="false">IF($T20="","",IFERROR(INDEX(Projections!$S$2:$S$31,MATCH(INDEX(Calc!$A$2:$A$31,$T20)&amp;"|K1",Projections!$AA$2:$AA$31,0)),IFERROR(INDEX(Projections!$S$2:$S$31,MATCH(INDEX(Calc!$A$2:$A$31,$T20)&amp;"|"&amp;INDEX(Calc!$AJ$2:$AJ$31,$T20),Projections!$AA$2:$AA$31,0)),"")))</f>
        <v/>
      </c>
      <c r="Q20" s="0" t="str">
        <f aca="false">IF($T20="","",INDEX(Calc!$G$2:$G$31,$T20))</f>
        <v/>
      </c>
      <c r="R20" s="0" t="str">
        <f aca="false">IF($T20="","",INDEX(Calc!$AH$2:$AH$31,$T20))</f>
        <v/>
      </c>
      <c r="T20" s="0" t="str">
        <f aca="false">IFERROR(MATCH(9,Calc!$AI$2:$AI$31,0),"")</f>
        <v/>
      </c>
    </row>
    <row r="21" customFormat="false" ht="15" hidden="false" customHeight="false" outlineLevel="0" collapsed="false">
      <c r="A21" s="0" t="str">
        <f aca="false">IF($T21="","",INDEX(Calc!$C$2:$C$31,$T21))</f>
        <v/>
      </c>
      <c r="B21" s="0" t="str">
        <f aca="false">IF($T21="","",INDEX(Calc!$D$2:$D$31,$T21))</f>
        <v/>
      </c>
      <c r="C21" s="7" t="str">
        <f aca="false">IF($T21="","",INDEX(Calc!$H$2:$H$31,$T21))</f>
        <v/>
      </c>
      <c r="D21" s="8" t="str">
        <f aca="false">IF($T21="","",INDEX(Calc!$I$2:$I$31,$T21))</f>
        <v/>
      </c>
      <c r="E21" s="8" t="str">
        <f aca="false">IF($T21="","",INDEX(Calc!$J$2:$J$31,$T21))</f>
        <v/>
      </c>
      <c r="F21" s="8" t="str">
        <f aca="false">IF($T21="","",INDEX(Calc!$K$2:$K$31,$T21))</f>
        <v/>
      </c>
      <c r="G21" s="7" t="str">
        <f aca="false">IF($T21="","",INDEX(Calc!$M$2:$M$31,$T21))</f>
        <v/>
      </c>
      <c r="H21" s="8" t="str">
        <f aca="false">IF($T21="","",INDEX(Calc!$Y$2:$Y$31,$T21))</f>
        <v/>
      </c>
      <c r="I21" s="8" t="str">
        <f aca="false">IF($T21="","",INDEX(Calc!$AE$2:$AE$31,$T21))</f>
        <v/>
      </c>
      <c r="J21" s="0" t="str">
        <f aca="false">IF($T21="","",IFERROR(INDEX(Projections!$E$2:$E$31,MATCH(INDEX(Calc!$A$2:$A$31,$T21)&amp;"|K1",Projections!$AA$2:$AA$31,0)),""))</f>
        <v/>
      </c>
      <c r="K21" s="7" t="str">
        <f aca="false">IF($T21="","",IFERROR(INDEX(Projections!$H$2:$H$31,MATCH(INDEX(Calc!$A$2:$A$31,$T21)&amp;"|K1",Projections!$AA$2:$AA$31,0)),""))</f>
        <v/>
      </c>
      <c r="L21" s="8" t="str">
        <f aca="false">IF($T21="","",INDEX(Calc!$AK$2:$AK$31,$T21))</f>
        <v/>
      </c>
      <c r="M21" s="0" t="str">
        <f aca="false">IF($T21="","",IFERROR(INDEX(Projections!$E$2:$E$31,MATCH(INDEX(Calc!$A$2:$A$31,$T21)&amp;"|"&amp;INDEX(Calc!$AJ$2:$AJ$31,$T21),Projections!$AA$2:$AA$31,0)),""))</f>
        <v/>
      </c>
      <c r="N21" s="7" t="str">
        <f aca="false">IF($T21="","",IFERROR(INDEX(Projections!$H$2:$H$31,MATCH(INDEX(Calc!$A$2:$A$31,$T21)&amp;"|"&amp;INDEX(Calc!$AJ$2:$AJ$31,$T21),Projections!$AA$2:$AA$31,0)),""))</f>
        <v/>
      </c>
      <c r="O21" s="0" t="str">
        <f aca="false">IF($T21="","",IFERROR(INDEX(Projections!$N$2:$N$31,MATCH(INDEX(Calc!$A$2:$A$31,$T21)&amp;"|K1",Projections!$AA$2:$AA$31,0)),IFERROR(INDEX(Projections!$N$2:$N$31,MATCH(INDEX(Calc!$A$2:$A$31,$T21)&amp;"|"&amp;INDEX(Calc!$AJ$2:$AJ$31,$T21),Projections!$AA$2:$AA$31,0)),"")))</f>
        <v/>
      </c>
      <c r="P21" s="7" t="str">
        <f aca="false">IF($T21="","",IFERROR(INDEX(Projections!$S$2:$S$31,MATCH(INDEX(Calc!$A$2:$A$31,$T21)&amp;"|K1",Projections!$AA$2:$AA$31,0)),IFERROR(INDEX(Projections!$S$2:$S$31,MATCH(INDEX(Calc!$A$2:$A$31,$T21)&amp;"|"&amp;INDEX(Calc!$AJ$2:$AJ$31,$T21),Projections!$AA$2:$AA$31,0)),"")))</f>
        <v/>
      </c>
      <c r="Q21" s="0" t="str">
        <f aca="false">IF($T21="","",INDEX(Calc!$G$2:$G$31,$T21))</f>
        <v/>
      </c>
      <c r="R21" s="0" t="str">
        <f aca="false">IF($T21="","",INDEX(Calc!$AH$2:$AH$31,$T21))</f>
        <v/>
      </c>
      <c r="T21" s="0" t="str">
        <f aca="false">IFERROR(MATCH(10,Calc!$AI$2:$AI$31,0),"")</f>
        <v/>
      </c>
    </row>
    <row r="22" customFormat="false" ht="15" hidden="false" customHeight="false" outlineLevel="0" collapsed="false">
      <c r="A22" s="0" t="str">
        <f aca="false">IF($T22="","",INDEX(Calc!$C$2:$C$31,$T22))</f>
        <v/>
      </c>
      <c r="B22" s="0" t="str">
        <f aca="false">IF($T22="","",INDEX(Calc!$D$2:$D$31,$T22))</f>
        <v/>
      </c>
      <c r="C22" s="7" t="str">
        <f aca="false">IF($T22="","",INDEX(Calc!$H$2:$H$31,$T22))</f>
        <v/>
      </c>
      <c r="D22" s="8" t="str">
        <f aca="false">IF($T22="","",INDEX(Calc!$I$2:$I$31,$T22))</f>
        <v/>
      </c>
      <c r="E22" s="8" t="str">
        <f aca="false">IF($T22="","",INDEX(Calc!$J$2:$J$31,$T22))</f>
        <v/>
      </c>
      <c r="F22" s="8" t="str">
        <f aca="false">IF($T22="","",INDEX(Calc!$K$2:$K$31,$T22))</f>
        <v/>
      </c>
      <c r="G22" s="7" t="str">
        <f aca="false">IF($T22="","",INDEX(Calc!$M$2:$M$31,$T22))</f>
        <v/>
      </c>
      <c r="H22" s="8" t="str">
        <f aca="false">IF($T22="","",INDEX(Calc!$Y$2:$Y$31,$T22))</f>
        <v/>
      </c>
      <c r="I22" s="8" t="str">
        <f aca="false">IF($T22="","",INDEX(Calc!$AE$2:$AE$31,$T22))</f>
        <v/>
      </c>
      <c r="J22" s="0" t="str">
        <f aca="false">IF($T22="","",IFERROR(INDEX(Projections!$E$2:$E$31,MATCH(INDEX(Calc!$A$2:$A$31,$T22)&amp;"|K1",Projections!$AA$2:$AA$31,0)),""))</f>
        <v/>
      </c>
      <c r="K22" s="7" t="str">
        <f aca="false">IF($T22="","",IFERROR(INDEX(Projections!$H$2:$H$31,MATCH(INDEX(Calc!$A$2:$A$31,$T22)&amp;"|K1",Projections!$AA$2:$AA$31,0)),""))</f>
        <v/>
      </c>
      <c r="L22" s="8" t="str">
        <f aca="false">IF($T22="","",INDEX(Calc!$AK$2:$AK$31,$T22))</f>
        <v/>
      </c>
      <c r="M22" s="0" t="str">
        <f aca="false">IF($T22="","",IFERROR(INDEX(Projections!$E$2:$E$31,MATCH(INDEX(Calc!$A$2:$A$31,$T22)&amp;"|"&amp;INDEX(Calc!$AJ$2:$AJ$31,$T22),Projections!$AA$2:$AA$31,0)),""))</f>
        <v/>
      </c>
      <c r="N22" s="7" t="str">
        <f aca="false">IF($T22="","",IFERROR(INDEX(Projections!$H$2:$H$31,MATCH(INDEX(Calc!$A$2:$A$31,$T22)&amp;"|"&amp;INDEX(Calc!$AJ$2:$AJ$31,$T22),Projections!$AA$2:$AA$31,0)),""))</f>
        <v/>
      </c>
      <c r="O22" s="0" t="str">
        <f aca="false">IF($T22="","",IFERROR(INDEX(Projections!$N$2:$N$31,MATCH(INDEX(Calc!$A$2:$A$31,$T22)&amp;"|K1",Projections!$AA$2:$AA$31,0)),IFERROR(INDEX(Projections!$N$2:$N$31,MATCH(INDEX(Calc!$A$2:$A$31,$T22)&amp;"|"&amp;INDEX(Calc!$AJ$2:$AJ$31,$T22),Projections!$AA$2:$AA$31,0)),"")))</f>
        <v/>
      </c>
      <c r="P22" s="7" t="str">
        <f aca="false">IF($T22="","",IFERROR(INDEX(Projections!$S$2:$S$31,MATCH(INDEX(Calc!$A$2:$A$31,$T22)&amp;"|K1",Projections!$AA$2:$AA$31,0)),IFERROR(INDEX(Projections!$S$2:$S$31,MATCH(INDEX(Calc!$A$2:$A$31,$T22)&amp;"|"&amp;INDEX(Calc!$AJ$2:$AJ$31,$T22),Projections!$AA$2:$AA$31,0)),"")))</f>
        <v/>
      </c>
      <c r="Q22" s="0" t="str">
        <f aca="false">IF($T22="","",INDEX(Calc!$G$2:$G$31,$T22))</f>
        <v/>
      </c>
      <c r="R22" s="0" t="str">
        <f aca="false">IF($T22="","",INDEX(Calc!$AH$2:$AH$31,$T22))</f>
        <v/>
      </c>
      <c r="T22" s="0" t="str">
        <f aca="false">IFERROR(MATCH(11,Calc!$AI$2:$AI$31,0),"")</f>
        <v/>
      </c>
    </row>
    <row r="23" customFormat="false" ht="15" hidden="false" customHeight="false" outlineLevel="0" collapsed="false">
      <c r="A23" s="0" t="str">
        <f aca="false">IF($T23="","",INDEX(Calc!$C$2:$C$31,$T23))</f>
        <v/>
      </c>
      <c r="B23" s="0" t="str">
        <f aca="false">IF($T23="","",INDEX(Calc!$D$2:$D$31,$T23))</f>
        <v/>
      </c>
      <c r="C23" s="7" t="str">
        <f aca="false">IF($T23="","",INDEX(Calc!$H$2:$H$31,$T23))</f>
        <v/>
      </c>
      <c r="D23" s="8" t="str">
        <f aca="false">IF($T23="","",INDEX(Calc!$I$2:$I$31,$T23))</f>
        <v/>
      </c>
      <c r="E23" s="8" t="str">
        <f aca="false">IF($T23="","",INDEX(Calc!$J$2:$J$31,$T23))</f>
        <v/>
      </c>
      <c r="F23" s="8" t="str">
        <f aca="false">IF($T23="","",INDEX(Calc!$K$2:$K$31,$T23))</f>
        <v/>
      </c>
      <c r="G23" s="7" t="str">
        <f aca="false">IF($T23="","",INDEX(Calc!$M$2:$M$31,$T23))</f>
        <v/>
      </c>
      <c r="H23" s="8" t="str">
        <f aca="false">IF($T23="","",INDEX(Calc!$Y$2:$Y$31,$T23))</f>
        <v/>
      </c>
      <c r="I23" s="8" t="str">
        <f aca="false">IF($T23="","",INDEX(Calc!$AE$2:$AE$31,$T23))</f>
        <v/>
      </c>
      <c r="J23" s="0" t="str">
        <f aca="false">IF($T23="","",IFERROR(INDEX(Projections!$E$2:$E$31,MATCH(INDEX(Calc!$A$2:$A$31,$T23)&amp;"|K1",Projections!$AA$2:$AA$31,0)),""))</f>
        <v/>
      </c>
      <c r="K23" s="7" t="str">
        <f aca="false">IF($T23="","",IFERROR(INDEX(Projections!$H$2:$H$31,MATCH(INDEX(Calc!$A$2:$A$31,$T23)&amp;"|K1",Projections!$AA$2:$AA$31,0)),""))</f>
        <v/>
      </c>
      <c r="L23" s="8" t="str">
        <f aca="false">IF($T23="","",INDEX(Calc!$AK$2:$AK$31,$T23))</f>
        <v/>
      </c>
      <c r="M23" s="0" t="str">
        <f aca="false">IF($T23="","",IFERROR(INDEX(Projections!$E$2:$E$31,MATCH(INDEX(Calc!$A$2:$A$31,$T23)&amp;"|"&amp;INDEX(Calc!$AJ$2:$AJ$31,$T23),Projections!$AA$2:$AA$31,0)),""))</f>
        <v/>
      </c>
      <c r="N23" s="7" t="str">
        <f aca="false">IF($T23="","",IFERROR(INDEX(Projections!$H$2:$H$31,MATCH(INDEX(Calc!$A$2:$A$31,$T23)&amp;"|"&amp;INDEX(Calc!$AJ$2:$AJ$31,$T23),Projections!$AA$2:$AA$31,0)),""))</f>
        <v/>
      </c>
      <c r="O23" s="0" t="str">
        <f aca="false">IF($T23="","",IFERROR(INDEX(Projections!$N$2:$N$31,MATCH(INDEX(Calc!$A$2:$A$31,$T23)&amp;"|K1",Projections!$AA$2:$AA$31,0)),IFERROR(INDEX(Projections!$N$2:$N$31,MATCH(INDEX(Calc!$A$2:$A$31,$T23)&amp;"|"&amp;INDEX(Calc!$AJ$2:$AJ$31,$T23),Projections!$AA$2:$AA$31,0)),"")))</f>
        <v/>
      </c>
      <c r="P23" s="7" t="str">
        <f aca="false">IF($T23="","",IFERROR(INDEX(Projections!$S$2:$S$31,MATCH(INDEX(Calc!$A$2:$A$31,$T23)&amp;"|K1",Projections!$AA$2:$AA$31,0)),IFERROR(INDEX(Projections!$S$2:$S$31,MATCH(INDEX(Calc!$A$2:$A$31,$T23)&amp;"|"&amp;INDEX(Calc!$AJ$2:$AJ$31,$T23),Projections!$AA$2:$AA$31,0)),"")))</f>
        <v/>
      </c>
      <c r="Q23" s="0" t="str">
        <f aca="false">IF($T23="","",INDEX(Calc!$G$2:$G$31,$T23))</f>
        <v/>
      </c>
      <c r="R23" s="0" t="str">
        <f aca="false">IF($T23="","",INDEX(Calc!$AH$2:$AH$31,$T23))</f>
        <v/>
      </c>
      <c r="T23" s="0" t="str">
        <f aca="false">IFERROR(MATCH(12,Calc!$AI$2:$AI$31,0),"")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0.541114058355438</v>
      </c>
      <c r="H5" s="8" t="n">
        <v>57.9111039794609</v>
      </c>
      <c r="I5" s="8"/>
      <c r="J5" s="8" t="n">
        <v>29.5555555555556</v>
      </c>
      <c r="K5" s="8" t="n">
        <v>44.3692562766461</v>
      </c>
      <c r="L5" s="0" t="n">
        <v>327</v>
      </c>
      <c r="M5" s="10" t="n">
        <v>0.528</v>
      </c>
      <c r="N5" s="10" t="n">
        <v>0.528</v>
      </c>
      <c r="O5" s="10" t="n">
        <v>0.5411</v>
      </c>
      <c r="P5" s="10" t="n">
        <v>1</v>
      </c>
      <c r="Q5" s="10" t="n">
        <v>0.4966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0.409326424870466</v>
      </c>
      <c r="H6" s="8" t="n">
        <v>53.8888888888889</v>
      </c>
      <c r="I6" s="8" t="n">
        <v>27</v>
      </c>
      <c r="J6" s="8" t="n">
        <v>28.658258864226</v>
      </c>
      <c r="K6" s="8" t="n">
        <v>44.9090909090909</v>
      </c>
      <c r="L6" s="0" t="n">
        <v>313</v>
      </c>
      <c r="M6" s="10" t="n">
        <v>0.4392</v>
      </c>
      <c r="N6" s="10" t="n">
        <v>0.4392</v>
      </c>
      <c r="O6" s="10" t="n">
        <v>0.4093</v>
      </c>
      <c r="P6" s="10" t="n">
        <v>1</v>
      </c>
      <c r="Q6" s="10" t="n">
        <v>0.491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87</v>
      </c>
      <c r="C7" s="0" t="s">
        <v>88</v>
      </c>
      <c r="D7" s="0" t="n">
        <v>3</v>
      </c>
      <c r="E7" s="0" t="s">
        <v>89</v>
      </c>
      <c r="F7" s="0" t="s">
        <v>90</v>
      </c>
      <c r="G7" s="7" t="n">
        <v>0.769230769230769</v>
      </c>
      <c r="H7" s="8" t="n">
        <v>25.5</v>
      </c>
      <c r="I7" s="8" t="n">
        <v>15.6413246781824</v>
      </c>
      <c r="J7" s="8" t="n">
        <v>10.1566570188133</v>
      </c>
      <c r="K7" s="8" t="n">
        <v>32.7905052264808</v>
      </c>
      <c r="L7" s="0" t="n">
        <v>387</v>
      </c>
      <c r="M7" s="10" t="n">
        <v>0.7014</v>
      </c>
      <c r="N7" s="10" t="n">
        <v>0.7014</v>
      </c>
      <c r="O7" s="10" t="n">
        <v>0.6824</v>
      </c>
      <c r="P7" s="10" t="n">
        <v>1</v>
      </c>
      <c r="Q7" s="10" t="n">
        <v>0.4113</v>
      </c>
      <c r="R7" s="11" t="n">
        <v>1</v>
      </c>
      <c r="S7" s="6" t="s">
        <v>91</v>
      </c>
      <c r="T7" s="6" t="s">
        <v>92</v>
      </c>
    </row>
    <row r="8" customFormat="false" ht="15" hidden="false" customHeight="false" outlineLevel="0" collapsed="false">
      <c r="A8" s="0" t="s">
        <v>93</v>
      </c>
      <c r="B8" s="0" t="s">
        <v>87</v>
      </c>
      <c r="C8" s="0" t="s">
        <v>94</v>
      </c>
      <c r="D8" s="0" t="n">
        <v>3</v>
      </c>
      <c r="E8" s="0" t="s">
        <v>95</v>
      </c>
      <c r="F8" s="0" t="s">
        <v>96</v>
      </c>
      <c r="G8" s="7" t="n">
        <v>0.769230769230769</v>
      </c>
      <c r="H8" s="8" t="n">
        <v>27</v>
      </c>
      <c r="I8" s="8" t="n">
        <v>17</v>
      </c>
      <c r="J8" s="8" t="n">
        <v>10.1566570188133</v>
      </c>
      <c r="K8" s="8" t="n">
        <v>31.5</v>
      </c>
      <c r="L8" s="0" t="n">
        <v>389</v>
      </c>
      <c r="M8" s="10" t="n">
        <v>0.7014</v>
      </c>
      <c r="N8" s="10" t="n">
        <v>0.7014</v>
      </c>
      <c r="O8" s="10" t="n">
        <v>0.6699</v>
      </c>
      <c r="P8" s="10" t="n">
        <v>1</v>
      </c>
      <c r="Q8" s="10" t="n">
        <v>0.4091</v>
      </c>
      <c r="R8" s="11" t="n">
        <v>1</v>
      </c>
      <c r="S8" s="6" t="s">
        <v>97</v>
      </c>
      <c r="T8" s="6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99</v>
      </c>
      <c r="E1" s="9" t="s">
        <v>100</v>
      </c>
      <c r="F1" s="9" t="s">
        <v>101</v>
      </c>
      <c r="G1" s="9" t="s">
        <v>102</v>
      </c>
      <c r="H1" s="9" t="s">
        <v>103</v>
      </c>
      <c r="I1" s="9" t="s">
        <v>104</v>
      </c>
      <c r="J1" s="9" t="s">
        <v>105</v>
      </c>
      <c r="K1" s="9" t="s">
        <v>106</v>
      </c>
      <c r="L1" s="9" t="s">
        <v>107</v>
      </c>
      <c r="M1" s="9" t="s">
        <v>108</v>
      </c>
      <c r="N1" s="9" t="s">
        <v>109</v>
      </c>
      <c r="O1" s="9" t="s">
        <v>110</v>
      </c>
      <c r="P1" s="9" t="s">
        <v>46</v>
      </c>
      <c r="Q1" s="9" t="s">
        <v>111</v>
      </c>
      <c r="R1" s="9" t="s">
        <v>112</v>
      </c>
      <c r="S1" s="9" t="s">
        <v>55</v>
      </c>
      <c r="T1" s="9" t="s">
        <v>113</v>
      </c>
      <c r="U1" s="9" t="s">
        <v>114</v>
      </c>
      <c r="V1" s="9" t="s">
        <v>115</v>
      </c>
      <c r="W1" s="9" t="s">
        <v>116</v>
      </c>
      <c r="X1" s="9" t="s">
        <v>57</v>
      </c>
      <c r="Y1" s="9" t="s">
        <v>117</v>
      </c>
      <c r="Z1" s="9" t="s">
        <v>118</v>
      </c>
      <c r="AA1" s="9" t="s">
        <v>119</v>
      </c>
    </row>
    <row r="2" customFormat="false" ht="15" hidden="false" customHeight="false" outlineLevel="0" collapsed="false">
      <c r="A2" s="0" t="s">
        <v>80</v>
      </c>
      <c r="B2" s="0" t="s">
        <v>120</v>
      </c>
      <c r="C2" s="0" t="s">
        <v>85</v>
      </c>
      <c r="D2" s="0" t="s">
        <v>121</v>
      </c>
      <c r="E2" s="0" t="n">
        <v>7</v>
      </c>
      <c r="F2" s="8" t="n">
        <f aca="false">IFERROR(INDEX(CHOOSE(MATCH($Z2,{"K1","K12","K13"},0),Calc!$Y$2:$Y$31,Calc!$AA$2:$AA$31,Calc!$AC$2:$AC$31),MATCH($Y2,Calc!$A$2:$A$31,0)),"")</f>
        <v>7.00582752293578</v>
      </c>
      <c r="G2" s="8" t="n">
        <f aca="false">IFERROR(SQRT(INDEX(CHOOSE(MATCH($Z2,{"K1","K12","K13"},0),Calc!$Z$2:$Z$31,Calc!$AB$2:$AB$31,Calc!$AD$2:$AD$31),MATCH($Y2,Calc!$A$2:$A$31,0))),"")</f>
        <v>3.82607142571954</v>
      </c>
      <c r="H2" s="7" t="n">
        <f aca="false">IF(OR($E2="",$F2="",N($G2)&lt;=0),"",1-NORMDIST(FLOOR($E2,1)+0.5,$F2,$G2,TRUE()))</f>
        <v>0.448615823929647</v>
      </c>
      <c r="I2" s="7" t="n">
        <f aca="false">IF($H2="","",NORMDIST(CEILING($E2,1)-0.5,$F2,$G2,TRUE()))</f>
        <v>0.447410892310735</v>
      </c>
      <c r="J2" s="7" t="n">
        <f aca="false">IF($H2="","",MAX(0,1-$H2-$I2))</f>
        <v>0.103973283759618</v>
      </c>
      <c r="K2" s="0" t="str">
        <f aca="false">IF($H2="","",IF($H2&gt;=0.5+Config!$B$8,"OVER",IF($I2&gt;=0.5+Config!$B$8,"UNDER","—")))</f>
        <v>—</v>
      </c>
      <c r="L2" s="8" t="n">
        <f aca="false">IFERROR(INDEX(CHOOSE(MATCH($Z2,{"K1","K12","K13"},0),Calc!$AE$2:$AE$31,Calc!$AF$2:$AF$31,Calc!$AG$2:$AG$31),MATCH($Y2,Calc!$A$2:$A$31,0)),"")</f>
        <v>6.4</v>
      </c>
      <c r="M2" s="7" t="n">
        <f aca="false">IF(OR($E2="",$L2="",N($G2)&lt;=0),"",1-NORMDIST(FLOOR($E2,1)+0.5,$L2,$G2*SQRT($L2/$F2),TRUE()))</f>
        <v>0.381783104473108</v>
      </c>
      <c r="N2" s="0" t="n">
        <v>5.09</v>
      </c>
      <c r="O2" s="7" t="n">
        <f aca="false">IFERROR(INDEX(Calc!$H$2:$H$31,MATCH($Y2,Calc!$A$2:$A$31,0)),"")</f>
        <v>0.4</v>
      </c>
      <c r="P2" s="7" t="n">
        <f aca="false">IFERROR(INDEX(Calc!$M$2:$M$31,MATCH($Y2,Calc!$A$2:$A$31,0)),"")</f>
        <v>0.5608</v>
      </c>
      <c r="Q2" s="0" t="n">
        <v>6.8</v>
      </c>
      <c r="R2" s="7" t="n">
        <v>0.6</v>
      </c>
      <c r="S2" s="7" t="n">
        <v>0.6</v>
      </c>
      <c r="T2" s="7" t="n">
        <v>0.53</v>
      </c>
      <c r="U2" s="6" t="s">
        <v>122</v>
      </c>
      <c r="V2" s="0" t="n">
        <v>2</v>
      </c>
      <c r="W2" s="0" t="n">
        <v>1</v>
      </c>
      <c r="X2" s="0" t="str">
        <f aca="false">IFERROR(INDEX(Calc!$AH$2:$AH$31,MATCH($Y2,Calc!$A$2:$A$31,0)),"")</f>
        <v>new roster: 0% of his recent games with these teammates</v>
      </c>
      <c r="Y2" s="6" t="s">
        <v>123</v>
      </c>
      <c r="Z2" s="6" t="s">
        <v>124</v>
      </c>
      <c r="AA2" s="0" t="str">
        <f aca="false">Y2&amp;"|"&amp;Z2</f>
        <v>6fh3v4zhup45apx|DOTA · OG vs Liquid|K12</v>
      </c>
    </row>
    <row r="3" customFormat="false" ht="15" hidden="false" customHeight="false" outlineLevel="0" collapsed="false">
      <c r="A3" s="0" t="s">
        <v>80</v>
      </c>
      <c r="B3" s="0" t="s">
        <v>125</v>
      </c>
      <c r="C3" s="0" t="s">
        <v>85</v>
      </c>
      <c r="D3" s="0" t="s">
        <v>121</v>
      </c>
      <c r="E3" s="0" t="n">
        <v>15</v>
      </c>
      <c r="F3" s="8" t="n">
        <f aca="false">IFERROR(INDEX(CHOOSE(MATCH($Z3,{"K1","K12","K13"},0),Calc!$Y$2:$Y$31,Calc!$AA$2:$AA$31,Calc!$AC$2:$AC$31),MATCH($Y3,Calc!$A$2:$A$31,0)),"")</f>
        <v>13.2326677256318</v>
      </c>
      <c r="G3" s="8" t="n">
        <f aca="false">IFERROR(SQRT(INDEX(CHOOSE(MATCH($Z3,{"K1","K12","K13"},0),Calc!$Z$2:$Z$31,Calc!$AB$2:$AB$31,Calc!$AD$2:$AD$31),MATCH($Y3,Calc!$A$2:$A$31,0))),"")</f>
        <v>5.53033693949252</v>
      </c>
      <c r="H3" s="7" t="n">
        <f aca="false">IF(OR($E3="",$F3="",N($G3)&lt;=0),"",1-NORMDIST(FLOOR($E3,1)+0.5,$F3,$G3,TRUE()))</f>
        <v>0.340909995338917</v>
      </c>
      <c r="I3" s="7" t="n">
        <f aca="false">IF($H3="","",NORMDIST(CEILING($E3,1)-0.5,$F3,$G3,TRUE()))</f>
        <v>0.59062773800185</v>
      </c>
      <c r="J3" s="7" t="n">
        <f aca="false">IF($H3="","",MAX(0,1-$H3-$I3))</f>
        <v>0.0684622666592333</v>
      </c>
      <c r="K3" s="0" t="str">
        <f aca="false">IF($H3="","",IF($H3&gt;=0.5+Config!$B$8,"OVER",IF($I3&gt;=0.5+Config!$B$8,"UNDER","—")))</f>
        <v>UNDER</v>
      </c>
      <c r="L3" s="8" t="n">
        <f aca="false">IFERROR(INDEX(CHOOSE(MATCH($Z3,{"K1","K12","K13"},0),Calc!$AE$2:$AE$31,Calc!$AF$2:$AF$31,Calc!$AG$2:$AG$31),MATCH($Y3,Calc!$A$2:$A$31,0)),"")</f>
        <v>12.8</v>
      </c>
      <c r="M3" s="7" t="n">
        <f aca="false">IF(OR($E3="",$L3="",N($G3)&lt;=0),"",1-NORMDIST(FLOOR($E3,1)+0.5,$L3,$G3*SQRT($L3/$F3),TRUE()))</f>
        <v>0.309806467927822</v>
      </c>
      <c r="N3" s="0" t="n">
        <v>13.32</v>
      </c>
      <c r="O3" s="7" t="n">
        <f aca="false">IFERROR(INDEX(Calc!$H$2:$H$31,MATCH($Y3,Calc!$A$2:$A$31,0)),"")</f>
        <v>0.5</v>
      </c>
      <c r="P3" s="7" t="n">
        <f aca="false">IFERROR(INDEX(Calc!$M$2:$M$31,MATCH($Y3,Calc!$A$2:$A$31,0)),"")</f>
        <v>0.5608</v>
      </c>
      <c r="Q3" s="0" t="n">
        <v>13</v>
      </c>
      <c r="R3" s="7" t="n">
        <v>0.6</v>
      </c>
      <c r="S3" s="7" t="n">
        <v>0.5</v>
      </c>
      <c r="T3" s="7" t="n">
        <v>0.6</v>
      </c>
      <c r="U3" s="6" t="s">
        <v>126</v>
      </c>
      <c r="V3" s="0" t="n">
        <v>1</v>
      </c>
      <c r="W3" s="0" t="n">
        <v>2</v>
      </c>
      <c r="X3" s="0" t="str">
        <f aca="false">IFERROR(INDEX(Calc!$AH$2:$AH$31,MATCH($Y3,Calc!$A$2:$A$31,0)),"")</f>
        <v>new roster: 0% of his recent games with these teammates</v>
      </c>
      <c r="Y3" s="6" t="s">
        <v>127</v>
      </c>
      <c r="Z3" s="6" t="s">
        <v>124</v>
      </c>
      <c r="AA3" s="0" t="str">
        <f aca="false">Y3&amp;"|"&amp;Z3</f>
        <v>okwa876y1o8h4ow|DOTA · OG vs Liquid|K12</v>
      </c>
    </row>
    <row r="4" customFormat="false" ht="15" hidden="false" customHeight="false" outlineLevel="0" collapsed="false">
      <c r="A4" s="0" t="s">
        <v>80</v>
      </c>
      <c r="B4" s="0" t="s">
        <v>128</v>
      </c>
      <c r="C4" s="0" t="s">
        <v>85</v>
      </c>
      <c r="D4" s="0" t="s">
        <v>121</v>
      </c>
      <c r="E4" s="0" t="n">
        <v>18</v>
      </c>
      <c r="F4" s="8" t="n">
        <f aca="false">IFERROR(INDEX(CHOOSE(MATCH($Z4,{"K1","K12","K13"},0),Calc!$Y$2:$Y$31,Calc!$AA$2:$AA$31,Calc!$AC$2:$AC$31),MATCH($Y4,Calc!$A$2:$A$31,0)),"")</f>
        <v>17.4521959027829</v>
      </c>
      <c r="G4" s="8" t="n">
        <f aca="false">IFERROR(SQRT(INDEX(CHOOSE(MATCH($Z4,{"K1","K12","K13"},0),Calc!$Z$2:$Z$31,Calc!$AB$2:$AB$31,Calc!$AD$2:$AD$31),MATCH($Y4,Calc!$A$2:$A$31,0))),"")</f>
        <v>6.55438683474935</v>
      </c>
      <c r="H4" s="7" t="n">
        <f aca="false">IF(OR($E4="",$F4="",N($G4)&lt;=0),"",1-NORMDIST(FLOOR($E4,1)+0.5,$F4,$G4,TRUE()))</f>
        <v>0.436494488371641</v>
      </c>
      <c r="I4" s="7" t="n">
        <f aca="false">IF($H4="","",NORMDIST(CEILING($E4,1)-0.5,$F4,$G4,TRUE()))</f>
        <v>0.502909640056249</v>
      </c>
      <c r="J4" s="7" t="n">
        <f aca="false">IF($H4="","",MAX(0,1-$H4-$I4))</f>
        <v>0.0605958715721101</v>
      </c>
      <c r="K4" s="0" t="str">
        <f aca="false">IF($H4="","",IF($H4&gt;=0.5+Config!$B$8,"OVER",IF($I4&gt;=0.5+Config!$B$8,"UNDER","—")))</f>
        <v>—</v>
      </c>
      <c r="L4" s="8" t="n">
        <f aca="false">IFERROR(INDEX(CHOOSE(MATCH($Z4,{"K1","K12","K13"},0),Calc!$AE$2:$AE$31,Calc!$AF$2:$AF$31,Calc!$AG$2:$AG$31),MATCH($Y4,Calc!$A$2:$A$31,0)),"")</f>
        <v>16.6</v>
      </c>
      <c r="M4" s="7" t="n">
        <f aca="false">IF(OR($E4="",$L4="",N($G4)&lt;=0),"",1-NORMDIST(FLOOR($E4,1)+0.5,$L4,$G4*SQRT($L4/$F4),TRUE()))</f>
        <v>0.383145489667887</v>
      </c>
      <c r="N4" s="0" t="n">
        <v>14.88</v>
      </c>
      <c r="O4" s="7" t="n">
        <f aca="false">IFERROR(INDEX(Calc!$H$2:$H$31,MATCH($Y4,Calc!$A$2:$A$31,0)),"")</f>
        <v>0.47</v>
      </c>
      <c r="P4" s="7" t="n">
        <f aca="false">IFERROR(INDEX(Calc!$M$2:$M$31,MATCH($Y4,Calc!$A$2:$A$31,0)),"")</f>
        <v>0.5608</v>
      </c>
      <c r="Q4" s="0" t="n">
        <v>17.7</v>
      </c>
      <c r="R4" s="7" t="n">
        <v>0.8</v>
      </c>
      <c r="S4" s="7" t="n">
        <v>0.5</v>
      </c>
      <c r="T4" s="7" t="n">
        <v>0.47</v>
      </c>
      <c r="U4" s="6" t="s">
        <v>129</v>
      </c>
      <c r="V4" s="0" t="n">
        <v>1</v>
      </c>
      <c r="W4" s="0" t="n">
        <v>1</v>
      </c>
      <c r="X4" s="0" t="str">
        <f aca="false">IFERROR(INDEX(Calc!$AH$2:$AH$31,MATCH($Y4,Calc!$A$2:$A$31,0)),"")</f>
        <v>new roster: 0% of his recent games with these teammates</v>
      </c>
      <c r="Y4" s="6" t="s">
        <v>130</v>
      </c>
      <c r="Z4" s="6" t="s">
        <v>124</v>
      </c>
      <c r="AA4" s="0" t="str">
        <f aca="false">Y4&amp;"|"&amp;Z4</f>
        <v>m59p9wlox0y2f5p|DOTA · OG vs Liquid|K12</v>
      </c>
    </row>
    <row r="5" customFormat="false" ht="15" hidden="false" customHeight="false" outlineLevel="0" collapsed="false">
      <c r="A5" s="0" t="s">
        <v>80</v>
      </c>
      <c r="B5" s="0" t="s">
        <v>131</v>
      </c>
      <c r="C5" s="0" t="s">
        <v>85</v>
      </c>
      <c r="D5" s="0" t="s">
        <v>121</v>
      </c>
      <c r="E5" s="0" t="n">
        <v>6</v>
      </c>
      <c r="F5" s="8" t="n">
        <f aca="false">IFERROR(INDEX(CHOOSE(MATCH($Z5,{"K1","K12","K13"},0),Calc!$Y$2:$Y$31,Calc!$AA$2:$AA$31,Calc!$AC$2:$AC$31),MATCH($Y5,Calc!$A$2:$A$31,0)),"")</f>
        <v>8.53835229357798</v>
      </c>
      <c r="G5" s="8" t="n">
        <f aca="false">IFERROR(SQRT(INDEX(CHOOSE(MATCH($Z5,{"K1","K12","K13"},0),Calc!$Z$2:$Z$31,Calc!$AB$2:$AB$31,Calc!$AD$2:$AD$31),MATCH($Y5,Calc!$A$2:$A$31,0))),"")</f>
        <v>4.27868100664561</v>
      </c>
      <c r="H5" s="7" t="n">
        <f aca="false">IF(OR($E5="",$F5="",N($G5)&lt;=0),"",1-NORMDIST(FLOOR($E5,1)+0.5,$F5,$G5,TRUE()))</f>
        <v>0.683104338921601</v>
      </c>
      <c r="I5" s="7" t="n">
        <f aca="false">IF($H5="","",NORMDIST(CEILING($E5,1)-0.5,$F5,$G5,TRUE()))</f>
        <v>0.238816649519153</v>
      </c>
      <c r="J5" s="7" t="n">
        <f aca="false">IF($H5="","",MAX(0,1-$H5-$I5))</f>
        <v>0.0780790115592462</v>
      </c>
      <c r="K5" s="0" t="str">
        <f aca="false">IF($H5="","",IF($H5&gt;=0.5+Config!$B$8,"OVER",IF($I5&gt;=0.5+Config!$B$8,"UNDER","—")))</f>
        <v>OVER</v>
      </c>
      <c r="L5" s="8" t="n">
        <f aca="false">IFERROR(INDEX(CHOOSE(MATCH($Z5,{"K1","K12","K13"},0),Calc!$AE$2:$AE$31,Calc!$AF$2:$AF$31,Calc!$AG$2:$AG$31),MATCH($Y5,Calc!$A$2:$A$31,0)),"")</f>
        <v>7.8</v>
      </c>
      <c r="M5" s="7" t="n">
        <f aca="false">IF(OR($E5="",$L5="",N($G5)&lt;=0),"",1-NORMDIST(FLOOR($E5,1)+0.5,$L5,$G5*SQRT($L5/$F5),TRUE()))</f>
        <v>0.624714786503994</v>
      </c>
      <c r="N5" s="0" t="n">
        <v>7.19</v>
      </c>
      <c r="O5" s="7" t="n">
        <f aca="false">IFERROR(INDEX(Calc!$H$2:$H$31,MATCH($Y5,Calc!$A$2:$A$31,0)),"")</f>
        <v>0.4</v>
      </c>
      <c r="P5" s="7" t="n">
        <f aca="false">IFERROR(INDEX(Calc!$M$2:$M$31,MATCH($Y5,Calc!$A$2:$A$31,0)),"")</f>
        <v>0.5608</v>
      </c>
      <c r="Q5" s="0" t="n">
        <v>7.7</v>
      </c>
      <c r="R5" s="7" t="n">
        <v>0.4</v>
      </c>
      <c r="S5" s="7" t="n">
        <v>0.6</v>
      </c>
      <c r="T5" s="7" t="n">
        <v>0.73</v>
      </c>
      <c r="U5" s="6" t="s">
        <v>132</v>
      </c>
      <c r="V5" s="0" t="n">
        <v>-2</v>
      </c>
      <c r="W5" s="0" t="n">
        <v>2</v>
      </c>
      <c r="X5" s="0" t="str">
        <f aca="false">IFERROR(INDEX(Calc!$AH$2:$AH$31,MATCH($Y5,Calc!$A$2:$A$31,0)),"")</f>
        <v>new roster: 0% of his recent games with these teammates</v>
      </c>
      <c r="Y5" s="6" t="s">
        <v>133</v>
      </c>
      <c r="Z5" s="6" t="s">
        <v>124</v>
      </c>
      <c r="AA5" s="0" t="str">
        <f aca="false">Y5&amp;"|"&amp;Z5</f>
        <v>27h10ey3h2ra0ol|DOTA · OG vs Liquid|K12</v>
      </c>
    </row>
    <row r="6" customFormat="false" ht="15" hidden="false" customHeight="false" outlineLevel="0" collapsed="false">
      <c r="A6" s="0" t="s">
        <v>80</v>
      </c>
      <c r="B6" s="0" t="s">
        <v>134</v>
      </c>
      <c r="C6" s="0" t="s">
        <v>85</v>
      </c>
      <c r="D6" s="0" t="s">
        <v>121</v>
      </c>
      <c r="E6" s="0" t="n">
        <v>12.5</v>
      </c>
      <c r="F6" s="8" t="n">
        <f aca="false">IFERROR(INDEX(CHOOSE(MATCH($Z6,{"K1","K12","K13"},0),Calc!$Y$2:$Y$31,Calc!$AA$2:$AA$31,Calc!$AC$2:$AC$31),MATCH($Y6,Calc!$A$2:$A$31,0)),"")</f>
        <v>13.2326677256318</v>
      </c>
      <c r="G6" s="8" t="n">
        <f aca="false">IFERROR(SQRT(INDEX(CHOOSE(MATCH($Z6,{"K1","K12","K13"},0),Calc!$Z$2:$Z$31,Calc!$AB$2:$AB$31,Calc!$AD$2:$AD$31),MATCH($Y6,Calc!$A$2:$A$31,0))),"")</f>
        <v>5.53033693949252</v>
      </c>
      <c r="H6" s="7" t="n">
        <f aca="false">IF(OR($E6="",$F6="",N($G6)&lt;=0),"",1-NORMDIST(FLOOR($E6,1)+0.5,$F6,$G6,TRUE()))</f>
        <v>0.552698300607253</v>
      </c>
      <c r="I6" s="7" t="n">
        <f aca="false">IF($H6="","",NORMDIST(CEILING($E6,1)-0.5,$F6,$G6,TRUE()))</f>
        <v>0.447301699392747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OVER</v>
      </c>
      <c r="L6" s="8" t="n">
        <f aca="false">IFERROR(INDEX(CHOOSE(MATCH($Z6,{"K1","K12","K13"},0),Calc!$AE$2:$AE$31,Calc!$AF$2:$AF$31,Calc!$AG$2:$AG$31),MATCH($Y6,Calc!$A$2:$A$31,0)),"")</f>
        <v>12.8</v>
      </c>
      <c r="M6" s="7" t="n">
        <f aca="false">IF(OR($E6="",$L6="",N($G6)&lt;=0),"",1-NORMDIST(FLOOR($E6,1)+0.5,$L6,$G6*SQRT($L6/$F6),TRUE()))</f>
        <v>0.52199268713677</v>
      </c>
      <c r="N6" s="0" t="n">
        <v>12.21</v>
      </c>
      <c r="O6" s="7" t="n">
        <f aca="false">IFERROR(INDEX(Calc!$H$2:$H$31,MATCH($Y6,Calc!$A$2:$A$31,0)),"")</f>
        <v>0.5</v>
      </c>
      <c r="P6" s="7" t="n">
        <f aca="false">IFERROR(INDEX(Calc!$M$2:$M$31,MATCH($Y6,Calc!$A$2:$A$31,0)),"")</f>
        <v>0.5608</v>
      </c>
      <c r="Q6" s="0" t="n">
        <v>11.4</v>
      </c>
      <c r="R6" s="7" t="n">
        <v>0.4</v>
      </c>
      <c r="S6" s="7" t="n">
        <v>0.4</v>
      </c>
      <c r="T6" s="7" t="n">
        <v>0.47</v>
      </c>
      <c r="U6" s="6" t="s">
        <v>135</v>
      </c>
      <c r="V6" s="0" t="n">
        <v>1</v>
      </c>
      <c r="X6" s="0" t="str">
        <f aca="false">IFERROR(INDEX(Calc!$AH$2:$AH$31,MATCH($Y6,Calc!$A$2:$A$31,0)),"")</f>
        <v>new roster: 0% of his recent games with these teammates</v>
      </c>
      <c r="Y6" s="6" t="s">
        <v>136</v>
      </c>
      <c r="Z6" s="6" t="s">
        <v>124</v>
      </c>
      <c r="AA6" s="0" t="str">
        <f aca="false">Y6&amp;"|"&amp;Z6</f>
        <v>yfzz8fis0ra5e8p|DOTA · OG vs Liquid|K12</v>
      </c>
    </row>
    <row r="7" customFormat="false" ht="15" hidden="false" customHeight="false" outlineLevel="0" collapsed="false">
      <c r="A7" s="0" t="s">
        <v>80</v>
      </c>
      <c r="B7" s="0" t="s">
        <v>137</v>
      </c>
      <c r="C7" s="0" t="s">
        <v>84</v>
      </c>
      <c r="D7" s="0" t="s">
        <v>121</v>
      </c>
      <c r="E7" s="0" t="n">
        <v>15</v>
      </c>
      <c r="F7" s="8" t="n">
        <f aca="false">IFERROR(INDEX(CHOOSE(MATCH($Z7,{"K1","K12","K13"},0),Calc!$Y$2:$Y$31,Calc!$AA$2:$AA$31,Calc!$AC$2:$AC$31),MATCH($Y7,Calc!$A$2:$A$31,0)),"")</f>
        <v>13.1147924153114</v>
      </c>
      <c r="G7" s="8" t="n">
        <f aca="false">IFERROR(SQRT(INDEX(CHOOSE(MATCH($Z7,{"K1","K12","K13"},0),Calc!$Z$2:$Z$31,Calc!$AB$2:$AB$31,Calc!$AD$2:$AD$31),MATCH($Y7,Calc!$A$2:$A$31,0))),"")</f>
        <v>5.58071370391278</v>
      </c>
      <c r="H7" s="7" t="n">
        <f aca="false">IF(OR($E7="",$F7="",N($G7)&lt;=0),"",1-NORMDIST(FLOOR($E7,1)+0.5,$F7,$G7,TRUE()))</f>
        <v>0.334543315517735</v>
      </c>
      <c r="I7" s="7" t="n">
        <f aca="false">IF($H7="","",NORMDIST(CEILING($E7,1)-0.5,$F7,$G7,TRUE()))</f>
        <v>0.598015327050279</v>
      </c>
      <c r="J7" s="7" t="n">
        <f aca="false">IF($H7="","",MAX(0,1-$H7-$I7))</f>
        <v>0.0674413574319863</v>
      </c>
      <c r="K7" s="0" t="str">
        <f aca="false">IF($H7="","",IF($H7&gt;=0.5+Config!$B$8,"OVER",IF($I7&gt;=0.5+Config!$B$8,"UNDER","—")))</f>
        <v>UNDER</v>
      </c>
      <c r="L7" s="8" t="n">
        <f aca="false">IFERROR(INDEX(CHOOSE(MATCH($Z7,{"K1","K12","K13"},0),Calc!$AE$2:$AE$31,Calc!$AF$2:$AF$31,Calc!$AG$2:$AG$31),MATCH($Y7,Calc!$A$2:$A$31,0)),"")</f>
        <v>13.8</v>
      </c>
      <c r="M7" s="7" t="n">
        <f aca="false">IF(OR($E7="",$L7="",N($G7)&lt;=0),"",1-NORMDIST(FLOOR($E7,1)+0.5,$L7,$G7*SQRT($L7/$F7),TRUE()))</f>
        <v>0.383247899814267</v>
      </c>
      <c r="O7" s="7" t="n">
        <f aca="false">IFERROR(INDEX(Calc!$H$2:$H$31,MATCH($Y7,Calc!$A$2:$A$31,0)),"")</f>
        <v>0.53</v>
      </c>
      <c r="P7" s="7" t="n">
        <f aca="false">IFERROR(INDEX(Calc!$M$2:$M$31,MATCH($Y7,Calc!$A$2:$A$31,0)),"")</f>
        <v>0.4392</v>
      </c>
      <c r="Q7" s="0" t="n">
        <v>12.1</v>
      </c>
      <c r="R7" s="7" t="n">
        <v>0.2</v>
      </c>
      <c r="S7" s="7" t="n">
        <v>0.2</v>
      </c>
      <c r="T7" s="7" t="n">
        <v>0.33</v>
      </c>
      <c r="U7" s="6" t="s">
        <v>138</v>
      </c>
      <c r="V7" s="0" t="n">
        <v>-4</v>
      </c>
      <c r="W7" s="0" t="n">
        <v>1</v>
      </c>
      <c r="X7" s="0" t="str">
        <f aca="false">IFERROR(INDEX(Calc!$AH$2:$AH$31,MATCH($Y7,Calc!$A$2:$A$31,0)),"")</f>
        <v>new roster: 0% of his recent games with these teammates</v>
      </c>
      <c r="Y7" s="6" t="s">
        <v>139</v>
      </c>
      <c r="Z7" s="6" t="s">
        <v>124</v>
      </c>
      <c r="AA7" s="0" t="str">
        <f aca="false">Y7&amp;"|"&amp;Z7</f>
        <v>5vihvu65ghkyan1|DOTA · OG vs Liquid|K12</v>
      </c>
    </row>
    <row r="8" customFormat="false" ht="15" hidden="false" customHeight="false" outlineLevel="0" collapsed="false">
      <c r="A8" s="0" t="s">
        <v>80</v>
      </c>
      <c r="B8" s="0" t="s">
        <v>140</v>
      </c>
      <c r="C8" s="0" t="s">
        <v>84</v>
      </c>
      <c r="D8" s="0" t="s">
        <v>121</v>
      </c>
      <c r="E8" s="0" t="n">
        <v>6</v>
      </c>
      <c r="F8" s="8" t="n">
        <f aca="false">IFERROR(INDEX(CHOOSE(MATCH($Z8,{"K1","K12","K13"},0),Calc!$Y$2:$Y$31,Calc!$AA$2:$AA$31,Calc!$AC$2:$AC$31),MATCH($Y8,Calc!$A$2:$A$31,0)),"")</f>
        <v>5.30880109439124</v>
      </c>
      <c r="G8" s="8" t="n">
        <f aca="false">IFERROR(SQRT(INDEX(CHOOSE(MATCH($Z8,{"K1","K12","K13"},0),Calc!$Z$2:$Z$31,Calc!$AB$2:$AB$31,Calc!$AD$2:$AD$31),MATCH($Y8,Calc!$A$2:$A$31,0))),"")</f>
        <v>3.30414296214771</v>
      </c>
      <c r="H8" s="7" t="n">
        <f aca="false">IF(OR($E8="",$F8="",N($G8)&lt;=0),"",1-NORMDIST(FLOOR($E8,1)+0.5,$F8,$G8,TRUE()))</f>
        <v>0.359230363813356</v>
      </c>
      <c r="I8" s="7" t="n">
        <f aca="false">IF($H8="","",NORMDIST(CEILING($E8,1)-0.5,$F8,$G8,TRUE()))</f>
        <v>0.523072482116147</v>
      </c>
      <c r="J8" s="7" t="n">
        <f aca="false">IF($H8="","",MAX(0,1-$H8-$I8))</f>
        <v>0.117697154070498</v>
      </c>
      <c r="K8" s="0" t="str">
        <f aca="false">IF($H8="","",IF($H8&gt;=0.5+Config!$B$8,"OVER",IF($I8&gt;=0.5+Config!$B$8,"UNDER","—")))</f>
        <v>—</v>
      </c>
      <c r="L8" s="8" t="n">
        <f aca="false">IFERROR(INDEX(CHOOSE(MATCH($Z8,{"K1","K12","K13"},0),Calc!$AE$2:$AE$31,Calc!$AF$2:$AF$31,Calc!$AG$2:$AG$31),MATCH($Y8,Calc!$A$2:$A$31,0)),"")</f>
        <v>5.8</v>
      </c>
      <c r="M8" s="7" t="n">
        <f aca="false">IF(OR($E8="",$L8="",N($G8)&lt;=0),"",1-NORMDIST(FLOOR($E8,1)+0.5,$L8,$G8*SQRT($L8/$F8),TRUE()))</f>
        <v>0.419690290077622</v>
      </c>
      <c r="N8" s="0" t="n">
        <v>6</v>
      </c>
      <c r="O8" s="7" t="n">
        <f aca="false">IFERROR(INDEX(Calc!$H$2:$H$31,MATCH($Y8,Calc!$A$2:$A$31,0)),"")</f>
        <v>0.6</v>
      </c>
      <c r="P8" s="7" t="n">
        <f aca="false">IFERROR(INDEX(Calc!$M$2:$M$31,MATCH($Y8,Calc!$A$2:$A$31,0)),"")</f>
        <v>0.4392</v>
      </c>
      <c r="Q8" s="0" t="n">
        <v>5.3</v>
      </c>
      <c r="R8" s="7" t="n">
        <v>0.2</v>
      </c>
      <c r="S8" s="7" t="n">
        <v>0.5</v>
      </c>
      <c r="T8" s="7" t="n">
        <v>0.47</v>
      </c>
      <c r="U8" s="6" t="s">
        <v>141</v>
      </c>
      <c r="V8" s="0" t="n">
        <v>-4</v>
      </c>
      <c r="W8" s="0" t="n">
        <v>2</v>
      </c>
      <c r="X8" s="0" t="str">
        <f aca="false">IFERROR(INDEX(Calc!$AH$2:$AH$31,MATCH($Y8,Calc!$A$2:$A$31,0)),"")</f>
        <v>new roster: 0% of his recent games with these teammates</v>
      </c>
      <c r="Y8" s="6" t="s">
        <v>142</v>
      </c>
      <c r="Z8" s="6" t="s">
        <v>124</v>
      </c>
      <c r="AA8" s="0" t="str">
        <f aca="false">Y8&amp;"|"&amp;Z8</f>
        <v>gf5trr3nqlr6rzi|DOTA · OG vs Liquid|K12</v>
      </c>
    </row>
    <row r="9" customFormat="false" ht="15" hidden="false" customHeight="false" outlineLevel="0" collapsed="false">
      <c r="A9" s="0" t="s">
        <v>80</v>
      </c>
      <c r="B9" s="0" t="s">
        <v>143</v>
      </c>
      <c r="C9" s="0" t="s">
        <v>84</v>
      </c>
      <c r="D9" s="0" t="s">
        <v>121</v>
      </c>
      <c r="E9" s="0" t="n">
        <v>5.5</v>
      </c>
      <c r="F9" s="8" t="n">
        <f aca="false">IFERROR(INDEX(CHOOSE(MATCH($Z9,{"K1","K12","K13"},0),Calc!$Y$2:$Y$31,Calc!$AA$2:$AA$31,Calc!$AC$2:$AC$31),MATCH($Y9,Calc!$A$2:$A$31,0)),"")</f>
        <v>5.85798741450068</v>
      </c>
      <c r="G9" s="8" t="n">
        <f aca="false">IFERROR(SQRT(INDEX(CHOOSE(MATCH($Z9,{"K1","K12","K13"},0),Calc!$Z$2:$Z$31,Calc!$AB$2:$AB$31,Calc!$AD$2:$AD$31),MATCH($Y9,Calc!$A$2:$A$31,0))),"")</f>
        <v>3.48968766956049</v>
      </c>
      <c r="H9" s="7" t="n">
        <f aca="false">IF(OR($E9="",$F9="",N($G9)&lt;=0),"",1-NORMDIST(FLOOR($E9,1)+0.5,$F9,$G9,TRUE()))</f>
        <v>0.540853576229315</v>
      </c>
      <c r="I9" s="7" t="n">
        <f aca="false">IF($H9="","",NORMDIST(CEILING($E9,1)-0.5,$F9,$G9,TRUE()))</f>
        <v>0.459146423770685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OVER</v>
      </c>
      <c r="L9" s="8" t="n">
        <f aca="false">IFERROR(INDEX(CHOOSE(MATCH($Z9,{"K1","K12","K13"},0),Calc!$AE$2:$AE$31,Calc!$AF$2:$AF$31,Calc!$AG$2:$AG$31),MATCH($Y9,Calc!$A$2:$A$31,0)),"")</f>
        <v>6.4</v>
      </c>
      <c r="M9" s="7" t="n">
        <f aca="false">IF(OR($E9="",$L9="",N($G9)&lt;=0),"",1-NORMDIST(FLOOR($E9,1)+0.5,$L9,$G9*SQRT($L9/$F9),TRUE()))</f>
        <v>0.597445412421076</v>
      </c>
      <c r="N9" s="0" t="n">
        <v>5.45</v>
      </c>
      <c r="O9" s="7" t="n">
        <f aca="false">IFERROR(INDEX(Calc!$H$2:$H$31,MATCH($Y9,Calc!$A$2:$A$31,0)),"")</f>
        <v>0.6</v>
      </c>
      <c r="P9" s="7" t="n">
        <f aca="false">IFERROR(INDEX(Calc!$M$2:$M$31,MATCH($Y9,Calc!$A$2:$A$31,0)),"")</f>
        <v>0.4392</v>
      </c>
      <c r="Q9" s="0" t="n">
        <v>5.7</v>
      </c>
      <c r="R9" s="7" t="n">
        <v>0.6</v>
      </c>
      <c r="S9" s="7" t="n">
        <v>0.6</v>
      </c>
      <c r="T9" s="7" t="n">
        <v>0.6</v>
      </c>
      <c r="U9" s="6" t="s">
        <v>144</v>
      </c>
      <c r="V9" s="0" t="n">
        <v>-1</v>
      </c>
      <c r="X9" s="0" t="str">
        <f aca="false">IFERROR(INDEX(Calc!$AH$2:$AH$31,MATCH($Y9,Calc!$A$2:$A$31,0)),"")</f>
        <v>new roster: 0% of his recent games with these teammates</v>
      </c>
      <c r="Y9" s="6" t="s">
        <v>145</v>
      </c>
      <c r="Z9" s="6" t="s">
        <v>124</v>
      </c>
      <c r="AA9" s="0" t="str">
        <f aca="false">Y9&amp;"|"&amp;Z9</f>
        <v>327bydu6uqe51dl|DOTA · OG vs Liquid|K12</v>
      </c>
    </row>
    <row r="10" customFormat="false" ht="15" hidden="false" customHeight="false" outlineLevel="0" collapsed="false">
      <c r="A10" s="0" t="s">
        <v>80</v>
      </c>
      <c r="B10" s="0" t="s">
        <v>146</v>
      </c>
      <c r="C10" s="0" t="s">
        <v>84</v>
      </c>
      <c r="D10" s="0" t="s">
        <v>121</v>
      </c>
      <c r="E10" s="0" t="n">
        <v>13.5</v>
      </c>
      <c r="F10" s="8" t="n">
        <f aca="false">IFERROR(INDEX(CHOOSE(MATCH($Z10,{"K1","K12","K13"},0),Calc!$Y$2:$Y$31,Calc!$AA$2:$AA$31,Calc!$AC$2:$AC$31),MATCH($Y10,Calc!$A$2:$A$31,0)),"")</f>
        <v>12.6312853625171</v>
      </c>
      <c r="G10" s="8" t="n">
        <f aca="false">IFERROR(SQRT(INDEX(CHOOSE(MATCH($Z10,{"K1","K12","K13"},0),Calc!$Z$2:$Z$31,Calc!$AB$2:$AB$31,Calc!$AD$2:$AD$31),MATCH($Y10,Calc!$A$2:$A$31,0))),"")</f>
        <v>5.45409323680484</v>
      </c>
      <c r="H10" s="7" t="n">
        <f aca="false">IF(OR($E10="",$F10="",N($G10)&lt;=0),"",1-NORMDIST(FLOOR($E10,1)+0.5,$F10,$G10,TRUE()))</f>
        <v>0.436725101615366</v>
      </c>
      <c r="I10" s="7" t="n">
        <f aca="false">IF($H10="","",NORMDIST(CEILING($E10,1)-0.5,$F10,$G10,TRUE()))</f>
        <v>0.563274898384634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UNDER</v>
      </c>
      <c r="L10" s="8" t="n">
        <f aca="false">IFERROR(INDEX(CHOOSE(MATCH($Z10,{"K1","K12","K13"},0),Calc!$AE$2:$AE$31,Calc!$AF$2:$AF$31,Calc!$AG$2:$AG$31),MATCH($Y10,Calc!$A$2:$A$31,0)),"")</f>
        <v>13.8</v>
      </c>
      <c r="M10" s="7" t="n">
        <f aca="false">IF(OR($E10="",$L10="",N($G10)&lt;=0),"",1-NORMDIST(FLOOR($E10,1)+0.5,$L10,$G10*SQRT($L10/$F10),TRUE()))</f>
        <v>0.520984208034403</v>
      </c>
      <c r="N10" s="0" t="n">
        <v>13.1</v>
      </c>
      <c r="O10" s="7" t="n">
        <f aca="false">IFERROR(INDEX(Calc!$H$2:$H$31,MATCH($Y10,Calc!$A$2:$A$31,0)),"")</f>
        <v>0.6</v>
      </c>
      <c r="P10" s="7" t="n">
        <f aca="false">IFERROR(INDEX(Calc!$M$2:$M$31,MATCH($Y10,Calc!$A$2:$A$31,0)),"")</f>
        <v>0.4392</v>
      </c>
      <c r="Q10" s="0" t="n">
        <v>13.4</v>
      </c>
      <c r="R10" s="7" t="n">
        <v>0.4</v>
      </c>
      <c r="S10" s="7" t="n">
        <v>0.5</v>
      </c>
      <c r="T10" s="7" t="n">
        <v>0.53</v>
      </c>
      <c r="U10" s="6" t="s">
        <v>147</v>
      </c>
      <c r="V10" s="0" t="n">
        <v>-3</v>
      </c>
      <c r="X10" s="0" t="str">
        <f aca="false">IFERROR(INDEX(Calc!$AH$2:$AH$31,MATCH($Y10,Calc!$A$2:$A$31,0)),"")</f>
        <v>new roster: 0% of his recent games with these teammates</v>
      </c>
      <c r="Y10" s="6" t="s">
        <v>148</v>
      </c>
      <c r="Z10" s="6" t="s">
        <v>124</v>
      </c>
      <c r="AA10" s="0" t="str">
        <f aca="false">Y10&amp;"|"&amp;Z10</f>
        <v>c9666oyxnrvurur|DOTA · OG vs Liquid|K12</v>
      </c>
    </row>
    <row r="11" customFormat="false" ht="15" hidden="false" customHeight="false" outlineLevel="0" collapsed="false">
      <c r="A11" s="0" t="s">
        <v>27</v>
      </c>
      <c r="B11" s="0" t="s">
        <v>149</v>
      </c>
      <c r="C11" s="0" t="s">
        <v>78</v>
      </c>
      <c r="D11" s="0" t="s">
        <v>121</v>
      </c>
      <c r="E11" s="0" t="n">
        <v>7</v>
      </c>
      <c r="F11" s="8" t="n">
        <f aca="false">IFERROR(INDEX(CHOOSE(MATCH($Z11,{"K1","K12","K13"},0),Calc!$Y$2:$Y$31,Calc!$AA$2:$AA$31,Calc!$AC$2:$AC$31),MATCH($Y11,Calc!$A$2:$A$31,0)),"")</f>
        <v>9.09313806979352</v>
      </c>
      <c r="G11" s="8" t="n">
        <f aca="false">IFERROR(SQRT(INDEX(CHOOSE(MATCH($Z11,{"K1","K12","K13"},0),Calc!$Z$2:$Z$31,Calc!$AB$2:$AB$31,Calc!$AD$2:$AD$31),MATCH($Y11,Calc!$A$2:$A$31,0))),"")</f>
        <v>4.45186451700325</v>
      </c>
      <c r="H11" s="7" t="n">
        <f aca="false">IF(OR($E11="",$F11="",N($G11)&lt;=0),"",1-NORMDIST(FLOOR($E11,1)+0.5,$F11,$G11,TRUE()))</f>
        <v>0.639775438529139</v>
      </c>
      <c r="I11" s="7" t="n">
        <f aca="false">IF($H11="","",NORMDIST(CEILING($E11,1)-0.5,$F11,$G11,TRUE()))</f>
        <v>0.280120492566569</v>
      </c>
      <c r="J11" s="7" t="n">
        <f aca="false">IF($H11="","",MAX(0,1-$H11-$I11))</f>
        <v>0.080104068904292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IFERROR(INDEX(CHOOSE(MATCH($Z11,{"K1","K12","K13"},0),Calc!$AE$2:$AE$31,Calc!$AF$2:$AF$31,Calc!$AG$2:$AG$31),MATCH($Y11,Calc!$A$2:$A$31,0)),"")</f>
        <v>9.8</v>
      </c>
      <c r="M11" s="7" t="n">
        <f aca="false">IF(OR($E11="",$L11="",N($G11)&lt;=0),"",1-NORMDIST(FLOOR($E11,1)+0.5,$L11,$G11*SQRT($L11/$F11),TRUE()))</f>
        <v>0.690636942039209</v>
      </c>
      <c r="N11" s="0" t="n">
        <v>6.98</v>
      </c>
      <c r="O11" s="7" t="n">
        <f aca="false">IFERROR(INDEX(Calc!$H$2:$H$31,MATCH($Y11,Calc!$A$2:$A$31,0)),"")</f>
        <v>0.67</v>
      </c>
      <c r="P11" s="7" t="n">
        <f aca="false">IFERROR(INDEX(Calc!$M$2:$M$31,MATCH($Y11,Calc!$A$2:$A$31,0)),"")</f>
        <v>0.528</v>
      </c>
      <c r="Q11" s="0" t="n">
        <v>10.1</v>
      </c>
      <c r="R11" s="7" t="n">
        <v>0.8</v>
      </c>
      <c r="S11" s="7" t="n">
        <v>0.8</v>
      </c>
      <c r="T11" s="7" t="n">
        <v>0.73</v>
      </c>
      <c r="U11" s="6" t="s">
        <v>150</v>
      </c>
      <c r="V11" s="0" t="n">
        <v>4</v>
      </c>
      <c r="W11" s="0" t="n">
        <v>1</v>
      </c>
      <c r="X11" s="0" t="str">
        <f aca="false">IFERROR(INDEX(Calc!$AH$2:$AH$31,MATCH($Y11,Calc!$A$2:$A$31,0)),"")</f>
        <v>new roster: 0% of his recent games with these teammates</v>
      </c>
      <c r="Y11" s="6" t="s">
        <v>151</v>
      </c>
      <c r="Z11" s="6" t="s">
        <v>124</v>
      </c>
      <c r="AA11" s="0" t="str">
        <f aca="false">Y11&amp;"|"&amp;Z11</f>
        <v>p48p2vywpenq4iz|DOTA · PARI vs TS|K12</v>
      </c>
    </row>
    <row r="12" customFormat="false" ht="15" hidden="false" customHeight="false" outlineLevel="0" collapsed="false">
      <c r="A12" s="0" t="s">
        <v>27</v>
      </c>
      <c r="B12" s="0" t="s">
        <v>152</v>
      </c>
      <c r="C12" s="0" t="s">
        <v>78</v>
      </c>
      <c r="D12" s="0" t="s">
        <v>121</v>
      </c>
      <c r="E12" s="0" t="n">
        <v>5.5</v>
      </c>
      <c r="F12" s="8" t="n">
        <f aca="false">IFERROR(INDEX(CHOOSE(MATCH($Z12,{"K1","K12","K13"},0),Calc!$Y$2:$Y$31,Calc!$AA$2:$AA$31,Calc!$AC$2:$AC$31),MATCH($Y12,Calc!$A$2:$A$31,0)),"")</f>
        <v>5.19607889702487</v>
      </c>
      <c r="G12" s="8" t="n">
        <f aca="false">IFERROR(SQRT(INDEX(CHOOSE(MATCH($Z12,{"K1","K12","K13"},0),Calc!$Z$2:$Z$31,Calc!$AB$2:$AB$31,Calc!$AD$2:$AD$31),MATCH($Y12,Calc!$A$2:$A$31,0))),"")</f>
        <v>3.25100314636186</v>
      </c>
      <c r="H12" s="7" t="n">
        <f aca="false">IF(OR($E12="",$F12="",N($G12)&lt;=0),"",1-NORMDIST(FLOOR($E12,1)+0.5,$F12,$G12,TRUE()))</f>
        <v>0.462759001686129</v>
      </c>
      <c r="I12" s="7" t="n">
        <f aca="false">IF($H12="","",NORMDIST(CEILING($E12,1)-0.5,$F12,$G12,TRUE()))</f>
        <v>0.537240998313871</v>
      </c>
      <c r="J12" s="7" t="n">
        <f aca="false">IF($H12="","",MAX(0,1-$H12-$I12))</f>
        <v>0</v>
      </c>
      <c r="K12" s="0" t="str">
        <f aca="false">IF($H12="","",IF($H12&gt;=0.5+Config!$B$8,"OVER",IF($I12&gt;=0.5+Config!$B$8,"UNDER","—")))</f>
        <v>—</v>
      </c>
      <c r="L12" s="8" t="n">
        <f aca="false">IFERROR(INDEX(CHOOSE(MATCH($Z12,{"K1","K12","K13"},0),Calc!$AE$2:$AE$31,Calc!$AF$2:$AF$31,Calc!$AG$2:$AG$31),MATCH($Y12,Calc!$A$2:$A$31,0)),"")</f>
        <v>5.6</v>
      </c>
      <c r="M12" s="7" t="n">
        <f aca="false">IF(OR($E12="",$L12="",N($G12)&lt;=0),"",1-NORMDIST(FLOOR($E12,1)+0.5,$L12,$G12*SQRT($L12/$F12),TRUE()))</f>
        <v>0.511818789262355</v>
      </c>
      <c r="O12" s="7" t="n">
        <f aca="false">IFERROR(INDEX(Calc!$H$2:$H$31,MATCH($Y12,Calc!$A$2:$A$31,0)),"")</f>
        <v>0.67</v>
      </c>
      <c r="P12" s="7" t="n">
        <f aca="false">IFERROR(INDEX(Calc!$M$2:$M$31,MATCH($Y12,Calc!$A$2:$A$31,0)),"")</f>
        <v>0.528</v>
      </c>
      <c r="Q12" s="0" t="n">
        <v>5.7</v>
      </c>
      <c r="R12" s="7" t="n">
        <v>0.4</v>
      </c>
      <c r="S12" s="7" t="n">
        <v>0.4</v>
      </c>
      <c r="T12" s="7" t="n">
        <v>0.47</v>
      </c>
      <c r="U12" s="6" t="s">
        <v>153</v>
      </c>
      <c r="V12" s="0" t="n">
        <v>1</v>
      </c>
      <c r="X12" s="0" t="str">
        <f aca="false">IFERROR(INDEX(Calc!$AH$2:$AH$31,MATCH($Y12,Calc!$A$2:$A$31,0)),"")</f>
        <v>new roster: 0% of his recent games with these teammates</v>
      </c>
      <c r="Y12" s="6" t="s">
        <v>154</v>
      </c>
      <c r="Z12" s="6" t="s">
        <v>124</v>
      </c>
      <c r="AA12" s="0" t="str">
        <f aca="false">Y12&amp;"|"&amp;Z12</f>
        <v>38c4z9ycctww8gl|DOTA · PARI vs TS|K12</v>
      </c>
    </row>
    <row r="13" customFormat="false" ht="15" hidden="false" customHeight="false" outlineLevel="0" collapsed="false">
      <c r="A13" s="0" t="s">
        <v>27</v>
      </c>
      <c r="B13" s="0" t="s">
        <v>155</v>
      </c>
      <c r="C13" s="0" t="s">
        <v>78</v>
      </c>
      <c r="D13" s="0" t="s">
        <v>121</v>
      </c>
      <c r="E13" s="0" t="n">
        <v>15</v>
      </c>
      <c r="F13" s="8" t="n">
        <f aca="false">IFERROR(INDEX(CHOOSE(MATCH($Z13,{"K1","K12","K13"},0),Calc!$Y$2:$Y$31,Calc!$AA$2:$AA$31,Calc!$AC$2:$AC$31),MATCH($Y13,Calc!$A$2:$A$31,0)),"")</f>
        <v>13.7324942278514</v>
      </c>
      <c r="G13" s="8" t="n">
        <f aca="false">IFERROR(SQRT(INDEX(CHOOSE(MATCH($Z13,{"K1","K12","K13"},0),Calc!$Z$2:$Z$31,Calc!$AB$2:$AB$31,Calc!$AD$2:$AD$31),MATCH($Y13,Calc!$A$2:$A$31,0))),"")</f>
        <v>5.68418958173293</v>
      </c>
      <c r="H13" s="7" t="n">
        <f aca="false">IF(OR($E13="",$F13="",N($G13)&lt;=0),"",1-NORMDIST(FLOOR($E13,1)+0.5,$F13,$G13,TRUE()))</f>
        <v>0.377918846822011</v>
      </c>
      <c r="I13" s="7" t="n">
        <f aca="false">IF($H13="","",NORMDIST(CEILING($E13,1)-0.5,$F13,$G13,TRUE()))</f>
        <v>0.553703811946021</v>
      </c>
      <c r="J13" s="7" t="n">
        <f aca="false">IF($H13="","",MAX(0,1-$H13-$I13))</f>
        <v>0.0683773412319682</v>
      </c>
      <c r="K13" s="0" t="str">
        <f aca="false">IF($H13="","",IF($H13&gt;=0.5+Config!$B$8,"OVER",IF($I13&gt;=0.5+Config!$B$8,"UNDER","—")))</f>
        <v>UNDER</v>
      </c>
      <c r="L13" s="8" t="n">
        <f aca="false">IFERROR(INDEX(CHOOSE(MATCH($Z13,{"K1","K12","K13"},0),Calc!$AE$2:$AE$31,Calc!$AF$2:$AF$31,Calc!$AG$2:$AG$31),MATCH($Y13,Calc!$A$2:$A$31,0)),"")</f>
        <v>14.8</v>
      </c>
      <c r="M13" s="7" t="n">
        <f aca="false">IF(OR($E13="",$L13="",N($G13)&lt;=0),"",1-NORMDIST(FLOOR($E13,1)+0.5,$L13,$G13*SQRT($L13/$F13),TRUE()))</f>
        <v>0.452786541183451</v>
      </c>
      <c r="O13" s="7" t="n">
        <f aca="false">IFERROR(INDEX(Calc!$H$2:$H$31,MATCH($Y13,Calc!$A$2:$A$31,0)),"")</f>
        <v>0.67</v>
      </c>
      <c r="P13" s="7" t="n">
        <f aca="false">IFERROR(INDEX(Calc!$M$2:$M$31,MATCH($Y13,Calc!$A$2:$A$31,0)),"")</f>
        <v>0.528</v>
      </c>
      <c r="Q13" s="0" t="n">
        <v>14.9</v>
      </c>
      <c r="R13" s="7" t="n">
        <v>0.4</v>
      </c>
      <c r="S13" s="7" t="n">
        <v>0.6</v>
      </c>
      <c r="T13" s="7" t="n">
        <v>0.6</v>
      </c>
      <c r="U13" s="6" t="s">
        <v>156</v>
      </c>
      <c r="V13" s="0" t="n">
        <v>1</v>
      </c>
      <c r="W13" s="0" t="n">
        <v>0</v>
      </c>
      <c r="X13" s="0" t="str">
        <f aca="false">IFERROR(INDEX(Calc!$AH$2:$AH$31,MATCH($Y13,Calc!$A$2:$A$31,0)),"")</f>
        <v>new roster: 0% of his recent games with these teammates</v>
      </c>
      <c r="Y13" s="6" t="s">
        <v>157</v>
      </c>
      <c r="Z13" s="6" t="s">
        <v>124</v>
      </c>
      <c r="AA13" s="0" t="str">
        <f aca="false">Y13&amp;"|"&amp;Z13</f>
        <v>te1ihvul0whu8k1|DOTA · PARI vs TS|K12</v>
      </c>
    </row>
    <row r="14" customFormat="false" ht="15" hidden="false" customHeight="false" outlineLevel="0" collapsed="false">
      <c r="A14" s="0" t="s">
        <v>27</v>
      </c>
      <c r="B14" s="0" t="s">
        <v>158</v>
      </c>
      <c r="C14" s="0" t="s">
        <v>78</v>
      </c>
      <c r="D14" s="0" t="s">
        <v>121</v>
      </c>
      <c r="E14" s="0" t="n">
        <v>19.5</v>
      </c>
      <c r="F14" s="8" t="n">
        <f aca="false">IFERROR(INDEX(CHOOSE(MATCH($Z14,{"K1","K12","K13"},0),Calc!$Y$2:$Y$31,Calc!$AA$2:$AA$31,Calc!$AC$2:$AC$31),MATCH($Y14,Calc!$A$2:$A$31,0)),"")</f>
        <v>20.0420186028102</v>
      </c>
      <c r="G14" s="8" t="n">
        <f aca="false">IFERROR(SQRT(INDEX(CHOOSE(MATCH($Z14,{"K1","K12","K13"},0),Calc!$Z$2:$Z$31,Calc!$AB$2:$AB$31,Calc!$AD$2:$AD$31),MATCH($Y14,Calc!$A$2:$A$31,0))),"")</f>
        <v>7.20259682555945</v>
      </c>
      <c r="H14" s="7" t="n">
        <f aca="false">IF(OR($E14="",$F14="",N($G14)&lt;=0),"",1-NORMDIST(FLOOR($E14,1)+0.5,$F14,$G14,TRUE()))</f>
        <v>0.529993379502179</v>
      </c>
      <c r="I14" s="7" t="n">
        <f aca="false">IF($H14="","",NORMDIST(CEILING($E14,1)-0.5,$F14,$G14,TRUE()))</f>
        <v>0.470006620497821</v>
      </c>
      <c r="J14" s="7" t="n">
        <f aca="false">IF($H14="","",MAX(0,1-$H14-$I14))</f>
        <v>0</v>
      </c>
      <c r="K14" s="0" t="str">
        <f aca="false">IF($H14="","",IF($H14&gt;=0.5+Config!$B$8,"OVER",IF($I14&gt;=0.5+Config!$B$8,"UNDER","—")))</f>
        <v>—</v>
      </c>
      <c r="L14" s="8" t="n">
        <f aca="false">IFERROR(INDEX(CHOOSE(MATCH($Z14,{"K1","K12","K13"},0),Calc!$AE$2:$AE$31,Calc!$AF$2:$AF$31,Calc!$AG$2:$AG$31),MATCH($Y14,Calc!$A$2:$A$31,0)),"")</f>
        <v>21.6</v>
      </c>
      <c r="M14" s="7" t="n">
        <f aca="false">IF(OR($E14="",$L14="",N($G14)&lt;=0),"",1-NORMDIST(FLOOR($E14,1)+0.5,$L14,$G14*SQRT($L14/$F14),TRUE()))</f>
        <v>0.610587178860002</v>
      </c>
      <c r="N14" s="0" t="n">
        <v>19.28</v>
      </c>
      <c r="O14" s="7" t="n">
        <f aca="false">IFERROR(INDEX(Calc!$H$2:$H$31,MATCH($Y14,Calc!$A$2:$A$31,0)),"")</f>
        <v>0.67</v>
      </c>
      <c r="P14" s="7" t="n">
        <f aca="false">IFERROR(INDEX(Calc!$M$2:$M$31,MATCH($Y14,Calc!$A$2:$A$31,0)),"")</f>
        <v>0.528</v>
      </c>
      <c r="Q14" s="0" t="n">
        <v>21.7</v>
      </c>
      <c r="R14" s="7" t="n">
        <v>0.6</v>
      </c>
      <c r="S14" s="7" t="n">
        <v>0.6</v>
      </c>
      <c r="T14" s="7" t="n">
        <v>0.6</v>
      </c>
      <c r="U14" s="6" t="s">
        <v>159</v>
      </c>
      <c r="V14" s="0" t="n">
        <v>1</v>
      </c>
      <c r="X14" s="0" t="str">
        <f aca="false">IFERROR(INDEX(Calc!$AH$2:$AH$31,MATCH($Y14,Calc!$A$2:$A$31,0)),"")</f>
        <v>new roster: 0% of his recent games with these teammates</v>
      </c>
      <c r="Y14" s="6" t="s">
        <v>160</v>
      </c>
      <c r="Z14" s="6" t="s">
        <v>124</v>
      </c>
      <c r="AA14" s="0" t="str">
        <f aca="false">Y14&amp;"|"&amp;Z14</f>
        <v>s178rxweg2uixdf|DOTA · PARI vs TS|K12</v>
      </c>
    </row>
    <row r="15" customFormat="false" ht="15" hidden="false" customHeight="false" outlineLevel="0" collapsed="false">
      <c r="A15" s="0" t="s">
        <v>27</v>
      </c>
      <c r="B15" s="0" t="s">
        <v>161</v>
      </c>
      <c r="C15" s="0" t="s">
        <v>79</v>
      </c>
      <c r="D15" s="0" t="s">
        <v>121</v>
      </c>
      <c r="E15" s="0" t="n">
        <v>13.5</v>
      </c>
      <c r="F15" s="8" t="n">
        <f aca="false">IFERROR(INDEX(CHOOSE(MATCH($Z15,{"K1","K12","K13"},0),Calc!$Y$2:$Y$31,Calc!$AA$2:$AA$31,Calc!$AC$2:$AC$31),MATCH($Y15,Calc!$A$2:$A$31,0)),"")</f>
        <v>14.5056575314794</v>
      </c>
      <c r="G15" s="8" t="n">
        <f aca="false">IFERROR(SQRT(INDEX(CHOOSE(MATCH($Z15,{"K1","K12","K13"},0),Calc!$Z$2:$Z$31,Calc!$AB$2:$AB$31,Calc!$AD$2:$AD$31),MATCH($Y15,Calc!$A$2:$A$31,0))),"")</f>
        <v>5.92054007381361</v>
      </c>
      <c r="H15" s="7" t="n">
        <f aca="false">IF(OR($E15="",$F15="",N($G15)&lt;=0),"",1-NORMDIST(FLOOR($E15,1)+0.5,$F15,$G15,TRUE()))</f>
        <v>0.567439521340165</v>
      </c>
      <c r="I15" s="7" t="n">
        <f aca="false">IF($H15="","",NORMDIST(CEILING($E15,1)-0.5,$F15,$G15,TRUE()))</f>
        <v>0.432560478659835</v>
      </c>
      <c r="J15" s="7" t="n">
        <f aca="false">IF($H15="","",MAX(0,1-$H15-$I15))</f>
        <v>0</v>
      </c>
      <c r="K15" s="0" t="str">
        <f aca="false">IF($H15="","",IF($H15&gt;=0.5+Config!$B$8,"OVER",IF($I15&gt;=0.5+Config!$B$8,"UNDER","—")))</f>
        <v>OVER</v>
      </c>
      <c r="L15" s="8" t="n">
        <f aca="false">IFERROR(INDEX(CHOOSE(MATCH($Z15,{"K1","K12","K13"},0),Calc!$AE$2:$AE$31,Calc!$AF$2:$AF$31,Calc!$AG$2:$AG$31),MATCH($Y15,Calc!$A$2:$A$31,0)),"")</f>
        <v>15.8</v>
      </c>
      <c r="M15" s="7" t="n">
        <f aca="false">IF(OR($E15="",$L15="",N($G15)&lt;=0),"",1-NORMDIST(FLOOR($E15,1)+0.5,$L15,$G15*SQRT($L15/$F15),TRUE()))</f>
        <v>0.645137696355772</v>
      </c>
      <c r="N15" s="0" t="n">
        <v>12.96</v>
      </c>
      <c r="O15" s="7" t="n">
        <f aca="false">IFERROR(INDEX(Calc!$H$2:$H$31,MATCH($Y15,Calc!$A$2:$A$31,0)),"")</f>
        <v>0.63</v>
      </c>
      <c r="P15" s="7" t="n">
        <f aca="false">IFERROR(INDEX(Calc!$M$2:$M$31,MATCH($Y15,Calc!$A$2:$A$31,0)),"")</f>
        <v>0.472</v>
      </c>
      <c r="Q15" s="0" t="n">
        <v>16.5</v>
      </c>
      <c r="R15" s="7" t="n">
        <v>0.8</v>
      </c>
      <c r="S15" s="7" t="n">
        <v>0.7</v>
      </c>
      <c r="T15" s="7" t="n">
        <v>0.73</v>
      </c>
      <c r="U15" s="6" t="s">
        <v>162</v>
      </c>
      <c r="V15" s="0" t="n">
        <v>-1</v>
      </c>
      <c r="X15" s="0" t="str">
        <f aca="false">IFERROR(INDEX(Calc!$AH$2:$AH$31,MATCH($Y15,Calc!$A$2:$A$31,0)),"")</f>
        <v>new roster: 0% of his recent games with these teammates</v>
      </c>
      <c r="Y15" s="6" t="s">
        <v>163</v>
      </c>
      <c r="Z15" s="6" t="s">
        <v>124</v>
      </c>
      <c r="AA15" s="0" t="str">
        <f aca="false">Y15&amp;"|"&amp;Z15</f>
        <v>3nhf9uupulsq9gw|DOTA · PARI vs TS|K12</v>
      </c>
    </row>
    <row r="16" customFormat="false" ht="15" hidden="false" customHeight="false" outlineLevel="0" collapsed="false">
      <c r="A16" s="0" t="s">
        <v>27</v>
      </c>
      <c r="B16" s="0" t="s">
        <v>164</v>
      </c>
      <c r="C16" s="0" t="s">
        <v>79</v>
      </c>
      <c r="D16" s="0" t="s">
        <v>121</v>
      </c>
      <c r="E16" s="0" t="n">
        <v>7</v>
      </c>
      <c r="F16" s="8" t="n">
        <f aca="false">IFERROR(INDEX(CHOOSE(MATCH($Z16,{"K1","K12","K13"},0),Calc!$Y$2:$Y$31,Calc!$AA$2:$AA$31,Calc!$AC$2:$AC$31),MATCH($Y16,Calc!$A$2:$A$31,0)),"")</f>
        <v>9.36441182411959</v>
      </c>
      <c r="G16" s="8" t="n">
        <f aca="false">IFERROR(SQRT(INDEX(CHOOSE(MATCH($Z16,{"K1","K12","K13"},0),Calc!$Z$2:$Z$31,Calc!$AB$2:$AB$31,Calc!$AD$2:$AD$31),MATCH($Y16,Calc!$A$2:$A$31,0))),"")</f>
        <v>4.55144223472548</v>
      </c>
      <c r="H16" s="7" t="n">
        <f aca="false">IF(OR($E16="",$F16="",N($G16)&lt;=0),"",1-NORMDIST(FLOOR($E16,1)+0.5,$F16,$G16,TRUE()))</f>
        <v>0.658961672758215</v>
      </c>
      <c r="I16" s="7" t="n">
        <f aca="false">IF($H16="","",NORMDIST(CEILING($E16,1)-0.5,$F16,$G16,TRUE()))</f>
        <v>0.264562729338979</v>
      </c>
      <c r="J16" s="7" t="n">
        <f aca="false">IF($H16="","",MAX(0,1-$H16-$I16))</f>
        <v>0.0764755979028056</v>
      </c>
      <c r="K16" s="0" t="str">
        <f aca="false">IF($H16="","",IF($H16&gt;=0.5+Config!$B$8,"OVER",IF($I16&gt;=0.5+Config!$B$8,"UNDER","—")))</f>
        <v>OVER</v>
      </c>
      <c r="L16" s="8" t="n">
        <f aca="false">IFERROR(INDEX(CHOOSE(MATCH($Z16,{"K1","K12","K13"},0),Calc!$AE$2:$AE$31,Calc!$AF$2:$AF$31,Calc!$AG$2:$AG$31),MATCH($Y16,Calc!$A$2:$A$31,0)),"")</f>
        <v>10.2</v>
      </c>
      <c r="M16" s="7" t="n">
        <f aca="false">IF(OR($E16="",$L16="",N($G16)&lt;=0),"",1-NORMDIST(FLOOR($E16,1)+0.5,$L16,$G16*SQRT($L16/$F16),TRUE()))</f>
        <v>0.715118671803716</v>
      </c>
      <c r="N16" s="0" t="n">
        <v>7.66</v>
      </c>
      <c r="O16" s="7" t="n">
        <f aca="false">IFERROR(INDEX(Calc!$H$2:$H$31,MATCH($Y16,Calc!$A$2:$A$31,0)),"")</f>
        <v>0.63</v>
      </c>
      <c r="P16" s="7" t="n">
        <f aca="false">IFERROR(INDEX(Calc!$M$2:$M$31,MATCH($Y16,Calc!$A$2:$A$31,0)),"")</f>
        <v>0.472</v>
      </c>
      <c r="Q16" s="0" t="n">
        <v>11.2</v>
      </c>
      <c r="R16" s="7" t="n">
        <v>0.8</v>
      </c>
      <c r="S16" s="7" t="n">
        <v>0.8</v>
      </c>
      <c r="T16" s="7" t="n">
        <v>0.73</v>
      </c>
      <c r="U16" s="6" t="s">
        <v>165</v>
      </c>
      <c r="V16" s="0" t="n">
        <v>3</v>
      </c>
      <c r="W16" s="0" t="n">
        <v>1</v>
      </c>
      <c r="X16" s="0" t="str">
        <f aca="false">IFERROR(INDEX(Calc!$AH$2:$AH$31,MATCH($Y16,Calc!$A$2:$A$31,0)),"")</f>
        <v>new roster: 0% of his recent games with these teammates</v>
      </c>
      <c r="Y16" s="6" t="s">
        <v>166</v>
      </c>
      <c r="Z16" s="6" t="s">
        <v>124</v>
      </c>
      <c r="AA16" s="0" t="str">
        <f aca="false">Y16&amp;"|"&amp;Z16</f>
        <v>eu78tcmea0duae0|DOTA · PARI vs TS|K12</v>
      </c>
    </row>
    <row r="17" customFormat="false" ht="15" hidden="false" customHeight="false" outlineLevel="0" collapsed="false">
      <c r="A17" s="0" t="s">
        <v>27</v>
      </c>
      <c r="B17" s="0" t="s">
        <v>167</v>
      </c>
      <c r="C17" s="0" t="s">
        <v>79</v>
      </c>
      <c r="D17" s="0" t="s">
        <v>121</v>
      </c>
      <c r="E17" s="0" t="n">
        <v>5.5</v>
      </c>
      <c r="F17" s="8" t="n">
        <f aca="false">IFERROR(INDEX(CHOOSE(MATCH($Z17,{"K1","K12","K13"},0),Calc!$Y$2:$Y$31,Calc!$AA$2:$AA$31,Calc!$AC$2:$AC$31),MATCH($Y17,Calc!$A$2:$A$31,0)),"")</f>
        <v>6.7937889704397</v>
      </c>
      <c r="G17" s="8" t="n">
        <f aca="false">IFERROR(SQRT(INDEX(CHOOSE(MATCH($Z17,{"K1","K12","K13"},0),Calc!$Z$2:$Z$31,Calc!$AB$2:$AB$31,Calc!$AD$2:$AD$31),MATCH($Y17,Calc!$A$2:$A$31,0))),"")</f>
        <v>3.78614711056711</v>
      </c>
      <c r="H17" s="7" t="n">
        <f aca="false">IF(OR($E17="",$F17="",N($G17)&lt;=0),"",1-NORMDIST(FLOOR($E17,1)+0.5,$F17,$G17,TRUE()))</f>
        <v>0.633717876306727</v>
      </c>
      <c r="I17" s="7" t="n">
        <f aca="false">IF($H17="","",NORMDIST(CEILING($E17,1)-0.5,$F17,$G17,TRUE()))</f>
        <v>0.366282123693273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OVER</v>
      </c>
      <c r="L17" s="8" t="n">
        <f aca="false">IFERROR(INDEX(CHOOSE(MATCH($Z17,{"K1","K12","K13"},0),Calc!$AE$2:$AE$31,Calc!$AF$2:$AF$31,Calc!$AG$2:$AG$31),MATCH($Y17,Calc!$A$2:$A$31,0)),"")</f>
        <v>7.4</v>
      </c>
      <c r="M17" s="7" t="n">
        <f aca="false">IF(OR($E17="",$L17="",N($G17)&lt;=0),"",1-NORMDIST(FLOOR($E17,1)+0.5,$L17,$G17*SQRT($L17/$F17),TRUE()))</f>
        <v>0.684683196451119</v>
      </c>
      <c r="O17" s="7" t="n">
        <f aca="false">IFERROR(INDEX(Calc!$H$2:$H$31,MATCH($Y17,Calc!$A$2:$A$31,0)),"")</f>
        <v>0.63</v>
      </c>
      <c r="P17" s="7" t="n">
        <f aca="false">IFERROR(INDEX(Calc!$M$2:$M$31,MATCH($Y17,Calc!$A$2:$A$31,0)),"")</f>
        <v>0.472</v>
      </c>
      <c r="Q17" s="0" t="n">
        <v>8.2</v>
      </c>
      <c r="R17" s="7" t="n">
        <v>0.8</v>
      </c>
      <c r="S17" s="7" t="n">
        <v>0.7</v>
      </c>
      <c r="T17" s="7" t="n">
        <v>0.53</v>
      </c>
      <c r="U17" s="6" t="s">
        <v>168</v>
      </c>
      <c r="V17" s="0" t="n">
        <v>2</v>
      </c>
      <c r="X17" s="0" t="str">
        <f aca="false">IFERROR(INDEX(Calc!$AH$2:$AH$31,MATCH($Y17,Calc!$A$2:$A$31,0)),"")</f>
        <v>new roster: 0% of his recent games with these teammates</v>
      </c>
      <c r="Y17" s="6" t="s">
        <v>169</v>
      </c>
      <c r="Z17" s="6" t="s">
        <v>124</v>
      </c>
      <c r="AA17" s="0" t="str">
        <f aca="false">Y17&amp;"|"&amp;Z17</f>
        <v>sw7j8rqyn0xsj7y|DOTA · PARI vs TS|K12</v>
      </c>
    </row>
    <row r="18" customFormat="false" ht="15" hidden="false" customHeight="false" outlineLevel="0" collapsed="false">
      <c r="A18" s="0" t="s">
        <v>27</v>
      </c>
      <c r="B18" s="0" t="s">
        <v>170</v>
      </c>
      <c r="C18" s="0" t="s">
        <v>79</v>
      </c>
      <c r="D18" s="0" t="s">
        <v>121</v>
      </c>
      <c r="E18" s="0" t="n">
        <v>17.5</v>
      </c>
      <c r="F18" s="8" t="n">
        <f aca="false">IFERROR(INDEX(CHOOSE(MATCH($Z18,{"K1","K12","K13"},0),Calc!$Y$2:$Y$31,Calc!$AA$2:$AA$31,Calc!$AC$2:$AC$31),MATCH($Y18,Calc!$A$2:$A$31,0)),"")</f>
        <v>17.0890955867801</v>
      </c>
      <c r="G18" s="8" t="n">
        <f aca="false">IFERROR(SQRT(INDEX(CHOOSE(MATCH($Z18,{"K1","K12","K13"},0),Calc!$Z$2:$Z$31,Calc!$AB$2:$AB$31,Calc!$AD$2:$AD$31),MATCH($Y18,Calc!$A$2:$A$31,0))),"")</f>
        <v>6.56126720403231</v>
      </c>
      <c r="H18" s="7" t="n">
        <f aca="false">IF(OR($E18="",$F18="",N($G18)&lt;=0),"",1-NORMDIST(FLOOR($E18,1)+0.5,$F18,$G18,TRUE()))</f>
        <v>0.475032253954316</v>
      </c>
      <c r="I18" s="7" t="n">
        <f aca="false">IF($H18="","",NORMDIST(CEILING($E18,1)-0.5,$F18,$G18,TRUE()))</f>
        <v>0.524967746045684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—</v>
      </c>
      <c r="L18" s="8" t="n">
        <f aca="false">IFERROR(INDEX(CHOOSE(MATCH($Z18,{"K1","K12","K13"},0),Calc!$AE$2:$AE$31,Calc!$AF$2:$AF$31,Calc!$AG$2:$AG$31),MATCH($Y18,Calc!$A$2:$A$31,0)),"")</f>
        <v>19</v>
      </c>
      <c r="M18" s="7" t="n">
        <f aca="false">IF(OR($E18="",$L18="",N($G18)&lt;=0),"",1-NORMDIST(FLOOR($E18,1)+0.5,$L18,$G18*SQRT($L18/$F18),TRUE()))</f>
        <v>0.585823145549531</v>
      </c>
      <c r="N18" s="0" t="n">
        <v>17.44</v>
      </c>
      <c r="O18" s="7" t="n">
        <f aca="false">IFERROR(INDEX(Calc!$H$2:$H$31,MATCH($Y18,Calc!$A$2:$A$31,0)),"")</f>
        <v>0.67</v>
      </c>
      <c r="P18" s="7" t="n">
        <f aca="false">IFERROR(INDEX(Calc!$M$2:$M$31,MATCH($Y18,Calc!$A$2:$A$31,0)),"")</f>
        <v>0.472</v>
      </c>
      <c r="Q18" s="0" t="n">
        <v>19.8</v>
      </c>
      <c r="R18" s="7" t="n">
        <v>0.6</v>
      </c>
      <c r="S18" s="7" t="n">
        <v>0.6</v>
      </c>
      <c r="T18" s="7" t="n">
        <v>0.53</v>
      </c>
      <c r="U18" s="6" t="s">
        <v>171</v>
      </c>
      <c r="V18" s="0" t="n">
        <v>2</v>
      </c>
      <c r="X18" s="0" t="str">
        <f aca="false">IFERROR(INDEX(Calc!$AH$2:$AH$31,MATCH($Y18,Calc!$A$2:$A$31,0)),"")</f>
        <v>new roster: 0% of his recent games with these teammates</v>
      </c>
      <c r="Y18" s="6" t="s">
        <v>172</v>
      </c>
      <c r="Z18" s="6" t="s">
        <v>124</v>
      </c>
      <c r="AA18" s="0" t="str">
        <f aca="false">Y18&amp;"|"&amp;Z18</f>
        <v>7i0n30c69c9zmve|DOTA · PARI vs TS|K12</v>
      </c>
    </row>
    <row r="19" customFormat="false" ht="15" hidden="false" customHeight="false" outlineLevel="0" collapsed="false">
      <c r="A19" s="0" t="s">
        <v>93</v>
      </c>
      <c r="B19" s="0" t="s">
        <v>173</v>
      </c>
      <c r="C19" s="0" t="s">
        <v>98</v>
      </c>
      <c r="D19" s="0" t="s">
        <v>121</v>
      </c>
      <c r="E19" s="0" t="n">
        <v>4</v>
      </c>
      <c r="F19" s="8" t="n">
        <f aca="false">IFERROR(INDEX(CHOOSE(MATCH($Z19,{"K1","K12","K13"},0),Calc!$Y$2:$Y$31,Calc!$AA$2:$AA$31,Calc!$AC$2:$AC$31),MATCH($Y19,Calc!$A$2:$A$31,0)),"")</f>
        <v>4.56962490525176</v>
      </c>
      <c r="G19" s="8" t="n">
        <f aca="false">IFERROR(SQRT(INDEX(CHOOSE(MATCH($Z19,{"K1","K12","K13"},0),Calc!$Z$2:$Z$31,Calc!$AB$2:$AB$31,Calc!$AD$2:$AD$31),MATCH($Y19,Calc!$A$2:$A$31,0))),"")</f>
        <v>2.76913761446277</v>
      </c>
      <c r="H19" s="7" t="n">
        <f aca="false">IF(OR($E19="",$F19="",N($G19)&lt;=0),"",1-NORMDIST(FLOOR($E19,1)+0.5,$F19,$G19,TRUE()))</f>
        <v>0.510029617887109</v>
      </c>
      <c r="I19" s="7" t="n">
        <f aca="false">IF($H19="","",NORMDIST(CEILING($E19,1)-0.5,$F19,$G19,TRUE()))</f>
        <v>0.349649679295921</v>
      </c>
      <c r="J19" s="7" t="n">
        <f aca="false">IF($H19="","",MAX(0,1-$H19-$I19))</f>
        <v>0.14032070281697</v>
      </c>
      <c r="K19" s="0" t="str">
        <f aca="false">IF($H19="","",IF($H19&gt;=0.5+Config!$B$8,"OVER",IF($I19&gt;=0.5+Config!$B$8,"UNDER","—")))</f>
        <v>—</v>
      </c>
      <c r="L19" s="8" t="n">
        <f aca="false">IFERROR(INDEX(CHOOSE(MATCH($Z19,{"K1","K12","K13"},0),Calc!$AE$2:$AE$31,Calc!$AF$2:$AF$31,Calc!$AG$2:$AG$31),MATCH($Y19,Calc!$A$2:$A$31,0)),"")</f>
        <v>6.2</v>
      </c>
      <c r="M19" s="7" t="n">
        <f aca="false">IF(OR($E19="",$L19="",N($G19)&lt;=0),"",1-NORMDIST(FLOOR($E19,1)+0.5,$L19,$G19*SQRT($L19/$F19),TRUE()))</f>
        <v>0.700919300836119</v>
      </c>
      <c r="O19" s="7" t="n">
        <f aca="false">IFERROR(INDEX(Calc!$H$2:$H$31,MATCH($Y19,Calc!$A$2:$A$31,0)),"")</f>
        <v>0.7</v>
      </c>
      <c r="P19" s="7" t="n">
        <f aca="false">IFERROR(INDEX(Calc!$M$2:$M$31,MATCH($Y19,Calc!$A$2:$A$31,0)),"")</f>
        <v>0.2986</v>
      </c>
      <c r="Q19" s="0" t="n">
        <v>7.3</v>
      </c>
      <c r="R19" s="7" t="n">
        <v>0.8</v>
      </c>
      <c r="S19" s="7" t="n">
        <v>0.8</v>
      </c>
      <c r="T19" s="7" t="n">
        <v>0.8</v>
      </c>
      <c r="U19" s="6" t="s">
        <v>174</v>
      </c>
      <c r="V19" s="0" t="n">
        <v>-1</v>
      </c>
      <c r="W19" s="0" t="n">
        <v>0</v>
      </c>
      <c r="X19" s="0" t="str">
        <f aca="false">IFERROR(INDEX(Calc!$AH$2:$AH$31,MATCH($Y19,Calc!$A$2:$A$31,0)),"")</f>
        <v>new roster: 0% of his recent games with these teammates</v>
      </c>
      <c r="Y19" s="6" t="s">
        <v>175</v>
      </c>
      <c r="Z19" s="6" t="s">
        <v>124</v>
      </c>
      <c r="AA19" s="0" t="str">
        <f aca="false">Y19&amp;"|"&amp;Z19</f>
        <v>fcu6c9alckgkcdm|LOL · HLE vs G2|K12</v>
      </c>
    </row>
    <row r="20" customFormat="false" ht="15" hidden="false" customHeight="false" outlineLevel="0" collapsed="false">
      <c r="A20" s="0" t="s">
        <v>93</v>
      </c>
      <c r="B20" s="0" t="s">
        <v>176</v>
      </c>
      <c r="C20" s="0" t="s">
        <v>98</v>
      </c>
      <c r="D20" s="0" t="s">
        <v>121</v>
      </c>
      <c r="E20" s="0" t="n">
        <v>6</v>
      </c>
      <c r="F20" s="8" t="n">
        <f aca="false">IFERROR(INDEX(CHOOSE(MATCH($Z20,{"K1","K12","K13"},0),Calc!$Y$2:$Y$31,Calc!$AA$2:$AA$31,Calc!$AC$2:$AC$31),MATCH($Y20,Calc!$A$2:$A$31,0)),"")</f>
        <v>5.45406843530049</v>
      </c>
      <c r="G20" s="8" t="n">
        <f aca="false">IFERROR(SQRT(INDEX(CHOOSE(MATCH($Z20,{"K1","K12","K13"},0),Calc!$Z$2:$Z$31,Calc!$AB$2:$AB$31,Calc!$AD$2:$AD$31),MATCH($Y20,Calc!$A$2:$A$31,0))),"")</f>
        <v>3.09052912205392</v>
      </c>
      <c r="H20" s="7" t="n">
        <f aca="false">IF(OR($E20="",$F20="",N($G20)&lt;=0),"",1-NORMDIST(FLOOR($E20,1)+0.5,$F20,$G20,TRUE()))</f>
        <v>0.367519122392816</v>
      </c>
      <c r="I20" s="7" t="n">
        <f aca="false">IF($H20="","",NORMDIST(CEILING($E20,1)-0.5,$F20,$G20,TRUE()))</f>
        <v>0.505928877513395</v>
      </c>
      <c r="J20" s="7" t="n">
        <f aca="false">IF($H20="","",MAX(0,1-$H20-$I20))</f>
        <v>0.126552000093789</v>
      </c>
      <c r="K20" s="0" t="str">
        <f aca="false">IF($H20="","",IF($H20&gt;=0.5+Config!$B$8,"OVER",IF($I20&gt;=0.5+Config!$B$8,"UNDER","—")))</f>
        <v>—</v>
      </c>
      <c r="L20" s="8" t="n">
        <f aca="false">IFERROR(INDEX(CHOOSE(MATCH($Z20,{"K1","K12","K13"},0),Calc!$AE$2:$AE$31,Calc!$AF$2:$AF$31,Calc!$AG$2:$AG$31),MATCH($Y20,Calc!$A$2:$A$31,0)),"")</f>
        <v>7.4</v>
      </c>
      <c r="M20" s="7" t="n">
        <f aca="false">IF(OR($E20="",$L20="",N($G20)&lt;=0),"",1-NORMDIST(FLOOR($E20,1)+0.5,$L20,$G20*SQRT($L20/$F20),TRUE()))</f>
        <v>0.598709462404791</v>
      </c>
      <c r="O20" s="7" t="n">
        <f aca="false">IFERROR(INDEX(Calc!$H$2:$H$31,MATCH($Y20,Calc!$A$2:$A$31,0)),"")</f>
        <v>0.7</v>
      </c>
      <c r="P20" s="7" t="n">
        <f aca="false">IFERROR(INDEX(Calc!$M$2:$M$31,MATCH($Y20,Calc!$A$2:$A$31,0)),"")</f>
        <v>0.2986</v>
      </c>
      <c r="Q20" s="0" t="n">
        <v>7.2</v>
      </c>
      <c r="R20" s="7" t="n">
        <v>0.8</v>
      </c>
      <c r="S20" s="7" t="n">
        <v>0.8</v>
      </c>
      <c r="T20" s="7" t="n">
        <v>0.73</v>
      </c>
      <c r="U20" s="6" t="s">
        <v>174</v>
      </c>
      <c r="V20" s="0" t="n">
        <v>4</v>
      </c>
      <c r="W20" s="0" t="n">
        <v>2</v>
      </c>
      <c r="X20" s="0" t="str">
        <f aca="false">IFERROR(INDEX(Calc!$AH$2:$AH$31,MATCH($Y20,Calc!$A$2:$A$31,0)),"")</f>
        <v>new roster: 0% of his recent games with these teammates</v>
      </c>
      <c r="Y20" s="6" t="s">
        <v>177</v>
      </c>
      <c r="Z20" s="6" t="s">
        <v>124</v>
      </c>
      <c r="AA20" s="0" t="str">
        <f aca="false">Y20&amp;"|"&amp;Z20</f>
        <v>k04ep06dphq53i6|LOL · HLE vs G2|K12</v>
      </c>
    </row>
    <row r="21" customFormat="false" ht="15" hidden="false" customHeight="false" outlineLevel="0" collapsed="false">
      <c r="A21" s="0" t="s">
        <v>93</v>
      </c>
      <c r="B21" s="0" t="s">
        <v>178</v>
      </c>
      <c r="C21" s="0" t="s">
        <v>98</v>
      </c>
      <c r="D21" s="0" t="s">
        <v>121</v>
      </c>
      <c r="E21" s="0" t="n">
        <v>6.5</v>
      </c>
      <c r="F21" s="8" t="n">
        <f aca="false">IFERROR(INDEX(CHOOSE(MATCH($Z21,{"K1","K12","K13"},0),Calc!$Y$2:$Y$31,Calc!$AA$2:$AA$31,Calc!$AC$2:$AC$31),MATCH($Y21,Calc!$A$2:$A$31,0)),"")</f>
        <v>6.78073373037358</v>
      </c>
      <c r="G21" s="8" t="n">
        <f aca="false">IFERROR(SQRT(INDEX(CHOOSE(MATCH($Z21,{"K1","K12","K13"},0),Calc!$Z$2:$Z$31,Calc!$AB$2:$AB$31,Calc!$AD$2:$AD$31),MATCH($Y21,Calc!$A$2:$A$31,0))),"")</f>
        <v>3.5523138094947</v>
      </c>
      <c r="H21" s="7" t="n">
        <f aca="false">IF(OR($E21="",$F21="",N($G21)&lt;=0),"",1-NORMDIST(FLOOR($E21,1)+0.5,$F21,$G21,TRUE()))</f>
        <v>0.531494989128916</v>
      </c>
      <c r="I21" s="7" t="n">
        <f aca="false">IF($H21="","",NORMDIST(CEILING($E21,1)-0.5,$F21,$G21,TRUE()))</f>
        <v>0.468505010871084</v>
      </c>
      <c r="J21" s="7" t="n">
        <f aca="false">IF($H21="","",MAX(0,1-$H21-$I21))</f>
        <v>0</v>
      </c>
      <c r="K21" s="0" t="str">
        <f aca="false">IF($H21="","",IF($H21&gt;=0.5+Config!$B$8,"OVER",IF($I21&gt;=0.5+Config!$B$8,"UNDER","—")))</f>
        <v>—</v>
      </c>
      <c r="L21" s="8" t="n">
        <f aca="false">IFERROR(INDEX(CHOOSE(MATCH($Z21,{"K1","K12","K13"},0),Calc!$AE$2:$AE$31,Calc!$AF$2:$AF$31,Calc!$AG$2:$AG$31),MATCH($Y21,Calc!$A$2:$A$31,0)),"")</f>
        <v>9.2</v>
      </c>
      <c r="M21" s="7" t="n">
        <f aca="false">IF(OR($E21="",$L21="",N($G21)&lt;=0),"",1-NORMDIST(FLOOR($E21,1)+0.5,$L21,$G21*SQRT($L21/$F21),TRUE()))</f>
        <v>0.742968587242347</v>
      </c>
      <c r="O21" s="7" t="n">
        <f aca="false">IFERROR(INDEX(Calc!$H$2:$H$31,MATCH($Y21,Calc!$A$2:$A$31,0)),"")</f>
        <v>0.7</v>
      </c>
      <c r="P21" s="7" t="n">
        <f aca="false">IFERROR(INDEX(Calc!$M$2:$M$31,MATCH($Y21,Calc!$A$2:$A$31,0)),"")</f>
        <v>0.2986</v>
      </c>
      <c r="Q21" s="0" t="n">
        <v>10.7</v>
      </c>
      <c r="R21" s="7" t="n">
        <v>0.8</v>
      </c>
      <c r="S21" s="7" t="n">
        <v>0.8</v>
      </c>
      <c r="T21" s="7" t="n">
        <v>0.67</v>
      </c>
      <c r="U21" s="6" t="s">
        <v>179</v>
      </c>
      <c r="V21" s="0" t="n">
        <v>4</v>
      </c>
      <c r="X21" s="0" t="str">
        <f aca="false">IFERROR(INDEX(Calc!$AH$2:$AH$31,MATCH($Y21,Calc!$A$2:$A$31,0)),"")</f>
        <v>new roster: 0% of his recent games with these teammates</v>
      </c>
      <c r="Y21" s="6" t="s">
        <v>180</v>
      </c>
      <c r="Z21" s="6" t="s">
        <v>124</v>
      </c>
      <c r="AA21" s="0" t="str">
        <f aca="false">Y21&amp;"|"&amp;Z21</f>
        <v>igjqi725ffi2xyn|LOL · HLE vs G2|K12</v>
      </c>
    </row>
    <row r="22" customFormat="false" ht="15" hidden="false" customHeight="false" outlineLevel="0" collapsed="false">
      <c r="A22" s="0" t="s">
        <v>93</v>
      </c>
      <c r="B22" s="0" t="s">
        <v>181</v>
      </c>
      <c r="C22" s="0" t="s">
        <v>97</v>
      </c>
      <c r="D22" s="0" t="s">
        <v>121</v>
      </c>
      <c r="E22" s="0" t="n">
        <v>8.5</v>
      </c>
      <c r="F22" s="8" t="n">
        <f aca="false">IFERROR(INDEX(CHOOSE(MATCH($Z22,{"K1","K12","K13"},0),Calc!$Y$2:$Y$31,Calc!$AA$2:$AA$31,Calc!$AC$2:$AC$31),MATCH($Y22,Calc!$A$2:$A$31,0)),"")</f>
        <v>9.02160154343755</v>
      </c>
      <c r="G22" s="8" t="n">
        <f aca="false">IFERROR(SQRT(INDEX(CHOOSE(MATCH($Z22,{"K1","K12","K13"},0),Calc!$Z$2:$Z$31,Calc!$AB$2:$AB$31,Calc!$AD$2:$AD$31),MATCH($Y22,Calc!$A$2:$A$31,0))),"")</f>
        <v>3.92164052559218</v>
      </c>
      <c r="H22" s="7" t="n">
        <f aca="false">IF(OR($E22="",$F22="",N($G22)&lt;=0),"",1-NORMDIST(FLOOR($E22,1)+0.5,$F22,$G22,TRUE()))</f>
        <v>0.55290566454776</v>
      </c>
      <c r="I22" s="7" t="n">
        <f aca="false">IF($H22="","",NORMDIST(CEILING($E22,1)-0.5,$F22,$G22,TRUE()))</f>
        <v>0.44709433545224</v>
      </c>
      <c r="J22" s="7" t="n">
        <f aca="false">IF($H22="","",MAX(0,1-$H22-$I22))</f>
        <v>0</v>
      </c>
      <c r="K22" s="0" t="str">
        <f aca="false">IF($H22="","",IF($H22&gt;=0.5+Config!$B$8,"OVER",IF($I22&gt;=0.5+Config!$B$8,"UNDER","—")))</f>
        <v>OVER</v>
      </c>
      <c r="L22" s="8" t="n">
        <f aca="false">IFERROR(INDEX(CHOOSE(MATCH($Z22,{"K1","K12","K13"},0),Calc!$AE$2:$AE$31,Calc!$AF$2:$AF$31,Calc!$AG$2:$AG$31),MATCH($Y22,Calc!$A$2:$A$31,0)),"")</f>
        <v>8.6</v>
      </c>
      <c r="M22" s="7" t="n">
        <f aca="false">IF(OR($E22="",$L22="",N($G22)&lt;=0),"",1-NORMDIST(FLOOR($E22,1)+0.5,$L22,$G22*SQRT($L22/$F22),TRUE()))</f>
        <v>0.510418027733602</v>
      </c>
      <c r="O22" s="7" t="n">
        <f aca="false">IFERROR(INDEX(Calc!$H$2:$H$31,MATCH($Y22,Calc!$A$2:$A$31,0)),"")</f>
        <v>0.63</v>
      </c>
      <c r="P22" s="7" t="n">
        <f aca="false">IFERROR(INDEX(Calc!$M$2:$M$31,MATCH($Y22,Calc!$A$2:$A$31,0)),"")</f>
        <v>0.7014</v>
      </c>
      <c r="Q22" s="0" t="n">
        <v>8.7</v>
      </c>
      <c r="R22" s="7" t="n">
        <v>0.8</v>
      </c>
      <c r="S22" s="7" t="n">
        <v>0.4</v>
      </c>
      <c r="T22" s="7" t="n">
        <v>0.4</v>
      </c>
      <c r="U22" s="6" t="s">
        <v>141</v>
      </c>
      <c r="V22" s="0" t="n">
        <v>2</v>
      </c>
      <c r="X22" s="0" t="str">
        <f aca="false">IFERROR(INDEX(Calc!$AH$2:$AH$31,MATCH($Y22,Calc!$A$2:$A$31,0)),"")</f>
        <v>new roster: 0% of his recent games with these teammates</v>
      </c>
      <c r="Y22" s="6" t="s">
        <v>182</v>
      </c>
      <c r="Z22" s="6" t="s">
        <v>124</v>
      </c>
      <c r="AA22" s="0" t="str">
        <f aca="false">Y22&amp;"|"&amp;Z22</f>
        <v>dk2xvnogliulqvm|LOL · HLE vs G2|K12</v>
      </c>
    </row>
    <row r="23" customFormat="false" ht="15" hidden="false" customHeight="false" outlineLevel="0" collapsed="false">
      <c r="A23" s="0" t="s">
        <v>93</v>
      </c>
      <c r="B23" s="0" t="s">
        <v>183</v>
      </c>
      <c r="C23" s="0" t="s">
        <v>97</v>
      </c>
      <c r="D23" s="0" t="s">
        <v>121</v>
      </c>
      <c r="E23" s="0" t="n">
        <v>7</v>
      </c>
      <c r="F23" s="8" t="n">
        <f aca="false">IFERROR(INDEX(CHOOSE(MATCH($Z23,{"K1","K12","K13"},0),Calc!$Y$2:$Y$31,Calc!$AA$2:$AA$31,Calc!$AC$2:$AC$31),MATCH($Y23,Calc!$A$2:$A$31,0)),"")</f>
        <v>6.98342947663438</v>
      </c>
      <c r="G23" s="8" t="n">
        <f aca="false">IFERROR(SQRT(INDEX(CHOOSE(MATCH($Z23,{"K1","K12","K13"},0),Calc!$Z$2:$Z$31,Calc!$AB$2:$AB$31,Calc!$AD$2:$AD$31),MATCH($Y23,Calc!$A$2:$A$31,0))),"")</f>
        <v>3.35652183574499</v>
      </c>
      <c r="H23" s="7" t="n">
        <f aca="false">IF(OR($E23="",$F23="",N($G23)&lt;=0),"",1-NORMDIST(FLOOR($E23,1)+0.5,$F23,$G23,TRUE()))</f>
        <v>0.438844079121544</v>
      </c>
      <c r="I23" s="7" t="n">
        <f aca="false">IF($H23="","",NORMDIST(CEILING($E23,1)-0.5,$F23,$G23,TRUE()))</f>
        <v>0.442739609058574</v>
      </c>
      <c r="J23" s="7" t="n">
        <f aca="false">IF($H23="","",MAX(0,1-$H23-$I23))</f>
        <v>0.118416311819882</v>
      </c>
      <c r="K23" s="0" t="str">
        <f aca="false">IF($H23="","",IF($H23&gt;=0.5+Config!$B$8,"OVER",IF($I23&gt;=0.5+Config!$B$8,"UNDER","—")))</f>
        <v>—</v>
      </c>
      <c r="L23" s="8" t="n">
        <f aca="false">IFERROR(INDEX(CHOOSE(MATCH($Z23,{"K1","K12","K13"},0),Calc!$AE$2:$AE$31,Calc!$AF$2:$AF$31,Calc!$AG$2:$AG$31),MATCH($Y23,Calc!$A$2:$A$31,0)),"")</f>
        <v>6.2</v>
      </c>
      <c r="M23" s="7" t="n">
        <f aca="false">IF(OR($E23="",$L23="",N($G23)&lt;=0),"",1-NORMDIST(FLOOR($E23,1)+0.5,$L23,$G23*SQRT($L23/$F23),TRUE()))</f>
        <v>0.340518715327752</v>
      </c>
      <c r="O23" s="7" t="n">
        <f aca="false">IFERROR(INDEX(Calc!$H$2:$H$31,MATCH($Y23,Calc!$A$2:$A$31,0)),"")</f>
        <v>0.53</v>
      </c>
      <c r="P23" s="7" t="n">
        <f aca="false">IFERROR(INDEX(Calc!$M$2:$M$31,MATCH($Y23,Calc!$A$2:$A$31,0)),"")</f>
        <v>0.7014</v>
      </c>
      <c r="Q23" s="0" t="n">
        <v>6.7</v>
      </c>
      <c r="R23" s="7" t="n">
        <v>0.2</v>
      </c>
      <c r="S23" s="7" t="n">
        <v>0.4</v>
      </c>
      <c r="T23" s="7" t="n">
        <v>0.33</v>
      </c>
      <c r="U23" s="6" t="s">
        <v>184</v>
      </c>
      <c r="V23" s="0" t="n">
        <v>-4</v>
      </c>
      <c r="W23" s="0" t="n">
        <v>1</v>
      </c>
      <c r="X23" s="0" t="str">
        <f aca="false">IFERROR(INDEX(Calc!$AH$2:$AH$31,MATCH($Y23,Calc!$A$2:$A$31,0)),"")</f>
        <v>new roster: 0% of his recent games with these teammates</v>
      </c>
      <c r="Y23" s="6" t="s">
        <v>185</v>
      </c>
      <c r="Z23" s="6" t="s">
        <v>124</v>
      </c>
      <c r="AA23" s="0" t="str">
        <f aca="false">Y23&amp;"|"&amp;Z23</f>
        <v>sz58hgh9evxsz7i|LOL · HLE vs G2|K12</v>
      </c>
    </row>
    <row r="24" customFormat="false" ht="15" hidden="false" customHeight="false" outlineLevel="0" collapsed="false">
      <c r="A24" s="0" t="s">
        <v>93</v>
      </c>
      <c r="B24" s="0" t="s">
        <v>186</v>
      </c>
      <c r="C24" s="0" t="s">
        <v>97</v>
      </c>
      <c r="D24" s="0" t="s">
        <v>121</v>
      </c>
      <c r="E24" s="0" t="n">
        <v>9.5</v>
      </c>
      <c r="F24" s="8" t="n">
        <f aca="false">IFERROR(INDEX(CHOOSE(MATCH($Z24,{"K1","K12","K13"},0),Calc!$Y$2:$Y$31,Calc!$AA$2:$AA$31,Calc!$AC$2:$AC$31),MATCH($Y24,Calc!$A$2:$A$31,0)),"")</f>
        <v>10.9098437269477</v>
      </c>
      <c r="G24" s="8" t="n">
        <f aca="false">IFERROR(SQRT(INDEX(CHOOSE(MATCH($Z24,{"K1","K12","K13"},0),Calc!$Z$2:$Z$31,Calc!$AB$2:$AB$31,Calc!$AD$2:$AD$31),MATCH($Y24,Calc!$A$2:$A$31,0))),"")</f>
        <v>4.41840811012896</v>
      </c>
      <c r="H24" s="7" t="n">
        <f aca="false">IF(OR($E24="",$F24="",N($G24)&lt;=0),"",1-NORMDIST(FLOOR($E24,1)+0.5,$F24,$G24,TRUE()))</f>
        <v>0.62516862568958</v>
      </c>
      <c r="I24" s="7" t="n">
        <f aca="false">IF($H24="","",NORMDIST(CEILING($E24,1)-0.5,$F24,$G24,TRUE()))</f>
        <v>0.37483137431042</v>
      </c>
      <c r="J24" s="7" t="n">
        <f aca="false">IF($H24="","",MAX(0,1-$H24-$I24))</f>
        <v>0</v>
      </c>
      <c r="K24" s="0" t="str">
        <f aca="false">IF($H24="","",IF($H24&gt;=0.5+Config!$B$8,"OVER",IF($I24&gt;=0.5+Config!$B$8,"UNDER","—")))</f>
        <v>OVER</v>
      </c>
      <c r="L24" s="8" t="n">
        <f aca="false">IFERROR(INDEX(CHOOSE(MATCH($Z24,{"K1","K12","K13"},0),Calc!$AE$2:$AE$31,Calc!$AF$2:$AF$31,Calc!$AG$2:$AG$31),MATCH($Y24,Calc!$A$2:$A$31,0)),"")</f>
        <v>10.4</v>
      </c>
      <c r="M24" s="7" t="n">
        <f aca="false">IF(OR($E24="",$L24="",N($G24)&lt;=0),"",1-NORMDIST(FLOOR($E24,1)+0.5,$L24,$G24*SQRT($L24/$F24),TRUE()))</f>
        <v>0.582630052573066</v>
      </c>
      <c r="O24" s="7" t="n">
        <f aca="false">IFERROR(INDEX(Calc!$H$2:$H$31,MATCH($Y24,Calc!$A$2:$A$31,0)),"")</f>
        <v>0.63</v>
      </c>
      <c r="P24" s="7" t="n">
        <f aca="false">IFERROR(INDEX(Calc!$M$2:$M$31,MATCH($Y24,Calc!$A$2:$A$31,0)),"")</f>
        <v>0.7014</v>
      </c>
      <c r="Q24" s="0" t="n">
        <v>9.8</v>
      </c>
      <c r="R24" s="7" t="n">
        <v>0.6</v>
      </c>
      <c r="S24" s="7" t="n">
        <v>0.4</v>
      </c>
      <c r="T24" s="7" t="n">
        <v>0.53</v>
      </c>
      <c r="U24" s="6" t="s">
        <v>174</v>
      </c>
      <c r="V24" s="0" t="n">
        <v>2</v>
      </c>
      <c r="X24" s="0" t="str">
        <f aca="false">IFERROR(INDEX(Calc!$AH$2:$AH$31,MATCH($Y24,Calc!$A$2:$A$31,0)),"")</f>
        <v>new roster: 0% of his recent games with these teammates</v>
      </c>
      <c r="Y24" s="6" t="s">
        <v>187</v>
      </c>
      <c r="Z24" s="6" t="s">
        <v>124</v>
      </c>
      <c r="AA24" s="0" t="str">
        <f aca="false">Y24&amp;"|"&amp;Z24</f>
        <v>a9kybbin6grz064|LOL · HLE vs G2|K12</v>
      </c>
    </row>
    <row r="25" customFormat="false" ht="15" hidden="false" customHeight="false" outlineLevel="0" collapsed="false">
      <c r="A25" s="0" t="s">
        <v>93</v>
      </c>
      <c r="B25" s="0" t="s">
        <v>188</v>
      </c>
      <c r="C25" s="0" t="s">
        <v>97</v>
      </c>
      <c r="D25" s="0" t="s">
        <v>121</v>
      </c>
      <c r="E25" s="0" t="n">
        <v>6</v>
      </c>
      <c r="F25" s="8" t="n">
        <f aca="false">IFERROR(INDEX(CHOOSE(MATCH($Z25,{"K1","K12","K13"},0),Calc!$Y$2:$Y$31,Calc!$AA$2:$AA$31,Calc!$AC$2:$AC$31),MATCH($Y25,Calc!$A$2:$A$31,0)),"")</f>
        <v>6.29414061170062</v>
      </c>
      <c r="G25" s="8" t="n">
        <f aca="false">IFERROR(SQRT(INDEX(CHOOSE(MATCH($Z25,{"K1","K12","K13"},0),Calc!$Z$2:$Z$31,Calc!$AB$2:$AB$31,Calc!$AD$2:$AD$31),MATCH($Y25,Calc!$A$2:$A$31,0))),"")</f>
        <v>3.15588249940922</v>
      </c>
      <c r="H25" s="7" t="n">
        <f aca="false">IF(OR($E25="",$F25="",N($G25)&lt;=0),"",1-NORMDIST(FLOOR($E25,1)+0.5,$F25,$G25,TRUE()))</f>
        <v>0.473995289771185</v>
      </c>
      <c r="I25" s="7" t="n">
        <f aca="false">IF($H25="","",NORMDIST(CEILING($E25,1)-0.5,$F25,$G25,TRUE()))</f>
        <v>0.400660362119953</v>
      </c>
      <c r="J25" s="7" t="n">
        <f aca="false">IF($H25="","",MAX(0,1-$H25-$I25))</f>
        <v>0.125344348108863</v>
      </c>
      <c r="K25" s="0" t="str">
        <f aca="false">IF($H25="","",IF($H25&gt;=0.5+Config!$B$8,"OVER",IF($I25&gt;=0.5+Config!$B$8,"UNDER","—")))</f>
        <v>—</v>
      </c>
      <c r="L25" s="8" t="n">
        <f aca="false">IFERROR(INDEX(CHOOSE(MATCH($Z25,{"K1","K12","K13"},0),Calc!$AE$2:$AE$31,Calc!$AF$2:$AF$31,Calc!$AG$2:$AG$31),MATCH($Y25,Calc!$A$2:$A$31,0)),"")</f>
        <v>6</v>
      </c>
      <c r="M25" s="7" t="n">
        <f aca="false">IF(OR($E25="",$L25="",N($G25)&lt;=0),"",1-NORMDIST(FLOOR($E25,1)+0.5,$L25,$G25*SQRT($L25/$F25),TRUE()))</f>
        <v>0.435546098509575</v>
      </c>
      <c r="O25" s="7" t="n">
        <f aca="false">IFERROR(INDEX(Calc!$H$2:$H$31,MATCH($Y25,Calc!$A$2:$A$31,0)),"")</f>
        <v>0.63</v>
      </c>
      <c r="P25" s="7" t="n">
        <f aca="false">IFERROR(INDEX(Calc!$M$2:$M$31,MATCH($Y25,Calc!$A$2:$A$31,0)),"")</f>
        <v>0.7014</v>
      </c>
      <c r="Q25" s="0" t="n">
        <v>6.3</v>
      </c>
      <c r="R25" s="7" t="n">
        <v>0.4</v>
      </c>
      <c r="S25" s="7" t="n">
        <v>0.4</v>
      </c>
      <c r="T25" s="7" t="n">
        <v>0.33</v>
      </c>
      <c r="U25" s="6" t="s">
        <v>189</v>
      </c>
      <c r="V25" s="0" t="n">
        <v>-1</v>
      </c>
      <c r="W25" s="0" t="n">
        <v>2</v>
      </c>
      <c r="X25" s="0" t="str">
        <f aca="false">IFERROR(INDEX(Calc!$AH$2:$AH$31,MATCH($Y25,Calc!$A$2:$A$31,0)),"")</f>
        <v>new roster: 0% of his recent games with these teammates</v>
      </c>
      <c r="Y25" s="6" t="s">
        <v>190</v>
      </c>
      <c r="Z25" s="6" t="s">
        <v>124</v>
      </c>
      <c r="AA25" s="0" t="str">
        <f aca="false">Y25&amp;"|"&amp;Z25</f>
        <v>tdvdf1h4ixtxv6x|LOL · HLE vs G2|K12</v>
      </c>
    </row>
    <row r="26" customFormat="false" ht="15" hidden="false" customHeight="false" outlineLevel="0" collapsed="false">
      <c r="A26" s="0" t="s">
        <v>86</v>
      </c>
      <c r="B26" s="0" t="s">
        <v>191</v>
      </c>
      <c r="C26" s="0" t="s">
        <v>92</v>
      </c>
      <c r="D26" s="0" t="s">
        <v>121</v>
      </c>
      <c r="E26" s="0" t="n">
        <v>5</v>
      </c>
      <c r="F26" s="8" t="n">
        <f aca="false">IFERROR(INDEX(CHOOSE(MATCH($Z26,{"K1","K12","K13"},0),Calc!$Y$2:$Y$31,Calc!$AA$2:$AA$31,Calc!$AC$2:$AC$31),MATCH($Y26,Calc!$A$2:$A$31,0)),"")</f>
        <v>5.20437699782297</v>
      </c>
      <c r="G26" s="8" t="n">
        <f aca="false">IFERROR(SQRT(INDEX(CHOOSE(MATCH($Z26,{"K1","K12","K13"},0),Calc!$Z$2:$Z$31,Calc!$AB$2:$AB$31,Calc!$AD$2:$AD$31),MATCH($Y26,Calc!$A$2:$A$31,0))),"")</f>
        <v>3.0010979880846</v>
      </c>
      <c r="H26" s="7" t="n">
        <f aca="false">IF(OR($E26="",$F26="",N($G26)&lt;=0),"",1-NORMDIST(FLOOR($E26,1)+0.5,$F26,$G26,TRUE()))</f>
        <v>0.460765671445692</v>
      </c>
      <c r="I26" s="7" t="n">
        <f aca="false">IF($H26="","",NORMDIST(CEILING($E26,1)-0.5,$F26,$G26,TRUE()))</f>
        <v>0.407218297974673</v>
      </c>
      <c r="J26" s="7" t="n">
        <f aca="false">IF($H26="","",MAX(0,1-$H26-$I26))</f>
        <v>0.132016030579634</v>
      </c>
      <c r="K26" s="0" t="str">
        <f aca="false">IF($H26="","",IF($H26&gt;=0.5+Config!$B$8,"OVER",IF($I26&gt;=0.5+Config!$B$8,"UNDER","—")))</f>
        <v>—</v>
      </c>
      <c r="L26" s="8" t="n">
        <f aca="false">IFERROR(INDEX(CHOOSE(MATCH($Z26,{"K1","K12","K13"},0),Calc!$AE$2:$AE$31,Calc!$AF$2:$AF$31,Calc!$AG$2:$AG$31),MATCH($Y26,Calc!$A$2:$A$31,0)),"")</f>
        <v>7.2</v>
      </c>
      <c r="M26" s="7" t="n">
        <f aca="false">IF(OR($E26="",$L26="",N($G26)&lt;=0),"",1-NORMDIST(FLOOR($E26,1)+0.5,$L26,$G26*SQRT($L26/$F26),TRUE()))</f>
        <v>0.684955091955314</v>
      </c>
      <c r="O26" s="7" t="n">
        <f aca="false">IFERROR(INDEX(Calc!$H$2:$H$31,MATCH($Y26,Calc!$A$2:$A$31,0)),"")</f>
        <v>0.73</v>
      </c>
      <c r="P26" s="7" t="n">
        <f aca="false">IFERROR(INDEX(Calc!$M$2:$M$31,MATCH($Y26,Calc!$A$2:$A$31,0)),"")</f>
        <v>0.2986</v>
      </c>
      <c r="Q26" s="0" t="n">
        <v>8.2</v>
      </c>
      <c r="R26" s="7" t="n">
        <v>0.8</v>
      </c>
      <c r="S26" s="7" t="n">
        <v>0.8</v>
      </c>
      <c r="T26" s="7" t="n">
        <v>0.87</v>
      </c>
      <c r="U26" s="6" t="s">
        <v>192</v>
      </c>
      <c r="V26" s="0" t="n">
        <v>4</v>
      </c>
      <c r="W26" s="0" t="n">
        <v>1</v>
      </c>
      <c r="X26" s="0" t="str">
        <f aca="false">IFERROR(INDEX(Calc!$AH$2:$AH$31,MATCH($Y26,Calc!$A$2:$A$31,0)),"")</f>
        <v>new roster: 0% of his recent games with these teammates</v>
      </c>
      <c r="Y26" s="6" t="s">
        <v>193</v>
      </c>
      <c r="Z26" s="6" t="s">
        <v>124</v>
      </c>
      <c r="AA26" s="0" t="str">
        <f aca="false">Y26&amp;"|"&amp;Z26</f>
        <v>7an3gm5ji18vw08|LOL · TL vs LOS|K12</v>
      </c>
    </row>
    <row r="27" customFormat="false" ht="15" hidden="false" customHeight="false" outlineLevel="0" collapsed="false">
      <c r="A27" s="0" t="s">
        <v>86</v>
      </c>
      <c r="B27" s="0" t="s">
        <v>194</v>
      </c>
      <c r="C27" s="0" t="s">
        <v>92</v>
      </c>
      <c r="D27" s="0" t="s">
        <v>121</v>
      </c>
      <c r="E27" s="0" t="n">
        <v>4.5</v>
      </c>
      <c r="F27" s="8" t="n">
        <f aca="false">IFERROR(INDEX(CHOOSE(MATCH($Z27,{"K1","K12","K13"},0),Calc!$Y$2:$Y$31,Calc!$AA$2:$AA$31,Calc!$AC$2:$AC$31),MATCH($Y27,Calc!$A$2:$A$31,0)),"")</f>
        <v>5.49350905325758</v>
      </c>
      <c r="G27" s="8" t="n">
        <f aca="false">IFERROR(SQRT(INDEX(CHOOSE(MATCH($Z27,{"K1","K12","K13"},0),Calc!$Z$2:$Z$31,Calc!$AB$2:$AB$31,Calc!$AD$2:$AD$31),MATCH($Y27,Calc!$A$2:$A$31,0))),"")</f>
        <v>3.10457178095178</v>
      </c>
      <c r="H27" s="7" t="n">
        <f aca="false">IF(OR($E27="",$F27="",N($G27)&lt;=0),"",1-NORMDIST(FLOOR($E27,1)+0.5,$F27,$G27,TRUE()))</f>
        <v>0.625521460927926</v>
      </c>
      <c r="I27" s="7" t="n">
        <f aca="false">IF($H27="","",NORMDIST(CEILING($E27,1)-0.5,$F27,$G27,TRUE()))</f>
        <v>0.374478539072074</v>
      </c>
      <c r="J27" s="7" t="n">
        <f aca="false">IF($H27="","",MAX(0,1-$H27-$I27))</f>
        <v>0</v>
      </c>
      <c r="K27" s="0" t="str">
        <f aca="false">IF($H27="","",IF($H27&gt;=0.5+Config!$B$8,"OVER",IF($I27&gt;=0.5+Config!$B$8,"UNDER","—")))</f>
        <v>OVER</v>
      </c>
      <c r="L27" s="8" t="n">
        <f aca="false">IFERROR(INDEX(CHOOSE(MATCH($Z27,{"K1","K12","K13"},0),Calc!$AE$2:$AE$31,Calc!$AF$2:$AF$31,Calc!$AG$2:$AG$31),MATCH($Y27,Calc!$A$2:$A$31,0)),"")</f>
        <v>7.6</v>
      </c>
      <c r="M27" s="7" t="n">
        <f aca="false">IF(OR($E27="",$L27="",N($G27)&lt;=0),"",1-NORMDIST(FLOOR($E27,1)+0.5,$L27,$G27*SQRT($L27/$F27),TRUE()))</f>
        <v>0.80204326788284</v>
      </c>
      <c r="O27" s="7" t="n">
        <f aca="false">IFERROR(INDEX(Calc!$H$2:$H$31,MATCH($Y27,Calc!$A$2:$A$31,0)),"")</f>
        <v>0.73</v>
      </c>
      <c r="P27" s="7" t="n">
        <f aca="false">IFERROR(INDEX(Calc!$M$2:$M$31,MATCH($Y27,Calc!$A$2:$A$31,0)),"")</f>
        <v>0.2986</v>
      </c>
      <c r="Q27" s="0" t="n">
        <v>7</v>
      </c>
      <c r="R27" s="7" t="n">
        <v>1</v>
      </c>
      <c r="S27" s="7" t="n">
        <v>0.7</v>
      </c>
      <c r="T27" s="7" t="n">
        <v>0.73</v>
      </c>
      <c r="U27" s="6" t="s">
        <v>192</v>
      </c>
      <c r="V27" s="0" t="n">
        <v>5</v>
      </c>
      <c r="X27" s="0" t="str">
        <f aca="false">IFERROR(INDEX(Calc!$AH$2:$AH$31,MATCH($Y27,Calc!$A$2:$A$31,0)),"")</f>
        <v>new roster: 0% of his recent games with these teammates</v>
      </c>
      <c r="Y27" s="6" t="s">
        <v>195</v>
      </c>
      <c r="Z27" s="6" t="s">
        <v>124</v>
      </c>
      <c r="AA27" s="0" t="str">
        <f aca="false">Y27&amp;"|"&amp;Z27</f>
        <v>1wrgwhi0wuse7fq|LOL · TL vs LOS|K12</v>
      </c>
    </row>
    <row r="28" customFormat="false" ht="15" hidden="false" customHeight="false" outlineLevel="0" collapsed="false">
      <c r="A28" s="0" t="s">
        <v>86</v>
      </c>
      <c r="B28" s="0" t="s">
        <v>196</v>
      </c>
      <c r="C28" s="0" t="s">
        <v>91</v>
      </c>
      <c r="D28" s="0" t="s">
        <v>121</v>
      </c>
      <c r="E28" s="0" t="n">
        <v>7</v>
      </c>
      <c r="F28" s="8" t="n">
        <f aca="false">IFERROR(INDEX(CHOOSE(MATCH($Z28,{"K1","K12","K13"},0),Calc!$Y$2:$Y$31,Calc!$AA$2:$AA$31,Calc!$AC$2:$AC$31),MATCH($Y28,Calc!$A$2:$A$31,0)),"")</f>
        <v>6.8906128280789</v>
      </c>
      <c r="G28" s="8" t="n">
        <f aca="false">IFERROR(SQRT(INDEX(CHOOSE(MATCH($Z28,{"K1","K12","K13"},0),Calc!$Z$2:$Z$31,Calc!$AB$2:$AB$31,Calc!$AD$2:$AD$31),MATCH($Y28,Calc!$A$2:$A$31,0))),"")</f>
        <v>3.32983605476675</v>
      </c>
      <c r="H28" s="7" t="n">
        <f aca="false">IF(OR($E28="",$F28="",N($G28)&lt;=0),"",1-NORMDIST(FLOOR($E28,1)+0.5,$F28,$G28,TRUE()))</f>
        <v>0.427395807710693</v>
      </c>
      <c r="I28" s="7" t="n">
        <f aca="false">IF($H28="","",NORMDIST(CEILING($E28,1)-0.5,$F28,$G28,TRUE()))</f>
        <v>0.453308418813547</v>
      </c>
      <c r="J28" s="7" t="n">
        <f aca="false">IF($H28="","",MAX(0,1-$H28-$I28))</f>
        <v>0.11929577347576</v>
      </c>
      <c r="K28" s="0" t="str">
        <f aca="false">IF($H28="","",IF($H28&gt;=0.5+Config!$B$8,"OVER",IF($I28&gt;=0.5+Config!$B$8,"UNDER","—")))</f>
        <v>—</v>
      </c>
      <c r="L28" s="8" t="n">
        <f aca="false">IFERROR(INDEX(CHOOSE(MATCH($Z28,{"K1","K12","K13"},0),Calc!$AE$2:$AE$31,Calc!$AF$2:$AF$31,Calc!$AG$2:$AG$31),MATCH($Y28,Calc!$A$2:$A$31,0)),"")</f>
        <v>7.2</v>
      </c>
      <c r="M28" s="7" t="n">
        <f aca="false">IF(OR($E28="",$L28="",N($G28)&lt;=0),"",1-NORMDIST(FLOOR($E28,1)+0.5,$L28,$G28*SQRT($L28/$F28),TRUE()))</f>
        <v>0.464883667474111</v>
      </c>
      <c r="O28" s="7" t="n">
        <f aca="false">IFERROR(INDEX(Calc!$H$2:$H$31,MATCH($Y28,Calc!$A$2:$A$31,0)),"")</f>
        <v>0.77</v>
      </c>
      <c r="P28" s="7" t="n">
        <f aca="false">IFERROR(INDEX(Calc!$M$2:$M$31,MATCH($Y28,Calc!$A$2:$A$31,0)),"")</f>
        <v>0.7014</v>
      </c>
      <c r="Q28" s="0" t="n">
        <v>8.7</v>
      </c>
      <c r="R28" s="7" t="n">
        <v>1</v>
      </c>
      <c r="S28" s="7" t="n">
        <v>0.6</v>
      </c>
      <c r="T28" s="7" t="n">
        <v>0.53</v>
      </c>
      <c r="U28" s="6" t="s">
        <v>192</v>
      </c>
      <c r="V28" s="0" t="n">
        <v>5</v>
      </c>
      <c r="W28" s="0" t="n">
        <v>1</v>
      </c>
      <c r="X28" s="0" t="str">
        <f aca="false">IFERROR(INDEX(Calc!$AH$2:$AH$31,MATCH($Y28,Calc!$A$2:$A$31,0)),"")</f>
        <v>new roster: 0% of his recent games with these teammates</v>
      </c>
      <c r="Y28" s="6" t="s">
        <v>197</v>
      </c>
      <c r="Z28" s="6" t="s">
        <v>124</v>
      </c>
      <c r="AA28" s="0" t="str">
        <f aca="false">Y28&amp;"|"&amp;Z28</f>
        <v>qq49f66td1g1ang|LOL · TL vs LOS|K12</v>
      </c>
    </row>
    <row r="29" customFormat="false" ht="15" hidden="false" customHeight="false" outlineLevel="0" collapsed="false">
      <c r="A29" s="0" t="s">
        <v>86</v>
      </c>
      <c r="B29" s="0" t="s">
        <v>198</v>
      </c>
      <c r="C29" s="0" t="s">
        <v>91</v>
      </c>
      <c r="D29" s="0" t="s">
        <v>121</v>
      </c>
      <c r="E29" s="0" t="n">
        <v>5.5</v>
      </c>
      <c r="F29" s="8" t="n">
        <f aca="false">IFERROR(INDEX(CHOOSE(MATCH($Z29,{"K1","K12","K13"},0),Calc!$Y$2:$Y$31,Calc!$AA$2:$AA$31,Calc!$AC$2:$AC$31),MATCH($Y29,Calc!$A$2:$A$31,0)),"")</f>
        <v>5.55077144484133</v>
      </c>
      <c r="G29" s="8" t="n">
        <f aca="false">IFERROR(SQRT(INDEX(CHOOSE(MATCH($Z29,{"K1","K12","K13"},0),Calc!$Z$2:$Z$31,Calc!$AB$2:$AB$31,Calc!$AD$2:$AD$31),MATCH($Y29,Calc!$A$2:$A$31,0))),"")</f>
        <v>2.93227034885959</v>
      </c>
      <c r="H29" s="7" t="n">
        <f aca="false">IF(OR($E29="",$F29="",N($G29)&lt;=0),"",1-NORMDIST(FLOOR($E29,1)+0.5,$F29,$G29,TRUE()))</f>
        <v>0.506907229400055</v>
      </c>
      <c r="I29" s="7" t="n">
        <f aca="false">IF($H29="","",NORMDIST(CEILING($E29,1)-0.5,$F29,$G29,TRUE()))</f>
        <v>0.493092770599946</v>
      </c>
      <c r="J29" s="7" t="n">
        <f aca="false">IF($H29="","",MAX(0,1-$H29-$I29))</f>
        <v>0</v>
      </c>
      <c r="K29" s="0" t="str">
        <f aca="false">IF($H29="","",IF($H29&gt;=0.5+Config!$B$8,"OVER",IF($I29&gt;=0.5+Config!$B$8,"UNDER","—")))</f>
        <v>—</v>
      </c>
      <c r="L29" s="8" t="n">
        <f aca="false">IFERROR(INDEX(CHOOSE(MATCH($Z29,{"K1","K12","K13"},0),Calc!$AE$2:$AE$31,Calc!$AF$2:$AF$31,Calc!$AG$2:$AG$31),MATCH($Y29,Calc!$A$2:$A$31,0)),"")</f>
        <v>5.8</v>
      </c>
      <c r="M29" s="7" t="n">
        <f aca="false">IF(OR($E29="",$L29="",N($G29)&lt;=0),"",1-NORMDIST(FLOOR($E29,1)+0.5,$L29,$G29*SQRT($L29/$F29),TRUE()))</f>
        <v>0.539862577822771</v>
      </c>
      <c r="O29" s="7" t="n">
        <f aca="false">IFERROR(INDEX(Calc!$H$2:$H$31,MATCH($Y29,Calc!$A$2:$A$31,0)),"")</f>
        <v>0.77</v>
      </c>
      <c r="P29" s="7" t="n">
        <f aca="false">IFERROR(INDEX(Calc!$M$2:$M$31,MATCH($Y29,Calc!$A$2:$A$31,0)),"")</f>
        <v>0.7014</v>
      </c>
      <c r="Q29" s="0" t="n">
        <v>6.4</v>
      </c>
      <c r="R29" s="7" t="n">
        <v>0.6</v>
      </c>
      <c r="S29" s="7" t="n">
        <v>0.5</v>
      </c>
      <c r="T29" s="7" t="n">
        <v>0.53</v>
      </c>
      <c r="U29" s="6" t="s">
        <v>192</v>
      </c>
      <c r="V29" s="0" t="n">
        <v>3</v>
      </c>
      <c r="X29" s="0" t="str">
        <f aca="false">IFERROR(INDEX(Calc!$AH$2:$AH$31,MATCH($Y29,Calc!$A$2:$A$31,0)),"")</f>
        <v>new roster: 0% of his recent games with these teammates</v>
      </c>
      <c r="Y29" s="6" t="s">
        <v>199</v>
      </c>
      <c r="Z29" s="6" t="s">
        <v>124</v>
      </c>
      <c r="AA29" s="0" t="str">
        <f aca="false">Y29&amp;"|"&amp;Z29</f>
        <v>2ol95p2vqnex4vi|LOL · TL vs LOS|K12</v>
      </c>
    </row>
    <row r="30" customFormat="false" ht="15" hidden="false" customHeight="false" outlineLevel="0" collapsed="false">
      <c r="A30" s="0" t="s">
        <v>86</v>
      </c>
      <c r="B30" s="0" t="s">
        <v>200</v>
      </c>
      <c r="C30" s="0" t="s">
        <v>91</v>
      </c>
      <c r="D30" s="0" t="s">
        <v>121</v>
      </c>
      <c r="E30" s="0" t="n">
        <v>8.5</v>
      </c>
      <c r="F30" s="8" t="n">
        <f aca="false">IFERROR(INDEX(CHOOSE(MATCH($Z30,{"K1","K12","K13"},0),Calc!$Y$2:$Y$31,Calc!$AA$2:$AA$31,Calc!$AC$2:$AC$31),MATCH($Y30,Calc!$A$2:$A$31,0)),"")</f>
        <v>8.61326603509862</v>
      </c>
      <c r="G30" s="8" t="n">
        <f aca="false">IFERROR(SQRT(INDEX(CHOOSE(MATCH($Z30,{"K1","K12","K13"},0),Calc!$Z$2:$Z$31,Calc!$AB$2:$AB$31,Calc!$AD$2:$AD$31),MATCH($Y30,Calc!$A$2:$A$31,0))),"")</f>
        <v>3.81121880446483</v>
      </c>
      <c r="H30" s="7" t="n">
        <f aca="false">IF(OR($E30="",$F30="",N($G30)&lt;=0),"",1-NORMDIST(FLOOR($E30,1)+0.5,$F30,$G30,TRUE()))</f>
        <v>0.511854464902649</v>
      </c>
      <c r="I30" s="7" t="n">
        <f aca="false">IF($H30="","",NORMDIST(CEILING($E30,1)-0.5,$F30,$G30,TRUE()))</f>
        <v>0.488145535097351</v>
      </c>
      <c r="J30" s="7" t="n">
        <f aca="false">IF($H30="","",MAX(0,1-$H30-$I30))</f>
        <v>0</v>
      </c>
      <c r="K30" s="0" t="str">
        <f aca="false">IF($H30="","",IF($H30&gt;=0.5+Config!$B$8,"OVER",IF($I30&gt;=0.5+Config!$B$8,"UNDER","—")))</f>
        <v>—</v>
      </c>
      <c r="L30" s="8" t="n">
        <f aca="false">IFERROR(INDEX(CHOOSE(MATCH($Z30,{"K1","K12","K13"},0),Calc!$AE$2:$AE$31,Calc!$AF$2:$AF$31,Calc!$AG$2:$AG$31),MATCH($Y30,Calc!$A$2:$A$31,0)),"")</f>
        <v>9</v>
      </c>
      <c r="M30" s="7" t="n">
        <f aca="false">IF(OR($E30="",$L30="",N($G30)&lt;=0),"",1-NORMDIST(FLOOR($E30,1)+0.5,$L30,$G30*SQRT($L30/$F30),TRUE()))</f>
        <v>0.551060835041651</v>
      </c>
      <c r="O30" s="7" t="n">
        <f aca="false">IFERROR(INDEX(Calc!$H$2:$H$31,MATCH($Y30,Calc!$A$2:$A$31,0)),"")</f>
        <v>0.77</v>
      </c>
      <c r="P30" s="7" t="n">
        <f aca="false">IFERROR(INDEX(Calc!$M$2:$M$31,MATCH($Y30,Calc!$A$2:$A$31,0)),"")</f>
        <v>0.7014</v>
      </c>
      <c r="Q30" s="0" t="n">
        <v>9.6</v>
      </c>
      <c r="R30" s="7" t="n">
        <v>0.6</v>
      </c>
      <c r="S30" s="7" t="n">
        <v>0.6</v>
      </c>
      <c r="T30" s="7" t="n">
        <v>0.73</v>
      </c>
      <c r="U30" s="6" t="s">
        <v>192</v>
      </c>
      <c r="V30" s="0" t="n">
        <v>-1</v>
      </c>
      <c r="X30" s="0" t="str">
        <f aca="false">IFERROR(INDEX(Calc!$AH$2:$AH$31,MATCH($Y30,Calc!$A$2:$A$31,0)),"")</f>
        <v>new roster: 0% of his recent games with these teammates</v>
      </c>
      <c r="Y30" s="6" t="s">
        <v>201</v>
      </c>
      <c r="Z30" s="6" t="s">
        <v>124</v>
      </c>
      <c r="AA30" s="0" t="str">
        <f aca="false">Y30&amp;"|"&amp;Z30</f>
        <v>i3s02n3914ztm0s|LOL · TL vs LOS|K12</v>
      </c>
    </row>
    <row r="31" customFormat="false" ht="15" hidden="false" customHeight="false" outlineLevel="0" collapsed="false">
      <c r="A31" s="0" t="s">
        <v>86</v>
      </c>
      <c r="B31" s="0" t="s">
        <v>202</v>
      </c>
      <c r="C31" s="0" t="s">
        <v>91</v>
      </c>
      <c r="D31" s="0" t="s">
        <v>121</v>
      </c>
      <c r="E31" s="0" t="n">
        <v>9</v>
      </c>
      <c r="F31" s="8" t="n">
        <f aca="false">IFERROR(INDEX(CHOOSE(MATCH($Z31,{"K1","K12","K13"},0),Calc!$Y$2:$Y$31,Calc!$AA$2:$AA$31,Calc!$AC$2:$AC$31),MATCH($Y31,Calc!$A$2:$A$31,0)),"")</f>
        <v>8.42186012320754</v>
      </c>
      <c r="G31" s="8" t="n">
        <f aca="false">IFERROR(SQRT(INDEX(CHOOSE(MATCH($Z31,{"K1","K12","K13"},0),Calc!$Z$2:$Z$31,Calc!$AB$2:$AB$31,Calc!$AD$2:$AD$31),MATCH($Y31,Calc!$A$2:$A$31,0))),"")</f>
        <v>3.75902742127144</v>
      </c>
      <c r="H31" s="7" t="n">
        <f aca="false">IF(OR($E31="",$F31="",N($G31)&lt;=0),"",1-NORMDIST(FLOOR($E31,1)+0.5,$F31,$G31,TRUE()))</f>
        <v>0.387127556094013</v>
      </c>
      <c r="I31" s="7" t="n">
        <f aca="false">IF($H31="","",NORMDIST(CEILING($E31,1)-0.5,$F31,$G31,TRUE()))</f>
        <v>0.5082923193263</v>
      </c>
      <c r="J31" s="7" t="n">
        <f aca="false">IF($H31="","",MAX(0,1-$H31-$I31))</f>
        <v>0.104580124579687</v>
      </c>
      <c r="K31" s="0" t="str">
        <f aca="false">IF($H31="","",IF($H31&gt;=0.5+Config!$B$8,"OVER",IF($I31&gt;=0.5+Config!$B$8,"UNDER","—")))</f>
        <v>—</v>
      </c>
      <c r="L31" s="8" t="n">
        <f aca="false">IFERROR(INDEX(CHOOSE(MATCH($Z31,{"K1","K12","K13"},0),Calc!$AE$2:$AE$31,Calc!$AF$2:$AF$31,Calc!$AG$2:$AG$31),MATCH($Y31,Calc!$A$2:$A$31,0)),"")</f>
        <v>8.8</v>
      </c>
      <c r="M31" s="7" t="n">
        <f aca="false">IF(OR($E31="",$L31="",N($G31)&lt;=0),"",1-NORMDIST(FLOOR($E31,1)+0.5,$L31,$G31*SQRT($L31/$F31),TRUE()))</f>
        <v>0.427723281189969</v>
      </c>
      <c r="O31" s="7" t="n">
        <f aca="false">IFERROR(INDEX(Calc!$H$2:$H$31,MATCH($Y31,Calc!$A$2:$A$31,0)),"")</f>
        <v>0.77</v>
      </c>
      <c r="P31" s="7" t="n">
        <f aca="false">IFERROR(INDEX(Calc!$M$2:$M$31,MATCH($Y31,Calc!$A$2:$A$31,0)),"")</f>
        <v>0.7014</v>
      </c>
      <c r="Q31" s="0" t="n">
        <v>9.3</v>
      </c>
      <c r="R31" s="7" t="n">
        <v>0.4</v>
      </c>
      <c r="S31" s="7" t="n">
        <v>0.6</v>
      </c>
      <c r="T31" s="7" t="n">
        <v>0.6</v>
      </c>
      <c r="U31" s="6" t="s">
        <v>192</v>
      </c>
      <c r="V31" s="0" t="n">
        <v>1</v>
      </c>
      <c r="W31" s="0" t="n">
        <v>1</v>
      </c>
      <c r="X31" s="0" t="str">
        <f aca="false">IFERROR(INDEX(Calc!$AH$2:$AH$31,MATCH($Y31,Calc!$A$2:$A$31,0)),"")</f>
        <v>new roster: 0% of his recent games with these teammates</v>
      </c>
      <c r="Y31" s="6" t="s">
        <v>203</v>
      </c>
      <c r="Z31" s="6" t="s">
        <v>124</v>
      </c>
      <c r="AA31" s="0" t="str">
        <f aca="false">Y31&amp;"|"&amp;Z31</f>
        <v>3veg6sl2qg2nwcd|LOL · TL vs LOS|K12</v>
      </c>
    </row>
  </sheetData>
  <autoFilter ref="A1:AA31"/>
  <conditionalFormatting sqref="H2:H31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204</v>
      </c>
      <c r="B1" s="9" t="s">
        <v>62</v>
      </c>
      <c r="C1" s="9" t="s">
        <v>40</v>
      </c>
      <c r="D1" s="9" t="s">
        <v>41</v>
      </c>
      <c r="E1" s="9" t="s">
        <v>205</v>
      </c>
      <c r="F1" s="9" t="s">
        <v>206</v>
      </c>
      <c r="G1" s="9" t="s">
        <v>207</v>
      </c>
      <c r="H1" s="9" t="s">
        <v>208</v>
      </c>
      <c r="I1" s="9" t="s">
        <v>43</v>
      </c>
      <c r="J1" s="9" t="s">
        <v>44</v>
      </c>
      <c r="K1" s="9" t="s">
        <v>45</v>
      </c>
      <c r="L1" s="9" t="s">
        <v>209</v>
      </c>
      <c r="M1" s="9" t="s">
        <v>210</v>
      </c>
      <c r="N1" s="9" t="s">
        <v>211</v>
      </c>
      <c r="O1" s="9" t="s">
        <v>212</v>
      </c>
      <c r="P1" s="9" t="s">
        <v>213</v>
      </c>
      <c r="Q1" s="9" t="s">
        <v>214</v>
      </c>
      <c r="R1" s="9" t="s">
        <v>215</v>
      </c>
      <c r="S1" s="9" t="s">
        <v>216</v>
      </c>
      <c r="T1" s="9" t="s">
        <v>217</v>
      </c>
      <c r="U1" s="9" t="s">
        <v>218</v>
      </c>
      <c r="V1" s="9" t="s">
        <v>219</v>
      </c>
      <c r="W1" s="9" t="s">
        <v>220</v>
      </c>
      <c r="X1" s="9" t="s">
        <v>221</v>
      </c>
      <c r="Y1" s="9" t="s">
        <v>222</v>
      </c>
      <c r="Z1" s="9" t="s">
        <v>223</v>
      </c>
      <c r="AA1" s="9" t="s">
        <v>124</v>
      </c>
      <c r="AB1" s="9" t="s">
        <v>224</v>
      </c>
      <c r="AC1" s="9" t="s">
        <v>225</v>
      </c>
      <c r="AD1" s="9" t="s">
        <v>226</v>
      </c>
      <c r="AE1" s="9" t="s">
        <v>227</v>
      </c>
      <c r="AF1" s="9" t="s">
        <v>228</v>
      </c>
      <c r="AG1" s="9" t="s">
        <v>229</v>
      </c>
      <c r="AH1" s="9" t="s">
        <v>57</v>
      </c>
      <c r="AI1" s="9" t="s">
        <v>230</v>
      </c>
      <c r="AJ1" s="9" t="s">
        <v>231</v>
      </c>
      <c r="AK1" s="9" t="s">
        <v>232</v>
      </c>
    </row>
    <row r="2" customFormat="false" ht="15" hidden="false" customHeight="false" outlineLevel="0" collapsed="false">
      <c r="A2" s="0" t="s">
        <v>123</v>
      </c>
      <c r="B2" s="0" t="s">
        <v>80</v>
      </c>
      <c r="C2" s="0" t="s">
        <v>85</v>
      </c>
      <c r="D2" s="0" t="s">
        <v>120</v>
      </c>
      <c r="E2" s="0" t="s">
        <v>233</v>
      </c>
      <c r="F2" s="0" t="str">
        <f aca="false">IFERROR(IF($C2=INDEX(Matches!$S$5:$S$8,MATCH($B2,Matches!$A$5:$A$8,0)),"A",IF($C2=INDEX(Matches!$T$5:$T$8,MATCH($B2,Matches!$A$5:$A$8,0)),"B","")),"")</f>
        <v>B</v>
      </c>
      <c r="G2" s="0" t="n">
        <f aca="false">IFERROR(INDEX(Players!$E$2:$E$31,MATCH($E2,Players!$A$2:$A$31,0)),0)</f>
        <v>30</v>
      </c>
      <c r="H2" s="7" t="n">
        <f aca="false">IFERROR(INDEX(Players!$F$2:$F$31,MATCH($E2,Players!$A$2:$A$31,0)),"")</f>
        <v>0.4</v>
      </c>
      <c r="I2" s="6" t="n">
        <f aca="false">IFERROR(INDEX(Players!$G$2:$G$31,MATCH($E2,Players!$A$2:$A$31,0)),"")</f>
        <v>3.2</v>
      </c>
      <c r="J2" s="12" t="n">
        <f aca="false">IF(OR($I2="",$H2=""),"",$I2*IF(LEFT($B2,4)="DOTA",Config!$B$5,Config!$B$4)/($H2*IF(LEFT($B2,4)="DOTA",Config!$B$5,Config!$B$4)+1-$H2))</f>
        <v>4.3302752293578</v>
      </c>
      <c r="K2" s="12" t="n">
        <f aca="false">IF(OR($I2="",$H2=""),"",$I2/($H2*IF(LEFT($B2,4)="DOTA",Config!$B$5,Config!$B$4)+1-$H2))</f>
        <v>2.44648318042813</v>
      </c>
      <c r="L2" s="6" t="n">
        <f aca="false">IFERROR(INDEX(Matches!$R$5:$R$8,MATCH($B2,Matches!$A$5:$A$8,0)),1)</f>
        <v>1</v>
      </c>
      <c r="M2" s="7" t="n">
        <f aca="false">IFERROR(IF(INDEX(Matches!$M$5:$M$8,MATCH($B2,Matches!$A$5:$A$8,0))="","",IF($F2="A",INDEX(Matches!$M$5:$M$8,MATCH($B2,Matches!$A$5:$A$8,0)),1-INDEX(Matches!$M$5:$M$8,MATCH($B2,Matches!$A$5:$A$8,0)))),"")</f>
        <v>0.5608</v>
      </c>
      <c r="N2" s="6" t="n">
        <f aca="false">1</f>
        <v>1</v>
      </c>
      <c r="O2" s="12" t="n">
        <f aca="false">IF(OR($M2="",$J2=""),"",$L2*($M2*$J2+(1-$M2)*$K2))</f>
        <v>3.50291376146789</v>
      </c>
      <c r="P2" s="6" t="n">
        <f aca="false">IF($O2="","",IF(LEFT($B2,4)="DOTA",Config!$B$7,Config!$B$6)*$O2+$L2^2*$M2*(1-$M2)*($J2-$K2)^2)</f>
        <v>7.31941127735376</v>
      </c>
      <c r="Q2" s="7" t="n">
        <f aca="false">IFERROR(IF(INDEX(Matches!$N$5:$N$8,MATCH($B2,Matches!$A$5:$A$8,0))="","",IF($F2="A",INDEX(Matches!$N$5:$N$8,MATCH($B2,Matches!$A$5:$A$8,0)),1-INDEX(Matches!$N$5:$N$8,MATCH($B2,Matches!$A$5:$A$8,0)))),"")</f>
        <v>0.5608</v>
      </c>
      <c r="R2" s="6" t="n">
        <f aca="false">IFERROR(N(INDEX(Matches!$P$5:$P$8,MATCH($B2,Matches!$A$5:$A$8,0))),0)</f>
        <v>1</v>
      </c>
      <c r="S2" s="12" t="n">
        <f aca="false">IF(OR($Q2="",$J2=""),"",$L2*($Q2*$J2+(1-$Q2)*$K2))</f>
        <v>3.50291376146789</v>
      </c>
      <c r="T2" s="6" t="n">
        <f aca="false">IF($S2="","",IF(LEFT($B2,4)="DOTA",Config!$B$7,Config!$B$6)*$S2+$L2^2*$Q2*(1-$Q2)*($J2-$K2)^2)</f>
        <v>7.31941127735376</v>
      </c>
      <c r="U2" s="7" t="n">
        <f aca="false">IFERROR(IF(INDEX(Matches!$O$5:$O$8,MATCH($B2,Matches!$A$5:$A$8,0))="","",IF($F2="A",INDEX(Matches!$O$5:$O$8,MATCH($B2,Matches!$A$5:$A$8,0)),1-INDEX(Matches!$O$5:$O$8,MATCH($B2,Matches!$A$5:$A$8,0)))),"")</f>
        <v>0.5907</v>
      </c>
      <c r="V2" s="6" t="n">
        <f aca="false">IFERROR(N(INDEX(Matches!$Q$5:$Q$8,MATCH($B2,Matches!$A$5:$A$8,0))),0)</f>
        <v>0.491</v>
      </c>
      <c r="W2" s="12" t="n">
        <f aca="false">IF(OR($U2="",$J2=""),"",$L2*($U2*$J2+(1-$U2)*$K2))</f>
        <v>3.55923914373089</v>
      </c>
      <c r="X2" s="6" t="n">
        <f aca="false">IF($W2="","",IF(LEFT($B2,4)="DOTA",Config!$B$7,Config!$B$6)*$W2+$L2^2*$U2*(1-$U2)*($J2-$K2)^2)</f>
        <v>7.40697502666779</v>
      </c>
      <c r="Y2" s="12" t="n">
        <f aca="false">IF($O2="","",$O2)</f>
        <v>3.50291376146789</v>
      </c>
      <c r="Z2" s="6" t="n">
        <f aca="false">IF($P2="","",$P2)</f>
        <v>7.31941127735376</v>
      </c>
      <c r="AA2" s="12" t="n">
        <f aca="false">IF($O2="","",N($N2)*N($O2)+N($R2)*N($S2))</f>
        <v>7.00582752293578</v>
      </c>
      <c r="AB2" s="6" t="n">
        <f aca="false">IF($O2="","",(N($N2)*N($P2)+N($N2)*(1-N($N2))*N($O2)^2)+(N($R2)*N($T2)+N($R2)*(1-N($R2))*N($S2)^2))</f>
        <v>14.6388225547075</v>
      </c>
      <c r="AC2" s="12" t="n">
        <f aca="false">IF($O2="","",N($N2)*N($O2)+N($R2)*N($S2)+N($V2)*N($W2))</f>
        <v>8.75341394250765</v>
      </c>
      <c r="AD2" s="6" t="n">
        <f aca="false">IF($O2="","",(N($N2)*N($P2)+N($N2)*(1-N($N2))*N($O2)^2)+(N($R2)*N($T2)+N($R2)*(1-N($R2))*N($S2)^2)+(N($V2)*N($X2)+N($V2)*(1-N($V2))*N($W2)^2))</f>
        <v>21.4416669905221</v>
      </c>
      <c r="AE2" s="12" t="n">
        <f aca="false">IF($I2="","",$I2*$L2)</f>
        <v>3.2</v>
      </c>
      <c r="AF2" s="12" t="n">
        <f aca="false">IF($I2="","",$I2*$L2*(1+N($R2)))</f>
        <v>6.4</v>
      </c>
      <c r="AG2" s="12" t="n">
        <f aca="false">IF($I2="","",$I2*$L2*(1+N($R2)+N($V2)))</f>
        <v>7.9712</v>
      </c>
      <c r="AH2" s="0" t="str">
        <f aca="false">TRIM(IF($G2&lt;Config!$B$9,"thin sample ("&amp;$G2&amp;" maps) · ","")&amp;IF($I2="","no PickFinder stats · ","")&amp;IFERROR(IF(INDEX(Players!$T$2:$T$31,MATCH($E2,Players!$A$2:$A$31,0))&lt;0.5,"new roster: "&amp;TEXT(INDEX(Players!$T$2:$T$31,MATCH($E2,Players!$A$2:$A$31,0)),"0%")&amp;" of his recent games with these teammates",""),""))</f>
        <v>new roster: 0% of his recent games with these teammates</v>
      </c>
      <c r="AI2" s="0" t="str">
        <f aca="false">IF($B2=Board!$B$2,COUNTIFS($B$2:$B$31,Board!$B$2,$Y$2:$Y$31,"&gt;"&amp;$Y2)+COUNTIFS($B$1:$B1,Board!$B$2,$Y$1:$Y1,$Y2)+1,"")</f>
        <v/>
      </c>
      <c r="AJ2" s="0" t="str">
        <f aca="false">IFERROR(IF(INDEX(Matches!$D$5:$D$8,MATCH($B2,Matches!$A$5:$A$8,0))=3,"K12","K13"),"K13")</f>
        <v>K12</v>
      </c>
      <c r="AK2" s="12" t="n">
        <f aca="false">IF($AJ2="K12",$AA2,$AC2)</f>
        <v>7.00582752293578</v>
      </c>
    </row>
    <row r="3" customFormat="false" ht="15" hidden="false" customHeight="false" outlineLevel="0" collapsed="false">
      <c r="A3" s="0" t="s">
        <v>127</v>
      </c>
      <c r="B3" s="0" t="s">
        <v>80</v>
      </c>
      <c r="C3" s="0" t="s">
        <v>85</v>
      </c>
      <c r="D3" s="0" t="s">
        <v>125</v>
      </c>
      <c r="E3" s="0" t="s">
        <v>234</v>
      </c>
      <c r="F3" s="0" t="str">
        <f aca="false">IFERROR(IF($C3=INDEX(Matches!$S$5:$S$8,MATCH($B3,Matches!$A$5:$A$8,0)),"A",IF($C3=INDEX(Matches!$T$5:$T$8,MATCH($B3,Matches!$A$5:$A$8,0)),"B","")),"")</f>
        <v>B</v>
      </c>
      <c r="G3" s="0" t="n">
        <f aca="false">IFERROR(INDEX(Players!$E$2:$E$31,MATCH($E3,Players!$A$2:$A$31,0)),0)</f>
        <v>30</v>
      </c>
      <c r="H3" s="7" t="n">
        <f aca="false">IFERROR(INDEX(Players!$F$2:$F$31,MATCH($E3,Players!$A$2:$A$31,0)),"")</f>
        <v>0.5</v>
      </c>
      <c r="I3" s="6" t="n">
        <f aca="false">IFERROR(INDEX(Players!$G$2:$G$31,MATCH($E3,Players!$A$2:$A$31,0)),"")</f>
        <v>6.4</v>
      </c>
      <c r="J3" s="12" t="n">
        <f aca="false">IF(OR($I3="",$H3=""),"",$I3*IF(LEFT($B3,4)="DOTA",Config!$B$5,Config!$B$4)/($H3*IF(LEFT($B3,4)="DOTA",Config!$B$5,Config!$B$4)+1-$H3))</f>
        <v>8.17906137184116</v>
      </c>
      <c r="K3" s="12" t="n">
        <f aca="false">IF(OR($I3="",$H3=""),"",$I3/($H3*IF(LEFT($B3,4)="DOTA",Config!$B$5,Config!$B$4)+1-$H3))</f>
        <v>4.62093862815885</v>
      </c>
      <c r="L3" s="6" t="n">
        <f aca="false">IFERROR(INDEX(Matches!$R$5:$R$8,MATCH($B3,Matches!$A$5:$A$8,0)),1)</f>
        <v>1</v>
      </c>
      <c r="M3" s="7" t="n">
        <f aca="false">IFERROR(IF(INDEX(Matches!$M$5:$M$8,MATCH($B3,Matches!$A$5:$A$8,0))="","",IF($F3="A",INDEX(Matches!$M$5:$M$8,MATCH($B3,Matches!$A$5:$A$8,0)),1-INDEX(Matches!$M$5:$M$8,MATCH($B3,Matches!$A$5:$A$8,0)))),"")</f>
        <v>0.5608</v>
      </c>
      <c r="N3" s="6" t="n">
        <f aca="false">1</f>
        <v>1</v>
      </c>
      <c r="O3" s="12" t="n">
        <f aca="false">IF(OR($M3="",$J3=""),"",$L3*($M3*$J3+(1-$M3)*$K3))</f>
        <v>6.61633386281588</v>
      </c>
      <c r="P3" s="6" t="n">
        <f aca="false">IF($O3="","",IF(LEFT($B3,4)="DOTA",Config!$B$7,Config!$B$6)*$O3+$L3^2*$M3*(1-$M3)*($J3-$K3)^2)</f>
        <v>15.2923133321577</v>
      </c>
      <c r="Q3" s="7" t="n">
        <f aca="false">IFERROR(IF(INDEX(Matches!$N$5:$N$8,MATCH($B3,Matches!$A$5:$A$8,0))="","",IF($F3="A",INDEX(Matches!$N$5:$N$8,MATCH($B3,Matches!$A$5:$A$8,0)),1-INDEX(Matches!$N$5:$N$8,MATCH($B3,Matches!$A$5:$A$8,0)))),"")</f>
        <v>0.5608</v>
      </c>
      <c r="R3" s="6" t="n">
        <f aca="false">IFERROR(N(INDEX(Matches!$P$5:$P$8,MATCH($B3,Matches!$A$5:$A$8,0))),0)</f>
        <v>1</v>
      </c>
      <c r="S3" s="12" t="n">
        <f aca="false">IF(OR($Q3="",$J3=""),"",$L3*($Q3*$J3+(1-$Q3)*$K3))</f>
        <v>6.61633386281588</v>
      </c>
      <c r="T3" s="6" t="n">
        <f aca="false">IF($S3="","",IF(LEFT($B3,4)="DOTA",Config!$B$7,Config!$B$6)*$S3+$L3^2*$Q3*(1-$Q3)*($J3-$K3)^2)</f>
        <v>15.2923133321577</v>
      </c>
      <c r="U3" s="7" t="n">
        <f aca="false">IFERROR(IF(INDEX(Matches!$O$5:$O$8,MATCH($B3,Matches!$A$5:$A$8,0))="","",IF($F3="A",INDEX(Matches!$O$5:$O$8,MATCH($B3,Matches!$A$5:$A$8,0)),1-INDEX(Matches!$O$5:$O$8,MATCH($B3,Matches!$A$5:$A$8,0)))),"")</f>
        <v>0.5907</v>
      </c>
      <c r="V3" s="6" t="n">
        <f aca="false">IFERROR(N(INDEX(Matches!$Q$5:$Q$8,MATCH($B3,Matches!$A$5:$A$8,0))),0)</f>
        <v>0.491</v>
      </c>
      <c r="W3" s="12" t="n">
        <f aca="false">IF(OR($U3="",$J3=""),"",$L3*($U3*$J3+(1-$U3)*$K3))</f>
        <v>6.72272173285199</v>
      </c>
      <c r="X3" s="6" t="n">
        <f aca="false">IF($W3="","",IF(LEFT($B3,4)="DOTA",Config!$B$7,Config!$B$6)*$W3+$L3^2*$U3*(1-$U3)*($J3-$K3)^2)</f>
        <v>15.43071803637</v>
      </c>
      <c r="Y3" s="12" t="n">
        <f aca="false">IF($O3="","",$O3)</f>
        <v>6.61633386281588</v>
      </c>
      <c r="Z3" s="6" t="n">
        <f aca="false">IF($P3="","",$P3)</f>
        <v>15.2923133321577</v>
      </c>
      <c r="AA3" s="12" t="n">
        <f aca="false">IF($O3="","",N($N3)*N($O3)+N($R3)*N($S3))</f>
        <v>13.2326677256318</v>
      </c>
      <c r="AB3" s="6" t="n">
        <f aca="false">IF($O3="","",(N($N3)*N($P3)+N($N3)*(1-N($N3))*N($O3)^2)+(N($R3)*N($T3)+N($R3)*(1-N($R3))*N($S3)^2))</f>
        <v>30.5846266643154</v>
      </c>
      <c r="AC3" s="12" t="n">
        <f aca="false">IF($O3="","",N($N3)*N($O3)+N($R3)*N($S3)+N($V3)*N($W3))</f>
        <v>16.5335240964621</v>
      </c>
      <c r="AD3" s="6" t="n">
        <f aca="false">IF($O3="","",(N($N3)*N($P3)+N($N3)*(1-N($N3))*N($O3)^2)+(N($R3)*N($T3)+N($R3)*(1-N($R3))*N($S3)^2)+(N($V3)*N($X3)+N($V3)*(1-N($V3))*N($W3)^2))</f>
        <v>49.4561953005259</v>
      </c>
      <c r="AE3" s="12" t="n">
        <f aca="false">IF($I3="","",$I3*$L3)</f>
        <v>6.4</v>
      </c>
      <c r="AF3" s="12" t="n">
        <f aca="false">IF($I3="","",$I3*$L3*(1+N($R3)))</f>
        <v>12.8</v>
      </c>
      <c r="AG3" s="12" t="n">
        <f aca="false">IF($I3="","",$I3*$L3*(1+N($R3)+N($V3)))</f>
        <v>15.9424</v>
      </c>
      <c r="AH3" s="0" t="str">
        <f aca="false">TRIM(IF($G3&lt;Config!$B$9,"thin sample ("&amp;$G3&amp;" maps) · ","")&amp;IF($I3="","no PickFinder stats · ","")&amp;IFERROR(IF(INDEX(Players!$T$2:$T$31,MATCH($E3,Players!$A$2:$A$31,0))&lt;0.5,"new roster: "&amp;TEXT(INDEX(Players!$T$2:$T$31,MATCH($E3,Players!$A$2:$A$31,0)),"0%")&amp;" of his recent games with these teammates",""),""))</f>
        <v>new roster: 0% of his recent games with these teammates</v>
      </c>
      <c r="AI3" s="0" t="str">
        <f aca="false">IF($B3=Board!$B$2,COUNTIFS($B$2:$B$31,Board!$B$2,$Y$2:$Y$31,"&gt;"&amp;$Y3)+COUNTIFS($B$1:$B2,Board!$B$2,$Y$1:$Y2,$Y3)+1,"")</f>
        <v/>
      </c>
      <c r="AJ3" s="0" t="str">
        <f aca="false">IFERROR(IF(INDEX(Matches!$D$5:$D$8,MATCH($B3,Matches!$A$5:$A$8,0))=3,"K12","K13"),"K13")</f>
        <v>K12</v>
      </c>
      <c r="AK3" s="12" t="n">
        <f aca="false">IF($AJ3="K12",$AA3,$AC3)</f>
        <v>13.2326677256318</v>
      </c>
    </row>
    <row r="4" customFormat="false" ht="15" hidden="false" customHeight="false" outlineLevel="0" collapsed="false">
      <c r="A4" s="0" t="s">
        <v>130</v>
      </c>
      <c r="B4" s="0" t="s">
        <v>80</v>
      </c>
      <c r="C4" s="0" t="s">
        <v>85</v>
      </c>
      <c r="D4" s="0" t="s">
        <v>128</v>
      </c>
      <c r="E4" s="0" t="s">
        <v>235</v>
      </c>
      <c r="F4" s="0" t="str">
        <f aca="false">IFERROR(IF($C4=INDEX(Matches!$S$5:$S$8,MATCH($B4,Matches!$A$5:$A$8,0)),"A",IF($C4=INDEX(Matches!$T$5:$T$8,MATCH($B4,Matches!$A$5:$A$8,0)),"B","")),"")</f>
        <v>B</v>
      </c>
      <c r="G4" s="0" t="n">
        <f aca="false">IFERROR(INDEX(Players!$E$2:$E$31,MATCH($E4,Players!$A$2:$A$31,0)),0)</f>
        <v>30</v>
      </c>
      <c r="H4" s="7" t="n">
        <f aca="false">IFERROR(INDEX(Players!$F$2:$F$31,MATCH($E4,Players!$A$2:$A$31,0)),"")</f>
        <v>0.47</v>
      </c>
      <c r="I4" s="6" t="n">
        <f aca="false">IFERROR(INDEX(Players!$G$2:$G$31,MATCH($E4,Players!$A$2:$A$31,0)),"")</f>
        <v>8.3</v>
      </c>
      <c r="J4" s="12" t="n">
        <f aca="false">IF(OR($I4="",$H4=""),"",$I4*IF(LEFT($B4,4)="DOTA",Config!$B$5,Config!$B$4)/($H4*IF(LEFT($B4,4)="DOTA",Config!$B$5,Config!$B$4)+1-$H4))</f>
        <v>10.7871356193553</v>
      </c>
      <c r="K4" s="12" t="n">
        <f aca="false">IF(OR($I4="",$H4=""),"",$I4/($H4*IF(LEFT($B4,4)="DOTA",Config!$B$5,Config!$B$4)+1-$H4))</f>
        <v>6.09442690359057</v>
      </c>
      <c r="L4" s="6" t="n">
        <f aca="false">IFERROR(INDEX(Matches!$R$5:$R$8,MATCH($B4,Matches!$A$5:$A$8,0)),1)</f>
        <v>1</v>
      </c>
      <c r="M4" s="7" t="n">
        <f aca="false">IFERROR(IF(INDEX(Matches!$M$5:$M$8,MATCH($B4,Matches!$A$5:$A$8,0))="","",IF($F4="A",INDEX(Matches!$M$5:$M$8,MATCH($B4,Matches!$A$5:$A$8,0)),1-INDEX(Matches!$M$5:$M$8,MATCH($B4,Matches!$A$5:$A$8,0)))),"")</f>
        <v>0.5608</v>
      </c>
      <c r="N4" s="6" t="n">
        <f aca="false">1</f>
        <v>1</v>
      </c>
      <c r="O4" s="12" t="n">
        <f aca="false">IF(OR($M4="",$J4=""),"",$L4*($M4*$J4+(1-$M4)*$K4))</f>
        <v>8.72609795139144</v>
      </c>
      <c r="P4" s="6" t="n">
        <f aca="false">IF($O4="","",IF(LEFT($B4,4)="DOTA",Config!$B$7,Config!$B$6)*$O4+$L4^2*$M4*(1-$M4)*($J4-$K4)^2)</f>
        <v>21.4799933897678</v>
      </c>
      <c r="Q4" s="7" t="n">
        <f aca="false">IFERROR(IF(INDEX(Matches!$N$5:$N$8,MATCH($B4,Matches!$A$5:$A$8,0))="","",IF($F4="A",INDEX(Matches!$N$5:$N$8,MATCH($B4,Matches!$A$5:$A$8,0)),1-INDEX(Matches!$N$5:$N$8,MATCH($B4,Matches!$A$5:$A$8,0)))),"")</f>
        <v>0.5608</v>
      </c>
      <c r="R4" s="6" t="n">
        <f aca="false">IFERROR(N(INDEX(Matches!$P$5:$P$8,MATCH($B4,Matches!$A$5:$A$8,0))),0)</f>
        <v>1</v>
      </c>
      <c r="S4" s="12" t="n">
        <f aca="false">IF(OR($Q4="",$J4=""),"",$L4*($Q4*$J4+(1-$Q4)*$K4))</f>
        <v>8.72609795139144</v>
      </c>
      <c r="T4" s="6" t="n">
        <f aca="false">IF($S4="","",IF(LEFT($B4,4)="DOTA",Config!$B$7,Config!$B$6)*$S4+$L4^2*$Q4*(1-$Q4)*($J4-$K4)^2)</f>
        <v>21.4799933897678</v>
      </c>
      <c r="U4" s="7" t="n">
        <f aca="false">IFERROR(IF(INDEX(Matches!$O$5:$O$8,MATCH($B4,Matches!$A$5:$A$8,0))="","",IF($F4="A",INDEX(Matches!$O$5:$O$8,MATCH($B4,Matches!$A$5:$A$8,0)),1-INDEX(Matches!$O$5:$O$8,MATCH($B4,Matches!$A$5:$A$8,0)))),"")</f>
        <v>0.5907</v>
      </c>
      <c r="V4" s="6" t="n">
        <f aca="false">IFERROR(N(INDEX(Matches!$Q$5:$Q$8,MATCH($B4,Matches!$A$5:$A$8,0))),0)</f>
        <v>0.491</v>
      </c>
      <c r="W4" s="12" t="n">
        <f aca="false">IF(OR($U4="",$J4=""),"",$L4*($U4*$J4+(1-$U4)*$K4))</f>
        <v>8.8664099419928</v>
      </c>
      <c r="X4" s="6" t="n">
        <f aca="false">IF($W4="","",IF(LEFT($B4,4)="DOTA",Config!$B$7,Config!$B$6)*$W4+$L4^2*$U4*(1-$U4)*($J4-$K4)^2)</f>
        <v>21.6384132923393</v>
      </c>
      <c r="Y4" s="12" t="n">
        <f aca="false">IF($O4="","",$O4)</f>
        <v>8.72609795139144</v>
      </c>
      <c r="Z4" s="6" t="n">
        <f aca="false">IF($P4="","",$P4)</f>
        <v>21.4799933897678</v>
      </c>
      <c r="AA4" s="12" t="n">
        <f aca="false">IF($O4="","",N($N4)*N($O4)+N($R4)*N($S4))</f>
        <v>17.4521959027829</v>
      </c>
      <c r="AB4" s="6" t="n">
        <f aca="false">IF($O4="","",(N($N4)*N($P4)+N($N4)*(1-N($N4))*N($O4)^2)+(N($R4)*N($T4)+N($R4)*(1-N($R4))*N($S4)^2))</f>
        <v>42.9599867795356</v>
      </c>
      <c r="AC4" s="12" t="n">
        <f aca="false">IF($O4="","",N($N4)*N($O4)+N($R4)*N($S4)+N($V4)*N($W4))</f>
        <v>21.8056031843013</v>
      </c>
      <c r="AD4" s="6" t="n">
        <f aca="false">IF($O4="","",(N($N4)*N($P4)+N($N4)*(1-N($N4))*N($O4)^2)+(N($R4)*N($T4)+N($R4)*(1-N($R4))*N($S4)^2)+(N($V4)*N($X4)+N($V4)*(1-N($V4))*N($W4)^2))</f>
        <v>73.2313863496954</v>
      </c>
      <c r="AE4" s="12" t="n">
        <f aca="false">IF($I4="","",$I4*$L4)</f>
        <v>8.3</v>
      </c>
      <c r="AF4" s="12" t="n">
        <f aca="false">IF($I4="","",$I4*$L4*(1+N($R4)))</f>
        <v>16.6</v>
      </c>
      <c r="AG4" s="12" t="n">
        <f aca="false">IF($I4="","",$I4*$L4*(1+N($R4)+N($V4)))</f>
        <v>20.6753</v>
      </c>
      <c r="AH4" s="0" t="str">
        <f aca="false">TRIM(IF($G4&lt;Config!$B$9,"thin sample ("&amp;$G4&amp;" maps) · ","")&amp;IF($I4="","no PickFinder stats · ","")&amp;IFERROR(IF(INDEX(Players!$T$2:$T$31,MATCH($E4,Players!$A$2:$A$31,0))&lt;0.5,"new roster: "&amp;TEXT(INDEX(Players!$T$2:$T$31,MATCH($E4,Players!$A$2:$A$31,0)),"0%")&amp;" of his recent games with these teammates",""),""))</f>
        <v>new roster: 0% of his recent games with these teammates</v>
      </c>
      <c r="AI4" s="0" t="str">
        <f aca="false">IF($B4=Board!$B$2,COUNTIFS($B$2:$B$31,Board!$B$2,$Y$2:$Y$31,"&gt;"&amp;$Y4)+COUNTIFS($B$1:$B3,Board!$B$2,$Y$1:$Y3,$Y4)+1,"")</f>
        <v/>
      </c>
      <c r="AJ4" s="0" t="str">
        <f aca="false">IFERROR(IF(INDEX(Matches!$D$5:$D$8,MATCH($B4,Matches!$A$5:$A$8,0))=3,"K12","K13"),"K13")</f>
        <v>K12</v>
      </c>
      <c r="AK4" s="12" t="n">
        <f aca="false">IF($AJ4="K12",$AA4,$AC4)</f>
        <v>17.4521959027829</v>
      </c>
    </row>
    <row r="5" customFormat="false" ht="15" hidden="false" customHeight="false" outlineLevel="0" collapsed="false">
      <c r="A5" s="0" t="s">
        <v>133</v>
      </c>
      <c r="B5" s="0" t="s">
        <v>80</v>
      </c>
      <c r="C5" s="0" t="s">
        <v>85</v>
      </c>
      <c r="D5" s="0" t="s">
        <v>131</v>
      </c>
      <c r="E5" s="0" t="s">
        <v>236</v>
      </c>
      <c r="F5" s="0" t="str">
        <f aca="false">IFERROR(IF($C5=INDEX(Matches!$S$5:$S$8,MATCH($B5,Matches!$A$5:$A$8,0)),"A",IF($C5=INDEX(Matches!$T$5:$T$8,MATCH($B5,Matches!$A$5:$A$8,0)),"B","")),"")</f>
        <v>B</v>
      </c>
      <c r="G5" s="0" t="n">
        <f aca="false">IFERROR(INDEX(Players!$E$2:$E$31,MATCH($E5,Players!$A$2:$A$31,0)),0)</f>
        <v>30</v>
      </c>
      <c r="H5" s="7" t="n">
        <f aca="false">IFERROR(INDEX(Players!$F$2:$F$31,MATCH($E5,Players!$A$2:$A$31,0)),"")</f>
        <v>0.4</v>
      </c>
      <c r="I5" s="6" t="n">
        <f aca="false">IFERROR(INDEX(Players!$G$2:$G$31,MATCH($E5,Players!$A$2:$A$31,0)),"")</f>
        <v>3.9</v>
      </c>
      <c r="J5" s="12" t="n">
        <f aca="false">IF(OR($I5="",$H5=""),"",$I5*IF(LEFT($B5,4)="DOTA",Config!$B$5,Config!$B$4)/($H5*IF(LEFT($B5,4)="DOTA",Config!$B$5,Config!$B$4)+1-$H5))</f>
        <v>5.27752293577982</v>
      </c>
      <c r="K5" s="12" t="n">
        <f aca="false">IF(OR($I5="",$H5=""),"",$I5/($H5*IF(LEFT($B5,4)="DOTA",Config!$B$5,Config!$B$4)+1-$H5))</f>
        <v>2.98165137614679</v>
      </c>
      <c r="L5" s="6" t="n">
        <f aca="false">IFERROR(INDEX(Matches!$R$5:$R$8,MATCH($B5,Matches!$A$5:$A$8,0)),1)</f>
        <v>1</v>
      </c>
      <c r="M5" s="7" t="n">
        <f aca="false">IFERROR(IF(INDEX(Matches!$M$5:$M$8,MATCH($B5,Matches!$A$5:$A$8,0))="","",IF($F5="A",INDEX(Matches!$M$5:$M$8,MATCH($B5,Matches!$A$5:$A$8,0)),1-INDEX(Matches!$M$5:$M$8,MATCH($B5,Matches!$A$5:$A$8,0)))),"")</f>
        <v>0.5608</v>
      </c>
      <c r="N5" s="6" t="n">
        <f aca="false">1</f>
        <v>1</v>
      </c>
      <c r="O5" s="12" t="n">
        <f aca="false">IF(OR($M5="",$J5=""),"",$L5*($M5*$J5+(1-$M5)*$K5))</f>
        <v>4.26917614678899</v>
      </c>
      <c r="P5" s="6" t="n">
        <f aca="false">IF($O5="","",IF(LEFT($B5,4)="DOTA",Config!$B$7,Config!$B$6)*$O5+$L5^2*$M5*(1-$M5)*($J5-$K5)^2)</f>
        <v>9.15355557831495</v>
      </c>
      <c r="Q5" s="7" t="n">
        <f aca="false">IFERROR(IF(INDEX(Matches!$N$5:$N$8,MATCH($B5,Matches!$A$5:$A$8,0))="","",IF($F5="A",INDEX(Matches!$N$5:$N$8,MATCH($B5,Matches!$A$5:$A$8,0)),1-INDEX(Matches!$N$5:$N$8,MATCH($B5,Matches!$A$5:$A$8,0)))),"")</f>
        <v>0.5608</v>
      </c>
      <c r="R5" s="6" t="n">
        <f aca="false">IFERROR(N(INDEX(Matches!$P$5:$P$8,MATCH($B5,Matches!$A$5:$A$8,0))),0)</f>
        <v>1</v>
      </c>
      <c r="S5" s="12" t="n">
        <f aca="false">IF(OR($Q5="",$J5=""),"",$L5*($Q5*$J5+(1-$Q5)*$K5))</f>
        <v>4.26917614678899</v>
      </c>
      <c r="T5" s="6" t="n">
        <f aca="false">IF($S5="","",IF(LEFT($B5,4)="DOTA",Config!$B$7,Config!$B$6)*$S5+$L5^2*$Q5*(1-$Q5)*($J5-$K5)^2)</f>
        <v>9.15355557831495</v>
      </c>
      <c r="U5" s="7" t="n">
        <f aca="false">IFERROR(IF(INDEX(Matches!$O$5:$O$8,MATCH($B5,Matches!$A$5:$A$8,0))="","",IF($F5="A",INDEX(Matches!$O$5:$O$8,MATCH($B5,Matches!$A$5:$A$8,0)),1-INDEX(Matches!$O$5:$O$8,MATCH($B5,Matches!$A$5:$A$8,0)))),"")</f>
        <v>0.5907</v>
      </c>
      <c r="V5" s="6" t="n">
        <f aca="false">IFERROR(N(INDEX(Matches!$Q$5:$Q$8,MATCH($B5,Matches!$A$5:$A$8,0))),0)</f>
        <v>0.491</v>
      </c>
      <c r="W5" s="12" t="n">
        <f aca="false">IF(OR($U5="",$J5=""),"",$L5*($U5*$J5+(1-$U5)*$K5))</f>
        <v>4.33782270642202</v>
      </c>
      <c r="X5" s="6" t="n">
        <f aca="false">IF($W5="","",IF(LEFT($B5,4)="DOTA",Config!$B$7,Config!$B$6)*$W5+$L5^2*$U5*(1-$U5)*($J5-$K5)^2)</f>
        <v>9.25598828992461</v>
      </c>
      <c r="Y5" s="12" t="n">
        <f aca="false">IF($O5="","",$O5)</f>
        <v>4.26917614678899</v>
      </c>
      <c r="Z5" s="6" t="n">
        <f aca="false">IF($P5="","",$P5)</f>
        <v>9.15355557831495</v>
      </c>
      <c r="AA5" s="12" t="n">
        <f aca="false">IF($O5="","",N($N5)*N($O5)+N($R5)*N($S5))</f>
        <v>8.53835229357798</v>
      </c>
      <c r="AB5" s="6" t="n">
        <f aca="false">IF($O5="","",(N($N5)*N($P5)+N($N5)*(1-N($N5))*N($O5)^2)+(N($R5)*N($T5)+N($R5)*(1-N($R5))*N($S5)^2))</f>
        <v>18.3071111566299</v>
      </c>
      <c r="AC5" s="12" t="n">
        <f aca="false">IF($O5="","",N($N5)*N($O5)+N($R5)*N($S5)+N($V5)*N($W5))</f>
        <v>10.6682232424312</v>
      </c>
      <c r="AD5" s="6" t="n">
        <f aca="false">IF($O5="","",(N($N5)*N($P5)+N($N5)*(1-N($N5))*N($O5)^2)+(N($R5)*N($T5)+N($R5)*(1-N($R5))*N($S5)^2)+(N($V5)*N($X5)+N($V5)*(1-N($V5))*N($W5)^2))</f>
        <v>27.5544537118981</v>
      </c>
      <c r="AE5" s="12" t="n">
        <f aca="false">IF($I5="","",$I5*$L5)</f>
        <v>3.9</v>
      </c>
      <c r="AF5" s="12" t="n">
        <f aca="false">IF($I5="","",$I5*$L5*(1+N($R5)))</f>
        <v>7.8</v>
      </c>
      <c r="AG5" s="12" t="n">
        <f aca="false">IF($I5="","",$I5*$L5*(1+N($R5)+N($V5)))</f>
        <v>9.7149</v>
      </c>
      <c r="AH5" s="0" t="str">
        <f aca="false">TRIM(IF($G5&lt;Config!$B$9,"thin sample ("&amp;$G5&amp;" maps) · ","")&amp;IF($I5="","no PickFinder stats · ","")&amp;IFERROR(IF(INDEX(Players!$T$2:$T$31,MATCH($E5,Players!$A$2:$A$31,0))&lt;0.5,"new roster: "&amp;TEXT(INDEX(Players!$T$2:$T$31,MATCH($E5,Players!$A$2:$A$31,0)),"0%")&amp;" of his recent games with these teammates",""),""))</f>
        <v>new roster: 0% of his recent games with these teammates</v>
      </c>
      <c r="AI5" s="0" t="str">
        <f aca="false">IF($B5=Board!$B$2,COUNTIFS($B$2:$B$31,Board!$B$2,$Y$2:$Y$31,"&gt;"&amp;$Y5)+COUNTIFS($B$1:$B4,Board!$B$2,$Y$1:$Y4,$Y5)+1,"")</f>
        <v/>
      </c>
      <c r="AJ5" s="0" t="str">
        <f aca="false">IFERROR(IF(INDEX(Matches!$D$5:$D$8,MATCH($B5,Matches!$A$5:$A$8,0))=3,"K12","K13"),"K13")</f>
        <v>K12</v>
      </c>
      <c r="AK5" s="12" t="n">
        <f aca="false">IF($AJ5="K12",$AA5,$AC5)</f>
        <v>8.53835229357798</v>
      </c>
    </row>
    <row r="6" customFormat="false" ht="15" hidden="false" customHeight="false" outlineLevel="0" collapsed="false">
      <c r="A6" s="0" t="s">
        <v>136</v>
      </c>
      <c r="B6" s="0" t="s">
        <v>80</v>
      </c>
      <c r="C6" s="0" t="s">
        <v>85</v>
      </c>
      <c r="D6" s="0" t="s">
        <v>134</v>
      </c>
      <c r="E6" s="0" t="s">
        <v>237</v>
      </c>
      <c r="F6" s="0" t="str">
        <f aca="false">IFERROR(IF($C6=INDEX(Matches!$S$5:$S$8,MATCH($B6,Matches!$A$5:$A$8,0)),"A",IF($C6=INDEX(Matches!$T$5:$T$8,MATCH($B6,Matches!$A$5:$A$8,0)),"B","")),"")</f>
        <v>B</v>
      </c>
      <c r="G6" s="0" t="n">
        <f aca="false">IFERROR(INDEX(Players!$E$2:$E$31,MATCH($E6,Players!$A$2:$A$31,0)),0)</f>
        <v>30</v>
      </c>
      <c r="H6" s="7" t="n">
        <f aca="false">IFERROR(INDEX(Players!$F$2:$F$31,MATCH($E6,Players!$A$2:$A$31,0)),"")</f>
        <v>0.5</v>
      </c>
      <c r="I6" s="6" t="n">
        <f aca="false">IFERROR(INDEX(Players!$G$2:$G$31,MATCH($E6,Players!$A$2:$A$31,0)),"")</f>
        <v>6.4</v>
      </c>
      <c r="J6" s="12" t="n">
        <f aca="false">IF(OR($I6="",$H6=""),"",$I6*IF(LEFT($B6,4)="DOTA",Config!$B$5,Config!$B$4)/($H6*IF(LEFT($B6,4)="DOTA",Config!$B$5,Config!$B$4)+1-$H6))</f>
        <v>8.17906137184116</v>
      </c>
      <c r="K6" s="12" t="n">
        <f aca="false">IF(OR($I6="",$H6=""),"",$I6/($H6*IF(LEFT($B6,4)="DOTA",Config!$B$5,Config!$B$4)+1-$H6))</f>
        <v>4.62093862815885</v>
      </c>
      <c r="L6" s="6" t="n">
        <f aca="false">IFERROR(INDEX(Matches!$R$5:$R$8,MATCH($B6,Matches!$A$5:$A$8,0)),1)</f>
        <v>1</v>
      </c>
      <c r="M6" s="7" t="n">
        <f aca="false">IFERROR(IF(INDEX(Matches!$M$5:$M$8,MATCH($B6,Matches!$A$5:$A$8,0))="","",IF($F6="A",INDEX(Matches!$M$5:$M$8,MATCH($B6,Matches!$A$5:$A$8,0)),1-INDEX(Matches!$M$5:$M$8,MATCH($B6,Matches!$A$5:$A$8,0)))),"")</f>
        <v>0.5608</v>
      </c>
      <c r="N6" s="6" t="n">
        <f aca="false">1</f>
        <v>1</v>
      </c>
      <c r="O6" s="12" t="n">
        <f aca="false">IF(OR($M6="",$J6=""),"",$L6*($M6*$J6+(1-$M6)*$K6))</f>
        <v>6.61633386281588</v>
      </c>
      <c r="P6" s="6" t="n">
        <f aca="false">IF($O6="","",IF(LEFT($B6,4)="DOTA",Config!$B$7,Config!$B$6)*$O6+$L6^2*$M6*(1-$M6)*($J6-$K6)^2)</f>
        <v>15.2923133321577</v>
      </c>
      <c r="Q6" s="7" t="n">
        <f aca="false">IFERROR(IF(INDEX(Matches!$N$5:$N$8,MATCH($B6,Matches!$A$5:$A$8,0))="","",IF($F6="A",INDEX(Matches!$N$5:$N$8,MATCH($B6,Matches!$A$5:$A$8,0)),1-INDEX(Matches!$N$5:$N$8,MATCH($B6,Matches!$A$5:$A$8,0)))),"")</f>
        <v>0.5608</v>
      </c>
      <c r="R6" s="6" t="n">
        <f aca="false">IFERROR(N(INDEX(Matches!$P$5:$P$8,MATCH($B6,Matches!$A$5:$A$8,0))),0)</f>
        <v>1</v>
      </c>
      <c r="S6" s="12" t="n">
        <f aca="false">IF(OR($Q6="",$J6=""),"",$L6*($Q6*$J6+(1-$Q6)*$K6))</f>
        <v>6.61633386281588</v>
      </c>
      <c r="T6" s="6" t="n">
        <f aca="false">IF($S6="","",IF(LEFT($B6,4)="DOTA",Config!$B$7,Config!$B$6)*$S6+$L6^2*$Q6*(1-$Q6)*($J6-$K6)^2)</f>
        <v>15.2923133321577</v>
      </c>
      <c r="U6" s="7" t="n">
        <f aca="false">IFERROR(IF(INDEX(Matches!$O$5:$O$8,MATCH($B6,Matches!$A$5:$A$8,0))="","",IF($F6="A",INDEX(Matches!$O$5:$O$8,MATCH($B6,Matches!$A$5:$A$8,0)),1-INDEX(Matches!$O$5:$O$8,MATCH($B6,Matches!$A$5:$A$8,0)))),"")</f>
        <v>0.5907</v>
      </c>
      <c r="V6" s="6" t="n">
        <f aca="false">IFERROR(N(INDEX(Matches!$Q$5:$Q$8,MATCH($B6,Matches!$A$5:$A$8,0))),0)</f>
        <v>0.491</v>
      </c>
      <c r="W6" s="12" t="n">
        <f aca="false">IF(OR($U6="",$J6=""),"",$L6*($U6*$J6+(1-$U6)*$K6))</f>
        <v>6.72272173285199</v>
      </c>
      <c r="X6" s="6" t="n">
        <f aca="false">IF($W6="","",IF(LEFT($B6,4)="DOTA",Config!$B$7,Config!$B$6)*$W6+$L6^2*$U6*(1-$U6)*($J6-$K6)^2)</f>
        <v>15.43071803637</v>
      </c>
      <c r="Y6" s="12" t="n">
        <f aca="false">IF($O6="","",$O6)</f>
        <v>6.61633386281588</v>
      </c>
      <c r="Z6" s="6" t="n">
        <f aca="false">IF($P6="","",$P6)</f>
        <v>15.2923133321577</v>
      </c>
      <c r="AA6" s="12" t="n">
        <f aca="false">IF($O6="","",N($N6)*N($O6)+N($R6)*N($S6))</f>
        <v>13.2326677256318</v>
      </c>
      <c r="AB6" s="6" t="n">
        <f aca="false">IF($O6="","",(N($N6)*N($P6)+N($N6)*(1-N($N6))*N($O6)^2)+(N($R6)*N($T6)+N($R6)*(1-N($R6))*N($S6)^2))</f>
        <v>30.5846266643154</v>
      </c>
      <c r="AC6" s="12" t="n">
        <f aca="false">IF($O6="","",N($N6)*N($O6)+N($R6)*N($S6)+N($V6)*N($W6))</f>
        <v>16.5335240964621</v>
      </c>
      <c r="AD6" s="6" t="n">
        <f aca="false">IF($O6="","",(N($N6)*N($P6)+N($N6)*(1-N($N6))*N($O6)^2)+(N($R6)*N($T6)+N($R6)*(1-N($R6))*N($S6)^2)+(N($V6)*N($X6)+N($V6)*(1-N($V6))*N($W6)^2))</f>
        <v>49.4561953005259</v>
      </c>
      <c r="AE6" s="12" t="n">
        <f aca="false">IF($I6="","",$I6*$L6)</f>
        <v>6.4</v>
      </c>
      <c r="AF6" s="12" t="n">
        <f aca="false">IF($I6="","",$I6*$L6*(1+N($R6)))</f>
        <v>12.8</v>
      </c>
      <c r="AG6" s="12" t="n">
        <f aca="false">IF($I6="","",$I6*$L6*(1+N($R6)+N($V6)))</f>
        <v>15.9424</v>
      </c>
      <c r="AH6" s="0" t="str">
        <f aca="false">TRIM(IF($G6&lt;Config!$B$9,"thin sample ("&amp;$G6&amp;" maps) · ","")&amp;IF($I6="","no PickFinder stats · ","")&amp;IFERROR(IF(INDEX(Players!$T$2:$T$31,MATCH($E6,Players!$A$2:$A$31,0))&lt;0.5,"new roster: "&amp;TEXT(INDEX(Players!$T$2:$T$31,MATCH($E6,Players!$A$2:$A$31,0)),"0%")&amp;" of his recent games with these teammates",""),""))</f>
        <v>new roster: 0% of his recent games with these teammates</v>
      </c>
      <c r="AI6" s="0" t="str">
        <f aca="false">IF($B6=Board!$B$2,COUNTIFS($B$2:$B$31,Board!$B$2,$Y$2:$Y$31,"&gt;"&amp;$Y6)+COUNTIFS($B$1:$B5,Board!$B$2,$Y$1:$Y5,$Y6)+1,"")</f>
        <v/>
      </c>
      <c r="AJ6" s="0" t="str">
        <f aca="false">IFERROR(IF(INDEX(Matches!$D$5:$D$8,MATCH($B6,Matches!$A$5:$A$8,0))=3,"K12","K13"),"K13")</f>
        <v>K12</v>
      </c>
      <c r="AK6" s="12" t="n">
        <f aca="false">IF($AJ6="K12",$AA6,$AC6)</f>
        <v>13.2326677256318</v>
      </c>
    </row>
    <row r="7" customFormat="false" ht="15" hidden="false" customHeight="false" outlineLevel="0" collapsed="false">
      <c r="A7" s="0" t="s">
        <v>139</v>
      </c>
      <c r="B7" s="0" t="s">
        <v>80</v>
      </c>
      <c r="C7" s="0" t="s">
        <v>84</v>
      </c>
      <c r="D7" s="0" t="s">
        <v>137</v>
      </c>
      <c r="E7" s="0" t="s">
        <v>238</v>
      </c>
      <c r="F7" s="0" t="str">
        <f aca="false">IFERROR(IF($C7=INDEX(Matches!$S$5:$S$8,MATCH($B7,Matches!$A$5:$A$8,0)),"A",IF($C7=INDEX(Matches!$T$5:$T$8,MATCH($B7,Matches!$A$5:$A$8,0)),"B","")),"")</f>
        <v>A</v>
      </c>
      <c r="G7" s="0" t="n">
        <f aca="false">IFERROR(INDEX(Players!$E$2:$E$31,MATCH($E7,Players!$A$2:$A$31,0)),0)</f>
        <v>30</v>
      </c>
      <c r="H7" s="7" t="n">
        <f aca="false">IFERROR(INDEX(Players!$F$2:$F$31,MATCH($E7,Players!$A$2:$A$31,0)),"")</f>
        <v>0.53</v>
      </c>
      <c r="I7" s="6" t="n">
        <f aca="false">IFERROR(INDEX(Players!$G$2:$G$31,MATCH($E7,Players!$A$2:$A$31,0)),"")</f>
        <v>6.9</v>
      </c>
      <c r="J7" s="12" t="n">
        <f aca="false">IF(OR($I7="",$H7=""),"",$I7*IF(LEFT($B7,4)="DOTA",Config!$B$5,Config!$B$4)/($H7*IF(LEFT($B7,4)="DOTA",Config!$B$5,Config!$B$4)+1-$H7))</f>
        <v>8.67338967402884</v>
      </c>
      <c r="K7" s="12" t="n">
        <f aca="false">IF(OR($I7="",$H7=""),"",$I7/($H7*IF(LEFT($B7,4)="DOTA",Config!$B$5,Config!$B$4)+1-$H7))</f>
        <v>4.90022015481855</v>
      </c>
      <c r="L7" s="6" t="n">
        <f aca="false">IFERROR(INDEX(Matches!$R$5:$R$8,MATCH($B7,Matches!$A$5:$A$8,0)),1)</f>
        <v>1</v>
      </c>
      <c r="M7" s="7" t="n">
        <f aca="false">IFERROR(IF(INDEX(Matches!$M$5:$M$8,MATCH($B7,Matches!$A$5:$A$8,0))="","",IF($F7="A",INDEX(Matches!$M$5:$M$8,MATCH($B7,Matches!$A$5:$A$8,0)),1-INDEX(Matches!$M$5:$M$8,MATCH($B7,Matches!$A$5:$A$8,0)))),"")</f>
        <v>0.4392</v>
      </c>
      <c r="N7" s="6" t="n">
        <f aca="false">1</f>
        <v>1</v>
      </c>
      <c r="O7" s="12" t="n">
        <f aca="false">IF(OR($M7="",$J7=""),"",$L7*($M7*$J7+(1-$M7)*$K7))</f>
        <v>6.55739620765571</v>
      </c>
      <c r="P7" s="6" t="n">
        <f aca="false">IF($O7="","",IF(LEFT($B7,4)="DOTA",Config!$B$7,Config!$B$6)*$O7+$L7^2*$M7*(1-$M7)*($J7-$K7)^2)</f>
        <v>15.5721827225199</v>
      </c>
      <c r="Q7" s="7" t="n">
        <f aca="false">IFERROR(IF(INDEX(Matches!$N$5:$N$8,MATCH($B7,Matches!$A$5:$A$8,0))="","",IF($F7="A",INDEX(Matches!$N$5:$N$8,MATCH($B7,Matches!$A$5:$A$8,0)),1-INDEX(Matches!$N$5:$N$8,MATCH($B7,Matches!$A$5:$A$8,0)))),"")</f>
        <v>0.4392</v>
      </c>
      <c r="R7" s="6" t="n">
        <f aca="false">IFERROR(N(INDEX(Matches!$P$5:$P$8,MATCH($B7,Matches!$A$5:$A$8,0))),0)</f>
        <v>1</v>
      </c>
      <c r="S7" s="12" t="n">
        <f aca="false">IF(OR($Q7="",$J7=""),"",$L7*($Q7*$J7+(1-$Q7)*$K7))</f>
        <v>6.55739620765571</v>
      </c>
      <c r="T7" s="6" t="n">
        <f aca="false">IF($S7="","",IF(LEFT($B7,4)="DOTA",Config!$B$7,Config!$B$6)*$S7+$L7^2*$Q7*(1-$Q7)*($J7-$K7)^2)</f>
        <v>15.5721827225199</v>
      </c>
      <c r="U7" s="7" t="n">
        <f aca="false">IFERROR(IF(INDEX(Matches!$O$5:$O$8,MATCH($B7,Matches!$A$5:$A$8,0))="","",IF($F7="A",INDEX(Matches!$O$5:$O$8,MATCH($B7,Matches!$A$5:$A$8,0)),1-INDEX(Matches!$O$5:$O$8,MATCH($B7,Matches!$A$5:$A$8,0)))),"")</f>
        <v>0.4093</v>
      </c>
      <c r="V7" s="6" t="n">
        <f aca="false">IFERROR(N(INDEX(Matches!$Q$5:$Q$8,MATCH($B7,Matches!$A$5:$A$8,0))),0)</f>
        <v>0.491</v>
      </c>
      <c r="W7" s="12" t="n">
        <f aca="false">IF(OR($U7="",$J7=""),"",$L7*($U7*$J7+(1-$U7)*$K7))</f>
        <v>6.44457843903132</v>
      </c>
      <c r="X7" s="6" t="n">
        <f aca="false">IF($W7="","",IF(LEFT($B7,4)="DOTA",Config!$B$7,Config!$B$6)*$W7+$L7^2*$U7*(1-$U7)*($J7-$K7)^2)</f>
        <v>15.3001074225325</v>
      </c>
      <c r="Y7" s="12" t="n">
        <f aca="false">IF($O7="","",$O7)</f>
        <v>6.55739620765571</v>
      </c>
      <c r="Z7" s="6" t="n">
        <f aca="false">IF($P7="","",$P7)</f>
        <v>15.5721827225199</v>
      </c>
      <c r="AA7" s="12" t="n">
        <f aca="false">IF($O7="","",N($N7)*N($O7)+N($R7)*N($S7))</f>
        <v>13.1147924153114</v>
      </c>
      <c r="AB7" s="6" t="n">
        <f aca="false">IF($O7="","",(N($N7)*N($P7)+N($N7)*(1-N($N7))*N($O7)^2)+(N($R7)*N($T7)+N($R7)*(1-N($R7))*N($S7)^2))</f>
        <v>31.1443654450399</v>
      </c>
      <c r="AC7" s="12" t="n">
        <f aca="false">IF($O7="","",N($N7)*N($O7)+N($R7)*N($S7)+N($V7)*N($W7))</f>
        <v>16.2790804288758</v>
      </c>
      <c r="AD7" s="6" t="n">
        <f aca="false">IF($O7="","",(N($N7)*N($P7)+N($N7)*(1-N($N7))*N($O7)^2)+(N($R7)*N($T7)+N($R7)*(1-N($R7))*N($S7)^2)+(N($V7)*N($X7)+N($V7)*(1-N($V7))*N($W7)^2))</f>
        <v>49.0365018638184</v>
      </c>
      <c r="AE7" s="12" t="n">
        <f aca="false">IF($I7="","",$I7*$L7)</f>
        <v>6.9</v>
      </c>
      <c r="AF7" s="12" t="n">
        <f aca="false">IF($I7="","",$I7*$L7*(1+N($R7)))</f>
        <v>13.8</v>
      </c>
      <c r="AG7" s="12" t="n">
        <f aca="false">IF($I7="","",$I7*$L7*(1+N($R7)+N($V7)))</f>
        <v>17.1879</v>
      </c>
      <c r="AH7" s="0" t="str">
        <f aca="false">TRIM(IF($G7&lt;Config!$B$9,"thin sample ("&amp;$G7&amp;" maps) · ","")&amp;IF($I7="","no PickFinder stats · ","")&amp;IFERROR(IF(INDEX(Players!$T$2:$T$31,MATCH($E7,Players!$A$2:$A$31,0))&lt;0.5,"new roster: "&amp;TEXT(INDEX(Players!$T$2:$T$31,MATCH($E7,Players!$A$2:$A$31,0)),"0%")&amp;" of his recent games with these teammates",""),""))</f>
        <v>new roster: 0% of his recent games with these teammates</v>
      </c>
      <c r="AI7" s="0" t="str">
        <f aca="false">IF($B7=Board!$B$2,COUNTIFS($B$2:$B$31,Board!$B$2,$Y$2:$Y$31,"&gt;"&amp;$Y7)+COUNTIFS($B$1:$B6,Board!$B$2,$Y$1:$Y6,$Y7)+1,"")</f>
        <v/>
      </c>
      <c r="AJ7" s="0" t="str">
        <f aca="false">IFERROR(IF(INDEX(Matches!$D$5:$D$8,MATCH($B7,Matches!$A$5:$A$8,0))=3,"K12","K13"),"K13")</f>
        <v>K12</v>
      </c>
      <c r="AK7" s="12" t="n">
        <f aca="false">IF($AJ7="K12",$AA7,$AC7)</f>
        <v>13.1147924153114</v>
      </c>
    </row>
    <row r="8" customFormat="false" ht="15" hidden="false" customHeight="false" outlineLevel="0" collapsed="false">
      <c r="A8" s="0" t="s">
        <v>142</v>
      </c>
      <c r="B8" s="0" t="s">
        <v>80</v>
      </c>
      <c r="C8" s="0" t="s">
        <v>84</v>
      </c>
      <c r="D8" s="0" t="s">
        <v>140</v>
      </c>
      <c r="E8" s="0" t="s">
        <v>239</v>
      </c>
      <c r="F8" s="0" t="str">
        <f aca="false">IFERROR(IF($C8=INDEX(Matches!$S$5:$S$8,MATCH($B8,Matches!$A$5:$A$8,0)),"A",IF($C8=INDEX(Matches!$T$5:$T$8,MATCH($B8,Matches!$A$5:$A$8,0)),"B","")),"")</f>
        <v>A</v>
      </c>
      <c r="G8" s="0" t="n">
        <f aca="false">IFERROR(INDEX(Players!$E$2:$E$31,MATCH($E8,Players!$A$2:$A$31,0)),0)</f>
        <v>30</v>
      </c>
      <c r="H8" s="7" t="n">
        <f aca="false">IFERROR(INDEX(Players!$F$2:$F$31,MATCH($E8,Players!$A$2:$A$31,0)),"")</f>
        <v>0.6</v>
      </c>
      <c r="I8" s="6" t="n">
        <f aca="false">IFERROR(INDEX(Players!$G$2:$G$31,MATCH($E8,Players!$A$2:$A$31,0)),"")</f>
        <v>2.9</v>
      </c>
      <c r="J8" s="12" t="n">
        <f aca="false">IF(OR($I8="",$H8=""),"",$I8*IF(LEFT($B8,4)="DOTA",Config!$B$5,Config!$B$4)/($H8*IF(LEFT($B8,4)="DOTA",Config!$B$5,Config!$B$4)+1-$H8))</f>
        <v>3.5109439124487</v>
      </c>
      <c r="K8" s="12" t="n">
        <f aca="false">IF(OR($I8="",$H8=""),"",$I8/($H8*IF(LEFT($B8,4)="DOTA",Config!$B$5,Config!$B$4)+1-$H8))</f>
        <v>1.98358413132695</v>
      </c>
      <c r="L8" s="6" t="n">
        <f aca="false">IFERROR(INDEX(Matches!$R$5:$R$8,MATCH($B8,Matches!$A$5:$A$8,0)),1)</f>
        <v>1</v>
      </c>
      <c r="M8" s="7" t="n">
        <f aca="false">IFERROR(IF(INDEX(Matches!$M$5:$M$8,MATCH($B8,Matches!$A$5:$A$8,0))="","",IF($F8="A",INDEX(Matches!$M$5:$M$8,MATCH($B8,Matches!$A$5:$A$8,0)),1-INDEX(Matches!$M$5:$M$8,MATCH($B8,Matches!$A$5:$A$8,0)))),"")</f>
        <v>0.4392</v>
      </c>
      <c r="N8" s="6" t="n">
        <f aca="false">1</f>
        <v>1</v>
      </c>
      <c r="O8" s="12" t="n">
        <f aca="false">IF(OR($M8="",$J8=""),"",$L8*($M8*$J8+(1-$M8)*$K8))</f>
        <v>2.65440054719562</v>
      </c>
      <c r="P8" s="6" t="n">
        <f aca="false">IF($O8="","",IF(LEFT($B8,4)="DOTA",Config!$B$7,Config!$B$6)*$O8+$L8^2*$M8*(1-$M8)*($J8-$K8)^2)</f>
        <v>5.45868035715511</v>
      </c>
      <c r="Q8" s="7" t="n">
        <f aca="false">IFERROR(IF(INDEX(Matches!$N$5:$N$8,MATCH($B8,Matches!$A$5:$A$8,0))="","",IF($F8="A",INDEX(Matches!$N$5:$N$8,MATCH($B8,Matches!$A$5:$A$8,0)),1-INDEX(Matches!$N$5:$N$8,MATCH($B8,Matches!$A$5:$A$8,0)))),"")</f>
        <v>0.4392</v>
      </c>
      <c r="R8" s="6" t="n">
        <f aca="false">IFERROR(N(INDEX(Matches!$P$5:$P$8,MATCH($B8,Matches!$A$5:$A$8,0))),0)</f>
        <v>1</v>
      </c>
      <c r="S8" s="12" t="n">
        <f aca="false">IF(OR($Q8="",$J8=""),"",$L8*($Q8*$J8+(1-$Q8)*$K8))</f>
        <v>2.65440054719562</v>
      </c>
      <c r="T8" s="6" t="n">
        <f aca="false">IF($S8="","",IF(LEFT($B8,4)="DOTA",Config!$B$7,Config!$B$6)*$S8+$L8^2*$Q8*(1-$Q8)*($J8-$K8)^2)</f>
        <v>5.45868035715511</v>
      </c>
      <c r="U8" s="7" t="n">
        <f aca="false">IFERROR(IF(INDEX(Matches!$O$5:$O$8,MATCH($B8,Matches!$A$5:$A$8,0))="","",IF($F8="A",INDEX(Matches!$O$5:$O$8,MATCH($B8,Matches!$A$5:$A$8,0)),1-INDEX(Matches!$O$5:$O$8,MATCH($B8,Matches!$A$5:$A$8,0)))),"")</f>
        <v>0.4093</v>
      </c>
      <c r="V8" s="6" t="n">
        <f aca="false">IFERROR(N(INDEX(Matches!$Q$5:$Q$8,MATCH($B8,Matches!$A$5:$A$8,0))),0)</f>
        <v>0.491</v>
      </c>
      <c r="W8" s="12" t="n">
        <f aca="false">IF(OR($U8="",$J8=""),"",$L8*($U8*$J8+(1-$U8)*$K8))</f>
        <v>2.60873248974008</v>
      </c>
      <c r="X8" s="6" t="n">
        <f aca="false">IF($W8="","",IF(LEFT($B8,4)="DOTA",Config!$B$7,Config!$B$6)*$W8+$L8^2*$U8*(1-$U8)*($J8-$K8)^2)</f>
        <v>5.36408377096962</v>
      </c>
      <c r="Y8" s="12" t="n">
        <f aca="false">IF($O8="","",$O8)</f>
        <v>2.65440054719562</v>
      </c>
      <c r="Z8" s="6" t="n">
        <f aca="false">IF($P8="","",$P8)</f>
        <v>5.45868035715511</v>
      </c>
      <c r="AA8" s="12" t="n">
        <f aca="false">IF($O8="","",N($N8)*N($O8)+N($R8)*N($S8))</f>
        <v>5.30880109439124</v>
      </c>
      <c r="AB8" s="6" t="n">
        <f aca="false">IF($O8="","",(N($N8)*N($P8)+N($N8)*(1-N($N8))*N($O8)^2)+(N($R8)*N($T8)+N($R8)*(1-N($R8))*N($S8)^2))</f>
        <v>10.9173607143102</v>
      </c>
      <c r="AC8" s="12" t="n">
        <f aca="false">IF($O8="","",N($N8)*N($O8)+N($R8)*N($S8)+N($V8)*N($W8))</f>
        <v>6.58968874685362</v>
      </c>
      <c r="AD8" s="6" t="n">
        <f aca="false">IF($O8="","",(N($N8)*N($P8)+N($N8)*(1-N($N8))*N($O8)^2)+(N($R8)*N($T8)+N($R8)*(1-N($R8))*N($S8)^2)+(N($V8)*N($X8)+N($V8)*(1-N($V8))*N($W8)^2))</f>
        <v>15.2519459023112</v>
      </c>
      <c r="AE8" s="12" t="n">
        <f aca="false">IF($I8="","",$I8*$L8)</f>
        <v>2.9</v>
      </c>
      <c r="AF8" s="12" t="n">
        <f aca="false">IF($I8="","",$I8*$L8*(1+N($R8)))</f>
        <v>5.8</v>
      </c>
      <c r="AG8" s="12" t="n">
        <f aca="false">IF($I8="","",$I8*$L8*(1+N($R8)+N($V8)))</f>
        <v>7.2239</v>
      </c>
      <c r="AH8" s="0" t="str">
        <f aca="false">TRIM(IF($G8&lt;Config!$B$9,"thin sample ("&amp;$G8&amp;" maps) · ","")&amp;IF($I8="","no PickFinder stats · ","")&amp;IFERROR(IF(INDEX(Players!$T$2:$T$31,MATCH($E8,Players!$A$2:$A$31,0))&lt;0.5,"new roster: "&amp;TEXT(INDEX(Players!$T$2:$T$31,MATCH($E8,Players!$A$2:$A$31,0)),"0%")&amp;" of his recent games with these teammates",""),""))</f>
        <v>new roster: 0% of his recent games with these teammates</v>
      </c>
      <c r="AI8" s="0" t="str">
        <f aca="false">IF($B8=Board!$B$2,COUNTIFS($B$2:$B$31,Board!$B$2,$Y$2:$Y$31,"&gt;"&amp;$Y8)+COUNTIFS($B$1:$B7,Board!$B$2,$Y$1:$Y7,$Y8)+1,"")</f>
        <v/>
      </c>
      <c r="AJ8" s="0" t="str">
        <f aca="false">IFERROR(IF(INDEX(Matches!$D$5:$D$8,MATCH($B8,Matches!$A$5:$A$8,0))=3,"K12","K13"),"K13")</f>
        <v>K12</v>
      </c>
      <c r="AK8" s="12" t="n">
        <f aca="false">IF($AJ8="K12",$AA8,$AC8)</f>
        <v>5.30880109439124</v>
      </c>
    </row>
    <row r="9" customFormat="false" ht="15" hidden="false" customHeight="false" outlineLevel="0" collapsed="false">
      <c r="A9" s="0" t="s">
        <v>145</v>
      </c>
      <c r="B9" s="0" t="s">
        <v>80</v>
      </c>
      <c r="C9" s="0" t="s">
        <v>84</v>
      </c>
      <c r="D9" s="0" t="s">
        <v>143</v>
      </c>
      <c r="E9" s="0" t="s">
        <v>240</v>
      </c>
      <c r="F9" s="0" t="str">
        <f aca="false">IFERROR(IF($C9=INDEX(Matches!$S$5:$S$8,MATCH($B9,Matches!$A$5:$A$8,0)),"A",IF($C9=INDEX(Matches!$T$5:$T$8,MATCH($B9,Matches!$A$5:$A$8,0)),"B","")),"")</f>
        <v>A</v>
      </c>
      <c r="G9" s="0" t="n">
        <f aca="false">IFERROR(INDEX(Players!$E$2:$E$31,MATCH($E9,Players!$A$2:$A$31,0)),0)</f>
        <v>30</v>
      </c>
      <c r="H9" s="7" t="n">
        <f aca="false">IFERROR(INDEX(Players!$F$2:$F$31,MATCH($E9,Players!$A$2:$A$31,0)),"")</f>
        <v>0.6</v>
      </c>
      <c r="I9" s="6" t="n">
        <f aca="false">IFERROR(INDEX(Players!$G$2:$G$31,MATCH($E9,Players!$A$2:$A$31,0)),"")</f>
        <v>3.2</v>
      </c>
      <c r="J9" s="12" t="n">
        <f aca="false">IF(OR($I9="",$H9=""),"",$I9*IF(LEFT($B9,4)="DOTA",Config!$B$5,Config!$B$4)/($H9*IF(LEFT($B9,4)="DOTA",Config!$B$5,Config!$B$4)+1-$H9))</f>
        <v>3.87414500683995</v>
      </c>
      <c r="K9" s="12" t="n">
        <f aca="false">IF(OR($I9="",$H9=""),"",$I9/($H9*IF(LEFT($B9,4)="DOTA",Config!$B$5,Config!$B$4)+1-$H9))</f>
        <v>2.18878248974008</v>
      </c>
      <c r="L9" s="6" t="n">
        <f aca="false">IFERROR(INDEX(Matches!$R$5:$R$8,MATCH($B9,Matches!$A$5:$A$8,0)),1)</f>
        <v>1</v>
      </c>
      <c r="M9" s="7" t="n">
        <f aca="false">IFERROR(IF(INDEX(Matches!$M$5:$M$8,MATCH($B9,Matches!$A$5:$A$8,0))="","",IF($F9="A",INDEX(Matches!$M$5:$M$8,MATCH($B9,Matches!$A$5:$A$8,0)),1-INDEX(Matches!$M$5:$M$8,MATCH($B9,Matches!$A$5:$A$8,0)))),"")</f>
        <v>0.4392</v>
      </c>
      <c r="N9" s="6" t="n">
        <f aca="false">1</f>
        <v>1</v>
      </c>
      <c r="O9" s="12" t="n">
        <f aca="false">IF(OR($M9="",$J9=""),"",$L9*($M9*$J9+(1-$M9)*$K9))</f>
        <v>2.92899370725034</v>
      </c>
      <c r="P9" s="6" t="n">
        <f aca="false">IF($O9="","",IF(LEFT($B9,4)="DOTA",Config!$B$7,Config!$B$6)*$O9+$L9^2*$M9*(1-$M9)*($J9-$K9)^2)</f>
        <v>6.08896001554125</v>
      </c>
      <c r="Q9" s="7" t="n">
        <f aca="false">IFERROR(IF(INDEX(Matches!$N$5:$N$8,MATCH($B9,Matches!$A$5:$A$8,0))="","",IF($F9="A",INDEX(Matches!$N$5:$N$8,MATCH($B9,Matches!$A$5:$A$8,0)),1-INDEX(Matches!$N$5:$N$8,MATCH($B9,Matches!$A$5:$A$8,0)))),"")</f>
        <v>0.4392</v>
      </c>
      <c r="R9" s="6" t="n">
        <f aca="false">IFERROR(N(INDEX(Matches!$P$5:$P$8,MATCH($B9,Matches!$A$5:$A$8,0))),0)</f>
        <v>1</v>
      </c>
      <c r="S9" s="12" t="n">
        <f aca="false">IF(OR($Q9="",$J9=""),"",$L9*($Q9*$J9+(1-$Q9)*$K9))</f>
        <v>2.92899370725034</v>
      </c>
      <c r="T9" s="6" t="n">
        <f aca="false">IF($S9="","",IF(LEFT($B9,4)="DOTA",Config!$B$7,Config!$B$6)*$S9+$L9^2*$Q9*(1-$Q9)*($J9-$K9)^2)</f>
        <v>6.08896001554125</v>
      </c>
      <c r="U9" s="7" t="n">
        <f aca="false">IFERROR(IF(INDEX(Matches!$O$5:$O$8,MATCH($B9,Matches!$A$5:$A$8,0))="","",IF($F9="A",INDEX(Matches!$O$5:$O$8,MATCH($B9,Matches!$A$5:$A$8,0)),1-INDEX(Matches!$O$5:$O$8,MATCH($B9,Matches!$A$5:$A$8,0)))),"")</f>
        <v>0.4093</v>
      </c>
      <c r="V9" s="6" t="n">
        <f aca="false">IFERROR(N(INDEX(Matches!$Q$5:$Q$8,MATCH($B9,Matches!$A$5:$A$8,0))),0)</f>
        <v>0.491</v>
      </c>
      <c r="W9" s="12" t="n">
        <f aca="false">IF(OR($U9="",$J9=""),"",$L9*($U9*$J9+(1-$U9)*$K9))</f>
        <v>2.87860136798906</v>
      </c>
      <c r="X9" s="6" t="n">
        <f aca="false">IF($W9="","",IF(LEFT($B9,4)="DOTA",Config!$B$7,Config!$B$6)*$W9+$L9^2*$U9*(1-$U9)*($J9-$K9)^2)</f>
        <v>5.98337131329989</v>
      </c>
      <c r="Y9" s="12" t="n">
        <f aca="false">IF($O9="","",$O9)</f>
        <v>2.92899370725034</v>
      </c>
      <c r="Z9" s="6" t="n">
        <f aca="false">IF($P9="","",$P9)</f>
        <v>6.08896001554125</v>
      </c>
      <c r="AA9" s="12" t="n">
        <f aca="false">IF($O9="","",N($N9)*N($O9)+N($R9)*N($S9))</f>
        <v>5.85798741450068</v>
      </c>
      <c r="AB9" s="6" t="n">
        <f aca="false">IF($O9="","",(N($N9)*N($P9)+N($N9)*(1-N($N9))*N($O9)^2)+(N($R9)*N($T9)+N($R9)*(1-N($R9))*N($S9)^2))</f>
        <v>12.1779200310825</v>
      </c>
      <c r="AC9" s="12" t="n">
        <f aca="false">IF($O9="","",N($N9)*N($O9)+N($R9)*N($S9)+N($V9)*N($W9))</f>
        <v>7.27138068618331</v>
      </c>
      <c r="AD9" s="6" t="n">
        <f aca="false">IF($O9="","",(N($N9)*N($P9)+N($N9)*(1-N($N9))*N($O9)^2)+(N($R9)*N($T9)+N($R9)*(1-N($R9))*N($S9)^2)+(N($V9)*N($X9)+N($V9)*(1-N($V9))*N($W9)^2))</f>
        <v>17.1866706108472</v>
      </c>
      <c r="AE9" s="12" t="n">
        <f aca="false">IF($I9="","",$I9*$L9)</f>
        <v>3.2</v>
      </c>
      <c r="AF9" s="12" t="n">
        <f aca="false">IF($I9="","",$I9*$L9*(1+N($R9)))</f>
        <v>6.4</v>
      </c>
      <c r="AG9" s="12" t="n">
        <f aca="false">IF($I9="","",$I9*$L9*(1+N($R9)+N($V9)))</f>
        <v>7.9712</v>
      </c>
      <c r="AH9" s="0" t="str">
        <f aca="false">TRIM(IF($G9&lt;Config!$B$9,"thin sample ("&amp;$G9&amp;" maps) · ","")&amp;IF($I9="","no PickFinder stats · ","")&amp;IFERROR(IF(INDEX(Players!$T$2:$T$31,MATCH($E9,Players!$A$2:$A$31,0))&lt;0.5,"new roster: "&amp;TEXT(INDEX(Players!$T$2:$T$31,MATCH($E9,Players!$A$2:$A$31,0)),"0%")&amp;" of his recent games with these teammates",""),""))</f>
        <v>new roster: 0% of his recent games with these teammates</v>
      </c>
      <c r="AI9" s="0" t="str">
        <f aca="false">IF($B9=Board!$B$2,COUNTIFS($B$2:$B$31,Board!$B$2,$Y$2:$Y$31,"&gt;"&amp;$Y9)+COUNTIFS($B$1:$B8,Board!$B$2,$Y$1:$Y8,$Y9)+1,"")</f>
        <v/>
      </c>
      <c r="AJ9" s="0" t="str">
        <f aca="false">IFERROR(IF(INDEX(Matches!$D$5:$D$8,MATCH($B9,Matches!$A$5:$A$8,0))=3,"K12","K13"),"K13")</f>
        <v>K12</v>
      </c>
      <c r="AK9" s="12" t="n">
        <f aca="false">IF($AJ9="K12",$AA9,$AC9)</f>
        <v>5.85798741450068</v>
      </c>
    </row>
    <row r="10" customFormat="false" ht="15" hidden="false" customHeight="false" outlineLevel="0" collapsed="false">
      <c r="A10" s="0" t="s">
        <v>148</v>
      </c>
      <c r="B10" s="0" t="s">
        <v>80</v>
      </c>
      <c r="C10" s="0" t="s">
        <v>84</v>
      </c>
      <c r="D10" s="0" t="s">
        <v>146</v>
      </c>
      <c r="E10" s="0" t="s">
        <v>241</v>
      </c>
      <c r="F10" s="0" t="str">
        <f aca="false">IFERROR(IF($C10=INDEX(Matches!$S$5:$S$8,MATCH($B10,Matches!$A$5:$A$8,0)),"A",IF($C10=INDEX(Matches!$T$5:$T$8,MATCH($B10,Matches!$A$5:$A$8,0)),"B","")),"")</f>
        <v>A</v>
      </c>
      <c r="G10" s="0" t="n">
        <f aca="false">IFERROR(INDEX(Players!$E$2:$E$31,MATCH($E10,Players!$A$2:$A$31,0)),0)</f>
        <v>30</v>
      </c>
      <c r="H10" s="7" t="n">
        <f aca="false">IFERROR(INDEX(Players!$F$2:$F$31,MATCH($E10,Players!$A$2:$A$31,0)),"")</f>
        <v>0.6</v>
      </c>
      <c r="I10" s="6" t="n">
        <f aca="false">IFERROR(INDEX(Players!$G$2:$G$31,MATCH($E10,Players!$A$2:$A$31,0)),"")</f>
        <v>6.9</v>
      </c>
      <c r="J10" s="12" t="n">
        <f aca="false">IF(OR($I10="",$H10=""),"",$I10*IF(LEFT($B10,4)="DOTA",Config!$B$5,Config!$B$4)/($H10*IF(LEFT($B10,4)="DOTA",Config!$B$5,Config!$B$4)+1-$H10))</f>
        <v>8.35362517099863</v>
      </c>
      <c r="K10" s="12" t="n">
        <f aca="false">IF(OR($I10="",$H10=""),"",$I10/($H10*IF(LEFT($B10,4)="DOTA",Config!$B$5,Config!$B$4)+1-$H10))</f>
        <v>4.71956224350205</v>
      </c>
      <c r="L10" s="6" t="n">
        <f aca="false">IFERROR(INDEX(Matches!$R$5:$R$8,MATCH($B10,Matches!$A$5:$A$8,0)),1)</f>
        <v>1</v>
      </c>
      <c r="M10" s="7" t="n">
        <f aca="false">IFERROR(IF(INDEX(Matches!$M$5:$M$8,MATCH($B10,Matches!$A$5:$A$8,0))="","",IF($F10="A",INDEX(Matches!$M$5:$M$8,MATCH($B10,Matches!$A$5:$A$8,0)),1-INDEX(Matches!$M$5:$M$8,MATCH($B10,Matches!$A$5:$A$8,0)))),"")</f>
        <v>0.4392</v>
      </c>
      <c r="N10" s="6" t="n">
        <f aca="false">1</f>
        <v>1</v>
      </c>
      <c r="O10" s="12" t="n">
        <f aca="false">IF(OR($M10="",$J10=""),"",$L10*($M10*$J10+(1-$M10)*$K10))</f>
        <v>6.31564268125855</v>
      </c>
      <c r="P10" s="6" t="n">
        <f aca="false">IF($O10="","",IF(LEFT($B10,4)="DOTA",Config!$B$7,Config!$B$6)*$O10+$L10^2*$M10*(1-$M10)*($J10-$K10)^2)</f>
        <v>14.8735665178802</v>
      </c>
      <c r="Q10" s="7" t="n">
        <f aca="false">IFERROR(IF(INDEX(Matches!$N$5:$N$8,MATCH($B10,Matches!$A$5:$A$8,0))="","",IF($F10="A",INDEX(Matches!$N$5:$N$8,MATCH($B10,Matches!$A$5:$A$8,0)),1-INDEX(Matches!$N$5:$N$8,MATCH($B10,Matches!$A$5:$A$8,0)))),"")</f>
        <v>0.4392</v>
      </c>
      <c r="R10" s="6" t="n">
        <f aca="false">IFERROR(N(INDEX(Matches!$P$5:$P$8,MATCH($B10,Matches!$A$5:$A$8,0))),0)</f>
        <v>1</v>
      </c>
      <c r="S10" s="12" t="n">
        <f aca="false">IF(OR($Q10="",$J10=""),"",$L10*($Q10*$J10+(1-$Q10)*$K10))</f>
        <v>6.31564268125855</v>
      </c>
      <c r="T10" s="6" t="n">
        <f aca="false">IF($S10="","",IF(LEFT($B10,4)="DOTA",Config!$B$7,Config!$B$6)*$S10+$L10^2*$Q10*(1-$Q10)*($J10-$K10)^2)</f>
        <v>14.8735665178802</v>
      </c>
      <c r="U10" s="7" t="n">
        <f aca="false">IFERROR(IF(INDEX(Matches!$O$5:$O$8,MATCH($B10,Matches!$A$5:$A$8,0))="","",IF($F10="A",INDEX(Matches!$O$5:$O$8,MATCH($B10,Matches!$A$5:$A$8,0)),1-INDEX(Matches!$O$5:$O$8,MATCH($B10,Matches!$A$5:$A$8,0)))),"")</f>
        <v>0.4093</v>
      </c>
      <c r="V10" s="6" t="n">
        <f aca="false">IFERROR(N(INDEX(Matches!$Q$5:$Q$8,MATCH($B10,Matches!$A$5:$A$8,0))),0)</f>
        <v>0.491</v>
      </c>
      <c r="W10" s="12" t="n">
        <f aca="false">IF(OR($U10="",$J10=""),"",$L10*($U10*$J10+(1-$U10)*$K10))</f>
        <v>6.2069841997264</v>
      </c>
      <c r="X10" s="6" t="n">
        <f aca="false">IF($W10="","",IF(LEFT($B10,4)="DOTA",Config!$B$7,Config!$B$6)*$W10+$L10^2*$U10*(1-$U10)*($J10-$K10)^2)</f>
        <v>14.6138118402977</v>
      </c>
      <c r="Y10" s="12" t="n">
        <f aca="false">IF($O10="","",$O10)</f>
        <v>6.31564268125855</v>
      </c>
      <c r="Z10" s="6" t="n">
        <f aca="false">IF($P10="","",$P10)</f>
        <v>14.8735665178802</v>
      </c>
      <c r="AA10" s="12" t="n">
        <f aca="false">IF($O10="","",N($N10)*N($O10)+N($R10)*N($S10))</f>
        <v>12.6312853625171</v>
      </c>
      <c r="AB10" s="6" t="n">
        <f aca="false">IF($O10="","",(N($N10)*N($P10)+N($N10)*(1-N($N10))*N($O10)^2)+(N($R10)*N($T10)+N($R10)*(1-N($R10))*N($S10)^2))</f>
        <v>29.7471330357603</v>
      </c>
      <c r="AC10" s="12" t="n">
        <f aca="false">IF($O10="","",N($N10)*N($O10)+N($R10)*N($S10)+N($V10)*N($W10))</f>
        <v>15.6789146045828</v>
      </c>
      <c r="AD10" s="6" t="n">
        <f aca="false">IF($O10="","",(N($N10)*N($P10)+N($N10)*(1-N($N10))*N($O10)^2)+(N($R10)*N($T10)+N($R10)*(1-N($R10))*N($S10)^2)+(N($V10)*N($X10)+N($V10)*(1-N($V10))*N($W10)^2))</f>
        <v>46.5510572043785</v>
      </c>
      <c r="AE10" s="12" t="n">
        <f aca="false">IF($I10="","",$I10*$L10)</f>
        <v>6.9</v>
      </c>
      <c r="AF10" s="12" t="n">
        <f aca="false">IF($I10="","",$I10*$L10*(1+N($R10)))</f>
        <v>13.8</v>
      </c>
      <c r="AG10" s="12" t="n">
        <f aca="false">IF($I10="","",$I10*$L10*(1+N($R10)+N($V10)))</f>
        <v>17.1879</v>
      </c>
      <c r="AH10" s="0" t="str">
        <f aca="false">TRIM(IF($G10&lt;Config!$B$9,"thin sample ("&amp;$G10&amp;" maps) · ","")&amp;IF($I10="","no PickFinder stats · ","")&amp;IFERROR(IF(INDEX(Players!$T$2:$T$31,MATCH($E10,Players!$A$2:$A$31,0))&lt;0.5,"new roster: "&amp;TEXT(INDEX(Players!$T$2:$T$31,MATCH($E10,Players!$A$2:$A$31,0)),"0%")&amp;" of his recent games with these teammates",""),""))</f>
        <v>new roster: 0% of his recent games with these teammates</v>
      </c>
      <c r="AI10" s="0" t="str">
        <f aca="false">IF($B10=Board!$B$2,COUNTIFS($B$2:$B$31,Board!$B$2,$Y$2:$Y$31,"&gt;"&amp;$Y10)+COUNTIFS($B$1:$B9,Board!$B$2,$Y$1:$Y9,$Y10)+1,"")</f>
        <v/>
      </c>
      <c r="AJ10" s="0" t="str">
        <f aca="false">IFERROR(IF(INDEX(Matches!$D$5:$D$8,MATCH($B10,Matches!$A$5:$A$8,0))=3,"K12","K13"),"K13")</f>
        <v>K12</v>
      </c>
      <c r="AK10" s="12" t="n">
        <f aca="false">IF($AJ10="K12",$AA10,$AC10)</f>
        <v>12.6312853625171</v>
      </c>
    </row>
    <row r="11" customFormat="false" ht="15" hidden="false" customHeight="false" outlineLevel="0" collapsed="false">
      <c r="A11" s="0" t="s">
        <v>151</v>
      </c>
      <c r="B11" s="0" t="s">
        <v>27</v>
      </c>
      <c r="C11" s="0" t="s">
        <v>78</v>
      </c>
      <c r="D11" s="0" t="s">
        <v>149</v>
      </c>
      <c r="E11" s="0" t="s">
        <v>242</v>
      </c>
      <c r="F11" s="0" t="str">
        <f aca="false">IFERROR(IF($C11=INDEX(Matches!$S$5:$S$8,MATCH($B11,Matches!$A$5:$A$8,0)),"A",IF($C11=INDEX(Matches!$T$5:$T$8,MATCH($B11,Matches!$A$5:$A$8,0)),"B","")),"")</f>
        <v>A</v>
      </c>
      <c r="G11" s="0" t="n">
        <f aca="false">IFERROR(INDEX(Players!$E$2:$E$31,MATCH($E11,Players!$A$2:$A$31,0)),0)</f>
        <v>30</v>
      </c>
      <c r="H11" s="7" t="n">
        <f aca="false">IFERROR(INDEX(Players!$F$2:$F$31,MATCH($E11,Players!$A$2:$A$31,0)),"")</f>
        <v>0.67</v>
      </c>
      <c r="I11" s="6" t="n">
        <f aca="false">IFERROR(INDEX(Players!$G$2:$G$31,MATCH($E11,Players!$A$2:$A$31,0)),"")</f>
        <v>4.9</v>
      </c>
      <c r="J11" s="12" t="n">
        <f aca="false">IF(OR($I11="",$H11=""),"",$I11*IF(LEFT($B11,4)="DOTA",Config!$B$5,Config!$B$4)/($H11*IF(LEFT($B11,4)="DOTA",Config!$B$5,Config!$B$4)+1-$H11))</f>
        <v>5.72135365129626</v>
      </c>
      <c r="K11" s="12" t="n">
        <f aca="false">IF(OR($I11="",$H11=""),"",$I11/($H11*IF(LEFT($B11,4)="DOTA",Config!$B$5,Config!$B$4)+1-$H11))</f>
        <v>3.23240319282275</v>
      </c>
      <c r="L11" s="6" t="n">
        <f aca="false">IFERROR(INDEX(Matches!$R$5:$R$8,MATCH($B11,Matches!$A$5:$A$8,0)),1)</f>
        <v>1</v>
      </c>
      <c r="M11" s="7" t="n">
        <f aca="false">IFERROR(IF(INDEX(Matches!$M$5:$M$8,MATCH($B11,Matches!$A$5:$A$8,0))="","",IF($F11="A",INDEX(Matches!$M$5:$M$8,MATCH($B11,Matches!$A$5:$A$8,0)),1-INDEX(Matches!$M$5:$M$8,MATCH($B11,Matches!$A$5:$A$8,0)))),"")</f>
        <v>0.528</v>
      </c>
      <c r="N11" s="6" t="n">
        <f aca="false">1</f>
        <v>1</v>
      </c>
      <c r="O11" s="12" t="n">
        <f aca="false">IF(OR($M11="",$J11=""),"",$L11*($M11*$J11+(1-$M11)*$K11))</f>
        <v>4.54656903489676</v>
      </c>
      <c r="P11" s="6" t="n">
        <f aca="false">IF($O11="","",IF(LEFT($B11,4)="DOTA",Config!$B$7,Config!$B$6)*$O11+$L11^2*$M11*(1-$M11)*($J11-$K11)^2)</f>
        <v>9.90954883887629</v>
      </c>
      <c r="Q11" s="7" t="n">
        <f aca="false">IFERROR(IF(INDEX(Matches!$N$5:$N$8,MATCH($B11,Matches!$A$5:$A$8,0))="","",IF($F11="A",INDEX(Matches!$N$5:$N$8,MATCH($B11,Matches!$A$5:$A$8,0)),1-INDEX(Matches!$N$5:$N$8,MATCH($B11,Matches!$A$5:$A$8,0)))),"")</f>
        <v>0.528</v>
      </c>
      <c r="R11" s="6" t="n">
        <f aca="false">IFERROR(N(INDEX(Matches!$P$5:$P$8,MATCH($B11,Matches!$A$5:$A$8,0))),0)</f>
        <v>1</v>
      </c>
      <c r="S11" s="12" t="n">
        <f aca="false">IF(OR($Q11="",$J11=""),"",$L11*($Q11*$J11+(1-$Q11)*$K11))</f>
        <v>4.54656903489676</v>
      </c>
      <c r="T11" s="6" t="n">
        <f aca="false">IF($S11="","",IF(LEFT($B11,4)="DOTA",Config!$B$7,Config!$B$6)*$S11+$L11^2*$Q11*(1-$Q11)*($J11-$K11)^2)</f>
        <v>9.90954883887629</v>
      </c>
      <c r="U11" s="7" t="n">
        <f aca="false">IFERROR(IF(INDEX(Matches!$O$5:$O$8,MATCH($B11,Matches!$A$5:$A$8,0))="","",IF($F11="A",INDEX(Matches!$O$5:$O$8,MATCH($B11,Matches!$A$5:$A$8,0)),1-INDEX(Matches!$O$5:$O$8,MATCH($B11,Matches!$A$5:$A$8,0)))),"")</f>
        <v>0.5411</v>
      </c>
      <c r="V11" s="6" t="n">
        <f aca="false">IFERROR(N(INDEX(Matches!$Q$5:$Q$8,MATCH($B11,Matches!$A$5:$A$8,0))),0)</f>
        <v>0.4966</v>
      </c>
      <c r="W11" s="12" t="n">
        <f aca="false">IF(OR($U11="",$J11=""),"",$L11*($U11*$J11+(1-$U11)*$K11))</f>
        <v>4.57917428590276</v>
      </c>
      <c r="X11" s="6" t="n">
        <f aca="false">IF($W11="","",IF(LEFT($B11,4)="DOTA",Config!$B$7,Config!$B$6)*$W11+$L11^2*$U11*(1-$U11)*($J11-$K11)^2)</f>
        <v>9.96393483848552</v>
      </c>
      <c r="Y11" s="12" t="n">
        <f aca="false">IF($O11="","",$O11)</f>
        <v>4.54656903489676</v>
      </c>
      <c r="Z11" s="6" t="n">
        <f aca="false">IF($P11="","",$P11)</f>
        <v>9.90954883887629</v>
      </c>
      <c r="AA11" s="12" t="n">
        <f aca="false">IF($O11="","",N($N11)*N($O11)+N($R11)*N($S11))</f>
        <v>9.09313806979352</v>
      </c>
      <c r="AB11" s="6" t="n">
        <f aca="false">IF($O11="","",(N($N11)*N($P11)+N($N11)*(1-N($N11))*N($O11)^2)+(N($R11)*N($T11)+N($R11)*(1-N($R11))*N($S11)^2))</f>
        <v>19.8190976777526</v>
      </c>
      <c r="AC11" s="12" t="n">
        <f aca="false">IF($O11="","",N($N11)*N($O11)+N($R11)*N($S11)+N($V11)*N($W11))</f>
        <v>11.3671560201728</v>
      </c>
      <c r="AD11" s="6" t="n">
        <f aca="false">IF($O11="","",(N($N11)*N($P11)+N($N11)*(1-N($N11))*N($O11)^2)+(N($R11)*N($T11)+N($R11)*(1-N($R11))*N($S11)^2)+(N($V11)*N($X11)+N($V11)*(1-N($V11))*N($W11)^2))</f>
        <v>30.0091546039554</v>
      </c>
      <c r="AE11" s="12" t="n">
        <f aca="false">IF($I11="","",$I11*$L11)</f>
        <v>4.9</v>
      </c>
      <c r="AF11" s="12" t="n">
        <f aca="false">IF($I11="","",$I11*$L11*(1+N($R11)))</f>
        <v>9.8</v>
      </c>
      <c r="AG11" s="12" t="n">
        <f aca="false">IF($I11="","",$I11*$L11*(1+N($R11)+N($V11)))</f>
        <v>12.23334</v>
      </c>
      <c r="AH11" s="0" t="str">
        <f aca="false">TRIM(IF($G11&lt;Config!$B$9,"thin sample ("&amp;$G11&amp;" maps) · ","")&amp;IF($I11="","no PickFinder stats · ","")&amp;IFERROR(IF(INDEX(Players!$T$2:$T$31,MATCH($E11,Players!$A$2:$A$31,0))&lt;0.5,"new roster: "&amp;TEXT(INDEX(Players!$T$2:$T$31,MATCH($E11,Players!$A$2:$A$31,0)),"0%")&amp;" of his recent games with these teammates",""),""))</f>
        <v>new roster: 0% of his recent games with these teammates</v>
      </c>
      <c r="AI11" s="6" t="n">
        <f aca="false">IF($B11=Board!$B$2,COUNTIFS($B$2:$B$31,Board!$B$2,$Y$2:$Y$31,"&gt;"&amp;$Y11)+COUNTIFS($B$1:$B10,Board!$B$2,$Y$1:$Y10,$Y11)+1,"")</f>
        <v>6</v>
      </c>
      <c r="AJ11" s="0" t="str">
        <f aca="false">IFERROR(IF(INDEX(Matches!$D$5:$D$8,MATCH($B11,Matches!$A$5:$A$8,0))=3,"K12","K13"),"K13")</f>
        <v>K12</v>
      </c>
      <c r="AK11" s="12" t="n">
        <f aca="false">IF($AJ11="K12",$AA11,$AC11)</f>
        <v>9.09313806979352</v>
      </c>
    </row>
    <row r="12" customFormat="false" ht="15" hidden="false" customHeight="false" outlineLevel="0" collapsed="false">
      <c r="A12" s="0" t="s">
        <v>154</v>
      </c>
      <c r="B12" s="0" t="s">
        <v>27</v>
      </c>
      <c r="C12" s="0" t="s">
        <v>78</v>
      </c>
      <c r="D12" s="0" t="s">
        <v>152</v>
      </c>
      <c r="E12" s="0" t="s">
        <v>243</v>
      </c>
      <c r="F12" s="0" t="str">
        <f aca="false">IFERROR(IF($C12=INDEX(Matches!$S$5:$S$8,MATCH($B12,Matches!$A$5:$A$8,0)),"A",IF($C12=INDEX(Matches!$T$5:$T$8,MATCH($B12,Matches!$A$5:$A$8,0)),"B","")),"")</f>
        <v>A</v>
      </c>
      <c r="G12" s="0" t="n">
        <f aca="false">IFERROR(INDEX(Players!$E$2:$E$31,MATCH($E12,Players!$A$2:$A$31,0)),0)</f>
        <v>30</v>
      </c>
      <c r="H12" s="7" t="n">
        <f aca="false">IFERROR(INDEX(Players!$F$2:$F$31,MATCH($E12,Players!$A$2:$A$31,0)),"")</f>
        <v>0.67</v>
      </c>
      <c r="I12" s="6" t="n">
        <f aca="false">IFERROR(INDEX(Players!$G$2:$G$31,MATCH($E12,Players!$A$2:$A$31,0)),"")</f>
        <v>2.8</v>
      </c>
      <c r="J12" s="12" t="n">
        <f aca="false">IF(OR($I12="",$H12=""),"",$I12*IF(LEFT($B12,4)="DOTA",Config!$B$5,Config!$B$4)/($H12*IF(LEFT($B12,4)="DOTA",Config!$B$5,Config!$B$4)+1-$H12))</f>
        <v>3.26934494359786</v>
      </c>
      <c r="K12" s="12" t="n">
        <f aca="false">IF(OR($I12="",$H12=""),"",$I12/($H12*IF(LEFT($B12,4)="DOTA",Config!$B$5,Config!$B$4)+1-$H12))</f>
        <v>1.84708753875585</v>
      </c>
      <c r="L12" s="6" t="n">
        <f aca="false">IFERROR(INDEX(Matches!$R$5:$R$8,MATCH($B12,Matches!$A$5:$A$8,0)),1)</f>
        <v>1</v>
      </c>
      <c r="M12" s="7" t="n">
        <f aca="false">IFERROR(IF(INDEX(Matches!$M$5:$M$8,MATCH($B12,Matches!$A$5:$A$8,0))="","",IF($F12="A",INDEX(Matches!$M$5:$M$8,MATCH($B12,Matches!$A$5:$A$8,0)),1-INDEX(Matches!$M$5:$M$8,MATCH($B12,Matches!$A$5:$A$8,0)))),"")</f>
        <v>0.528</v>
      </c>
      <c r="N12" s="6" t="n">
        <f aca="false">1</f>
        <v>1</v>
      </c>
      <c r="O12" s="12" t="n">
        <f aca="false">IF(OR($M12="",$J12=""),"",$L12*($M12*$J12+(1-$M12)*$K12))</f>
        <v>2.59803944851243</v>
      </c>
      <c r="P12" s="6" t="n">
        <f aca="false">IF($O12="","",IF(LEFT($B12,4)="DOTA",Config!$B$7,Config!$B$6)*$O12+$L12^2*$M12*(1-$M12)*($J12-$K12)^2)</f>
        <v>5.28451072882737</v>
      </c>
      <c r="Q12" s="7" t="n">
        <f aca="false">IFERROR(IF(INDEX(Matches!$N$5:$N$8,MATCH($B12,Matches!$A$5:$A$8,0))="","",IF($F12="A",INDEX(Matches!$N$5:$N$8,MATCH($B12,Matches!$A$5:$A$8,0)),1-INDEX(Matches!$N$5:$N$8,MATCH($B12,Matches!$A$5:$A$8,0)))),"")</f>
        <v>0.528</v>
      </c>
      <c r="R12" s="6" t="n">
        <f aca="false">IFERROR(N(INDEX(Matches!$P$5:$P$8,MATCH($B12,Matches!$A$5:$A$8,0))),0)</f>
        <v>1</v>
      </c>
      <c r="S12" s="12" t="n">
        <f aca="false">IF(OR($Q12="",$J12=""),"",$L12*($Q12*$J12+(1-$Q12)*$K12))</f>
        <v>2.59803944851243</v>
      </c>
      <c r="T12" s="6" t="n">
        <f aca="false">IF($S12="","",IF(LEFT($B12,4)="DOTA",Config!$B$7,Config!$B$6)*$S12+$L12^2*$Q12*(1-$Q12)*($J12-$K12)^2)</f>
        <v>5.28451072882737</v>
      </c>
      <c r="U12" s="7" t="n">
        <f aca="false">IFERROR(IF(INDEX(Matches!$O$5:$O$8,MATCH($B12,Matches!$A$5:$A$8,0))="","",IF($F12="A",INDEX(Matches!$O$5:$O$8,MATCH($B12,Matches!$A$5:$A$8,0)),1-INDEX(Matches!$O$5:$O$8,MATCH($B12,Matches!$A$5:$A$8,0)))),"")</f>
        <v>0.5411</v>
      </c>
      <c r="V12" s="6" t="n">
        <f aca="false">IFERROR(N(INDEX(Matches!$Q$5:$Q$8,MATCH($B12,Matches!$A$5:$A$8,0))),0)</f>
        <v>0.4966</v>
      </c>
      <c r="W12" s="12" t="n">
        <f aca="false">IF(OR($U12="",$J12=""),"",$L12*($U12*$J12+(1-$U12)*$K12))</f>
        <v>2.61667102051586</v>
      </c>
      <c r="X12" s="6" t="n">
        <f aca="false">IF($W12="","",IF(LEFT($B12,4)="DOTA",Config!$B$7,Config!$B$6)*$W12+$L12^2*$U12*(1-$U12)*($J12-$K12)^2)</f>
        <v>5.3169617479286</v>
      </c>
      <c r="Y12" s="12" t="n">
        <f aca="false">IF($O12="","",$O12)</f>
        <v>2.59803944851243</v>
      </c>
      <c r="Z12" s="6" t="n">
        <f aca="false">IF($P12="","",$P12)</f>
        <v>5.28451072882737</v>
      </c>
      <c r="AA12" s="12" t="n">
        <f aca="false">IF($O12="","",N($N12)*N($O12)+N($R12)*N($S12))</f>
        <v>5.19607889702487</v>
      </c>
      <c r="AB12" s="6" t="n">
        <f aca="false">IF($O12="","",(N($N12)*N($P12)+N($N12)*(1-N($N12))*N($O12)^2)+(N($R12)*N($T12)+N($R12)*(1-N($R12))*N($S12)^2))</f>
        <v>10.5690214576547</v>
      </c>
      <c r="AC12" s="12" t="n">
        <f aca="false">IF($O12="","",N($N12)*N($O12)+N($R12)*N($S12)+N($V12)*N($W12))</f>
        <v>6.49551772581305</v>
      </c>
      <c r="AD12" s="6" t="n">
        <f aca="false">IF($O12="","",(N($N12)*N($P12)+N($N12)*(1-N($N12))*N($O12)^2)+(N($R12)*N($T12)+N($R12)*(1-N($R12))*N($S12)^2)+(N($V12)*N($X12)+N($V12)*(1-N($V12))*N($W12)^2))</f>
        <v>14.9210873181368</v>
      </c>
      <c r="AE12" s="12" t="n">
        <f aca="false">IF($I12="","",$I12*$L12)</f>
        <v>2.8</v>
      </c>
      <c r="AF12" s="12" t="n">
        <f aca="false">IF($I12="","",$I12*$L12*(1+N($R12)))</f>
        <v>5.6</v>
      </c>
      <c r="AG12" s="12" t="n">
        <f aca="false">IF($I12="","",$I12*$L12*(1+N($R12)+N($V12)))</f>
        <v>6.99048</v>
      </c>
      <c r="AH12" s="0" t="str">
        <f aca="false">TRIM(IF($G12&lt;Config!$B$9,"thin sample ("&amp;$G12&amp;" maps) · ","")&amp;IF($I12="","no PickFinder stats · ","")&amp;IFERROR(IF(INDEX(Players!$T$2:$T$31,MATCH($E12,Players!$A$2:$A$31,0))&lt;0.5,"new roster: "&amp;TEXT(INDEX(Players!$T$2:$T$31,MATCH($E12,Players!$A$2:$A$31,0)),"0%")&amp;" of his recent games with these teammates",""),""))</f>
        <v>new roster: 0% of his recent games with these teammates</v>
      </c>
      <c r="AI12" s="6" t="n">
        <f aca="false">IF($B12=Board!$B$2,COUNTIFS($B$2:$B$31,Board!$B$2,$Y$2:$Y$31,"&gt;"&amp;$Y12)+COUNTIFS($B$1:$B11,Board!$B$2,$Y$1:$Y11,$Y12)+1,"")</f>
        <v>8</v>
      </c>
      <c r="AJ12" s="0" t="str">
        <f aca="false">IFERROR(IF(INDEX(Matches!$D$5:$D$8,MATCH($B12,Matches!$A$5:$A$8,0))=3,"K12","K13"),"K13")</f>
        <v>K12</v>
      </c>
      <c r="AK12" s="12" t="n">
        <f aca="false">IF($AJ12="K12",$AA12,$AC12)</f>
        <v>5.19607889702487</v>
      </c>
    </row>
    <row r="13" customFormat="false" ht="15" hidden="false" customHeight="false" outlineLevel="0" collapsed="false">
      <c r="A13" s="0" t="s">
        <v>157</v>
      </c>
      <c r="B13" s="0" t="s">
        <v>27</v>
      </c>
      <c r="C13" s="0" t="s">
        <v>78</v>
      </c>
      <c r="D13" s="0" t="s">
        <v>155</v>
      </c>
      <c r="E13" s="0" t="s">
        <v>244</v>
      </c>
      <c r="F13" s="0" t="str">
        <f aca="false">IFERROR(IF($C13=INDEX(Matches!$S$5:$S$8,MATCH($B13,Matches!$A$5:$A$8,0)),"A",IF($C13=INDEX(Matches!$T$5:$T$8,MATCH($B13,Matches!$A$5:$A$8,0)),"B","")),"")</f>
        <v>A</v>
      </c>
      <c r="G13" s="0" t="n">
        <f aca="false">IFERROR(INDEX(Players!$E$2:$E$31,MATCH($E13,Players!$A$2:$A$31,0)),0)</f>
        <v>30</v>
      </c>
      <c r="H13" s="7" t="n">
        <f aca="false">IFERROR(INDEX(Players!$F$2:$F$31,MATCH($E13,Players!$A$2:$A$31,0)),"")</f>
        <v>0.67</v>
      </c>
      <c r="I13" s="6" t="n">
        <f aca="false">IFERROR(INDEX(Players!$G$2:$G$31,MATCH($E13,Players!$A$2:$A$31,0)),"")</f>
        <v>7.4</v>
      </c>
      <c r="J13" s="12" t="n">
        <f aca="false">IF(OR($I13="",$H13=""),"",$I13*IF(LEFT($B13,4)="DOTA",Config!$B$5,Config!$B$4)/($H13*IF(LEFT($B13,4)="DOTA",Config!$B$5,Config!$B$4)+1-$H13))</f>
        <v>8.64041163665149</v>
      </c>
      <c r="K13" s="12" t="n">
        <f aca="false">IF(OR($I13="",$H13=""),"",$I13/($H13*IF(LEFT($B13,4)="DOTA",Config!$B$5,Config!$B$4)+1-$H13))</f>
        <v>4.88158849528333</v>
      </c>
      <c r="L13" s="6" t="n">
        <f aca="false">IFERROR(INDEX(Matches!$R$5:$R$8,MATCH($B13,Matches!$A$5:$A$8,0)),1)</f>
        <v>1</v>
      </c>
      <c r="M13" s="7" t="n">
        <f aca="false">IFERROR(IF(INDEX(Matches!$M$5:$M$8,MATCH($B13,Matches!$A$5:$A$8,0))="","",IF($F13="A",INDEX(Matches!$M$5:$M$8,MATCH($B13,Matches!$A$5:$A$8,0)),1-INDEX(Matches!$M$5:$M$8,MATCH($B13,Matches!$A$5:$A$8,0)))),"")</f>
        <v>0.528</v>
      </c>
      <c r="N13" s="6" t="n">
        <f aca="false">1</f>
        <v>1</v>
      </c>
      <c r="O13" s="12" t="n">
        <f aca="false">IF(OR($M13="",$J13=""),"",$L13*($M13*$J13+(1-$M13)*$K13))</f>
        <v>6.86624711392572</v>
      </c>
      <c r="P13" s="6" t="n">
        <f aca="false">IF($O13="","",IF(LEFT($B13,4)="DOTA",Config!$B$7,Config!$B$6)*$O13+$L13^2*$M13*(1-$M13)*($J13-$K13)^2)</f>
        <v>16.1550056005406</v>
      </c>
      <c r="Q13" s="7" t="n">
        <f aca="false">IFERROR(IF(INDEX(Matches!$N$5:$N$8,MATCH($B13,Matches!$A$5:$A$8,0))="","",IF($F13="A",INDEX(Matches!$N$5:$N$8,MATCH($B13,Matches!$A$5:$A$8,0)),1-INDEX(Matches!$N$5:$N$8,MATCH($B13,Matches!$A$5:$A$8,0)))),"")</f>
        <v>0.528</v>
      </c>
      <c r="R13" s="6" t="n">
        <f aca="false">IFERROR(N(INDEX(Matches!$P$5:$P$8,MATCH($B13,Matches!$A$5:$A$8,0))),0)</f>
        <v>1</v>
      </c>
      <c r="S13" s="12" t="n">
        <f aca="false">IF(OR($Q13="",$J13=""),"",$L13*($Q13*$J13+(1-$Q13)*$K13))</f>
        <v>6.86624711392572</v>
      </c>
      <c r="T13" s="6" t="n">
        <f aca="false">IF($S13="","",IF(LEFT($B13,4)="DOTA",Config!$B$7,Config!$B$6)*$S13+$L13^2*$Q13*(1-$Q13)*($J13-$K13)^2)</f>
        <v>16.1550056005406</v>
      </c>
      <c r="U13" s="7" t="n">
        <f aca="false">IFERROR(IF(INDEX(Matches!$O$5:$O$8,MATCH($B13,Matches!$A$5:$A$8,0))="","",IF($F13="A",INDEX(Matches!$O$5:$O$8,MATCH($B13,Matches!$A$5:$A$8,0)),1-INDEX(Matches!$O$5:$O$8,MATCH($B13,Matches!$A$5:$A$8,0)))),"")</f>
        <v>0.5411</v>
      </c>
      <c r="V13" s="6" t="n">
        <f aca="false">IFERROR(N(INDEX(Matches!$Q$5:$Q$8,MATCH($B13,Matches!$A$5:$A$8,0))),0)</f>
        <v>0.4966</v>
      </c>
      <c r="W13" s="12" t="n">
        <f aca="false">IF(OR($U13="",$J13=""),"",$L13*($U13*$J13+(1-$U13)*$K13))</f>
        <v>6.91548769707764</v>
      </c>
      <c r="X13" s="6" t="n">
        <f aca="false">IF($W13="","",IF(LEFT($B13,4)="DOTA",Config!$B$7,Config!$B$6)*$W13+$L13^2*$U13*(1-$U13)*($J13-$K13)^2)</f>
        <v>16.232818786478</v>
      </c>
      <c r="Y13" s="12" t="n">
        <f aca="false">IF($O13="","",$O13)</f>
        <v>6.86624711392572</v>
      </c>
      <c r="Z13" s="6" t="n">
        <f aca="false">IF($P13="","",$P13)</f>
        <v>16.1550056005406</v>
      </c>
      <c r="AA13" s="12" t="n">
        <f aca="false">IF($O13="","",N($N13)*N($O13)+N($R13)*N($S13))</f>
        <v>13.7324942278514</v>
      </c>
      <c r="AB13" s="6" t="n">
        <f aca="false">IF($O13="","",(N($N13)*N($P13)+N($N13)*(1-N($N13))*N($O13)^2)+(N($R13)*N($T13)+N($R13)*(1-N($R13))*N($S13)^2))</f>
        <v>32.3100112010812</v>
      </c>
      <c r="AC13" s="12" t="n">
        <f aca="false">IF($O13="","",N($N13)*N($O13)+N($R13)*N($S13)+N($V13)*N($W13))</f>
        <v>17.1667254182202</v>
      </c>
      <c r="AD13" s="6" t="n">
        <f aca="false">IF($O13="","",(N($N13)*N($P13)+N($N13)*(1-N($N13))*N($O13)^2)+(N($R13)*N($T13)+N($R13)*(1-N($R13))*N($S13)^2)+(N($V13)*N($X13)+N($V13)*(1-N($V13))*N($W13)^2))</f>
        <v>52.32666868746</v>
      </c>
      <c r="AE13" s="12" t="n">
        <f aca="false">IF($I13="","",$I13*$L13)</f>
        <v>7.4</v>
      </c>
      <c r="AF13" s="12" t="n">
        <f aca="false">IF($I13="","",$I13*$L13*(1+N($R13)))</f>
        <v>14.8</v>
      </c>
      <c r="AG13" s="12" t="n">
        <f aca="false">IF($I13="","",$I13*$L13*(1+N($R13)+N($V13)))</f>
        <v>18.47484</v>
      </c>
      <c r="AH13" s="0" t="str">
        <f aca="false">TRIM(IF($G13&lt;Config!$B$9,"thin sample ("&amp;$G13&amp;" maps) · ","")&amp;IF($I13="","no PickFinder stats · ","")&amp;IFERROR(IF(INDEX(Players!$T$2:$T$31,MATCH($E13,Players!$A$2:$A$31,0))&lt;0.5,"new roster: "&amp;TEXT(INDEX(Players!$T$2:$T$31,MATCH($E13,Players!$A$2:$A$31,0)),"0%")&amp;" of his recent games with these teammates",""),""))</f>
        <v>new roster: 0% of his recent games with these teammates</v>
      </c>
      <c r="AI13" s="6" t="n">
        <f aca="false">IF($B13=Board!$B$2,COUNTIFS($B$2:$B$31,Board!$B$2,$Y$2:$Y$31,"&gt;"&amp;$Y13)+COUNTIFS($B$1:$B12,Board!$B$2,$Y$1:$Y12,$Y13)+1,"")</f>
        <v>4</v>
      </c>
      <c r="AJ13" s="0" t="str">
        <f aca="false">IFERROR(IF(INDEX(Matches!$D$5:$D$8,MATCH($B13,Matches!$A$5:$A$8,0))=3,"K12","K13"),"K13")</f>
        <v>K12</v>
      </c>
      <c r="AK13" s="12" t="n">
        <f aca="false">IF($AJ13="K12",$AA13,$AC13)</f>
        <v>13.7324942278514</v>
      </c>
    </row>
    <row r="14" customFormat="false" ht="15" hidden="false" customHeight="false" outlineLevel="0" collapsed="false">
      <c r="A14" s="0" t="s">
        <v>160</v>
      </c>
      <c r="B14" s="0" t="s">
        <v>27</v>
      </c>
      <c r="C14" s="0" t="s">
        <v>78</v>
      </c>
      <c r="D14" s="0" t="s">
        <v>158</v>
      </c>
      <c r="E14" s="0" t="s">
        <v>245</v>
      </c>
      <c r="F14" s="0" t="str">
        <f aca="false">IFERROR(IF($C14=INDEX(Matches!$S$5:$S$8,MATCH($B14,Matches!$A$5:$A$8,0)),"A",IF($C14=INDEX(Matches!$T$5:$T$8,MATCH($B14,Matches!$A$5:$A$8,0)),"B","")),"")</f>
        <v>A</v>
      </c>
      <c r="G14" s="0" t="n">
        <f aca="false">IFERROR(INDEX(Players!$E$2:$E$31,MATCH($E14,Players!$A$2:$A$31,0)),0)</f>
        <v>30</v>
      </c>
      <c r="H14" s="7" t="n">
        <f aca="false">IFERROR(INDEX(Players!$F$2:$F$31,MATCH($E14,Players!$A$2:$A$31,0)),"")</f>
        <v>0.67</v>
      </c>
      <c r="I14" s="6" t="n">
        <f aca="false">IFERROR(INDEX(Players!$G$2:$G$31,MATCH($E14,Players!$A$2:$A$31,0)),"")</f>
        <v>10.8</v>
      </c>
      <c r="J14" s="12" t="n">
        <f aca="false">IF(OR($I14="",$H14=""),"",$I14*IF(LEFT($B14,4)="DOTA",Config!$B$5,Config!$B$4)/($H14*IF(LEFT($B14,4)="DOTA",Config!$B$5,Config!$B$4)+1-$H14))</f>
        <v>12.6103304967346</v>
      </c>
      <c r="K14" s="12" t="n">
        <f aca="false">IF(OR($I14="",$H14=""),"",$I14/($H14*IF(LEFT($B14,4)="DOTA",Config!$B$5,Config!$B$4)+1-$H14))</f>
        <v>7.12448050662972</v>
      </c>
      <c r="L14" s="6" t="n">
        <f aca="false">IFERROR(INDEX(Matches!$R$5:$R$8,MATCH($B14,Matches!$A$5:$A$8,0)),1)</f>
        <v>1</v>
      </c>
      <c r="M14" s="7" t="n">
        <f aca="false">IFERROR(IF(INDEX(Matches!$M$5:$M$8,MATCH($B14,Matches!$A$5:$A$8,0))="","",IF($F14="A",INDEX(Matches!$M$5:$M$8,MATCH($B14,Matches!$A$5:$A$8,0)),1-INDEX(Matches!$M$5:$M$8,MATCH($B14,Matches!$A$5:$A$8,0)))),"")</f>
        <v>0.528</v>
      </c>
      <c r="N14" s="6" t="n">
        <f aca="false">1</f>
        <v>1</v>
      </c>
      <c r="O14" s="12" t="n">
        <f aca="false">IF(OR($M14="",$J14=""),"",$L14*($M14*$J14+(1-$M14)*$K14))</f>
        <v>10.0210093014051</v>
      </c>
      <c r="P14" s="6" t="n">
        <f aca="false">IF($O14="","",IF(LEFT($B14,4)="DOTA",Config!$B$7,Config!$B$6)*$O14+$L14^2*$M14*(1-$M14)*($J14-$K14)^2)</f>
        <v>25.9387005157795</v>
      </c>
      <c r="Q14" s="7" t="n">
        <f aca="false">IFERROR(IF(INDEX(Matches!$N$5:$N$8,MATCH($B14,Matches!$A$5:$A$8,0))="","",IF($F14="A",INDEX(Matches!$N$5:$N$8,MATCH($B14,Matches!$A$5:$A$8,0)),1-INDEX(Matches!$N$5:$N$8,MATCH($B14,Matches!$A$5:$A$8,0)))),"")</f>
        <v>0.528</v>
      </c>
      <c r="R14" s="6" t="n">
        <f aca="false">IFERROR(N(INDEX(Matches!$P$5:$P$8,MATCH($B14,Matches!$A$5:$A$8,0))),0)</f>
        <v>1</v>
      </c>
      <c r="S14" s="12" t="n">
        <f aca="false">IF(OR($Q14="",$J14=""),"",$L14*($Q14*$J14+(1-$Q14)*$K14))</f>
        <v>10.0210093014051</v>
      </c>
      <c r="T14" s="6" t="n">
        <f aca="false">IF($S14="","",IF(LEFT($B14,4)="DOTA",Config!$B$7,Config!$B$6)*$S14+$L14^2*$Q14*(1-$Q14)*($J14-$K14)^2)</f>
        <v>25.9387005157795</v>
      </c>
      <c r="U14" s="7" t="n">
        <f aca="false">IFERROR(IF(INDEX(Matches!$O$5:$O$8,MATCH($B14,Matches!$A$5:$A$8,0))="","",IF($F14="A",INDEX(Matches!$O$5:$O$8,MATCH($B14,Matches!$A$5:$A$8,0)),1-INDEX(Matches!$O$5:$O$8,MATCH($B14,Matches!$A$5:$A$8,0)))),"")</f>
        <v>0.5411</v>
      </c>
      <c r="V14" s="6" t="n">
        <f aca="false">IFERROR(N(INDEX(Matches!$Q$5:$Q$8,MATCH($B14,Matches!$A$5:$A$8,0))),0)</f>
        <v>0.4966</v>
      </c>
      <c r="W14" s="12" t="n">
        <f aca="false">IF(OR($U14="",$J14=""),"",$L14*($U14*$J14+(1-$U14)*$K14))</f>
        <v>10.0928739362755</v>
      </c>
      <c r="X14" s="6" t="n">
        <f aca="false">IF($W14="","",IF(LEFT($B14,4)="DOTA",Config!$B$7,Config!$B$6)*$W14+$L14^2*$U14*(1-$U14)*($J14-$K14)^2)</f>
        <v>26.0436895562324</v>
      </c>
      <c r="Y14" s="12" t="n">
        <f aca="false">IF($O14="","",$O14)</f>
        <v>10.0210093014051</v>
      </c>
      <c r="Z14" s="6" t="n">
        <f aca="false">IF($P14="","",$P14)</f>
        <v>25.9387005157795</v>
      </c>
      <c r="AA14" s="12" t="n">
        <f aca="false">IF($O14="","",N($N14)*N($O14)+N($R14)*N($S14))</f>
        <v>20.0420186028102</v>
      </c>
      <c r="AB14" s="6" t="n">
        <f aca="false">IF($O14="","",(N($N14)*N($P14)+N($N14)*(1-N($N14))*N($O14)^2)+(N($R14)*N($T14)+N($R14)*(1-N($R14))*N($S14)^2))</f>
        <v>51.8774010315591</v>
      </c>
      <c r="AC14" s="12" t="n">
        <f aca="false">IF($O14="","",N($N14)*N($O14)+N($R14)*N($S14)+N($V14)*N($W14))</f>
        <v>25.0541397995646</v>
      </c>
      <c r="AD14" s="6" t="n">
        <f aca="false">IF($O14="","",(N($N14)*N($P14)+N($N14)*(1-N($N14))*N($O14)^2)+(N($R14)*N($T14)+N($R14)*(1-N($R14))*N($S14)^2)+(N($V14)*N($X14)+N($V14)*(1-N($V14))*N($W14)^2))</f>
        <v>90.2760457664056</v>
      </c>
      <c r="AE14" s="12" t="n">
        <f aca="false">IF($I14="","",$I14*$L14)</f>
        <v>10.8</v>
      </c>
      <c r="AF14" s="12" t="n">
        <f aca="false">IF($I14="","",$I14*$L14*(1+N($R14)))</f>
        <v>21.6</v>
      </c>
      <c r="AG14" s="12" t="n">
        <f aca="false">IF($I14="","",$I14*$L14*(1+N($R14)+N($V14)))</f>
        <v>26.96328</v>
      </c>
      <c r="AH14" s="0" t="str">
        <f aca="false">TRIM(IF($G14&lt;Config!$B$9,"thin sample ("&amp;$G14&amp;" maps) · ","")&amp;IF($I14="","no PickFinder stats · ","")&amp;IFERROR(IF(INDEX(Players!$T$2:$T$31,MATCH($E14,Players!$A$2:$A$31,0))&lt;0.5,"new roster: "&amp;TEXT(INDEX(Players!$T$2:$T$31,MATCH($E14,Players!$A$2:$A$31,0)),"0%")&amp;" of his recent games with these teammates",""),""))</f>
        <v>new roster: 0% of his recent games with these teammates</v>
      </c>
      <c r="AI14" s="6" t="n">
        <f aca="false">IF($B14=Board!$B$2,COUNTIFS($B$2:$B$31,Board!$B$2,$Y$2:$Y$31,"&gt;"&amp;$Y14)+COUNTIFS($B$1:$B13,Board!$B$2,$Y$1:$Y13,$Y14)+1,"")</f>
        <v>1</v>
      </c>
      <c r="AJ14" s="0" t="str">
        <f aca="false">IFERROR(IF(INDEX(Matches!$D$5:$D$8,MATCH($B14,Matches!$A$5:$A$8,0))=3,"K12","K13"),"K13")</f>
        <v>K12</v>
      </c>
      <c r="AK14" s="12" t="n">
        <f aca="false">IF($AJ14="K12",$AA14,$AC14)</f>
        <v>20.0420186028102</v>
      </c>
    </row>
    <row r="15" customFormat="false" ht="15" hidden="false" customHeight="false" outlineLevel="0" collapsed="false">
      <c r="A15" s="0" t="s">
        <v>163</v>
      </c>
      <c r="B15" s="0" t="s">
        <v>27</v>
      </c>
      <c r="C15" s="0" t="s">
        <v>79</v>
      </c>
      <c r="D15" s="0" t="s">
        <v>161</v>
      </c>
      <c r="E15" s="0" t="s">
        <v>246</v>
      </c>
      <c r="F15" s="0" t="str">
        <f aca="false">IFERROR(IF($C15=INDEX(Matches!$S$5:$S$8,MATCH($B15,Matches!$A$5:$A$8,0)),"A",IF($C15=INDEX(Matches!$T$5:$T$8,MATCH($B15,Matches!$A$5:$A$8,0)),"B","")),"")</f>
        <v>B</v>
      </c>
      <c r="G15" s="0" t="n">
        <f aca="false">IFERROR(INDEX(Players!$E$2:$E$31,MATCH($E15,Players!$A$2:$A$31,0)),0)</f>
        <v>30</v>
      </c>
      <c r="H15" s="7" t="n">
        <f aca="false">IFERROR(INDEX(Players!$F$2:$F$31,MATCH($E15,Players!$A$2:$A$31,0)),"")</f>
        <v>0.63</v>
      </c>
      <c r="I15" s="6" t="n">
        <f aca="false">IFERROR(INDEX(Players!$G$2:$G$31,MATCH($E15,Players!$A$2:$A$31,0)),"")</f>
        <v>7.9</v>
      </c>
      <c r="J15" s="12" t="n">
        <f aca="false">IF(OR($I15="",$H15=""),"",$I15*IF(LEFT($B15,4)="DOTA",Config!$B$5,Config!$B$4)/($H15*IF(LEFT($B15,4)="DOTA",Config!$B$5,Config!$B$4)+1-$H15))</f>
        <v>9.41552757390075</v>
      </c>
      <c r="K15" s="12" t="n">
        <f aca="false">IF(OR($I15="",$H15=""),"",$I15/($H15*IF(LEFT($B15,4)="DOTA",Config!$B$5,Config!$B$4)+1-$H15))</f>
        <v>5.31950710389873</v>
      </c>
      <c r="L15" s="6" t="n">
        <f aca="false">IFERROR(INDEX(Matches!$R$5:$R$8,MATCH($B15,Matches!$A$5:$A$8,0)),1)</f>
        <v>1</v>
      </c>
      <c r="M15" s="7" t="n">
        <f aca="false">IFERROR(IF(INDEX(Matches!$M$5:$M$8,MATCH($B15,Matches!$A$5:$A$8,0))="","",IF($F15="A",INDEX(Matches!$M$5:$M$8,MATCH($B15,Matches!$A$5:$A$8,0)),1-INDEX(Matches!$M$5:$M$8,MATCH($B15,Matches!$A$5:$A$8,0)))),"")</f>
        <v>0.472</v>
      </c>
      <c r="N15" s="6" t="n">
        <f aca="false">1</f>
        <v>1</v>
      </c>
      <c r="O15" s="12" t="n">
        <f aca="false">IF(OR($M15="",$J15=""),"",$L15*($M15*$J15+(1-$M15)*$K15))</f>
        <v>7.25282876573968</v>
      </c>
      <c r="P15" s="6" t="n">
        <f aca="false">IF($O15="","",IF(LEFT($B15,4)="DOTA",Config!$B$7,Config!$B$6)*$O15+$L15^2*$M15*(1-$M15)*($J15-$K15)^2)</f>
        <v>17.5263973828164</v>
      </c>
      <c r="Q15" s="7" t="n">
        <f aca="false">IFERROR(IF(INDEX(Matches!$N$5:$N$8,MATCH($B15,Matches!$A$5:$A$8,0))="","",IF($F15="A",INDEX(Matches!$N$5:$N$8,MATCH($B15,Matches!$A$5:$A$8,0)),1-INDEX(Matches!$N$5:$N$8,MATCH($B15,Matches!$A$5:$A$8,0)))),"")</f>
        <v>0.472</v>
      </c>
      <c r="R15" s="6" t="n">
        <f aca="false">IFERROR(N(INDEX(Matches!$P$5:$P$8,MATCH($B15,Matches!$A$5:$A$8,0))),0)</f>
        <v>1</v>
      </c>
      <c r="S15" s="12" t="n">
        <f aca="false">IF(OR($Q15="",$J15=""),"",$L15*($Q15*$J15+(1-$Q15)*$K15))</f>
        <v>7.25282876573968</v>
      </c>
      <c r="T15" s="6" t="n">
        <f aca="false">IF($S15="","",IF(LEFT($B15,4)="DOTA",Config!$B$7,Config!$B$6)*$S15+$L15^2*$Q15*(1-$Q15)*($J15-$K15)^2)</f>
        <v>17.5263973828164</v>
      </c>
      <c r="U15" s="7" t="n">
        <f aca="false">IFERROR(IF(INDEX(Matches!$O$5:$O$8,MATCH($B15,Matches!$A$5:$A$8,0))="","",IF($F15="A",INDEX(Matches!$O$5:$O$8,MATCH($B15,Matches!$A$5:$A$8,0)),1-INDEX(Matches!$O$5:$O$8,MATCH($B15,Matches!$A$5:$A$8,0)))),"")</f>
        <v>0.4589</v>
      </c>
      <c r="V15" s="6" t="n">
        <f aca="false">IFERROR(N(INDEX(Matches!$Q$5:$Q$8,MATCH($B15,Matches!$A$5:$A$8,0))),0)</f>
        <v>0.4966</v>
      </c>
      <c r="W15" s="12" t="n">
        <f aca="false">IF(OR($U15="",$J15=""),"",$L15*($U15*$J15+(1-$U15)*$K15))</f>
        <v>7.19917089758265</v>
      </c>
      <c r="X15" s="6" t="n">
        <f aca="false">IF($W15="","",IF(LEFT($B15,4)="DOTA",Config!$B$7,Config!$B$6)*$W15+$L15^2*$U15*(1-$U15)*($J15-$K15)^2)</f>
        <v>17.4124798499169</v>
      </c>
      <c r="Y15" s="12" t="n">
        <f aca="false">IF($O15="","",$O15)</f>
        <v>7.25282876573968</v>
      </c>
      <c r="Z15" s="6" t="n">
        <f aca="false">IF($P15="","",$P15)</f>
        <v>17.5263973828164</v>
      </c>
      <c r="AA15" s="12" t="n">
        <f aca="false">IF($O15="","",N($N15)*N($O15)+N($R15)*N($S15))</f>
        <v>14.5056575314794</v>
      </c>
      <c r="AB15" s="6" t="n">
        <f aca="false">IF($O15="","",(N($N15)*N($P15)+N($N15)*(1-N($N15))*N($O15)^2)+(N($R15)*N($T15)+N($R15)*(1-N($R15))*N($S15)^2))</f>
        <v>35.0527947656328</v>
      </c>
      <c r="AC15" s="12" t="n">
        <f aca="false">IF($O15="","",N($N15)*N($O15)+N($R15)*N($S15)+N($V15)*N($W15))</f>
        <v>18.0807657992189</v>
      </c>
      <c r="AD15" s="6" t="n">
        <f aca="false">IF($O15="","",(N($N15)*N($P15)+N($N15)*(1-N($N15))*N($O15)^2)+(N($R15)*N($T15)+N($R15)*(1-N($R15))*N($S15)^2)+(N($V15)*N($X15)+N($V15)*(1-N($V15))*N($W15)^2))</f>
        <v>56.6562485298596</v>
      </c>
      <c r="AE15" s="12" t="n">
        <f aca="false">IF($I15="","",$I15*$L15)</f>
        <v>7.9</v>
      </c>
      <c r="AF15" s="12" t="n">
        <f aca="false">IF($I15="","",$I15*$L15*(1+N($R15)))</f>
        <v>15.8</v>
      </c>
      <c r="AG15" s="12" t="n">
        <f aca="false">IF($I15="","",$I15*$L15*(1+N($R15)+N($V15)))</f>
        <v>19.72314</v>
      </c>
      <c r="AH15" s="0" t="str">
        <f aca="false">TRIM(IF($G15&lt;Config!$B$9,"thin sample ("&amp;$G15&amp;" maps) · ","")&amp;IF($I15="","no PickFinder stats · ","")&amp;IFERROR(IF(INDEX(Players!$T$2:$T$31,MATCH($E15,Players!$A$2:$A$31,0))&lt;0.5,"new roster: "&amp;TEXT(INDEX(Players!$T$2:$T$31,MATCH($E15,Players!$A$2:$A$31,0)),"0%")&amp;" of his recent games with these teammates",""),""))</f>
        <v>new roster: 0% of his recent games with these teammates</v>
      </c>
      <c r="AI15" s="6" t="n">
        <f aca="false">IF($B15=Board!$B$2,COUNTIFS($B$2:$B$31,Board!$B$2,$Y$2:$Y$31,"&gt;"&amp;$Y15)+COUNTIFS($B$1:$B14,Board!$B$2,$Y$1:$Y14,$Y15)+1,"")</f>
        <v>3</v>
      </c>
      <c r="AJ15" s="0" t="str">
        <f aca="false">IFERROR(IF(INDEX(Matches!$D$5:$D$8,MATCH($B15,Matches!$A$5:$A$8,0))=3,"K12","K13"),"K13")</f>
        <v>K12</v>
      </c>
      <c r="AK15" s="12" t="n">
        <f aca="false">IF($AJ15="K12",$AA15,$AC15)</f>
        <v>14.5056575314794</v>
      </c>
    </row>
    <row r="16" customFormat="false" ht="15" hidden="false" customHeight="false" outlineLevel="0" collapsed="false">
      <c r="A16" s="0" t="s">
        <v>166</v>
      </c>
      <c r="B16" s="0" t="s">
        <v>27</v>
      </c>
      <c r="C16" s="0" t="s">
        <v>79</v>
      </c>
      <c r="D16" s="0" t="s">
        <v>164</v>
      </c>
      <c r="E16" s="0" t="s">
        <v>247</v>
      </c>
      <c r="F16" s="0" t="str">
        <f aca="false">IFERROR(IF($C16=INDEX(Matches!$S$5:$S$8,MATCH($B16,Matches!$A$5:$A$8,0)),"A",IF($C16=INDEX(Matches!$T$5:$T$8,MATCH($B16,Matches!$A$5:$A$8,0)),"B","")),"")</f>
        <v>B</v>
      </c>
      <c r="G16" s="0" t="n">
        <f aca="false">IFERROR(INDEX(Players!$E$2:$E$31,MATCH($E16,Players!$A$2:$A$31,0)),0)</f>
        <v>30</v>
      </c>
      <c r="H16" s="7" t="n">
        <f aca="false">IFERROR(INDEX(Players!$F$2:$F$31,MATCH($E16,Players!$A$2:$A$31,0)),"")</f>
        <v>0.63</v>
      </c>
      <c r="I16" s="6" t="n">
        <f aca="false">IFERROR(INDEX(Players!$G$2:$G$31,MATCH($E16,Players!$A$2:$A$31,0)),"")</f>
        <v>5.1</v>
      </c>
      <c r="J16" s="12" t="n">
        <f aca="false">IF(OR($I16="",$H16=""),"",$I16*IF(LEFT($B16,4)="DOTA",Config!$B$5,Config!$B$4)/($H16*IF(LEFT($B16,4)="DOTA",Config!$B$5,Config!$B$4)+1-$H16))</f>
        <v>6.0783785603663</v>
      </c>
      <c r="K16" s="12" t="n">
        <f aca="false">IF(OR($I16="",$H16=""),"",$I16/($H16*IF(LEFT($B16,4)="DOTA",Config!$B$5,Config!$B$4)+1-$H16))</f>
        <v>3.43411218099791</v>
      </c>
      <c r="L16" s="6" t="n">
        <f aca="false">IFERROR(INDEX(Matches!$R$5:$R$8,MATCH($B16,Matches!$A$5:$A$8,0)),1)</f>
        <v>1</v>
      </c>
      <c r="M16" s="7" t="n">
        <f aca="false">IFERROR(IF(INDEX(Matches!$M$5:$M$8,MATCH($B16,Matches!$A$5:$A$8,0))="","",IF($F16="A",INDEX(Matches!$M$5:$M$8,MATCH($B16,Matches!$A$5:$A$8,0)),1-INDEX(Matches!$M$5:$M$8,MATCH($B16,Matches!$A$5:$A$8,0)))),"")</f>
        <v>0.472</v>
      </c>
      <c r="N16" s="6" t="n">
        <f aca="false">1</f>
        <v>1</v>
      </c>
      <c r="O16" s="12" t="n">
        <f aca="false">IF(OR($M16="",$J16=""),"",$L16*($M16*$J16+(1-$M16)*$K16))</f>
        <v>4.68220591205979</v>
      </c>
      <c r="P16" s="6" t="n">
        <f aca="false">IF($O16="","",IF(LEFT($B16,4)="DOTA",Config!$B$7,Config!$B$6)*$O16+$L16^2*$M16*(1-$M16)*($J16-$K16)^2)</f>
        <v>10.3578132080214</v>
      </c>
      <c r="Q16" s="7" t="n">
        <f aca="false">IFERROR(IF(INDEX(Matches!$N$5:$N$8,MATCH($B16,Matches!$A$5:$A$8,0))="","",IF($F16="A",INDEX(Matches!$N$5:$N$8,MATCH($B16,Matches!$A$5:$A$8,0)),1-INDEX(Matches!$N$5:$N$8,MATCH($B16,Matches!$A$5:$A$8,0)))),"")</f>
        <v>0.472</v>
      </c>
      <c r="R16" s="6" t="n">
        <f aca="false">IFERROR(N(INDEX(Matches!$P$5:$P$8,MATCH($B16,Matches!$A$5:$A$8,0))),0)</f>
        <v>1</v>
      </c>
      <c r="S16" s="12" t="n">
        <f aca="false">IF(OR($Q16="",$J16=""),"",$L16*($Q16*$J16+(1-$Q16)*$K16))</f>
        <v>4.68220591205979</v>
      </c>
      <c r="T16" s="6" t="n">
        <f aca="false">IF($S16="","",IF(LEFT($B16,4)="DOTA",Config!$B$7,Config!$B$6)*$S16+$L16^2*$Q16*(1-$Q16)*($J16-$K16)^2)</f>
        <v>10.3578132080214</v>
      </c>
      <c r="U16" s="7" t="n">
        <f aca="false">IFERROR(IF(INDEX(Matches!$O$5:$O$8,MATCH($B16,Matches!$A$5:$A$8,0))="","",IF($F16="A",INDEX(Matches!$O$5:$O$8,MATCH($B16,Matches!$A$5:$A$8,0)),1-INDEX(Matches!$O$5:$O$8,MATCH($B16,Matches!$A$5:$A$8,0)))),"")</f>
        <v>0.4589</v>
      </c>
      <c r="V16" s="6" t="n">
        <f aca="false">IFERROR(N(INDEX(Matches!$Q$5:$Q$8,MATCH($B16,Matches!$A$5:$A$8,0))),0)</f>
        <v>0.4966</v>
      </c>
      <c r="W16" s="12" t="n">
        <f aca="false">IF(OR($U16="",$J16=""),"",$L16*($U16*$J16+(1-$U16)*$K16))</f>
        <v>4.64756602249007</v>
      </c>
      <c r="X16" s="6" t="n">
        <f aca="false">IF($W16="","",IF(LEFT($B16,4)="DOTA",Config!$B$7,Config!$B$6)*$W16+$L16^2*$U16*(1-$U16)*($J16-$K16)^2)</f>
        <v>10.2877464519228</v>
      </c>
      <c r="Y16" s="12" t="n">
        <f aca="false">IF($O16="","",$O16)</f>
        <v>4.68220591205979</v>
      </c>
      <c r="Z16" s="6" t="n">
        <f aca="false">IF($P16="","",$P16)</f>
        <v>10.3578132080214</v>
      </c>
      <c r="AA16" s="12" t="n">
        <f aca="false">IF($O16="","",N($N16)*N($O16)+N($R16)*N($S16))</f>
        <v>9.36441182411959</v>
      </c>
      <c r="AB16" s="6" t="n">
        <f aca="false">IF($O16="","",(N($N16)*N($P16)+N($N16)*(1-N($N16))*N($O16)^2)+(N($R16)*N($T16)+N($R16)*(1-N($R16))*N($S16)^2))</f>
        <v>20.7156264160429</v>
      </c>
      <c r="AC16" s="12" t="n">
        <f aca="false">IF($O16="","",N($N16)*N($O16)+N($R16)*N($S16)+N($V16)*N($W16))</f>
        <v>11.6723931108882</v>
      </c>
      <c r="AD16" s="6" t="n">
        <f aca="false">IF($O16="","",(N($N16)*N($P16)+N($N16)*(1-N($N16))*N($O16)^2)+(N($R16)*N($T16)+N($R16)*(1-N($R16))*N($S16)^2)+(N($V16)*N($X16)+N($V16)*(1-N($V16))*N($W16)^2))</f>
        <v>31.2242390929223</v>
      </c>
      <c r="AE16" s="12" t="n">
        <f aca="false">IF($I16="","",$I16*$L16)</f>
        <v>5.1</v>
      </c>
      <c r="AF16" s="12" t="n">
        <f aca="false">IF($I16="","",$I16*$L16*(1+N($R16)))</f>
        <v>10.2</v>
      </c>
      <c r="AG16" s="12" t="n">
        <f aca="false">IF($I16="","",$I16*$L16*(1+N($R16)+N($V16)))</f>
        <v>12.73266</v>
      </c>
      <c r="AH16" s="0" t="str">
        <f aca="false">TRIM(IF($G16&lt;Config!$B$9,"thin sample ("&amp;$G16&amp;" maps) · ","")&amp;IF($I16="","no PickFinder stats · ","")&amp;IFERROR(IF(INDEX(Players!$T$2:$T$31,MATCH($E16,Players!$A$2:$A$31,0))&lt;0.5,"new roster: "&amp;TEXT(INDEX(Players!$T$2:$T$31,MATCH($E16,Players!$A$2:$A$31,0)),"0%")&amp;" of his recent games with these teammates",""),""))</f>
        <v>new roster: 0% of his recent games with these teammates</v>
      </c>
      <c r="AI16" s="6" t="n">
        <f aca="false">IF($B16=Board!$B$2,COUNTIFS($B$2:$B$31,Board!$B$2,$Y$2:$Y$31,"&gt;"&amp;$Y16)+COUNTIFS($B$1:$B15,Board!$B$2,$Y$1:$Y15,$Y16)+1,"")</f>
        <v>5</v>
      </c>
      <c r="AJ16" s="0" t="str">
        <f aca="false">IFERROR(IF(INDEX(Matches!$D$5:$D$8,MATCH($B16,Matches!$A$5:$A$8,0))=3,"K12","K13"),"K13")</f>
        <v>K12</v>
      </c>
      <c r="AK16" s="12" t="n">
        <f aca="false">IF($AJ16="K12",$AA16,$AC16)</f>
        <v>9.36441182411959</v>
      </c>
    </row>
    <row r="17" customFormat="false" ht="15" hidden="false" customHeight="false" outlineLevel="0" collapsed="false">
      <c r="A17" s="0" t="s">
        <v>169</v>
      </c>
      <c r="B17" s="0" t="s">
        <v>27</v>
      </c>
      <c r="C17" s="0" t="s">
        <v>79</v>
      </c>
      <c r="D17" s="0" t="s">
        <v>167</v>
      </c>
      <c r="E17" s="0" t="s">
        <v>248</v>
      </c>
      <c r="F17" s="0" t="str">
        <f aca="false">IFERROR(IF($C17=INDEX(Matches!$S$5:$S$8,MATCH($B17,Matches!$A$5:$A$8,0)),"A",IF($C17=INDEX(Matches!$T$5:$T$8,MATCH($B17,Matches!$A$5:$A$8,0)),"B","")),"")</f>
        <v>B</v>
      </c>
      <c r="G17" s="0" t="n">
        <f aca="false">IFERROR(INDEX(Players!$E$2:$E$31,MATCH($E17,Players!$A$2:$A$31,0)),0)</f>
        <v>30</v>
      </c>
      <c r="H17" s="7" t="n">
        <f aca="false">IFERROR(INDEX(Players!$F$2:$F$31,MATCH($E17,Players!$A$2:$A$31,0)),"")</f>
        <v>0.63</v>
      </c>
      <c r="I17" s="6" t="n">
        <f aca="false">IFERROR(INDEX(Players!$G$2:$G$31,MATCH($E17,Players!$A$2:$A$31,0)),"")</f>
        <v>3.7</v>
      </c>
      <c r="J17" s="12" t="n">
        <f aca="false">IF(OR($I17="",$H17=""),"",$I17*IF(LEFT($B17,4)="DOTA",Config!$B$5,Config!$B$4)/($H17*IF(LEFT($B17,4)="DOTA",Config!$B$5,Config!$B$4)+1-$H17))</f>
        <v>4.40980405359909</v>
      </c>
      <c r="K17" s="12" t="n">
        <f aca="false">IF(OR($I17="",$H17=""),"",$I17/($H17*IF(LEFT($B17,4)="DOTA",Config!$B$5,Config!$B$4)+1-$H17))</f>
        <v>2.49141471954751</v>
      </c>
      <c r="L17" s="6" t="n">
        <f aca="false">IFERROR(INDEX(Matches!$R$5:$R$8,MATCH($B17,Matches!$A$5:$A$8,0)),1)</f>
        <v>1</v>
      </c>
      <c r="M17" s="7" t="n">
        <f aca="false">IFERROR(IF(INDEX(Matches!$M$5:$M$8,MATCH($B17,Matches!$A$5:$A$8,0))="","",IF($F17="A",INDEX(Matches!$M$5:$M$8,MATCH($B17,Matches!$A$5:$A$8,0)),1-INDEX(Matches!$M$5:$M$8,MATCH($B17,Matches!$A$5:$A$8,0)))),"")</f>
        <v>0.472</v>
      </c>
      <c r="N17" s="6" t="n">
        <f aca="false">1</f>
        <v>1</v>
      </c>
      <c r="O17" s="12" t="n">
        <f aca="false">IF(OR($M17="",$J17=""),"",$L17*($M17*$J17+(1-$M17)*$K17))</f>
        <v>3.39689448521985</v>
      </c>
      <c r="P17" s="6" t="n">
        <f aca="false">IF($O17="","",IF(LEFT($B17,4)="DOTA",Config!$B$7,Config!$B$6)*$O17+$L17^2*$M17*(1-$M17)*($J17-$K17)^2)</f>
        <v>7.16745497142783</v>
      </c>
      <c r="Q17" s="7" t="n">
        <f aca="false">IFERROR(IF(INDEX(Matches!$N$5:$N$8,MATCH($B17,Matches!$A$5:$A$8,0))="","",IF($F17="A",INDEX(Matches!$N$5:$N$8,MATCH($B17,Matches!$A$5:$A$8,0)),1-INDEX(Matches!$N$5:$N$8,MATCH($B17,Matches!$A$5:$A$8,0)))),"")</f>
        <v>0.472</v>
      </c>
      <c r="R17" s="6" t="n">
        <f aca="false">IFERROR(N(INDEX(Matches!$P$5:$P$8,MATCH($B17,Matches!$A$5:$A$8,0))),0)</f>
        <v>1</v>
      </c>
      <c r="S17" s="12" t="n">
        <f aca="false">IF(OR($Q17="",$J17=""),"",$L17*($Q17*$J17+(1-$Q17)*$K17))</f>
        <v>3.39689448521985</v>
      </c>
      <c r="T17" s="6" t="n">
        <f aca="false">IF($S17="","",IF(LEFT($B17,4)="DOTA",Config!$B$7,Config!$B$6)*$S17+$L17^2*$Q17*(1-$Q17)*($J17-$K17)^2)</f>
        <v>7.16745497142783</v>
      </c>
      <c r="U17" s="7" t="n">
        <f aca="false">IFERROR(IF(INDEX(Matches!$O$5:$O$8,MATCH($B17,Matches!$A$5:$A$8,0))="","",IF($F17="A",INDEX(Matches!$O$5:$O$8,MATCH($B17,Matches!$A$5:$A$8,0)),1-INDEX(Matches!$O$5:$O$8,MATCH($B17,Matches!$A$5:$A$8,0)))),"")</f>
        <v>0.4589</v>
      </c>
      <c r="V17" s="6" t="n">
        <f aca="false">IFERROR(N(INDEX(Matches!$Q$5:$Q$8,MATCH($B17,Matches!$A$5:$A$8,0))),0)</f>
        <v>0.4966</v>
      </c>
      <c r="W17" s="12" t="n">
        <f aca="false">IF(OR($U17="",$J17=""),"",$L17*($U17*$J17+(1-$U17)*$K17))</f>
        <v>3.37176358494378</v>
      </c>
      <c r="X17" s="6" t="n">
        <f aca="false">IF($W17="","",IF(LEFT($B17,4)="DOTA",Config!$B$7,Config!$B$6)*$W17+$L17^2*$U17*(1-$U17)*($J17-$K17)^2)</f>
        <v>7.11788274511266</v>
      </c>
      <c r="Y17" s="12" t="n">
        <f aca="false">IF($O17="","",$O17)</f>
        <v>3.39689448521985</v>
      </c>
      <c r="Z17" s="6" t="n">
        <f aca="false">IF($P17="","",$P17)</f>
        <v>7.16745497142783</v>
      </c>
      <c r="AA17" s="12" t="n">
        <f aca="false">IF($O17="","",N($N17)*N($O17)+N($R17)*N($S17))</f>
        <v>6.7937889704397</v>
      </c>
      <c r="AB17" s="6" t="n">
        <f aca="false">IF($O17="","",(N($N17)*N($P17)+N($N17)*(1-N($N17))*N($O17)^2)+(N($R17)*N($T17)+N($R17)*(1-N($R17))*N($S17)^2))</f>
        <v>14.3349099428557</v>
      </c>
      <c r="AC17" s="12" t="n">
        <f aca="false">IF($O17="","",N($N17)*N($O17)+N($R17)*N($S17)+N($V17)*N($W17))</f>
        <v>8.46820676672278</v>
      </c>
      <c r="AD17" s="6" t="n">
        <f aca="false">IF($O17="","",(N($N17)*N($P17)+N($N17)*(1-N($N17))*N($O17)^2)+(N($R17)*N($T17)+N($R17)*(1-N($R17))*N($S17)^2)+(N($V17)*N($X17)+N($V17)*(1-N($V17))*N($W17)^2))</f>
        <v>20.7117165090582</v>
      </c>
      <c r="AE17" s="12" t="n">
        <f aca="false">IF($I17="","",$I17*$L17)</f>
        <v>3.7</v>
      </c>
      <c r="AF17" s="12" t="n">
        <f aca="false">IF($I17="","",$I17*$L17*(1+N($R17)))</f>
        <v>7.4</v>
      </c>
      <c r="AG17" s="12" t="n">
        <f aca="false">IF($I17="","",$I17*$L17*(1+N($R17)+N($V17)))</f>
        <v>9.23742</v>
      </c>
      <c r="AH17" s="0" t="str">
        <f aca="false">TRIM(IF($G17&lt;Config!$B$9,"thin sample ("&amp;$G17&amp;" maps) · ","")&amp;IF($I17="","no PickFinder stats · ","")&amp;IFERROR(IF(INDEX(Players!$T$2:$T$31,MATCH($E17,Players!$A$2:$A$31,0))&lt;0.5,"new roster: "&amp;TEXT(INDEX(Players!$T$2:$T$31,MATCH($E17,Players!$A$2:$A$31,0)),"0%")&amp;" of his recent games with these teammates",""),""))</f>
        <v>new roster: 0% of his recent games with these teammates</v>
      </c>
      <c r="AI17" s="6" t="n">
        <f aca="false">IF($B17=Board!$B$2,COUNTIFS($B$2:$B$31,Board!$B$2,$Y$2:$Y$31,"&gt;"&amp;$Y17)+COUNTIFS($B$1:$B16,Board!$B$2,$Y$1:$Y16,$Y17)+1,"")</f>
        <v>7</v>
      </c>
      <c r="AJ17" s="0" t="str">
        <f aca="false">IFERROR(IF(INDEX(Matches!$D$5:$D$8,MATCH($B17,Matches!$A$5:$A$8,0))=3,"K12","K13"),"K13")</f>
        <v>K12</v>
      </c>
      <c r="AK17" s="12" t="n">
        <f aca="false">IF($AJ17="K12",$AA17,$AC17)</f>
        <v>6.7937889704397</v>
      </c>
    </row>
    <row r="18" customFormat="false" ht="15" hidden="false" customHeight="false" outlineLevel="0" collapsed="false">
      <c r="A18" s="0" t="s">
        <v>172</v>
      </c>
      <c r="B18" s="0" t="s">
        <v>27</v>
      </c>
      <c r="C18" s="0" t="s">
        <v>79</v>
      </c>
      <c r="D18" s="0" t="s">
        <v>170</v>
      </c>
      <c r="E18" s="0" t="s">
        <v>249</v>
      </c>
      <c r="F18" s="0" t="str">
        <f aca="false">IFERROR(IF($C18=INDEX(Matches!$S$5:$S$8,MATCH($B18,Matches!$A$5:$A$8,0)),"A",IF($C18=INDEX(Matches!$T$5:$T$8,MATCH($B18,Matches!$A$5:$A$8,0)),"B","")),"")</f>
        <v>B</v>
      </c>
      <c r="G18" s="0" t="n">
        <f aca="false">IFERROR(INDEX(Players!$E$2:$E$31,MATCH($E18,Players!$A$2:$A$31,0)),0)</f>
        <v>30</v>
      </c>
      <c r="H18" s="7" t="n">
        <f aca="false">IFERROR(INDEX(Players!$F$2:$F$31,MATCH($E18,Players!$A$2:$A$31,0)),"")</f>
        <v>0.67</v>
      </c>
      <c r="I18" s="6" t="n">
        <f aca="false">IFERROR(INDEX(Players!$G$2:$G$31,MATCH($E18,Players!$A$2:$A$31,0)),"")</f>
        <v>9.5</v>
      </c>
      <c r="J18" s="12" t="n">
        <f aca="false">IF(OR($I18="",$H18=""),"",$I18*IF(LEFT($B18,4)="DOTA",Config!$B$5,Config!$B$4)/($H18*IF(LEFT($B18,4)="DOTA",Config!$B$5,Config!$B$4)+1-$H18))</f>
        <v>11.0924203443499</v>
      </c>
      <c r="K18" s="12" t="n">
        <f aca="false">IF(OR($I18="",$H18=""),"",$I18/($H18*IF(LEFT($B18,4)="DOTA",Config!$B$5,Config!$B$4)+1-$H18))</f>
        <v>6.26690414935022</v>
      </c>
      <c r="L18" s="6" t="n">
        <f aca="false">IFERROR(INDEX(Matches!$R$5:$R$8,MATCH($B18,Matches!$A$5:$A$8,0)),1)</f>
        <v>1</v>
      </c>
      <c r="M18" s="7" t="n">
        <f aca="false">IFERROR(IF(INDEX(Matches!$M$5:$M$8,MATCH($B18,Matches!$A$5:$A$8,0))="","",IF($F18="A",INDEX(Matches!$M$5:$M$8,MATCH($B18,Matches!$A$5:$A$8,0)),1-INDEX(Matches!$M$5:$M$8,MATCH($B18,Matches!$A$5:$A$8,0)))),"")</f>
        <v>0.472</v>
      </c>
      <c r="N18" s="6" t="n">
        <f aca="false">1</f>
        <v>1</v>
      </c>
      <c r="O18" s="12" t="n">
        <f aca="false">IF(OR($M18="",$J18=""),"",$L18*($M18*$J18+(1-$M18)*$K18))</f>
        <v>8.54454779339006</v>
      </c>
      <c r="P18" s="6" t="n">
        <f aca="false">IF($O18="","",IF(LEFT($B18,4)="DOTA",Config!$B$7,Config!$B$6)*$O18+$L18^2*$M18*(1-$M18)*($J18-$K18)^2)</f>
        <v>21.5251136613549</v>
      </c>
      <c r="Q18" s="7" t="n">
        <f aca="false">IFERROR(IF(INDEX(Matches!$N$5:$N$8,MATCH($B18,Matches!$A$5:$A$8,0))="","",IF($F18="A",INDEX(Matches!$N$5:$N$8,MATCH($B18,Matches!$A$5:$A$8,0)),1-INDEX(Matches!$N$5:$N$8,MATCH($B18,Matches!$A$5:$A$8,0)))),"")</f>
        <v>0.472</v>
      </c>
      <c r="R18" s="6" t="n">
        <f aca="false">IFERROR(N(INDEX(Matches!$P$5:$P$8,MATCH($B18,Matches!$A$5:$A$8,0))),0)</f>
        <v>1</v>
      </c>
      <c r="S18" s="12" t="n">
        <f aca="false">IF(OR($Q18="",$J18=""),"",$L18*($Q18*$J18+(1-$Q18)*$K18))</f>
        <v>8.54454779339006</v>
      </c>
      <c r="T18" s="6" t="n">
        <f aca="false">IF($S18="","",IF(LEFT($B18,4)="DOTA",Config!$B$7,Config!$B$6)*$S18+$L18^2*$Q18*(1-$Q18)*($J18-$K18)^2)</f>
        <v>21.5251136613549</v>
      </c>
      <c r="U18" s="7" t="n">
        <f aca="false">IFERROR(IF(INDEX(Matches!$O$5:$O$8,MATCH($B18,Matches!$A$5:$A$8,0))="","",IF($F18="A",INDEX(Matches!$O$5:$O$8,MATCH($B18,Matches!$A$5:$A$8,0)),1-INDEX(Matches!$O$5:$O$8,MATCH($B18,Matches!$A$5:$A$8,0)))),"")</f>
        <v>0.4589</v>
      </c>
      <c r="V18" s="6" t="n">
        <f aca="false">IFERROR(N(INDEX(Matches!$Q$5:$Q$8,MATCH($B18,Matches!$A$5:$A$8,0))),0)</f>
        <v>0.4966</v>
      </c>
      <c r="W18" s="12" t="n">
        <f aca="false">IF(OR($U18="",$J18=""),"",$L18*($U18*$J18+(1-$U18)*$K18))</f>
        <v>8.48133353123557</v>
      </c>
      <c r="X18" s="6" t="n">
        <f aca="false">IF($W18="","",IF(LEFT($B18,4)="DOTA",Config!$B$7,Config!$B$6)*$W18+$L18^2*$U18*(1-$U18)*($J18-$K18)^2)</f>
        <v>21.3877210550872</v>
      </c>
      <c r="Y18" s="12" t="n">
        <f aca="false">IF($O18="","",$O18)</f>
        <v>8.54454779339006</v>
      </c>
      <c r="Z18" s="6" t="n">
        <f aca="false">IF($P18="","",$P18)</f>
        <v>21.5251136613549</v>
      </c>
      <c r="AA18" s="12" t="n">
        <f aca="false">IF($O18="","",N($N18)*N($O18)+N($R18)*N($S18))</f>
        <v>17.0890955867801</v>
      </c>
      <c r="AB18" s="6" t="n">
        <f aca="false">IF($O18="","",(N($N18)*N($P18)+N($N18)*(1-N($N18))*N($O18)^2)+(N($R18)*N($T18)+N($R18)*(1-N($R18))*N($S18)^2))</f>
        <v>43.0502273227099</v>
      </c>
      <c r="AC18" s="12" t="n">
        <f aca="false">IF($O18="","",N($N18)*N($O18)+N($R18)*N($S18)+N($V18)*N($W18))</f>
        <v>21.3009258183917</v>
      </c>
      <c r="AD18" s="6" t="n">
        <f aca="false">IF($O18="","",(N($N18)*N($P18)+N($N18)*(1-N($N18))*N($O18)^2)+(N($R18)*N($T18)+N($R18)*(1-N($R18))*N($S18)^2)+(N($V18)*N($X18)+N($V18)*(1-N($V18))*N($W18)^2))</f>
        <v>71.6537926699879</v>
      </c>
      <c r="AE18" s="12" t="n">
        <f aca="false">IF($I18="","",$I18*$L18)</f>
        <v>9.5</v>
      </c>
      <c r="AF18" s="12" t="n">
        <f aca="false">IF($I18="","",$I18*$L18*(1+N($R18)))</f>
        <v>19</v>
      </c>
      <c r="AG18" s="12" t="n">
        <f aca="false">IF($I18="","",$I18*$L18*(1+N($R18)+N($V18)))</f>
        <v>23.7177</v>
      </c>
      <c r="AH18" s="0" t="str">
        <f aca="false">TRIM(IF($G18&lt;Config!$B$9,"thin sample ("&amp;$G18&amp;" maps) · ","")&amp;IF($I18="","no PickFinder stats · ","")&amp;IFERROR(IF(INDEX(Players!$T$2:$T$31,MATCH($E18,Players!$A$2:$A$31,0))&lt;0.5,"new roster: "&amp;TEXT(INDEX(Players!$T$2:$T$31,MATCH($E18,Players!$A$2:$A$31,0)),"0%")&amp;" of his recent games with these teammates",""),""))</f>
        <v>new roster: 0% of his recent games with these teammates</v>
      </c>
      <c r="AI18" s="6" t="n">
        <f aca="false">IF($B18=Board!$B$2,COUNTIFS($B$2:$B$31,Board!$B$2,$Y$2:$Y$31,"&gt;"&amp;$Y18)+COUNTIFS($B$1:$B17,Board!$B$2,$Y$1:$Y17,$Y18)+1,"")</f>
        <v>2</v>
      </c>
      <c r="AJ18" s="0" t="str">
        <f aca="false">IFERROR(IF(INDEX(Matches!$D$5:$D$8,MATCH($B18,Matches!$A$5:$A$8,0))=3,"K12","K13"),"K13")</f>
        <v>K12</v>
      </c>
      <c r="AK18" s="12" t="n">
        <f aca="false">IF($AJ18="K12",$AA18,$AC18)</f>
        <v>17.0890955867801</v>
      </c>
    </row>
    <row r="19" customFormat="false" ht="15" hidden="false" customHeight="false" outlineLevel="0" collapsed="false">
      <c r="A19" s="0" t="s">
        <v>175</v>
      </c>
      <c r="B19" s="0" t="s">
        <v>93</v>
      </c>
      <c r="C19" s="0" t="s">
        <v>98</v>
      </c>
      <c r="D19" s="0" t="s">
        <v>173</v>
      </c>
      <c r="E19" s="0" t="s">
        <v>250</v>
      </c>
      <c r="F19" s="0" t="str">
        <f aca="false">IFERROR(IF($C19=INDEX(Matches!$S$5:$S$8,MATCH($B19,Matches!$A$5:$A$8,0)),"A",IF($C19=INDEX(Matches!$T$5:$T$8,MATCH($B19,Matches!$A$5:$A$8,0)),"B","")),"")</f>
        <v>B</v>
      </c>
      <c r="G19" s="0" t="n">
        <f aca="false">IFERROR(INDEX(Players!$E$2:$E$31,MATCH($E19,Players!$A$2:$A$31,0)),0)</f>
        <v>30</v>
      </c>
      <c r="H19" s="7" t="n">
        <f aca="false">IFERROR(INDEX(Players!$F$2:$F$31,MATCH($E19,Players!$A$2:$A$31,0)),"")</f>
        <v>0.7</v>
      </c>
      <c r="I19" s="6" t="n">
        <f aca="false">IFERROR(INDEX(Players!$G$2:$G$31,MATCH($E19,Players!$A$2:$A$31,0)),"")</f>
        <v>3.1</v>
      </c>
      <c r="J19" s="12" t="n">
        <f aca="false">IF(OR($I19="",$H19=""),"",$I19*IF(LEFT($B19,4)="DOTA",Config!$B$5,Config!$B$4)/($H19*IF(LEFT($B19,4)="DOTA",Config!$B$5,Config!$B$4)+1-$H19))</f>
        <v>3.70925825663238</v>
      </c>
      <c r="K19" s="12" t="n">
        <f aca="false">IF(OR($I19="",$H19=""),"",$I19/($H19*IF(LEFT($B19,4)="DOTA",Config!$B$5,Config!$B$4)+1-$H19))</f>
        <v>1.67839740119112</v>
      </c>
      <c r="L19" s="6" t="n">
        <f aca="false">IFERROR(INDEX(Matches!$R$5:$R$8,MATCH($B19,Matches!$A$5:$A$8,0)),1)</f>
        <v>1</v>
      </c>
      <c r="M19" s="7" t="n">
        <f aca="false">IFERROR(IF(INDEX(Matches!$M$5:$M$8,MATCH($B19,Matches!$A$5:$A$8,0))="","",IF($F19="A",INDEX(Matches!$M$5:$M$8,MATCH($B19,Matches!$A$5:$A$8,0)),1-INDEX(Matches!$M$5:$M$8,MATCH($B19,Matches!$A$5:$A$8,0)))),"")</f>
        <v>0.2986</v>
      </c>
      <c r="N19" s="6" t="n">
        <f aca="false">1</f>
        <v>1</v>
      </c>
      <c r="O19" s="12" t="n">
        <f aca="false">IF(OR($M19="",$J19=""),"",$L19*($M19*$J19+(1-$M19)*$K19))</f>
        <v>2.28481245262588</v>
      </c>
      <c r="P19" s="6" t="n">
        <f aca="false">IF($O19="","",IF(LEFT($B19,4)="DOTA",Config!$B$7,Config!$B$6)*$O19+$L19^2*$M19*(1-$M19)*($J19-$K19)^2)</f>
        <v>3.83406156391627</v>
      </c>
      <c r="Q19" s="7" t="n">
        <f aca="false">IFERROR(IF(INDEX(Matches!$N$5:$N$8,MATCH($B19,Matches!$A$5:$A$8,0))="","",IF($F19="A",INDEX(Matches!$N$5:$N$8,MATCH($B19,Matches!$A$5:$A$8,0)),1-INDEX(Matches!$N$5:$N$8,MATCH($B19,Matches!$A$5:$A$8,0)))),"")</f>
        <v>0.2986</v>
      </c>
      <c r="R19" s="6" t="n">
        <f aca="false">IFERROR(N(INDEX(Matches!$P$5:$P$8,MATCH($B19,Matches!$A$5:$A$8,0))),0)</f>
        <v>1</v>
      </c>
      <c r="S19" s="12" t="n">
        <f aca="false">IF(OR($Q19="",$J19=""),"",$L19*($Q19*$J19+(1-$Q19)*$K19))</f>
        <v>2.28481245262588</v>
      </c>
      <c r="T19" s="6" t="n">
        <f aca="false">IF($S19="","",IF(LEFT($B19,4)="DOTA",Config!$B$7,Config!$B$6)*$S19+$L19^2*$Q19*(1-$Q19)*($J19-$K19)^2)</f>
        <v>3.83406156391627</v>
      </c>
      <c r="U19" s="7" t="n">
        <f aca="false">IFERROR(IF(INDEX(Matches!$O$5:$O$8,MATCH($B19,Matches!$A$5:$A$8,0))="","",IF($F19="A",INDEX(Matches!$O$5:$O$8,MATCH($B19,Matches!$A$5:$A$8,0)),1-INDEX(Matches!$O$5:$O$8,MATCH($B19,Matches!$A$5:$A$8,0)))),"")</f>
        <v>0.3301</v>
      </c>
      <c r="V19" s="6" t="n">
        <f aca="false">IFERROR(N(INDEX(Matches!$Q$5:$Q$8,MATCH($B19,Matches!$A$5:$A$8,0))),0)</f>
        <v>0.4091</v>
      </c>
      <c r="W19" s="12" t="n">
        <f aca="false">IF(OR($U19="",$J19=""),"",$L19*($U19*$J19+(1-$U19)*$K19))</f>
        <v>2.34878456957228</v>
      </c>
      <c r="X19" s="6" t="n">
        <f aca="false">IF($W19="","",IF(LEFT($B19,4)="DOTA",Config!$B$7,Config!$B$6)*$W19+$L19^2*$U19*(1-$U19)*($J19-$K19)^2)</f>
        <v>3.96546404316926</v>
      </c>
      <c r="Y19" s="12" t="n">
        <f aca="false">IF($O19="","",$O19)</f>
        <v>2.28481245262588</v>
      </c>
      <c r="Z19" s="6" t="n">
        <f aca="false">IF($P19="","",$P19)</f>
        <v>3.83406156391627</v>
      </c>
      <c r="AA19" s="12" t="n">
        <f aca="false">IF($O19="","",N($N19)*N($O19)+N($R19)*N($S19))</f>
        <v>4.56962490525176</v>
      </c>
      <c r="AB19" s="6" t="n">
        <f aca="false">IF($O19="","",(N($N19)*N($P19)+N($N19)*(1-N($N19))*N($O19)^2)+(N($R19)*N($T19)+N($R19)*(1-N($R19))*N($S19)^2))</f>
        <v>7.66812312783254</v>
      </c>
      <c r="AC19" s="12" t="n">
        <f aca="false">IF($O19="","",N($N19)*N($O19)+N($R19)*N($S19)+N($V19)*N($W19))</f>
        <v>5.53051267266378</v>
      </c>
      <c r="AD19" s="6" t="n">
        <f aca="false">IF($O19="","",(N($N19)*N($P19)+N($N19)*(1-N($N19))*N($O19)^2)+(N($R19)*N($T19)+N($R19)*(1-N($R19))*N($S19)^2)+(N($V19)*N($X19)+N($V19)*(1-N($V19))*N($W19)^2))</f>
        <v>10.6240075275191</v>
      </c>
      <c r="AE19" s="12" t="n">
        <f aca="false">IF($I19="","",$I19*$L19)</f>
        <v>3.1</v>
      </c>
      <c r="AF19" s="12" t="n">
        <f aca="false">IF($I19="","",$I19*$L19*(1+N($R19)))</f>
        <v>6.2</v>
      </c>
      <c r="AG19" s="12" t="n">
        <f aca="false">IF($I19="","",$I19*$L19*(1+N($R19)+N($V19)))</f>
        <v>7.46821</v>
      </c>
      <c r="AH19" s="0" t="str">
        <f aca="false">TRIM(IF($G19&lt;Config!$B$9,"thin sample ("&amp;$G19&amp;" maps) · ","")&amp;IF($I19="","no PickFinder stats · ","")&amp;IFERROR(IF(INDEX(Players!$T$2:$T$31,MATCH($E19,Players!$A$2:$A$31,0))&lt;0.5,"new roster: "&amp;TEXT(INDEX(Players!$T$2:$T$31,MATCH($E19,Players!$A$2:$A$31,0)),"0%")&amp;" of his recent games with these teammates",""),""))</f>
        <v>new roster: 0% of his recent games with these teammates</v>
      </c>
      <c r="AI19" s="0" t="str">
        <f aca="false">IF($B19=Board!$B$2,COUNTIFS($B$2:$B$31,Board!$B$2,$Y$2:$Y$31,"&gt;"&amp;$Y19)+COUNTIFS($B$1:$B18,Board!$B$2,$Y$1:$Y18,$Y19)+1,"")</f>
        <v/>
      </c>
      <c r="AJ19" s="0" t="str">
        <f aca="false">IFERROR(IF(INDEX(Matches!$D$5:$D$8,MATCH($B19,Matches!$A$5:$A$8,0))=3,"K12","K13"),"K13")</f>
        <v>K12</v>
      </c>
      <c r="AK19" s="12" t="n">
        <f aca="false">IF($AJ19="K12",$AA19,$AC19)</f>
        <v>4.56962490525176</v>
      </c>
    </row>
    <row r="20" customFormat="false" ht="15" hidden="false" customHeight="false" outlineLevel="0" collapsed="false">
      <c r="A20" s="0" t="s">
        <v>177</v>
      </c>
      <c r="B20" s="0" t="s">
        <v>93</v>
      </c>
      <c r="C20" s="0" t="s">
        <v>98</v>
      </c>
      <c r="D20" s="0" t="s">
        <v>176</v>
      </c>
      <c r="E20" s="0" t="s">
        <v>251</v>
      </c>
      <c r="F20" s="0" t="str">
        <f aca="false">IFERROR(IF($C20=INDEX(Matches!$S$5:$S$8,MATCH($B20,Matches!$A$5:$A$8,0)),"A",IF($C20=INDEX(Matches!$T$5:$T$8,MATCH($B20,Matches!$A$5:$A$8,0)),"B","")),"")</f>
        <v>B</v>
      </c>
      <c r="G20" s="0" t="n">
        <f aca="false">IFERROR(INDEX(Players!$E$2:$E$31,MATCH($E20,Players!$A$2:$A$31,0)),0)</f>
        <v>30</v>
      </c>
      <c r="H20" s="7" t="n">
        <f aca="false">IFERROR(INDEX(Players!$F$2:$F$31,MATCH($E20,Players!$A$2:$A$31,0)),"")</f>
        <v>0.7</v>
      </c>
      <c r="I20" s="6" t="n">
        <f aca="false">IFERROR(INDEX(Players!$G$2:$G$31,MATCH($E20,Players!$A$2:$A$31,0)),"")</f>
        <v>3.7</v>
      </c>
      <c r="J20" s="12" t="n">
        <f aca="false">IF(OR($I20="",$H20=""),"",$I20*IF(LEFT($B20,4)="DOTA",Config!$B$5,Config!$B$4)/($H20*IF(LEFT($B20,4)="DOTA",Config!$B$5,Config!$B$4)+1-$H20))</f>
        <v>4.42717920952897</v>
      </c>
      <c r="K20" s="12" t="n">
        <f aca="false">IF(OR($I20="",$H20=""),"",$I20/($H20*IF(LEFT($B20,4)="DOTA",Config!$B$5,Config!$B$4)+1-$H20))</f>
        <v>2.00324851109908</v>
      </c>
      <c r="L20" s="6" t="n">
        <f aca="false">IFERROR(INDEX(Matches!$R$5:$R$8,MATCH($B20,Matches!$A$5:$A$8,0)),1)</f>
        <v>1</v>
      </c>
      <c r="M20" s="7" t="n">
        <f aca="false">IFERROR(IF(INDEX(Matches!$M$5:$M$8,MATCH($B20,Matches!$A$5:$A$8,0))="","",IF($F20="A",INDEX(Matches!$M$5:$M$8,MATCH($B20,Matches!$A$5:$A$8,0)),1-INDEX(Matches!$M$5:$M$8,MATCH($B20,Matches!$A$5:$A$8,0)))),"")</f>
        <v>0.2986</v>
      </c>
      <c r="N20" s="6" t="n">
        <f aca="false">1</f>
        <v>1</v>
      </c>
      <c r="O20" s="12" t="n">
        <f aca="false">IF(OR($M20="",$J20=""),"",$L20*($M20*$J20+(1-$M20)*$K20))</f>
        <v>2.72703421765024</v>
      </c>
      <c r="P20" s="6" t="n">
        <f aca="false">IF($O20="","",IF(LEFT($B20,4)="DOTA",Config!$B$7,Config!$B$6)*$O20+$L20^2*$M20*(1-$M20)*($J20-$K20)^2)</f>
        <v>4.77568512713168</v>
      </c>
      <c r="Q20" s="7" t="n">
        <f aca="false">IFERROR(IF(INDEX(Matches!$N$5:$N$8,MATCH($B20,Matches!$A$5:$A$8,0))="","",IF($F20="A",INDEX(Matches!$N$5:$N$8,MATCH($B20,Matches!$A$5:$A$8,0)),1-INDEX(Matches!$N$5:$N$8,MATCH($B20,Matches!$A$5:$A$8,0)))),"")</f>
        <v>0.2986</v>
      </c>
      <c r="R20" s="6" t="n">
        <f aca="false">IFERROR(N(INDEX(Matches!$P$5:$P$8,MATCH($B20,Matches!$A$5:$A$8,0))),0)</f>
        <v>1</v>
      </c>
      <c r="S20" s="12" t="n">
        <f aca="false">IF(OR($Q20="",$J20=""),"",$L20*($Q20*$J20+(1-$Q20)*$K20))</f>
        <v>2.72703421765024</v>
      </c>
      <c r="T20" s="6" t="n">
        <f aca="false">IF($S20="","",IF(LEFT($B20,4)="DOTA",Config!$B$7,Config!$B$6)*$S20+$L20^2*$Q20*(1-$Q20)*($J20-$K20)^2)</f>
        <v>4.77568512713168</v>
      </c>
      <c r="U20" s="7" t="n">
        <f aca="false">IFERROR(IF(INDEX(Matches!$O$5:$O$8,MATCH($B20,Matches!$A$5:$A$8,0))="","",IF($F20="A",INDEX(Matches!$O$5:$O$8,MATCH($B20,Matches!$A$5:$A$8,0)),1-INDEX(Matches!$O$5:$O$8,MATCH($B20,Matches!$A$5:$A$8,0)))),"")</f>
        <v>0.3301</v>
      </c>
      <c r="V20" s="6" t="n">
        <f aca="false">IFERROR(N(INDEX(Matches!$Q$5:$Q$8,MATCH($B20,Matches!$A$5:$A$8,0))),0)</f>
        <v>0.4091</v>
      </c>
      <c r="W20" s="12" t="n">
        <f aca="false">IF(OR($U20="",$J20=""),"",$L20*($U20*$J20+(1-$U20)*$K20))</f>
        <v>2.80338803465079</v>
      </c>
      <c r="X20" s="6" t="n">
        <f aca="false">IF($W20="","",IF(LEFT($B20,4)="DOTA",Config!$B$7,Config!$B$6)*$W20+$L20^2*$U20*(1-$U20)*($J20-$K20)^2)</f>
        <v>4.94366394206051</v>
      </c>
      <c r="Y20" s="12" t="n">
        <f aca="false">IF($O20="","",$O20)</f>
        <v>2.72703421765024</v>
      </c>
      <c r="Z20" s="6" t="n">
        <f aca="false">IF($P20="","",$P20)</f>
        <v>4.77568512713168</v>
      </c>
      <c r="AA20" s="12" t="n">
        <f aca="false">IF($O20="","",N($N20)*N($O20)+N($R20)*N($S20))</f>
        <v>5.45406843530049</v>
      </c>
      <c r="AB20" s="6" t="n">
        <f aca="false">IF($O20="","",(N($N20)*N($P20)+N($N20)*(1-N($N20))*N($O20)^2)+(N($R20)*N($T20)+N($R20)*(1-N($R20))*N($S20)^2))</f>
        <v>9.55137025426336</v>
      </c>
      <c r="AC20" s="12" t="n">
        <f aca="false">IF($O20="","",N($N20)*N($O20)+N($R20)*N($S20)+N($V20)*N($W20))</f>
        <v>6.60093448027613</v>
      </c>
      <c r="AD20" s="6" t="n">
        <f aca="false">IF($O20="","",(N($N20)*N($P20)+N($N20)*(1-N($N20))*N($O20)^2)+(N($R20)*N($T20)+N($R20)*(1-N($R20))*N($S20)^2)+(N($V20)*N($X20)+N($V20)*(1-N($V20))*N($W20)^2))</f>
        <v>13.4736319956742</v>
      </c>
      <c r="AE20" s="12" t="n">
        <f aca="false">IF($I20="","",$I20*$L20)</f>
        <v>3.7</v>
      </c>
      <c r="AF20" s="12" t="n">
        <f aca="false">IF($I20="","",$I20*$L20*(1+N($R20)))</f>
        <v>7.4</v>
      </c>
      <c r="AG20" s="12" t="n">
        <f aca="false">IF($I20="","",$I20*$L20*(1+N($R20)+N($V20)))</f>
        <v>8.91367</v>
      </c>
      <c r="AH20" s="0" t="str">
        <f aca="false">TRIM(IF($G20&lt;Config!$B$9,"thin sample ("&amp;$G20&amp;" maps) · ","")&amp;IF($I20="","no PickFinder stats · ","")&amp;IFERROR(IF(INDEX(Players!$T$2:$T$31,MATCH($E20,Players!$A$2:$A$31,0))&lt;0.5,"new roster: "&amp;TEXT(INDEX(Players!$T$2:$T$31,MATCH($E20,Players!$A$2:$A$31,0)),"0%")&amp;" of his recent games with these teammates",""),""))</f>
        <v>new roster: 0% of his recent games with these teammates</v>
      </c>
      <c r="AI20" s="0" t="str">
        <f aca="false">IF($B20=Board!$B$2,COUNTIFS($B$2:$B$31,Board!$B$2,$Y$2:$Y$31,"&gt;"&amp;$Y20)+COUNTIFS($B$1:$B19,Board!$B$2,$Y$1:$Y19,$Y20)+1,"")</f>
        <v/>
      </c>
      <c r="AJ20" s="0" t="str">
        <f aca="false">IFERROR(IF(INDEX(Matches!$D$5:$D$8,MATCH($B20,Matches!$A$5:$A$8,0))=3,"K12","K13"),"K13")</f>
        <v>K12</v>
      </c>
      <c r="AK20" s="12" t="n">
        <f aca="false">IF($AJ20="K12",$AA20,$AC20)</f>
        <v>5.45406843530049</v>
      </c>
    </row>
    <row r="21" customFormat="false" ht="15" hidden="false" customHeight="false" outlineLevel="0" collapsed="false">
      <c r="A21" s="0" t="s">
        <v>180</v>
      </c>
      <c r="B21" s="0" t="s">
        <v>93</v>
      </c>
      <c r="C21" s="0" t="s">
        <v>98</v>
      </c>
      <c r="D21" s="0" t="s">
        <v>178</v>
      </c>
      <c r="E21" s="0" t="s">
        <v>252</v>
      </c>
      <c r="F21" s="0" t="str">
        <f aca="false">IFERROR(IF($C21=INDEX(Matches!$S$5:$S$8,MATCH($B21,Matches!$A$5:$A$8,0)),"A",IF($C21=INDEX(Matches!$T$5:$T$8,MATCH($B21,Matches!$A$5:$A$8,0)),"B","")),"")</f>
        <v>B</v>
      </c>
      <c r="G21" s="0" t="n">
        <f aca="false">IFERROR(INDEX(Players!$E$2:$E$31,MATCH($E21,Players!$A$2:$A$31,0)),0)</f>
        <v>30</v>
      </c>
      <c r="H21" s="7" t="n">
        <f aca="false">IFERROR(INDEX(Players!$F$2:$F$31,MATCH($E21,Players!$A$2:$A$31,0)),"")</f>
        <v>0.7</v>
      </c>
      <c r="I21" s="6" t="n">
        <f aca="false">IFERROR(INDEX(Players!$G$2:$G$31,MATCH($E21,Players!$A$2:$A$31,0)),"")</f>
        <v>4.6</v>
      </c>
      <c r="J21" s="12" t="n">
        <f aca="false">IF(OR($I21="",$H21=""),"",$I21*IF(LEFT($B21,4)="DOTA",Config!$B$5,Config!$B$4)/($H21*IF(LEFT($B21,4)="DOTA",Config!$B$5,Config!$B$4)+1-$H21))</f>
        <v>5.50406063887385</v>
      </c>
      <c r="K21" s="12" t="n">
        <f aca="false">IF(OR($I21="",$H21=""),"",$I21/($H21*IF(LEFT($B21,4)="DOTA",Config!$B$5,Config!$B$4)+1-$H21))</f>
        <v>2.49052517596102</v>
      </c>
      <c r="L21" s="6" t="n">
        <f aca="false">IFERROR(INDEX(Matches!$R$5:$R$8,MATCH($B21,Matches!$A$5:$A$8,0)),1)</f>
        <v>1</v>
      </c>
      <c r="M21" s="7" t="n">
        <f aca="false">IFERROR(IF(INDEX(Matches!$M$5:$M$8,MATCH($B21,Matches!$A$5:$A$8,0))="","",IF($F21="A",INDEX(Matches!$M$5:$M$8,MATCH($B21,Matches!$A$5:$A$8,0)),1-INDEX(Matches!$M$5:$M$8,MATCH($B21,Matches!$A$5:$A$8,0)))),"")</f>
        <v>0.2986</v>
      </c>
      <c r="N21" s="6" t="n">
        <f aca="false">1</f>
        <v>1</v>
      </c>
      <c r="O21" s="12" t="n">
        <f aca="false">IF(OR($M21="",$J21=""),"",$L21*($M21*$J21+(1-$M21)*$K21))</f>
        <v>3.39036686518679</v>
      </c>
      <c r="P21" s="6" t="n">
        <f aca="false">IF($O21="","",IF(LEFT($B21,4)="DOTA",Config!$B$7,Config!$B$6)*$O21+$L21^2*$M21*(1-$M21)*($J21-$K21)^2)</f>
        <v>6.30946670056339</v>
      </c>
      <c r="Q21" s="7" t="n">
        <f aca="false">IFERROR(IF(INDEX(Matches!$N$5:$N$8,MATCH($B21,Matches!$A$5:$A$8,0))="","",IF($F21="A",INDEX(Matches!$N$5:$N$8,MATCH($B21,Matches!$A$5:$A$8,0)),1-INDEX(Matches!$N$5:$N$8,MATCH($B21,Matches!$A$5:$A$8,0)))),"")</f>
        <v>0.2986</v>
      </c>
      <c r="R21" s="6" t="n">
        <f aca="false">IFERROR(N(INDEX(Matches!$P$5:$P$8,MATCH($B21,Matches!$A$5:$A$8,0))),0)</f>
        <v>1</v>
      </c>
      <c r="S21" s="12" t="n">
        <f aca="false">IF(OR($Q21="",$J21=""),"",$L21*($Q21*$J21+(1-$Q21)*$K21))</f>
        <v>3.39036686518679</v>
      </c>
      <c r="T21" s="6" t="n">
        <f aca="false">IF($S21="","",IF(LEFT($B21,4)="DOTA",Config!$B$7,Config!$B$6)*$S21+$L21^2*$Q21*(1-$Q21)*($J21-$K21)^2)</f>
        <v>6.30946670056339</v>
      </c>
      <c r="U21" s="7" t="n">
        <f aca="false">IFERROR(IF(INDEX(Matches!$O$5:$O$8,MATCH($B21,Matches!$A$5:$A$8,0))="","",IF($F21="A",INDEX(Matches!$O$5:$O$8,MATCH($B21,Matches!$A$5:$A$8,0)),1-INDEX(Matches!$O$5:$O$8,MATCH($B21,Matches!$A$5:$A$8,0)))),"")</f>
        <v>0.3301</v>
      </c>
      <c r="V21" s="6" t="n">
        <f aca="false">IFERROR(N(INDEX(Matches!$Q$5:$Q$8,MATCH($B21,Matches!$A$5:$A$8,0))),0)</f>
        <v>0.4091</v>
      </c>
      <c r="W21" s="12" t="n">
        <f aca="false">IF(OR($U21="",$J21=""),"",$L21*($U21*$J21+(1-$U21)*$K21))</f>
        <v>3.48529323226854</v>
      </c>
      <c r="X21" s="6" t="n">
        <f aca="false">IF($W21="","",IF(LEFT($B21,4)="DOTA",Config!$B$7,Config!$B$6)*$W21+$L21^2*$U21*(1-$U21)*($J21-$K21)^2)</f>
        <v>6.53908653115485</v>
      </c>
      <c r="Y21" s="12" t="n">
        <f aca="false">IF($O21="","",$O21)</f>
        <v>3.39036686518679</v>
      </c>
      <c r="Z21" s="6" t="n">
        <f aca="false">IF($P21="","",$P21)</f>
        <v>6.30946670056339</v>
      </c>
      <c r="AA21" s="12" t="n">
        <f aca="false">IF($O21="","",N($N21)*N($O21)+N($R21)*N($S21))</f>
        <v>6.78073373037358</v>
      </c>
      <c r="AB21" s="6" t="n">
        <f aca="false">IF($O21="","",(N($N21)*N($P21)+N($N21)*(1-N($N21))*N($O21)^2)+(N($R21)*N($T21)+N($R21)*(1-N($R21))*N($S21)^2))</f>
        <v>12.6189334011268</v>
      </c>
      <c r="AC21" s="12" t="n">
        <f aca="false">IF($O21="","",N($N21)*N($O21)+N($R21)*N($S21)+N($V21)*N($W21))</f>
        <v>8.20656719169464</v>
      </c>
      <c r="AD21" s="6" t="n">
        <f aca="false">IF($O21="","",(N($N21)*N($P21)+N($N21)*(1-N($N21))*N($O21)^2)+(N($R21)*N($T21)+N($R21)*(1-N($R21))*N($S21)^2)+(N($V21)*N($X21)+N($V21)*(1-N($V21))*N($W21)^2))</f>
        <v>18.2305203546838</v>
      </c>
      <c r="AE21" s="12" t="n">
        <f aca="false">IF($I21="","",$I21*$L21)</f>
        <v>4.6</v>
      </c>
      <c r="AF21" s="12" t="n">
        <f aca="false">IF($I21="","",$I21*$L21*(1+N($R21)))</f>
        <v>9.2</v>
      </c>
      <c r="AG21" s="12" t="n">
        <f aca="false">IF($I21="","",$I21*$L21*(1+N($R21)+N($V21)))</f>
        <v>11.08186</v>
      </c>
      <c r="AH21" s="0" t="str">
        <f aca="false">TRIM(IF($G21&lt;Config!$B$9,"thin sample ("&amp;$G21&amp;" maps) · ","")&amp;IF($I21="","no PickFinder stats · ","")&amp;IFERROR(IF(INDEX(Players!$T$2:$T$31,MATCH($E21,Players!$A$2:$A$31,0))&lt;0.5,"new roster: "&amp;TEXT(INDEX(Players!$T$2:$T$31,MATCH($E21,Players!$A$2:$A$31,0)),"0%")&amp;" of his recent games with these teammates",""),""))</f>
        <v>new roster: 0% of his recent games with these teammates</v>
      </c>
      <c r="AI21" s="0" t="str">
        <f aca="false">IF($B21=Board!$B$2,COUNTIFS($B$2:$B$31,Board!$B$2,$Y$2:$Y$31,"&gt;"&amp;$Y21)+COUNTIFS($B$1:$B20,Board!$B$2,$Y$1:$Y20,$Y21)+1,"")</f>
        <v/>
      </c>
      <c r="AJ21" s="0" t="str">
        <f aca="false">IFERROR(IF(INDEX(Matches!$D$5:$D$8,MATCH($B21,Matches!$A$5:$A$8,0))=3,"K12","K13"),"K13")</f>
        <v>K12</v>
      </c>
      <c r="AK21" s="12" t="n">
        <f aca="false">IF($AJ21="K12",$AA21,$AC21)</f>
        <v>6.78073373037358</v>
      </c>
    </row>
    <row r="22" customFormat="false" ht="15" hidden="false" customHeight="false" outlineLevel="0" collapsed="false">
      <c r="A22" s="0" t="s">
        <v>182</v>
      </c>
      <c r="B22" s="0" t="s">
        <v>93</v>
      </c>
      <c r="C22" s="0" t="s">
        <v>97</v>
      </c>
      <c r="D22" s="0" t="s">
        <v>181</v>
      </c>
      <c r="E22" s="0" t="s">
        <v>253</v>
      </c>
      <c r="F22" s="0" t="str">
        <f aca="false">IFERROR(IF($C22=INDEX(Matches!$S$5:$S$8,MATCH($B22,Matches!$A$5:$A$8,0)),"A",IF($C22=INDEX(Matches!$T$5:$T$8,MATCH($B22,Matches!$A$5:$A$8,0)),"B","")),"")</f>
        <v>A</v>
      </c>
      <c r="G22" s="0" t="n">
        <f aca="false">IFERROR(INDEX(Players!$E$2:$E$31,MATCH($E22,Players!$A$2:$A$31,0)),0)</f>
        <v>30</v>
      </c>
      <c r="H22" s="7" t="n">
        <f aca="false">IFERROR(INDEX(Players!$F$2:$F$31,MATCH($E22,Players!$A$2:$A$31,0)),"")</f>
        <v>0.63</v>
      </c>
      <c r="I22" s="6" t="n">
        <f aca="false">IFERROR(INDEX(Players!$G$2:$G$31,MATCH($E22,Players!$A$2:$A$31,0)),"")</f>
        <v>4.3</v>
      </c>
      <c r="J22" s="12" t="n">
        <f aca="false">IF(OR($I22="",$H22=""),"",$I22*IF(LEFT($B22,4)="DOTA",Config!$B$5,Config!$B$4)/($H22*IF(LEFT($B22,4)="DOTA",Config!$B$5,Config!$B$4)+1-$H22))</f>
        <v>5.39238495148386</v>
      </c>
      <c r="K22" s="12" t="n">
        <f aca="false">IF(OR($I22="",$H22=""),"",$I22/($H22*IF(LEFT($B22,4)="DOTA",Config!$B$5,Config!$B$4)+1-$H22))</f>
        <v>2.43999319071668</v>
      </c>
      <c r="L22" s="6" t="n">
        <f aca="false">IFERROR(INDEX(Matches!$R$5:$R$8,MATCH($B22,Matches!$A$5:$A$8,0)),1)</f>
        <v>1</v>
      </c>
      <c r="M22" s="7" t="n">
        <f aca="false">IFERROR(IF(INDEX(Matches!$M$5:$M$8,MATCH($B22,Matches!$A$5:$A$8,0))="","",IF($F22="A",INDEX(Matches!$M$5:$M$8,MATCH($B22,Matches!$A$5:$A$8,0)),1-INDEX(Matches!$M$5:$M$8,MATCH($B22,Matches!$A$5:$A$8,0)))),"")</f>
        <v>0.7014</v>
      </c>
      <c r="N22" s="6" t="n">
        <f aca="false">1</f>
        <v>1</v>
      </c>
      <c r="O22" s="12" t="n">
        <f aca="false">IF(OR($M22="",$J22=""),"",$L22*($M22*$J22+(1-$M22)*$K22))</f>
        <v>4.51080077171878</v>
      </c>
      <c r="P22" s="6" t="n">
        <f aca="false">IF($O22="","",IF(LEFT($B22,4)="DOTA",Config!$B$7,Config!$B$6)*$O22+$L22^2*$M22*(1-$M22)*($J22-$K22)^2)</f>
        <v>7.68963220598345</v>
      </c>
      <c r="Q22" s="7" t="n">
        <f aca="false">IFERROR(IF(INDEX(Matches!$N$5:$N$8,MATCH($B22,Matches!$A$5:$A$8,0))="","",IF($F22="A",INDEX(Matches!$N$5:$N$8,MATCH($B22,Matches!$A$5:$A$8,0)),1-INDEX(Matches!$N$5:$N$8,MATCH($B22,Matches!$A$5:$A$8,0)))),"")</f>
        <v>0.7014</v>
      </c>
      <c r="R22" s="6" t="n">
        <f aca="false">IFERROR(N(INDEX(Matches!$P$5:$P$8,MATCH($B22,Matches!$A$5:$A$8,0))),0)</f>
        <v>1</v>
      </c>
      <c r="S22" s="12" t="n">
        <f aca="false">IF(OR($Q22="",$J22=""),"",$L22*($Q22*$J22+(1-$Q22)*$K22))</f>
        <v>4.51080077171878</v>
      </c>
      <c r="T22" s="6" t="n">
        <f aca="false">IF($S22="","",IF(LEFT($B22,4)="DOTA",Config!$B$7,Config!$B$6)*$S22+$L22^2*$Q22*(1-$Q22)*($J22-$K22)^2)</f>
        <v>7.68963220598345</v>
      </c>
      <c r="U22" s="7" t="n">
        <f aca="false">IFERROR(IF(INDEX(Matches!$O$5:$O$8,MATCH($B22,Matches!$A$5:$A$8,0))="","",IF($F22="A",INDEX(Matches!$O$5:$O$8,MATCH($B22,Matches!$A$5:$A$8,0)),1-INDEX(Matches!$O$5:$O$8,MATCH($B22,Matches!$A$5:$A$8,0)))),"")</f>
        <v>0.6699</v>
      </c>
      <c r="V22" s="6" t="n">
        <f aca="false">IFERROR(N(INDEX(Matches!$Q$5:$Q$8,MATCH($B22,Matches!$A$5:$A$8,0))),0)</f>
        <v>0.4091</v>
      </c>
      <c r="W22" s="12" t="n">
        <f aca="false">IF(OR($U22="",$J22=""),"",$L22*($U22*$J22+(1-$U22)*$K22))</f>
        <v>4.41780043125461</v>
      </c>
      <c r="X22" s="6" t="n">
        <f aca="false">IF($W22="","",IF(LEFT($B22,4)="DOTA",Config!$B$7,Config!$B$6)*$W22+$L22^2*$U22*(1-$U22)*($J22-$K22)^2)</f>
        <v>7.67068088125658</v>
      </c>
      <c r="Y22" s="12" t="n">
        <f aca="false">IF($O22="","",$O22)</f>
        <v>4.51080077171878</v>
      </c>
      <c r="Z22" s="6" t="n">
        <f aca="false">IF($P22="","",$P22)</f>
        <v>7.68963220598345</v>
      </c>
      <c r="AA22" s="12" t="n">
        <f aca="false">IF($O22="","",N($N22)*N($O22)+N($R22)*N($S22))</f>
        <v>9.02160154343755</v>
      </c>
      <c r="AB22" s="6" t="n">
        <f aca="false">IF($O22="","",(N($N22)*N($P22)+N($N22)*(1-N($N22))*N($O22)^2)+(N($R22)*N($T22)+N($R22)*(1-N($R22))*N($S22)^2))</f>
        <v>15.3792644119669</v>
      </c>
      <c r="AC22" s="12" t="n">
        <f aca="false">IF($O22="","",N($N22)*N($O22)+N($R22)*N($S22)+N($V22)*N($W22))</f>
        <v>10.8289236998638</v>
      </c>
      <c r="AD22" s="6" t="n">
        <f aca="false">IF($O22="","",(N($N22)*N($P22)+N($N22)*(1-N($N22))*N($O22)^2)+(N($R22)*N($T22)+N($R22)*(1-N($R22))*N($S22)^2)+(N($V22)*N($X22)+N($V22)*(1-N($V22))*N($W22)^2))</f>
        <v>23.2353151854557</v>
      </c>
      <c r="AE22" s="12" t="n">
        <f aca="false">IF($I22="","",$I22*$L22)</f>
        <v>4.3</v>
      </c>
      <c r="AF22" s="12" t="n">
        <f aca="false">IF($I22="","",$I22*$L22*(1+N($R22)))</f>
        <v>8.6</v>
      </c>
      <c r="AG22" s="12" t="n">
        <f aca="false">IF($I22="","",$I22*$L22*(1+N($R22)+N($V22)))</f>
        <v>10.35913</v>
      </c>
      <c r="AH22" s="0" t="str">
        <f aca="false">TRIM(IF($G22&lt;Config!$B$9,"thin sample ("&amp;$G22&amp;" maps) · ","")&amp;IF($I22="","no PickFinder stats · ","")&amp;IFERROR(IF(INDEX(Players!$T$2:$T$31,MATCH($E22,Players!$A$2:$A$31,0))&lt;0.5,"new roster: "&amp;TEXT(INDEX(Players!$T$2:$T$31,MATCH($E22,Players!$A$2:$A$31,0)),"0%")&amp;" of his recent games with these teammates",""),""))</f>
        <v>new roster: 0% of his recent games with these teammates</v>
      </c>
      <c r="AI22" s="0" t="str">
        <f aca="false">IF($B22=Board!$B$2,COUNTIFS($B$2:$B$31,Board!$B$2,$Y$2:$Y$31,"&gt;"&amp;$Y22)+COUNTIFS($B$1:$B21,Board!$B$2,$Y$1:$Y21,$Y22)+1,"")</f>
        <v/>
      </c>
      <c r="AJ22" s="0" t="str">
        <f aca="false">IFERROR(IF(INDEX(Matches!$D$5:$D$8,MATCH($B22,Matches!$A$5:$A$8,0))=3,"K12","K13"),"K13")</f>
        <v>K12</v>
      </c>
      <c r="AK22" s="12" t="n">
        <f aca="false">IF($AJ22="K12",$AA22,$AC22)</f>
        <v>9.02160154343755</v>
      </c>
    </row>
    <row r="23" customFormat="false" ht="15" hidden="false" customHeight="false" outlineLevel="0" collapsed="false">
      <c r="A23" s="0" t="s">
        <v>185</v>
      </c>
      <c r="B23" s="0" t="s">
        <v>93</v>
      </c>
      <c r="C23" s="0" t="s">
        <v>97</v>
      </c>
      <c r="D23" s="0" t="s">
        <v>183</v>
      </c>
      <c r="E23" s="0" t="s">
        <v>254</v>
      </c>
      <c r="F23" s="0" t="str">
        <f aca="false">IFERROR(IF($C23=INDEX(Matches!$S$5:$S$8,MATCH($B23,Matches!$A$5:$A$8,0)),"A",IF($C23=INDEX(Matches!$T$5:$T$8,MATCH($B23,Matches!$A$5:$A$8,0)),"B","")),"")</f>
        <v>A</v>
      </c>
      <c r="G23" s="0" t="n">
        <f aca="false">IFERROR(INDEX(Players!$E$2:$E$31,MATCH($E23,Players!$A$2:$A$31,0)),0)</f>
        <v>30</v>
      </c>
      <c r="H23" s="7" t="n">
        <f aca="false">IFERROR(INDEX(Players!$F$2:$F$31,MATCH($E23,Players!$A$2:$A$31,0)),"")</f>
        <v>0.53</v>
      </c>
      <c r="I23" s="6" t="n">
        <f aca="false">IFERROR(INDEX(Players!$G$2:$G$31,MATCH($E23,Players!$A$2:$A$31,0)),"")</f>
        <v>3.1</v>
      </c>
      <c r="J23" s="12" t="n">
        <f aca="false">IF(OR($I23="",$H23=""),"",$I23*IF(LEFT($B23,4)="DOTA",Config!$B$5,Config!$B$4)/($H23*IF(LEFT($B23,4)="DOTA",Config!$B$5,Config!$B$4)+1-$H23))</f>
        <v>4.17413026259672</v>
      </c>
      <c r="K23" s="12" t="n">
        <f aca="false">IF(OR($I23="",$H23=""),"",$I23/($H23*IF(LEFT($B23,4)="DOTA",Config!$B$5,Config!$B$4)+1-$H23))</f>
        <v>1.88874672515689</v>
      </c>
      <c r="L23" s="6" t="n">
        <f aca="false">IFERROR(INDEX(Matches!$R$5:$R$8,MATCH($B23,Matches!$A$5:$A$8,0)),1)</f>
        <v>1</v>
      </c>
      <c r="M23" s="7" t="n">
        <f aca="false">IFERROR(IF(INDEX(Matches!$M$5:$M$8,MATCH($B23,Matches!$A$5:$A$8,0))="","",IF($F23="A",INDEX(Matches!$M$5:$M$8,MATCH($B23,Matches!$A$5:$A$8,0)),1-INDEX(Matches!$M$5:$M$8,MATCH($B23,Matches!$A$5:$A$8,0)))),"")</f>
        <v>0.7014</v>
      </c>
      <c r="N23" s="6" t="n">
        <f aca="false">1</f>
        <v>1</v>
      </c>
      <c r="O23" s="12" t="n">
        <f aca="false">IF(OR($M23="",$J23=""),"",$L23*($M23*$J23+(1-$M23)*$K23))</f>
        <v>3.49171473831719</v>
      </c>
      <c r="P23" s="6" t="n">
        <f aca="false">IF($O23="","",IF(LEFT($B23,4)="DOTA",Config!$B$7,Config!$B$6)*$O23+$L23^2*$M23*(1-$M23)*($J23-$K23)^2)</f>
        <v>5.63311941691645</v>
      </c>
      <c r="Q23" s="7" t="n">
        <f aca="false">IFERROR(IF(INDEX(Matches!$N$5:$N$8,MATCH($B23,Matches!$A$5:$A$8,0))="","",IF($F23="A",INDEX(Matches!$N$5:$N$8,MATCH($B23,Matches!$A$5:$A$8,0)),1-INDEX(Matches!$N$5:$N$8,MATCH($B23,Matches!$A$5:$A$8,0)))),"")</f>
        <v>0.7014</v>
      </c>
      <c r="R23" s="6" t="n">
        <f aca="false">IFERROR(N(INDEX(Matches!$P$5:$P$8,MATCH($B23,Matches!$A$5:$A$8,0))),0)</f>
        <v>1</v>
      </c>
      <c r="S23" s="12" t="n">
        <f aca="false">IF(OR($Q23="",$J23=""),"",$L23*($Q23*$J23+(1-$Q23)*$K23))</f>
        <v>3.49171473831719</v>
      </c>
      <c r="T23" s="6" t="n">
        <f aca="false">IF($S23="","",IF(LEFT($B23,4)="DOTA",Config!$B$7,Config!$B$6)*$S23+$L23^2*$Q23*(1-$Q23)*($J23-$K23)^2)</f>
        <v>5.63311941691645</v>
      </c>
      <c r="U23" s="7" t="n">
        <f aca="false">IFERROR(IF(INDEX(Matches!$O$5:$O$8,MATCH($B23,Matches!$A$5:$A$8,0))="","",IF($F23="A",INDEX(Matches!$O$5:$O$8,MATCH($B23,Matches!$A$5:$A$8,0)),1-INDEX(Matches!$O$5:$O$8,MATCH($B23,Matches!$A$5:$A$8,0)))),"")</f>
        <v>0.6699</v>
      </c>
      <c r="V23" s="6" t="n">
        <f aca="false">IFERROR(N(INDEX(Matches!$Q$5:$Q$8,MATCH($B23,Matches!$A$5:$A$8,0))),0)</f>
        <v>0.4091</v>
      </c>
      <c r="W23" s="12" t="n">
        <f aca="false">IF(OR($U23="",$J23=""),"",$L23*($U23*$J23+(1-$U23)*$K23))</f>
        <v>3.41972515688783</v>
      </c>
      <c r="X23" s="6" t="n">
        <f aca="false">IF($W23="","",IF(LEFT($B23,4)="DOTA",Config!$B$7,Config!$B$6)*$W23+$L23^2*$U23*(1-$U23)*($J23-$K23)^2)</f>
        <v>5.6006206495822</v>
      </c>
      <c r="Y23" s="12" t="n">
        <f aca="false">IF($O23="","",$O23)</f>
        <v>3.49171473831719</v>
      </c>
      <c r="Z23" s="6" t="n">
        <f aca="false">IF($P23="","",$P23)</f>
        <v>5.63311941691645</v>
      </c>
      <c r="AA23" s="12" t="n">
        <f aca="false">IF($O23="","",N($N23)*N($O23)+N($R23)*N($S23))</f>
        <v>6.98342947663438</v>
      </c>
      <c r="AB23" s="6" t="n">
        <f aca="false">IF($O23="","",(N($N23)*N($P23)+N($N23)*(1-N($N23))*N($O23)^2)+(N($R23)*N($T23)+N($R23)*(1-N($R23))*N($S23)^2))</f>
        <v>11.2662388338329</v>
      </c>
      <c r="AC23" s="12" t="n">
        <f aca="false">IF($O23="","",N($N23)*N($O23)+N($R23)*N($S23)+N($V23)*N($W23))</f>
        <v>8.38243903831719</v>
      </c>
      <c r="AD23" s="6" t="n">
        <f aca="false">IF($O23="","",(N($N23)*N($P23)+N($N23)*(1-N($N23))*N($O23)^2)+(N($R23)*N($T23)+N($R23)*(1-N($R23))*N($S23)^2)+(N($V23)*N($X23)+N($V23)*(1-N($V23))*N($W23)^2))</f>
        <v>16.3844531807104</v>
      </c>
      <c r="AE23" s="12" t="n">
        <f aca="false">IF($I23="","",$I23*$L23)</f>
        <v>3.1</v>
      </c>
      <c r="AF23" s="12" t="n">
        <f aca="false">IF($I23="","",$I23*$L23*(1+N($R23)))</f>
        <v>6.2</v>
      </c>
      <c r="AG23" s="12" t="n">
        <f aca="false">IF($I23="","",$I23*$L23*(1+N($R23)+N($V23)))</f>
        <v>7.46821</v>
      </c>
      <c r="AH23" s="0" t="str">
        <f aca="false">TRIM(IF($G23&lt;Config!$B$9,"thin sample ("&amp;$G23&amp;" maps) · ","")&amp;IF($I23="","no PickFinder stats · ","")&amp;IFERROR(IF(INDEX(Players!$T$2:$T$31,MATCH($E23,Players!$A$2:$A$31,0))&lt;0.5,"new roster: "&amp;TEXT(INDEX(Players!$T$2:$T$31,MATCH($E23,Players!$A$2:$A$31,0)),"0%")&amp;" of his recent games with these teammates",""),""))</f>
        <v>new roster: 0% of his recent games with these teammates</v>
      </c>
      <c r="AI23" s="0" t="str">
        <f aca="false">IF($B23=Board!$B$2,COUNTIFS($B$2:$B$31,Board!$B$2,$Y$2:$Y$31,"&gt;"&amp;$Y23)+COUNTIFS($B$1:$B22,Board!$B$2,$Y$1:$Y22,$Y23)+1,"")</f>
        <v/>
      </c>
      <c r="AJ23" s="0" t="str">
        <f aca="false">IFERROR(IF(INDEX(Matches!$D$5:$D$8,MATCH($B23,Matches!$A$5:$A$8,0))=3,"K12","K13"),"K13")</f>
        <v>K12</v>
      </c>
      <c r="AK23" s="12" t="n">
        <f aca="false">IF($AJ23="K12",$AA23,$AC23)</f>
        <v>6.98342947663438</v>
      </c>
    </row>
    <row r="24" customFormat="false" ht="15" hidden="false" customHeight="false" outlineLevel="0" collapsed="false">
      <c r="A24" s="0" t="s">
        <v>187</v>
      </c>
      <c r="B24" s="0" t="s">
        <v>93</v>
      </c>
      <c r="C24" s="0" t="s">
        <v>97</v>
      </c>
      <c r="D24" s="0" t="s">
        <v>186</v>
      </c>
      <c r="E24" s="0" t="s">
        <v>255</v>
      </c>
      <c r="F24" s="0" t="str">
        <f aca="false">IFERROR(IF($C24=INDEX(Matches!$S$5:$S$8,MATCH($B24,Matches!$A$5:$A$8,0)),"A",IF($C24=INDEX(Matches!$T$5:$T$8,MATCH($B24,Matches!$A$5:$A$8,0)),"B","")),"")</f>
        <v>A</v>
      </c>
      <c r="G24" s="0" t="n">
        <f aca="false">IFERROR(INDEX(Players!$E$2:$E$31,MATCH($E24,Players!$A$2:$A$31,0)),0)</f>
        <v>30</v>
      </c>
      <c r="H24" s="7" t="n">
        <f aca="false">IFERROR(INDEX(Players!$F$2:$F$31,MATCH($E24,Players!$A$2:$A$31,0)),"")</f>
        <v>0.63</v>
      </c>
      <c r="I24" s="6" t="n">
        <f aca="false">IFERROR(INDEX(Players!$G$2:$G$31,MATCH($E24,Players!$A$2:$A$31,0)),"")</f>
        <v>5.2</v>
      </c>
      <c r="J24" s="12" t="n">
        <f aca="false">IF(OR($I24="",$H24=""),"",$I24*IF(LEFT($B24,4)="DOTA",Config!$B$5,Config!$B$4)/($H24*IF(LEFT($B24,4)="DOTA",Config!$B$5,Config!$B$4)+1-$H24))</f>
        <v>6.52102366225955</v>
      </c>
      <c r="K24" s="12" t="n">
        <f aca="false">IF(OR($I24="",$H24=""),"",$I24/($H24*IF(LEFT($B24,4)="DOTA",Config!$B$5,Config!$B$4)+1-$H24))</f>
        <v>2.95068943993645</v>
      </c>
      <c r="L24" s="6" t="n">
        <f aca="false">IFERROR(INDEX(Matches!$R$5:$R$8,MATCH($B24,Matches!$A$5:$A$8,0)),1)</f>
        <v>1</v>
      </c>
      <c r="M24" s="7" t="n">
        <f aca="false">IFERROR(IF(INDEX(Matches!$M$5:$M$8,MATCH($B24,Matches!$A$5:$A$8,0))="","",IF($F24="A",INDEX(Matches!$M$5:$M$8,MATCH($B24,Matches!$A$5:$A$8,0)),1-INDEX(Matches!$M$5:$M$8,MATCH($B24,Matches!$A$5:$A$8,0)))),"")</f>
        <v>0.7014</v>
      </c>
      <c r="N24" s="6" t="n">
        <f aca="false">1</f>
        <v>1</v>
      </c>
      <c r="O24" s="12" t="n">
        <f aca="false">IF(OR($M24="",$J24=""),"",$L24*($M24*$J24+(1-$M24)*$K24))</f>
        <v>5.45492186347387</v>
      </c>
      <c r="P24" s="6" t="n">
        <f aca="false">IF($O24="","",IF(LEFT($B24,4)="DOTA",Config!$B$7,Config!$B$6)*$O24+$L24^2*$M24*(1-$M24)*($J24-$K24)^2)</f>
        <v>9.76116511382669</v>
      </c>
      <c r="Q24" s="7" t="n">
        <f aca="false">IFERROR(IF(INDEX(Matches!$N$5:$N$8,MATCH($B24,Matches!$A$5:$A$8,0))="","",IF($F24="A",INDEX(Matches!$N$5:$N$8,MATCH($B24,Matches!$A$5:$A$8,0)),1-INDEX(Matches!$N$5:$N$8,MATCH($B24,Matches!$A$5:$A$8,0)))),"")</f>
        <v>0.7014</v>
      </c>
      <c r="R24" s="6" t="n">
        <f aca="false">IFERROR(N(INDEX(Matches!$P$5:$P$8,MATCH($B24,Matches!$A$5:$A$8,0))),0)</f>
        <v>1</v>
      </c>
      <c r="S24" s="12" t="n">
        <f aca="false">IF(OR($Q24="",$J24=""),"",$L24*($Q24*$J24+(1-$Q24)*$K24))</f>
        <v>5.45492186347387</v>
      </c>
      <c r="T24" s="6" t="n">
        <f aca="false">IF($S24="","",IF(LEFT($B24,4)="DOTA",Config!$B$7,Config!$B$6)*$S24+$L24^2*$Q24*(1-$Q24)*($J24-$K24)^2)</f>
        <v>9.76116511382669</v>
      </c>
      <c r="U24" s="7" t="n">
        <f aca="false">IFERROR(IF(INDEX(Matches!$O$5:$O$8,MATCH($B24,Matches!$A$5:$A$8,0))="","",IF($F24="A",INDEX(Matches!$O$5:$O$8,MATCH($B24,Matches!$A$5:$A$8,0)),1-INDEX(Matches!$O$5:$O$8,MATCH($B24,Matches!$A$5:$A$8,0)))),"")</f>
        <v>0.6699</v>
      </c>
      <c r="V24" s="6" t="n">
        <f aca="false">IFERROR(N(INDEX(Matches!$Q$5:$Q$8,MATCH($B24,Matches!$A$5:$A$8,0))),0)</f>
        <v>0.4091</v>
      </c>
      <c r="W24" s="12" t="n">
        <f aca="false">IF(OR($U24="",$J24=""),"",$L24*($U24*$J24+(1-$U24)*$K24))</f>
        <v>5.34245633547069</v>
      </c>
      <c r="X24" s="6" t="n">
        <f aca="false">IF($W24="","",IF(LEFT($B24,4)="DOTA",Config!$B$7,Config!$B$6)*$W24+$L24^2*$U24*(1-$U24)*($J24-$K24)^2)</f>
        <v>9.76405155248378</v>
      </c>
      <c r="Y24" s="12" t="n">
        <f aca="false">IF($O24="","",$O24)</f>
        <v>5.45492186347387</v>
      </c>
      <c r="Z24" s="6" t="n">
        <f aca="false">IF($P24="","",$P24)</f>
        <v>9.76116511382669</v>
      </c>
      <c r="AA24" s="12" t="n">
        <f aca="false">IF($O24="","",N($N24)*N($O24)+N($R24)*N($S24))</f>
        <v>10.9098437269477</v>
      </c>
      <c r="AB24" s="6" t="n">
        <f aca="false">IF($O24="","",(N($N24)*N($P24)+N($N24)*(1-N($N24))*N($O24)^2)+(N($R24)*N($T24)+N($R24)*(1-N($R24))*N($S24)^2))</f>
        <v>19.5223302276534</v>
      </c>
      <c r="AC24" s="12" t="n">
        <f aca="false">IF($O24="","",N($N24)*N($O24)+N($R24)*N($S24)+N($V24)*N($W24))</f>
        <v>13.0954426137888</v>
      </c>
      <c r="AD24" s="6" t="n">
        <f aca="false">IF($O24="","",(N($N24)*N($P24)+N($N24)*(1-N($N24))*N($O24)^2)+(N($R24)*N($T24)+N($R24)*(1-N($R24))*N($S24)^2)+(N($V24)*N($X24)+N($V24)*(1-N($V24))*N($W24)^2))</f>
        <v>30.4164278434153</v>
      </c>
      <c r="AE24" s="12" t="n">
        <f aca="false">IF($I24="","",$I24*$L24)</f>
        <v>5.2</v>
      </c>
      <c r="AF24" s="12" t="n">
        <f aca="false">IF($I24="","",$I24*$L24*(1+N($R24)))</f>
        <v>10.4</v>
      </c>
      <c r="AG24" s="12" t="n">
        <f aca="false">IF($I24="","",$I24*$L24*(1+N($R24)+N($V24)))</f>
        <v>12.52732</v>
      </c>
      <c r="AH24" s="0" t="str">
        <f aca="false">TRIM(IF($G24&lt;Config!$B$9,"thin sample ("&amp;$G24&amp;" maps) · ","")&amp;IF($I24="","no PickFinder stats · ","")&amp;IFERROR(IF(INDEX(Players!$T$2:$T$31,MATCH($E24,Players!$A$2:$A$31,0))&lt;0.5,"new roster: "&amp;TEXT(INDEX(Players!$T$2:$T$31,MATCH($E24,Players!$A$2:$A$31,0)),"0%")&amp;" of his recent games with these teammates",""),""))</f>
        <v>new roster: 0% of his recent games with these teammates</v>
      </c>
      <c r="AI24" s="0" t="str">
        <f aca="false">IF($B24=Board!$B$2,COUNTIFS($B$2:$B$31,Board!$B$2,$Y$2:$Y$31,"&gt;"&amp;$Y24)+COUNTIFS($B$1:$B23,Board!$B$2,$Y$1:$Y23,$Y24)+1,"")</f>
        <v/>
      </c>
      <c r="AJ24" s="0" t="str">
        <f aca="false">IFERROR(IF(INDEX(Matches!$D$5:$D$8,MATCH($B24,Matches!$A$5:$A$8,0))=3,"K12","K13"),"K13")</f>
        <v>K12</v>
      </c>
      <c r="AK24" s="12" t="n">
        <f aca="false">IF($AJ24="K12",$AA24,$AC24)</f>
        <v>10.9098437269477</v>
      </c>
    </row>
    <row r="25" customFormat="false" ht="15" hidden="false" customHeight="false" outlineLevel="0" collapsed="false">
      <c r="A25" s="0" t="s">
        <v>190</v>
      </c>
      <c r="B25" s="0" t="s">
        <v>93</v>
      </c>
      <c r="C25" s="0" t="s">
        <v>97</v>
      </c>
      <c r="D25" s="0" t="s">
        <v>188</v>
      </c>
      <c r="E25" s="0" t="s">
        <v>256</v>
      </c>
      <c r="F25" s="0" t="str">
        <f aca="false">IFERROR(IF($C25=INDEX(Matches!$S$5:$S$8,MATCH($B25,Matches!$A$5:$A$8,0)),"A",IF($C25=INDEX(Matches!$T$5:$T$8,MATCH($B25,Matches!$A$5:$A$8,0)),"B","")),"")</f>
        <v>A</v>
      </c>
      <c r="G25" s="0" t="n">
        <f aca="false">IFERROR(INDEX(Players!$E$2:$E$31,MATCH($E25,Players!$A$2:$A$31,0)),0)</f>
        <v>30</v>
      </c>
      <c r="H25" s="7" t="n">
        <f aca="false">IFERROR(INDEX(Players!$F$2:$F$31,MATCH($E25,Players!$A$2:$A$31,0)),"")</f>
        <v>0.63</v>
      </c>
      <c r="I25" s="6" t="n">
        <f aca="false">IFERROR(INDEX(Players!$G$2:$G$31,MATCH($E25,Players!$A$2:$A$31,0)),"")</f>
        <v>3</v>
      </c>
      <c r="J25" s="12" t="n">
        <f aca="false">IF(OR($I25="",$H25=""),"",$I25*IF(LEFT($B25,4)="DOTA",Config!$B$5,Config!$B$4)/($H25*IF(LEFT($B25,4)="DOTA",Config!$B$5,Config!$B$4)+1-$H25))</f>
        <v>3.76212903591897</v>
      </c>
      <c r="K25" s="12" t="n">
        <f aca="false">IF(OR($I25="",$H25=""),"",$I25/($H25*IF(LEFT($B25,4)="DOTA",Config!$B$5,Config!$B$4)+1-$H25))</f>
        <v>1.70232083073257</v>
      </c>
      <c r="L25" s="6" t="n">
        <f aca="false">IFERROR(INDEX(Matches!$R$5:$R$8,MATCH($B25,Matches!$A$5:$A$8,0)),1)</f>
        <v>1</v>
      </c>
      <c r="M25" s="7" t="n">
        <f aca="false">IFERROR(IF(INDEX(Matches!$M$5:$M$8,MATCH($B25,Matches!$A$5:$A$8,0))="","",IF($F25="A",INDEX(Matches!$M$5:$M$8,MATCH($B25,Matches!$A$5:$A$8,0)),1-INDEX(Matches!$M$5:$M$8,MATCH($B25,Matches!$A$5:$A$8,0)))),"")</f>
        <v>0.7014</v>
      </c>
      <c r="N25" s="6" t="n">
        <f aca="false">1</f>
        <v>1</v>
      </c>
      <c r="O25" s="12" t="n">
        <f aca="false">IF(OR($M25="",$J25=""),"",$L25*($M25*$J25+(1-$M25)*$K25))</f>
        <v>3.14707030585031</v>
      </c>
      <c r="P25" s="6" t="n">
        <f aca="false">IF($O25="","",IF(LEFT($B25,4)="DOTA",Config!$B$7,Config!$B$6)*$O25+$L25^2*$M25*(1-$M25)*($J25-$K25)^2)</f>
        <v>4.97979717503868</v>
      </c>
      <c r="Q25" s="7" t="n">
        <f aca="false">IFERROR(IF(INDEX(Matches!$N$5:$N$8,MATCH($B25,Matches!$A$5:$A$8,0))="","",IF($F25="A",INDEX(Matches!$N$5:$N$8,MATCH($B25,Matches!$A$5:$A$8,0)),1-INDEX(Matches!$N$5:$N$8,MATCH($B25,Matches!$A$5:$A$8,0)))),"")</f>
        <v>0.7014</v>
      </c>
      <c r="R25" s="6" t="n">
        <f aca="false">IFERROR(N(INDEX(Matches!$P$5:$P$8,MATCH($B25,Matches!$A$5:$A$8,0))),0)</f>
        <v>1</v>
      </c>
      <c r="S25" s="12" t="n">
        <f aca="false">IF(OR($Q25="",$J25=""),"",$L25*($Q25*$J25+(1-$Q25)*$K25))</f>
        <v>3.14707030585031</v>
      </c>
      <c r="T25" s="6" t="n">
        <f aca="false">IF($S25="","",IF(LEFT($B25,4)="DOTA",Config!$B$7,Config!$B$6)*$S25+$L25^2*$Q25*(1-$Q25)*($J25-$K25)^2)</f>
        <v>4.97979717503868</v>
      </c>
      <c r="U25" s="7" t="n">
        <f aca="false">IFERROR(IF(INDEX(Matches!$O$5:$O$8,MATCH($B25,Matches!$A$5:$A$8,0))="","",IF($F25="A",INDEX(Matches!$O$5:$O$8,MATCH($B25,Matches!$A$5:$A$8,0)),1-INDEX(Matches!$O$5:$O$8,MATCH($B25,Matches!$A$5:$A$8,0)))),"")</f>
        <v>0.6699</v>
      </c>
      <c r="V25" s="6" t="n">
        <f aca="false">IFERROR(N(INDEX(Matches!$Q$5:$Q$8,MATCH($B25,Matches!$A$5:$A$8,0))),0)</f>
        <v>0.4091</v>
      </c>
      <c r="W25" s="12" t="n">
        <f aca="false">IF(OR($U25="",$J25=""),"",$L25*($U25*$J25+(1-$U25)*$K25))</f>
        <v>3.08218634738694</v>
      </c>
      <c r="X25" s="6" t="n">
        <f aca="false">IF($W25="","",IF(LEFT($B25,4)="DOTA",Config!$B$7,Config!$B$6)*$W25+$L25^2*$U25*(1-$U25)*($J25-$K25)^2)</f>
        <v>4.94507172080963</v>
      </c>
      <c r="Y25" s="12" t="n">
        <f aca="false">IF($O25="","",$O25)</f>
        <v>3.14707030585031</v>
      </c>
      <c r="Z25" s="6" t="n">
        <f aca="false">IF($P25="","",$P25)</f>
        <v>4.97979717503868</v>
      </c>
      <c r="AA25" s="12" t="n">
        <f aca="false">IF($O25="","",N($N25)*N($O25)+N($R25)*N($S25))</f>
        <v>6.29414061170062</v>
      </c>
      <c r="AB25" s="6" t="n">
        <f aca="false">IF($O25="","",(N($N25)*N($P25)+N($N25)*(1-N($N25))*N($O25)^2)+(N($R25)*N($T25)+N($R25)*(1-N($R25))*N($S25)^2))</f>
        <v>9.95959435007737</v>
      </c>
      <c r="AC25" s="12" t="n">
        <f aca="false">IF($O25="","",N($N25)*N($O25)+N($R25)*N($S25)+N($V25)*N($W25))</f>
        <v>7.55506304641661</v>
      </c>
      <c r="AD25" s="6" t="n">
        <f aca="false">IF($O25="","",(N($N25)*N($P25)+N($N25)*(1-N($N25))*N($O25)^2)+(N($R25)*N($T25)+N($R25)*(1-N($R25))*N($S25)^2)+(N($V25)*N($X25)+N($V25)*(1-N($V25))*N($W25)^2))</f>
        <v>14.279095718086</v>
      </c>
      <c r="AE25" s="12" t="n">
        <f aca="false">IF($I25="","",$I25*$L25)</f>
        <v>3</v>
      </c>
      <c r="AF25" s="12" t="n">
        <f aca="false">IF($I25="","",$I25*$L25*(1+N($R25)))</f>
        <v>6</v>
      </c>
      <c r="AG25" s="12" t="n">
        <f aca="false">IF($I25="","",$I25*$L25*(1+N($R25)+N($V25)))</f>
        <v>7.2273</v>
      </c>
      <c r="AH25" s="0" t="str">
        <f aca="false">TRIM(IF($G25&lt;Config!$B$9,"thin sample ("&amp;$G25&amp;" maps) · ","")&amp;IF($I25="","no PickFinder stats · ","")&amp;IFERROR(IF(INDEX(Players!$T$2:$T$31,MATCH($E25,Players!$A$2:$A$31,0))&lt;0.5,"new roster: "&amp;TEXT(INDEX(Players!$T$2:$T$31,MATCH($E25,Players!$A$2:$A$31,0)),"0%")&amp;" of his recent games with these teammates",""),""))</f>
        <v>new roster: 0% of his recent games with these teammates</v>
      </c>
      <c r="AI25" s="0" t="str">
        <f aca="false">IF($B25=Board!$B$2,COUNTIFS($B$2:$B$31,Board!$B$2,$Y$2:$Y$31,"&gt;"&amp;$Y25)+COUNTIFS($B$1:$B24,Board!$B$2,$Y$1:$Y24,$Y25)+1,"")</f>
        <v/>
      </c>
      <c r="AJ25" s="0" t="str">
        <f aca="false">IFERROR(IF(INDEX(Matches!$D$5:$D$8,MATCH($B25,Matches!$A$5:$A$8,0))=3,"K12","K13"),"K13")</f>
        <v>K12</v>
      </c>
      <c r="AK25" s="12" t="n">
        <f aca="false">IF($AJ25="K12",$AA25,$AC25)</f>
        <v>6.29414061170062</v>
      </c>
    </row>
    <row r="26" customFormat="false" ht="15" hidden="false" customHeight="false" outlineLevel="0" collapsed="false">
      <c r="A26" s="0" t="s">
        <v>193</v>
      </c>
      <c r="B26" s="0" t="s">
        <v>86</v>
      </c>
      <c r="C26" s="0" t="s">
        <v>92</v>
      </c>
      <c r="D26" s="0" t="s">
        <v>191</v>
      </c>
      <c r="E26" s="0" t="s">
        <v>257</v>
      </c>
      <c r="F26" s="0" t="str">
        <f aca="false">IFERROR(IF($C26=INDEX(Matches!$S$5:$S$8,MATCH($B26,Matches!$A$5:$A$8,0)),"A",IF($C26=INDEX(Matches!$T$5:$T$8,MATCH($B26,Matches!$A$5:$A$8,0)),"B","")),"")</f>
        <v>B</v>
      </c>
      <c r="G26" s="0" t="n">
        <f aca="false">IFERROR(INDEX(Players!$E$2:$E$31,MATCH($E26,Players!$A$2:$A$31,0)),0)</f>
        <v>30</v>
      </c>
      <c r="H26" s="7" t="n">
        <f aca="false">IFERROR(INDEX(Players!$F$2:$F$31,MATCH($E26,Players!$A$2:$A$31,0)),"")</f>
        <v>0.73</v>
      </c>
      <c r="I26" s="6" t="n">
        <f aca="false">IFERROR(INDEX(Players!$G$2:$G$31,MATCH($E26,Players!$A$2:$A$31,0)),"")</f>
        <v>3.6</v>
      </c>
      <c r="J26" s="12" t="n">
        <f aca="false">IF(OR($I26="",$H26=""),"",$I26*IF(LEFT($B26,4)="DOTA",Config!$B$5,Config!$B$4)/($H26*IF(LEFT($B26,4)="DOTA",Config!$B$5,Config!$B$4)+1-$H26))</f>
        <v>4.22449954866458</v>
      </c>
      <c r="K26" s="12" t="n">
        <f aca="false">IF(OR($I26="",$H26=""),"",$I26/($H26*IF(LEFT($B26,4)="DOTA",Config!$B$5,Config!$B$4)+1-$H26))</f>
        <v>1.91153825731429</v>
      </c>
      <c r="L26" s="6" t="n">
        <f aca="false">IFERROR(INDEX(Matches!$R$5:$R$8,MATCH($B26,Matches!$A$5:$A$8,0)),1)</f>
        <v>1</v>
      </c>
      <c r="M26" s="7" t="n">
        <f aca="false">IFERROR(IF(INDEX(Matches!$M$5:$M$8,MATCH($B26,Matches!$A$5:$A$8,0))="","",IF($F26="A",INDEX(Matches!$M$5:$M$8,MATCH($B26,Matches!$A$5:$A$8,0)),1-INDEX(Matches!$M$5:$M$8,MATCH($B26,Matches!$A$5:$A$8,0)))),"")</f>
        <v>0.2986</v>
      </c>
      <c r="N26" s="6" t="n">
        <f aca="false">1</f>
        <v>1</v>
      </c>
      <c r="O26" s="12" t="n">
        <f aca="false">IF(OR($M26="",$J26=""),"",$L26*($M26*$J26+(1-$M26)*$K26))</f>
        <v>2.60218849891149</v>
      </c>
      <c r="P26" s="6" t="n">
        <f aca="false">IF($O26="","",IF(LEFT($B26,4)="DOTA",Config!$B$7,Config!$B$6)*$O26+$L26^2*$M26*(1-$M26)*($J26-$K26)^2)</f>
        <v>4.50329456704271</v>
      </c>
      <c r="Q26" s="7" t="n">
        <f aca="false">IFERROR(IF(INDEX(Matches!$N$5:$N$8,MATCH($B26,Matches!$A$5:$A$8,0))="","",IF($F26="A",INDEX(Matches!$N$5:$N$8,MATCH($B26,Matches!$A$5:$A$8,0)),1-INDEX(Matches!$N$5:$N$8,MATCH($B26,Matches!$A$5:$A$8,0)))),"")</f>
        <v>0.2986</v>
      </c>
      <c r="R26" s="6" t="n">
        <f aca="false">IFERROR(N(INDEX(Matches!$P$5:$P$8,MATCH($B26,Matches!$A$5:$A$8,0))),0)</f>
        <v>1</v>
      </c>
      <c r="S26" s="12" t="n">
        <f aca="false">IF(OR($Q26="",$J26=""),"",$L26*($Q26*$J26+(1-$Q26)*$K26))</f>
        <v>2.60218849891149</v>
      </c>
      <c r="T26" s="6" t="n">
        <f aca="false">IF($S26="","",IF(LEFT($B26,4)="DOTA",Config!$B$7,Config!$B$6)*$S26+$L26^2*$Q26*(1-$Q26)*($J26-$K26)^2)</f>
        <v>4.50329456704271</v>
      </c>
      <c r="U26" s="7" t="n">
        <f aca="false">IFERROR(IF(INDEX(Matches!$O$5:$O$8,MATCH($B26,Matches!$A$5:$A$8,0))="","",IF($F26="A",INDEX(Matches!$O$5:$O$8,MATCH($B26,Matches!$A$5:$A$8,0)),1-INDEX(Matches!$O$5:$O$8,MATCH($B26,Matches!$A$5:$A$8,0)))),"")</f>
        <v>0.3176</v>
      </c>
      <c r="V26" s="6" t="n">
        <f aca="false">IFERROR(N(INDEX(Matches!$Q$5:$Q$8,MATCH($B26,Matches!$A$5:$A$8,0))),0)</f>
        <v>0.4113</v>
      </c>
      <c r="W26" s="12" t="n">
        <f aca="false">IF(OR($U26="",$J26=""),"",$L26*($U26*$J26+(1-$U26)*$K26))</f>
        <v>2.64613476344714</v>
      </c>
      <c r="X26" s="6" t="n">
        <f aca="false">IF($W26="","",IF(LEFT($B26,4)="DOTA",Config!$B$7,Config!$B$6)*$W26+$L26^2*$U26*(1-$U26)*($J26-$K26)^2)</f>
        <v>4.59943644910514</v>
      </c>
      <c r="Y26" s="12" t="n">
        <f aca="false">IF($O26="","",$O26)</f>
        <v>2.60218849891149</v>
      </c>
      <c r="Z26" s="6" t="n">
        <f aca="false">IF($P26="","",$P26)</f>
        <v>4.50329456704271</v>
      </c>
      <c r="AA26" s="12" t="n">
        <f aca="false">IF($O26="","",N($N26)*N($O26)+N($R26)*N($S26))</f>
        <v>5.20437699782297</v>
      </c>
      <c r="AB26" s="6" t="n">
        <f aca="false">IF($O26="","",(N($N26)*N($P26)+N($N26)*(1-N($N26))*N($O26)^2)+(N($R26)*N($T26)+N($R26)*(1-N($R26))*N($S26)^2))</f>
        <v>9.00658913408541</v>
      </c>
      <c r="AC26" s="12" t="n">
        <f aca="false">IF($O26="","",N($N26)*N($O26)+N($R26)*N($S26)+N($V26)*N($W26))</f>
        <v>6.29273222602878</v>
      </c>
      <c r="AD26" s="6" t="n">
        <f aca="false">IF($O26="","",(N($N26)*N($P26)+N($N26)*(1-N($N26))*N($O26)^2)+(N($R26)*N($T26)+N($R26)*(1-N($R26))*N($S26)^2)+(N($V26)*N($X26)+N($V26)*(1-N($V26))*N($W26)^2))</f>
        <v>12.5937548471743</v>
      </c>
      <c r="AE26" s="12" t="n">
        <f aca="false">IF($I26="","",$I26*$L26)</f>
        <v>3.6</v>
      </c>
      <c r="AF26" s="12" t="n">
        <f aca="false">IF($I26="","",$I26*$L26*(1+N($R26)))</f>
        <v>7.2</v>
      </c>
      <c r="AG26" s="12" t="n">
        <f aca="false">IF($I26="","",$I26*$L26*(1+N($R26)+N($V26)))</f>
        <v>8.68068</v>
      </c>
      <c r="AH26" s="0" t="str">
        <f aca="false">TRIM(IF($G26&lt;Config!$B$9,"thin sample ("&amp;$G26&amp;" maps) · ","")&amp;IF($I26="","no PickFinder stats · ","")&amp;IFERROR(IF(INDEX(Players!$T$2:$T$31,MATCH($E26,Players!$A$2:$A$31,0))&lt;0.5,"new roster: "&amp;TEXT(INDEX(Players!$T$2:$T$31,MATCH($E26,Players!$A$2:$A$31,0)),"0%")&amp;" of his recent games with these teammates",""),""))</f>
        <v>new roster: 0% of his recent games with these teammates</v>
      </c>
      <c r="AI26" s="0" t="str">
        <f aca="false">IF($B26=Board!$B$2,COUNTIFS($B$2:$B$31,Board!$B$2,$Y$2:$Y$31,"&gt;"&amp;$Y26)+COUNTIFS($B$1:$B25,Board!$B$2,$Y$1:$Y25,$Y26)+1,"")</f>
        <v/>
      </c>
      <c r="AJ26" s="0" t="str">
        <f aca="false">IFERROR(IF(INDEX(Matches!$D$5:$D$8,MATCH($B26,Matches!$A$5:$A$8,0))=3,"K12","K13"),"K13")</f>
        <v>K12</v>
      </c>
      <c r="AK26" s="12" t="n">
        <f aca="false">IF($AJ26="K12",$AA26,$AC26)</f>
        <v>5.20437699782297</v>
      </c>
    </row>
    <row r="27" customFormat="false" ht="15" hidden="false" customHeight="false" outlineLevel="0" collapsed="false">
      <c r="A27" s="0" t="s">
        <v>195</v>
      </c>
      <c r="B27" s="0" t="s">
        <v>86</v>
      </c>
      <c r="C27" s="0" t="s">
        <v>92</v>
      </c>
      <c r="D27" s="0" t="s">
        <v>194</v>
      </c>
      <c r="E27" s="0" t="s">
        <v>258</v>
      </c>
      <c r="F27" s="0" t="str">
        <f aca="false">IFERROR(IF($C27=INDEX(Matches!$S$5:$S$8,MATCH($B27,Matches!$A$5:$A$8,0)),"A",IF($C27=INDEX(Matches!$T$5:$T$8,MATCH($B27,Matches!$A$5:$A$8,0)),"B","")),"")</f>
        <v>B</v>
      </c>
      <c r="G27" s="0" t="n">
        <f aca="false">IFERROR(INDEX(Players!$E$2:$E$31,MATCH($E27,Players!$A$2:$A$31,0)),0)</f>
        <v>30</v>
      </c>
      <c r="H27" s="7" t="n">
        <f aca="false">IFERROR(INDEX(Players!$F$2:$F$31,MATCH($E27,Players!$A$2:$A$31,0)),"")</f>
        <v>0.73</v>
      </c>
      <c r="I27" s="6" t="n">
        <f aca="false">IFERROR(INDEX(Players!$G$2:$G$31,MATCH($E27,Players!$A$2:$A$31,0)),"")</f>
        <v>3.8</v>
      </c>
      <c r="J27" s="12" t="n">
        <f aca="false">IF(OR($I27="",$H27=""),"",$I27*IF(LEFT($B27,4)="DOTA",Config!$B$5,Config!$B$4)/($H27*IF(LEFT($B27,4)="DOTA",Config!$B$5,Config!$B$4)+1-$H27))</f>
        <v>4.45919396803483</v>
      </c>
      <c r="K27" s="12" t="n">
        <f aca="false">IF(OR($I27="",$H27=""),"",$I27/($H27*IF(LEFT($B27,4)="DOTA",Config!$B$5,Config!$B$4)+1-$H27))</f>
        <v>2.01773482716508</v>
      </c>
      <c r="L27" s="6" t="n">
        <f aca="false">IFERROR(INDEX(Matches!$R$5:$R$8,MATCH($B27,Matches!$A$5:$A$8,0)),1)</f>
        <v>1</v>
      </c>
      <c r="M27" s="7" t="n">
        <f aca="false">IFERROR(IF(INDEX(Matches!$M$5:$M$8,MATCH($B27,Matches!$A$5:$A$8,0))="","",IF($F27="A",INDEX(Matches!$M$5:$M$8,MATCH($B27,Matches!$A$5:$A$8,0)),1-INDEX(Matches!$M$5:$M$8,MATCH($B27,Matches!$A$5:$A$8,0)))),"")</f>
        <v>0.2986</v>
      </c>
      <c r="N27" s="6" t="n">
        <f aca="false">1</f>
        <v>1</v>
      </c>
      <c r="O27" s="12" t="n">
        <f aca="false">IF(OR($M27="",$J27=""),"",$L27*($M27*$J27+(1-$M27)*$K27))</f>
        <v>2.74675452662879</v>
      </c>
      <c r="P27" s="6" t="n">
        <f aca="false">IF($O27="","",IF(LEFT($B27,4)="DOTA",Config!$B$7,Config!$B$6)*$O27+$L27^2*$M27*(1-$M27)*($J27-$K27)^2)</f>
        <v>4.81918297154106</v>
      </c>
      <c r="Q27" s="7" t="n">
        <f aca="false">IFERROR(IF(INDEX(Matches!$N$5:$N$8,MATCH($B27,Matches!$A$5:$A$8,0))="","",IF($F27="A",INDEX(Matches!$N$5:$N$8,MATCH($B27,Matches!$A$5:$A$8,0)),1-INDEX(Matches!$N$5:$N$8,MATCH($B27,Matches!$A$5:$A$8,0)))),"")</f>
        <v>0.2986</v>
      </c>
      <c r="R27" s="6" t="n">
        <f aca="false">IFERROR(N(INDEX(Matches!$P$5:$P$8,MATCH($B27,Matches!$A$5:$A$8,0))),0)</f>
        <v>1</v>
      </c>
      <c r="S27" s="12" t="n">
        <f aca="false">IF(OR($Q27="",$J27=""),"",$L27*($Q27*$J27+(1-$Q27)*$K27))</f>
        <v>2.74675452662879</v>
      </c>
      <c r="T27" s="6" t="n">
        <f aca="false">IF($S27="","",IF(LEFT($B27,4)="DOTA",Config!$B$7,Config!$B$6)*$S27+$L27^2*$Q27*(1-$Q27)*($J27-$K27)^2)</f>
        <v>4.81918297154106</v>
      </c>
      <c r="U27" s="7" t="n">
        <f aca="false">IFERROR(IF(INDEX(Matches!$O$5:$O$8,MATCH($B27,Matches!$A$5:$A$8,0))="","",IF($F27="A",INDEX(Matches!$O$5:$O$8,MATCH($B27,Matches!$A$5:$A$8,0)),1-INDEX(Matches!$O$5:$O$8,MATCH($B27,Matches!$A$5:$A$8,0)))),"")</f>
        <v>0.3176</v>
      </c>
      <c r="V27" s="6" t="n">
        <f aca="false">IFERROR(N(INDEX(Matches!$Q$5:$Q$8,MATCH($B27,Matches!$A$5:$A$8,0))),0)</f>
        <v>0.4113</v>
      </c>
      <c r="W27" s="12" t="n">
        <f aca="false">IF(OR($U27="",$J27=""),"",$L27*($U27*$J27+(1-$U27)*$K27))</f>
        <v>2.79314225030532</v>
      </c>
      <c r="X27" s="6" t="n">
        <f aca="false">IF($W27="","",IF(LEFT($B27,4)="DOTA",Config!$B$7,Config!$B$6)*$W27+$L27^2*$U27*(1-$U27)*($J27-$K27)^2)</f>
        <v>4.92295379465991</v>
      </c>
      <c r="Y27" s="12" t="n">
        <f aca="false">IF($O27="","",$O27)</f>
        <v>2.74675452662879</v>
      </c>
      <c r="Z27" s="6" t="n">
        <f aca="false">IF($P27="","",$P27)</f>
        <v>4.81918297154106</v>
      </c>
      <c r="AA27" s="12" t="n">
        <f aca="false">IF($O27="","",N($N27)*N($O27)+N($R27)*N($S27))</f>
        <v>5.49350905325758</v>
      </c>
      <c r="AB27" s="6" t="n">
        <f aca="false">IF($O27="","",(N($N27)*N($P27)+N($N27)*(1-N($N27))*N($O27)^2)+(N($R27)*N($T27)+N($R27)*(1-N($R27))*N($S27)^2))</f>
        <v>9.63836594308212</v>
      </c>
      <c r="AC27" s="12" t="n">
        <f aca="false">IF($O27="","",N($N27)*N($O27)+N($R27)*N($S27)+N($V27)*N($W27))</f>
        <v>6.64232846080816</v>
      </c>
      <c r="AD27" s="6" t="n">
        <f aca="false">IF($O27="","",(N($N27)*N($P27)+N($N27)*(1-N($N27))*N($O27)^2)+(N($R27)*N($T27)+N($R27)*(1-N($R27))*N($S27)^2)+(N($V27)*N($X27)+N($V27)*(1-N($V27))*N($W27)^2))</f>
        <v>13.5522068328611</v>
      </c>
      <c r="AE27" s="12" t="n">
        <f aca="false">IF($I27="","",$I27*$L27)</f>
        <v>3.8</v>
      </c>
      <c r="AF27" s="12" t="n">
        <f aca="false">IF($I27="","",$I27*$L27*(1+N($R27)))</f>
        <v>7.6</v>
      </c>
      <c r="AG27" s="12" t="n">
        <f aca="false">IF($I27="","",$I27*$L27*(1+N($R27)+N($V27)))</f>
        <v>9.16294</v>
      </c>
      <c r="AH27" s="0" t="str">
        <f aca="false">TRIM(IF($G27&lt;Config!$B$9,"thin sample ("&amp;$G27&amp;" maps) · ","")&amp;IF($I27="","no PickFinder stats · ","")&amp;IFERROR(IF(INDEX(Players!$T$2:$T$31,MATCH($E27,Players!$A$2:$A$31,0))&lt;0.5,"new roster: "&amp;TEXT(INDEX(Players!$T$2:$T$31,MATCH($E27,Players!$A$2:$A$31,0)),"0%")&amp;" of his recent games with these teammates",""),""))</f>
        <v>new roster: 0% of his recent games with these teammates</v>
      </c>
      <c r="AI27" s="0" t="str">
        <f aca="false">IF($B27=Board!$B$2,COUNTIFS($B$2:$B$31,Board!$B$2,$Y$2:$Y$31,"&gt;"&amp;$Y27)+COUNTIFS($B$1:$B26,Board!$B$2,$Y$1:$Y26,$Y27)+1,"")</f>
        <v/>
      </c>
      <c r="AJ27" s="0" t="str">
        <f aca="false">IFERROR(IF(INDEX(Matches!$D$5:$D$8,MATCH($B27,Matches!$A$5:$A$8,0))=3,"K12","K13"),"K13")</f>
        <v>K12</v>
      </c>
      <c r="AK27" s="12" t="n">
        <f aca="false">IF($AJ27="K12",$AA27,$AC27)</f>
        <v>5.49350905325758</v>
      </c>
    </row>
    <row r="28" customFormat="false" ht="15" hidden="false" customHeight="false" outlineLevel="0" collapsed="false">
      <c r="A28" s="0" t="s">
        <v>197</v>
      </c>
      <c r="B28" s="0" t="s">
        <v>86</v>
      </c>
      <c r="C28" s="0" t="s">
        <v>91</v>
      </c>
      <c r="D28" s="0" t="s">
        <v>196</v>
      </c>
      <c r="E28" s="0" t="s">
        <v>259</v>
      </c>
      <c r="F28" s="0" t="str">
        <f aca="false">IFERROR(IF($C28=INDEX(Matches!$S$5:$S$8,MATCH($B28,Matches!$A$5:$A$8,0)),"A",IF($C28=INDEX(Matches!$T$5:$T$8,MATCH($B28,Matches!$A$5:$A$8,0)),"B","")),"")</f>
        <v>A</v>
      </c>
      <c r="G28" s="0" t="n">
        <f aca="false">IFERROR(INDEX(Players!$E$2:$E$31,MATCH($E28,Players!$A$2:$A$31,0)),0)</f>
        <v>30</v>
      </c>
      <c r="H28" s="7" t="n">
        <f aca="false">IFERROR(INDEX(Players!$F$2:$F$31,MATCH($E28,Players!$A$2:$A$31,0)),"")</f>
        <v>0.77</v>
      </c>
      <c r="I28" s="6" t="n">
        <f aca="false">IFERROR(INDEX(Players!$G$2:$G$31,MATCH($E28,Players!$A$2:$A$31,0)),"")</f>
        <v>3.6</v>
      </c>
      <c r="J28" s="12" t="n">
        <f aca="false">IF(OR($I28="",$H28=""),"",$I28*IF(LEFT($B28,4)="DOTA",Config!$B$5,Config!$B$4)/($H28*IF(LEFT($B28,4)="DOTA",Config!$B$5,Config!$B$4)+1-$H28))</f>
        <v>4.11865196459078</v>
      </c>
      <c r="K28" s="12" t="n">
        <f aca="false">IF(OR($I28="",$H28=""),"",$I28/($H28*IF(LEFT($B28,4)="DOTA",Config!$B$5,Config!$B$4)+1-$H28))</f>
        <v>1.86364342289175</v>
      </c>
      <c r="L28" s="6" t="n">
        <f aca="false">IFERROR(INDEX(Matches!$R$5:$R$8,MATCH($B28,Matches!$A$5:$A$8,0)),1)</f>
        <v>1</v>
      </c>
      <c r="M28" s="7" t="n">
        <f aca="false">IFERROR(IF(INDEX(Matches!$M$5:$M$8,MATCH($B28,Matches!$A$5:$A$8,0))="","",IF($F28="A",INDEX(Matches!$M$5:$M$8,MATCH($B28,Matches!$A$5:$A$8,0)),1-INDEX(Matches!$M$5:$M$8,MATCH($B28,Matches!$A$5:$A$8,0)))),"")</f>
        <v>0.7014</v>
      </c>
      <c r="N28" s="6" t="n">
        <f aca="false">1</f>
        <v>1</v>
      </c>
      <c r="O28" s="12" t="n">
        <f aca="false">IF(OR($M28="",$J28=""),"",$L28*($M28*$J28+(1-$M28)*$K28))</f>
        <v>3.44530641403945</v>
      </c>
      <c r="P28" s="6" t="n">
        <f aca="false">IF($O28="","",IF(LEFT($B28,4)="DOTA",Config!$B$7,Config!$B$6)*$O28+$L28^2*$M28*(1-$M28)*($J28-$K28)^2)</f>
        <v>5.54390407581229</v>
      </c>
      <c r="Q28" s="7" t="n">
        <f aca="false">IFERROR(IF(INDEX(Matches!$N$5:$N$8,MATCH($B28,Matches!$A$5:$A$8,0))="","",IF($F28="A",INDEX(Matches!$N$5:$N$8,MATCH($B28,Matches!$A$5:$A$8,0)),1-INDEX(Matches!$N$5:$N$8,MATCH($B28,Matches!$A$5:$A$8,0)))),"")</f>
        <v>0.7014</v>
      </c>
      <c r="R28" s="6" t="n">
        <f aca="false">IFERROR(N(INDEX(Matches!$P$5:$P$8,MATCH($B28,Matches!$A$5:$A$8,0))),0)</f>
        <v>1</v>
      </c>
      <c r="S28" s="12" t="n">
        <f aca="false">IF(OR($Q28="",$J28=""),"",$L28*($Q28*$J28+(1-$Q28)*$K28))</f>
        <v>3.44530641403945</v>
      </c>
      <c r="T28" s="6" t="n">
        <f aca="false">IF($S28="","",IF(LEFT($B28,4)="DOTA",Config!$B$7,Config!$B$6)*$S28+$L28^2*$Q28*(1-$Q28)*($J28-$K28)^2)</f>
        <v>5.54390407581229</v>
      </c>
      <c r="U28" s="7" t="n">
        <f aca="false">IFERROR(IF(INDEX(Matches!$O$5:$O$8,MATCH($B28,Matches!$A$5:$A$8,0))="","",IF($F28="A",INDEX(Matches!$O$5:$O$8,MATCH($B28,Matches!$A$5:$A$8,0)),1-INDEX(Matches!$O$5:$O$8,MATCH($B28,Matches!$A$5:$A$8,0)))),"")</f>
        <v>0.6824</v>
      </c>
      <c r="V28" s="6" t="n">
        <f aca="false">IFERROR(N(INDEX(Matches!$Q$5:$Q$8,MATCH($B28,Matches!$A$5:$A$8,0))),0)</f>
        <v>0.4113</v>
      </c>
      <c r="W28" s="12" t="n">
        <f aca="false">IF(OR($U28="",$J28=""),"",$L28*($U28*$J28+(1-$U28)*$K28))</f>
        <v>3.40246125174717</v>
      </c>
      <c r="X28" s="6" t="n">
        <f aca="false">IF($W28="","",IF(LEFT($B28,4)="DOTA",Config!$B$7,Config!$B$6)*$W28+$L28^2*$U28*(1-$U28)*($J28-$K28)^2)</f>
        <v>5.52528666505573</v>
      </c>
      <c r="Y28" s="12" t="n">
        <f aca="false">IF($O28="","",$O28)</f>
        <v>3.44530641403945</v>
      </c>
      <c r="Z28" s="6" t="n">
        <f aca="false">IF($P28="","",$P28)</f>
        <v>5.54390407581229</v>
      </c>
      <c r="AA28" s="12" t="n">
        <f aca="false">IF($O28="","",N($N28)*N($O28)+N($R28)*N($S28))</f>
        <v>6.8906128280789</v>
      </c>
      <c r="AB28" s="6" t="n">
        <f aca="false">IF($O28="","",(N($N28)*N($P28)+N($N28)*(1-N($N28))*N($O28)^2)+(N($R28)*N($T28)+N($R28)*(1-N($R28))*N($S28)^2))</f>
        <v>11.0878081516246</v>
      </c>
      <c r="AC28" s="12" t="n">
        <f aca="false">IF($O28="","",N($N28)*N($O28)+N($R28)*N($S28)+N($V28)*N($W28))</f>
        <v>8.29004514092251</v>
      </c>
      <c r="AD28" s="6" t="n">
        <f aca="false">IF($O28="","",(N($N28)*N($P28)+N($N28)*(1-N($N28))*N($O28)^2)+(N($R28)*N($T28)+N($R28)*(1-N($R28))*N($S28)^2)+(N($V28)*N($X28)+N($V28)*(1-N($V28))*N($W28)^2))</f>
        <v>16.1634619776245</v>
      </c>
      <c r="AE28" s="12" t="n">
        <f aca="false">IF($I28="","",$I28*$L28)</f>
        <v>3.6</v>
      </c>
      <c r="AF28" s="12" t="n">
        <f aca="false">IF($I28="","",$I28*$L28*(1+N($R28)))</f>
        <v>7.2</v>
      </c>
      <c r="AG28" s="12" t="n">
        <f aca="false">IF($I28="","",$I28*$L28*(1+N($R28)+N($V28)))</f>
        <v>8.68068</v>
      </c>
      <c r="AH28" s="0" t="str">
        <f aca="false">TRIM(IF($G28&lt;Config!$B$9,"thin sample ("&amp;$G28&amp;" maps) · ","")&amp;IF($I28="","no PickFinder stats · ","")&amp;IFERROR(IF(INDEX(Players!$T$2:$T$31,MATCH($E28,Players!$A$2:$A$31,0))&lt;0.5,"new roster: "&amp;TEXT(INDEX(Players!$T$2:$T$31,MATCH($E28,Players!$A$2:$A$31,0)),"0%")&amp;" of his recent games with these teammates",""),""))</f>
        <v>new roster: 0% of his recent games with these teammates</v>
      </c>
      <c r="AI28" s="0" t="str">
        <f aca="false">IF($B28=Board!$B$2,COUNTIFS($B$2:$B$31,Board!$B$2,$Y$2:$Y$31,"&gt;"&amp;$Y28)+COUNTIFS($B$1:$B27,Board!$B$2,$Y$1:$Y27,$Y28)+1,"")</f>
        <v/>
      </c>
      <c r="AJ28" s="0" t="str">
        <f aca="false">IFERROR(IF(INDEX(Matches!$D$5:$D$8,MATCH($B28,Matches!$A$5:$A$8,0))=3,"K12","K13"),"K13")</f>
        <v>K12</v>
      </c>
      <c r="AK28" s="12" t="n">
        <f aca="false">IF($AJ28="K12",$AA28,$AC28)</f>
        <v>6.8906128280789</v>
      </c>
    </row>
    <row r="29" customFormat="false" ht="15" hidden="false" customHeight="false" outlineLevel="0" collapsed="false">
      <c r="A29" s="0" t="s">
        <v>199</v>
      </c>
      <c r="B29" s="0" t="s">
        <v>86</v>
      </c>
      <c r="C29" s="0" t="s">
        <v>91</v>
      </c>
      <c r="D29" s="0" t="s">
        <v>198</v>
      </c>
      <c r="E29" s="0" t="s">
        <v>260</v>
      </c>
      <c r="F29" s="0" t="str">
        <f aca="false">IFERROR(IF($C29=INDEX(Matches!$S$5:$S$8,MATCH($B29,Matches!$A$5:$A$8,0)),"A",IF($C29=INDEX(Matches!$T$5:$T$8,MATCH($B29,Matches!$A$5:$A$8,0)),"B","")),"")</f>
        <v>A</v>
      </c>
      <c r="G29" s="0" t="n">
        <f aca="false">IFERROR(INDEX(Players!$E$2:$E$31,MATCH($E29,Players!$A$2:$A$31,0)),0)</f>
        <v>30</v>
      </c>
      <c r="H29" s="7" t="n">
        <f aca="false">IFERROR(INDEX(Players!$F$2:$F$31,MATCH($E29,Players!$A$2:$A$31,0)),"")</f>
        <v>0.77</v>
      </c>
      <c r="I29" s="6" t="n">
        <f aca="false">IFERROR(INDEX(Players!$G$2:$G$31,MATCH($E29,Players!$A$2:$A$31,0)),"")</f>
        <v>2.9</v>
      </c>
      <c r="J29" s="12" t="n">
        <f aca="false">IF(OR($I29="",$H29=""),"",$I29*IF(LEFT($B29,4)="DOTA",Config!$B$5,Config!$B$4)/($H29*IF(LEFT($B29,4)="DOTA",Config!$B$5,Config!$B$4)+1-$H29))</f>
        <v>3.3178029714759</v>
      </c>
      <c r="K29" s="12" t="n">
        <f aca="false">IF(OR($I29="",$H29=""),"",$I29/($H29*IF(LEFT($B29,4)="DOTA",Config!$B$5,Config!$B$4)+1-$H29))</f>
        <v>1.50126831288502</v>
      </c>
      <c r="L29" s="6" t="n">
        <f aca="false">IFERROR(INDEX(Matches!$R$5:$R$8,MATCH($B29,Matches!$A$5:$A$8,0)),1)</f>
        <v>1</v>
      </c>
      <c r="M29" s="7" t="n">
        <f aca="false">IFERROR(IF(INDEX(Matches!$M$5:$M$8,MATCH($B29,Matches!$A$5:$A$8,0))="","",IF($F29="A",INDEX(Matches!$M$5:$M$8,MATCH($B29,Matches!$A$5:$A$8,0)),1-INDEX(Matches!$M$5:$M$8,MATCH($B29,Matches!$A$5:$A$8,0)))),"")</f>
        <v>0.7014</v>
      </c>
      <c r="N29" s="6" t="n">
        <f aca="false">1</f>
        <v>1</v>
      </c>
      <c r="O29" s="12" t="n">
        <f aca="false">IF(OR($M29="",$J29=""),"",$L29*($M29*$J29+(1-$M29)*$K29))</f>
        <v>2.77538572242067</v>
      </c>
      <c r="P29" s="6" t="n">
        <f aca="false">IF($O29="","",IF(LEFT($B29,4)="DOTA",Config!$B$7,Config!$B$6)*$O29+$L29^2*$M29*(1-$M29)*($J29-$K29)^2)</f>
        <v>4.29910469940057</v>
      </c>
      <c r="Q29" s="7" t="n">
        <f aca="false">IFERROR(IF(INDEX(Matches!$N$5:$N$8,MATCH($B29,Matches!$A$5:$A$8,0))="","",IF($F29="A",INDEX(Matches!$N$5:$N$8,MATCH($B29,Matches!$A$5:$A$8,0)),1-INDEX(Matches!$N$5:$N$8,MATCH($B29,Matches!$A$5:$A$8,0)))),"")</f>
        <v>0.7014</v>
      </c>
      <c r="R29" s="6" t="n">
        <f aca="false">IFERROR(N(INDEX(Matches!$P$5:$P$8,MATCH($B29,Matches!$A$5:$A$8,0))),0)</f>
        <v>1</v>
      </c>
      <c r="S29" s="12" t="n">
        <f aca="false">IF(OR($Q29="",$J29=""),"",$L29*($Q29*$J29+(1-$Q29)*$K29))</f>
        <v>2.77538572242067</v>
      </c>
      <c r="T29" s="6" t="n">
        <f aca="false">IF($S29="","",IF(LEFT($B29,4)="DOTA",Config!$B$7,Config!$B$6)*$S29+$L29^2*$Q29*(1-$Q29)*($J29-$K29)^2)</f>
        <v>4.29910469940057</v>
      </c>
      <c r="U29" s="7" t="n">
        <f aca="false">IFERROR(IF(INDEX(Matches!$O$5:$O$8,MATCH($B29,Matches!$A$5:$A$8,0))="","",IF($F29="A",INDEX(Matches!$O$5:$O$8,MATCH($B29,Matches!$A$5:$A$8,0)),1-INDEX(Matches!$O$5:$O$8,MATCH($B29,Matches!$A$5:$A$8,0)))),"")</f>
        <v>0.6824</v>
      </c>
      <c r="V29" s="6" t="n">
        <f aca="false">IFERROR(N(INDEX(Matches!$Q$5:$Q$8,MATCH($B29,Matches!$A$5:$A$8,0))),0)</f>
        <v>0.4113</v>
      </c>
      <c r="W29" s="12" t="n">
        <f aca="false">IF(OR($U29="",$J29=""),"",$L29*($U29*$J29+(1-$U29)*$K29))</f>
        <v>2.74087156390744</v>
      </c>
      <c r="X29" s="6" t="n">
        <f aca="false">IF($W29="","",IF(LEFT($B29,4)="DOTA",Config!$B$7,Config!$B$6)*$W29+$L29^2*$U29*(1-$U29)*($J29-$K29)^2)</f>
        <v>4.27829908151848</v>
      </c>
      <c r="Y29" s="12" t="n">
        <f aca="false">IF($O29="","",$O29)</f>
        <v>2.77538572242067</v>
      </c>
      <c r="Z29" s="6" t="n">
        <f aca="false">IF($P29="","",$P29)</f>
        <v>4.29910469940057</v>
      </c>
      <c r="AA29" s="12" t="n">
        <f aca="false">IF($O29="","",N($N29)*N($O29)+N($R29)*N($S29))</f>
        <v>5.55077144484133</v>
      </c>
      <c r="AB29" s="6" t="n">
        <f aca="false">IF($O29="","",(N($N29)*N($P29)+N($N29)*(1-N($N29))*N($O29)^2)+(N($R29)*N($T29)+N($R29)*(1-N($R29))*N($S29)^2))</f>
        <v>8.59820939880115</v>
      </c>
      <c r="AC29" s="12" t="n">
        <f aca="false">IF($O29="","",N($N29)*N($O29)+N($R29)*N($S29)+N($V29)*N($W29))</f>
        <v>6.67809191907646</v>
      </c>
      <c r="AD29" s="6" t="n">
        <f aca="false">IF($O29="","",(N($N29)*N($P29)+N($N29)*(1-N($N29))*N($O29)^2)+(N($R29)*N($T29)+N($R29)*(1-N($R29))*N($S29)^2)+(N($V29)*N($X29)+N($V29)*(1-N($V29))*N($W29)^2))</f>
        <v>12.1768629906417</v>
      </c>
      <c r="AE29" s="12" t="n">
        <f aca="false">IF($I29="","",$I29*$L29)</f>
        <v>2.9</v>
      </c>
      <c r="AF29" s="12" t="n">
        <f aca="false">IF($I29="","",$I29*$L29*(1+N($R29)))</f>
        <v>5.8</v>
      </c>
      <c r="AG29" s="12" t="n">
        <f aca="false">IF($I29="","",$I29*$L29*(1+N($R29)+N($V29)))</f>
        <v>6.99277</v>
      </c>
      <c r="AH29" s="0" t="str">
        <f aca="false">TRIM(IF($G29&lt;Config!$B$9,"thin sample ("&amp;$G29&amp;" maps) · ","")&amp;IF($I29="","no PickFinder stats · ","")&amp;IFERROR(IF(INDEX(Players!$T$2:$T$31,MATCH($E29,Players!$A$2:$A$31,0))&lt;0.5,"new roster: "&amp;TEXT(INDEX(Players!$T$2:$T$31,MATCH($E29,Players!$A$2:$A$31,0)),"0%")&amp;" of his recent games with these teammates",""),""))</f>
        <v>new roster: 0% of his recent games with these teammates</v>
      </c>
      <c r="AI29" s="0" t="str">
        <f aca="false">IF($B29=Board!$B$2,COUNTIFS($B$2:$B$31,Board!$B$2,$Y$2:$Y$31,"&gt;"&amp;$Y29)+COUNTIFS($B$1:$B28,Board!$B$2,$Y$1:$Y28,$Y29)+1,"")</f>
        <v/>
      </c>
      <c r="AJ29" s="0" t="str">
        <f aca="false">IFERROR(IF(INDEX(Matches!$D$5:$D$8,MATCH($B29,Matches!$A$5:$A$8,0))=3,"K12","K13"),"K13")</f>
        <v>K12</v>
      </c>
      <c r="AK29" s="12" t="n">
        <f aca="false">IF($AJ29="K12",$AA29,$AC29)</f>
        <v>5.55077144484133</v>
      </c>
    </row>
    <row r="30" customFormat="false" ht="15" hidden="false" customHeight="false" outlineLevel="0" collapsed="false">
      <c r="A30" s="0" t="s">
        <v>201</v>
      </c>
      <c r="B30" s="0" t="s">
        <v>86</v>
      </c>
      <c r="C30" s="0" t="s">
        <v>91</v>
      </c>
      <c r="D30" s="0" t="s">
        <v>200</v>
      </c>
      <c r="E30" s="0" t="s">
        <v>261</v>
      </c>
      <c r="F30" s="0" t="str">
        <f aca="false">IFERROR(IF($C30=INDEX(Matches!$S$5:$S$8,MATCH($B30,Matches!$A$5:$A$8,0)),"A",IF($C30=INDEX(Matches!$T$5:$T$8,MATCH($B30,Matches!$A$5:$A$8,0)),"B","")),"")</f>
        <v>A</v>
      </c>
      <c r="G30" s="0" t="n">
        <f aca="false">IFERROR(INDEX(Players!$E$2:$E$31,MATCH($E30,Players!$A$2:$A$31,0)),0)</f>
        <v>30</v>
      </c>
      <c r="H30" s="7" t="n">
        <f aca="false">IFERROR(INDEX(Players!$F$2:$F$31,MATCH($E30,Players!$A$2:$A$31,0)),"")</f>
        <v>0.77</v>
      </c>
      <c r="I30" s="6" t="n">
        <f aca="false">IFERROR(INDEX(Players!$G$2:$G$31,MATCH($E30,Players!$A$2:$A$31,0)),"")</f>
        <v>4.5</v>
      </c>
      <c r="J30" s="12" t="n">
        <f aca="false">IF(OR($I30="",$H30=""),"",$I30*IF(LEFT($B30,4)="DOTA",Config!$B$5,Config!$B$4)/($H30*IF(LEFT($B30,4)="DOTA",Config!$B$5,Config!$B$4)+1-$H30))</f>
        <v>5.14831495573847</v>
      </c>
      <c r="K30" s="12" t="n">
        <f aca="false">IF(OR($I30="",$H30=""),"",$I30/($H30*IF(LEFT($B30,4)="DOTA",Config!$B$5,Config!$B$4)+1-$H30))</f>
        <v>2.32955427861469</v>
      </c>
      <c r="L30" s="6" t="n">
        <f aca="false">IFERROR(INDEX(Matches!$R$5:$R$8,MATCH($B30,Matches!$A$5:$A$8,0)),1)</f>
        <v>1</v>
      </c>
      <c r="M30" s="7" t="n">
        <f aca="false">IFERROR(IF(INDEX(Matches!$M$5:$M$8,MATCH($B30,Matches!$A$5:$A$8,0))="","",IF($F30="A",INDEX(Matches!$M$5:$M$8,MATCH($B30,Matches!$A$5:$A$8,0)),1-INDEX(Matches!$M$5:$M$8,MATCH($B30,Matches!$A$5:$A$8,0)))),"")</f>
        <v>0.7014</v>
      </c>
      <c r="N30" s="6" t="n">
        <f aca="false">1</f>
        <v>1</v>
      </c>
      <c r="O30" s="12" t="n">
        <f aca="false">IF(OR($M30="",$J30=""),"",$L30*($M30*$J30+(1-$M30)*$K30))</f>
        <v>4.30663301754931</v>
      </c>
      <c r="P30" s="6" t="n">
        <f aca="false">IF($O30="","",IF(LEFT($B30,4)="DOTA",Config!$B$7,Config!$B$6)*$O30+$L30^2*$M30*(1-$M30)*($J30-$K30)^2)</f>
        <v>7.26269438775317</v>
      </c>
      <c r="Q30" s="7" t="n">
        <f aca="false">IFERROR(IF(INDEX(Matches!$N$5:$N$8,MATCH($B30,Matches!$A$5:$A$8,0))="","",IF($F30="A",INDEX(Matches!$N$5:$N$8,MATCH($B30,Matches!$A$5:$A$8,0)),1-INDEX(Matches!$N$5:$N$8,MATCH($B30,Matches!$A$5:$A$8,0)))),"")</f>
        <v>0.7014</v>
      </c>
      <c r="R30" s="6" t="n">
        <f aca="false">IFERROR(N(INDEX(Matches!$P$5:$P$8,MATCH($B30,Matches!$A$5:$A$8,0))),0)</f>
        <v>1</v>
      </c>
      <c r="S30" s="12" t="n">
        <f aca="false">IF(OR($Q30="",$J30=""),"",$L30*($Q30*$J30+(1-$Q30)*$K30))</f>
        <v>4.30663301754931</v>
      </c>
      <c r="T30" s="6" t="n">
        <f aca="false">IF($S30="","",IF(LEFT($B30,4)="DOTA",Config!$B$7,Config!$B$6)*$S30+$L30^2*$Q30*(1-$Q30)*($J30-$K30)^2)</f>
        <v>7.26269438775317</v>
      </c>
      <c r="U30" s="7" t="n">
        <f aca="false">IFERROR(IF(INDEX(Matches!$O$5:$O$8,MATCH($B30,Matches!$A$5:$A$8,0))="","",IF($F30="A",INDEX(Matches!$O$5:$O$8,MATCH($B30,Matches!$A$5:$A$8,0)),1-INDEX(Matches!$O$5:$O$8,MATCH($B30,Matches!$A$5:$A$8,0)))),"")</f>
        <v>0.6824</v>
      </c>
      <c r="V30" s="6" t="n">
        <f aca="false">IFERROR(N(INDEX(Matches!$Q$5:$Q$8,MATCH($B30,Matches!$A$5:$A$8,0))),0)</f>
        <v>0.4113</v>
      </c>
      <c r="W30" s="12" t="n">
        <f aca="false">IF(OR($U30="",$J30=""),"",$L30*($U30*$J30+(1-$U30)*$K30))</f>
        <v>4.25307656468396</v>
      </c>
      <c r="X30" s="6" t="n">
        <f aca="false">IF($W30="","",IF(LEFT($B30,4)="DOTA",Config!$B$7,Config!$B$6)*$W30+$L30^2*$U30*(1-$U30)*($J30-$K30)^2)</f>
        <v>7.25101053062729</v>
      </c>
      <c r="Y30" s="12" t="n">
        <f aca="false">IF($O30="","",$O30)</f>
        <v>4.30663301754931</v>
      </c>
      <c r="Z30" s="6" t="n">
        <f aca="false">IF($P30="","",$P30)</f>
        <v>7.26269438775317</v>
      </c>
      <c r="AA30" s="12" t="n">
        <f aca="false">IF($O30="","",N($N30)*N($O30)+N($R30)*N($S30))</f>
        <v>8.61326603509862</v>
      </c>
      <c r="AB30" s="6" t="n">
        <f aca="false">IF($O30="","",(N($N30)*N($P30)+N($N30)*(1-N($N30))*N($O30)^2)+(N($R30)*N($T30)+N($R30)*(1-N($R30))*N($S30)^2))</f>
        <v>14.5253887755063</v>
      </c>
      <c r="AC30" s="12" t="n">
        <f aca="false">IF($O30="","",N($N30)*N($O30)+N($R30)*N($S30)+N($V30)*N($W30))</f>
        <v>10.3625564261531</v>
      </c>
      <c r="AD30" s="6" t="n">
        <f aca="false">IF($O30="","",(N($N30)*N($P30)+N($N30)*(1-N($N30))*N($O30)^2)+(N($R30)*N($T30)+N($R30)*(1-N($R30))*N($S30)^2)+(N($V30)*N($X30)+N($V30)*(1-N($V30))*N($W30)^2))</f>
        <v>21.8875785015385</v>
      </c>
      <c r="AE30" s="12" t="n">
        <f aca="false">IF($I30="","",$I30*$L30)</f>
        <v>4.5</v>
      </c>
      <c r="AF30" s="12" t="n">
        <f aca="false">IF($I30="","",$I30*$L30*(1+N($R30)))</f>
        <v>9</v>
      </c>
      <c r="AG30" s="12" t="n">
        <f aca="false">IF($I30="","",$I30*$L30*(1+N($R30)+N($V30)))</f>
        <v>10.85085</v>
      </c>
      <c r="AH30" s="0" t="str">
        <f aca="false">TRIM(IF($G30&lt;Config!$B$9,"thin sample ("&amp;$G30&amp;" maps) · ","")&amp;IF($I30="","no PickFinder stats · ","")&amp;IFERROR(IF(INDEX(Players!$T$2:$T$31,MATCH($E30,Players!$A$2:$A$31,0))&lt;0.5,"new roster: "&amp;TEXT(INDEX(Players!$T$2:$T$31,MATCH($E30,Players!$A$2:$A$31,0)),"0%")&amp;" of his recent games with these teammates",""),""))</f>
        <v>new roster: 0% of his recent games with these teammates</v>
      </c>
      <c r="AI30" s="0" t="str">
        <f aca="false">IF($B30=Board!$B$2,COUNTIFS($B$2:$B$31,Board!$B$2,$Y$2:$Y$31,"&gt;"&amp;$Y30)+COUNTIFS($B$1:$B29,Board!$B$2,$Y$1:$Y29,$Y30)+1,"")</f>
        <v/>
      </c>
      <c r="AJ30" s="0" t="str">
        <f aca="false">IFERROR(IF(INDEX(Matches!$D$5:$D$8,MATCH($B30,Matches!$A$5:$A$8,0))=3,"K12","K13"),"K13")</f>
        <v>K12</v>
      </c>
      <c r="AK30" s="12" t="n">
        <f aca="false">IF($AJ30="K12",$AA30,$AC30)</f>
        <v>8.61326603509862</v>
      </c>
    </row>
    <row r="31" customFormat="false" ht="15" hidden="false" customHeight="false" outlineLevel="0" collapsed="false">
      <c r="A31" s="0" t="s">
        <v>203</v>
      </c>
      <c r="B31" s="0" t="s">
        <v>86</v>
      </c>
      <c r="C31" s="0" t="s">
        <v>91</v>
      </c>
      <c r="D31" s="0" t="s">
        <v>202</v>
      </c>
      <c r="E31" s="0" t="s">
        <v>262</v>
      </c>
      <c r="F31" s="0" t="str">
        <f aca="false">IFERROR(IF($C31=INDEX(Matches!$S$5:$S$8,MATCH($B31,Matches!$A$5:$A$8,0)),"A",IF($C31=INDEX(Matches!$T$5:$T$8,MATCH($B31,Matches!$A$5:$A$8,0)),"B","")),"")</f>
        <v>A</v>
      </c>
      <c r="G31" s="0" t="n">
        <f aca="false">IFERROR(INDEX(Players!$E$2:$E$31,MATCH($E31,Players!$A$2:$A$31,0)),0)</f>
        <v>30</v>
      </c>
      <c r="H31" s="7" t="n">
        <f aca="false">IFERROR(INDEX(Players!$F$2:$F$31,MATCH($E31,Players!$A$2:$A$31,0)),"")</f>
        <v>0.77</v>
      </c>
      <c r="I31" s="6" t="n">
        <f aca="false">IFERROR(INDEX(Players!$G$2:$G$31,MATCH($E31,Players!$A$2:$A$31,0)),"")</f>
        <v>4.4</v>
      </c>
      <c r="J31" s="12" t="n">
        <f aca="false">IF(OR($I31="",$H31=""),"",$I31*IF(LEFT($B31,4)="DOTA",Config!$B$5,Config!$B$4)/($H31*IF(LEFT($B31,4)="DOTA",Config!$B$5,Config!$B$4)+1-$H31))</f>
        <v>5.03390795672206</v>
      </c>
      <c r="K31" s="12" t="n">
        <f aca="false">IF(OR($I31="",$H31=""),"",$I31/($H31*IF(LEFT($B31,4)="DOTA",Config!$B$5,Config!$B$4)+1-$H31))</f>
        <v>2.27778640575659</v>
      </c>
      <c r="L31" s="6" t="n">
        <f aca="false">IFERROR(INDEX(Matches!$R$5:$R$8,MATCH($B31,Matches!$A$5:$A$8,0)),1)</f>
        <v>1</v>
      </c>
      <c r="M31" s="7" t="n">
        <f aca="false">IFERROR(IF(INDEX(Matches!$M$5:$M$8,MATCH($B31,Matches!$A$5:$A$8,0))="","",IF($F31="A",INDEX(Matches!$M$5:$M$8,MATCH($B31,Matches!$A$5:$A$8,0)),1-INDEX(Matches!$M$5:$M$8,MATCH($B31,Matches!$A$5:$A$8,0)))),"")</f>
        <v>0.7014</v>
      </c>
      <c r="N31" s="6" t="n">
        <f aca="false">1</f>
        <v>1</v>
      </c>
      <c r="O31" s="12" t="n">
        <f aca="false">IF(OR($M31="",$J31=""),"",$L31*($M31*$J31+(1-$M31)*$K31))</f>
        <v>4.21093006160377</v>
      </c>
      <c r="P31" s="6" t="n">
        <f aca="false">IF($O31="","",IF(LEFT($B31,4)="DOTA",Config!$B$7,Config!$B$6)*$O31+$L31^2*$M31*(1-$M31)*($J31-$K31)^2)</f>
        <v>7.06514357693529</v>
      </c>
      <c r="Q31" s="7" t="n">
        <f aca="false">IFERROR(IF(INDEX(Matches!$N$5:$N$8,MATCH($B31,Matches!$A$5:$A$8,0))="","",IF($F31="A",INDEX(Matches!$N$5:$N$8,MATCH($B31,Matches!$A$5:$A$8,0)),1-INDEX(Matches!$N$5:$N$8,MATCH($B31,Matches!$A$5:$A$8,0)))),"")</f>
        <v>0.7014</v>
      </c>
      <c r="R31" s="6" t="n">
        <f aca="false">IFERROR(N(INDEX(Matches!$P$5:$P$8,MATCH($B31,Matches!$A$5:$A$8,0))),0)</f>
        <v>1</v>
      </c>
      <c r="S31" s="12" t="n">
        <f aca="false">IF(OR($Q31="",$J31=""),"",$L31*($Q31*$J31+(1-$Q31)*$K31))</f>
        <v>4.21093006160377</v>
      </c>
      <c r="T31" s="6" t="n">
        <f aca="false">IF($S31="","",IF(LEFT($B31,4)="DOTA",Config!$B$7,Config!$B$6)*$S31+$L31^2*$Q31*(1-$Q31)*($J31-$K31)^2)</f>
        <v>7.06514357693529</v>
      </c>
      <c r="U31" s="7" t="n">
        <f aca="false">IFERROR(IF(INDEX(Matches!$O$5:$O$8,MATCH($B31,Matches!$A$5:$A$8,0))="","",IF($F31="A",INDEX(Matches!$O$5:$O$8,MATCH($B31,Matches!$A$5:$A$8,0)),1-INDEX(Matches!$O$5:$O$8,MATCH($B31,Matches!$A$5:$A$8,0)))),"")</f>
        <v>0.6824</v>
      </c>
      <c r="V31" s="6" t="n">
        <f aca="false">IFERROR(N(INDEX(Matches!$Q$5:$Q$8,MATCH($B31,Matches!$A$5:$A$8,0))),0)</f>
        <v>0.4113</v>
      </c>
      <c r="W31" s="12" t="n">
        <f aca="false">IF(OR($U31="",$J31=""),"",$L31*($U31*$J31+(1-$U31)*$K31))</f>
        <v>4.15856375213543</v>
      </c>
      <c r="X31" s="6" t="n">
        <f aca="false">IF($W31="","",IF(LEFT($B31,4)="DOTA",Config!$B$7,Config!$B$6)*$W31+$L31^2*$U31*(1-$U31)*($J31-$K31)^2)</f>
        <v>7.0524604280466</v>
      </c>
      <c r="Y31" s="12" t="n">
        <f aca="false">IF($O31="","",$O31)</f>
        <v>4.21093006160377</v>
      </c>
      <c r="Z31" s="6" t="n">
        <f aca="false">IF($P31="","",$P31)</f>
        <v>7.06514357693529</v>
      </c>
      <c r="AA31" s="12" t="n">
        <f aca="false">IF($O31="","",N($N31)*N($O31)+N($R31)*N($S31))</f>
        <v>8.42186012320754</v>
      </c>
      <c r="AB31" s="6" t="n">
        <f aca="false">IF($O31="","",(N($N31)*N($P31)+N($N31)*(1-N($N31))*N($O31)^2)+(N($R31)*N($T31)+N($R31)*(1-N($R31))*N($S31)^2))</f>
        <v>14.1302871538706</v>
      </c>
      <c r="AC31" s="12" t="n">
        <f aca="false">IF($O31="","",N($N31)*N($O31)+N($R31)*N($S31)+N($V31)*N($W31))</f>
        <v>10.1322773944608</v>
      </c>
      <c r="AD31" s="6" t="n">
        <f aca="false">IF($O31="","",(N($N31)*N($P31)+N($N31)*(1-N($N31))*N($O31)^2)+(N($R31)*N($T31)+N($R31)*(1-N($R31))*N($S31)^2)+(N($V31)*N($X31)+N($V31)*(1-N($V31))*N($W31)^2))</f>
        <v>21.2183161513849</v>
      </c>
      <c r="AE31" s="12" t="n">
        <f aca="false">IF($I31="","",$I31*$L31)</f>
        <v>4.4</v>
      </c>
      <c r="AF31" s="12" t="n">
        <f aca="false">IF($I31="","",$I31*$L31*(1+N($R31)))</f>
        <v>8.8</v>
      </c>
      <c r="AG31" s="12" t="n">
        <f aca="false">IF($I31="","",$I31*$L31*(1+N($R31)+N($V31)))</f>
        <v>10.60972</v>
      </c>
      <c r="AH31" s="0" t="str">
        <f aca="false">TRIM(IF($G31&lt;Config!$B$9,"thin sample ("&amp;$G31&amp;" maps) · ","")&amp;IF($I31="","no PickFinder stats · ","")&amp;IFERROR(IF(INDEX(Players!$T$2:$T$31,MATCH($E31,Players!$A$2:$A$31,0))&lt;0.5,"new roster: "&amp;TEXT(INDEX(Players!$T$2:$T$31,MATCH($E31,Players!$A$2:$A$31,0)),"0%")&amp;" of his recent games with these teammates",""),""))</f>
        <v>new roster: 0% of his recent games with these teammates</v>
      </c>
      <c r="AI31" s="0" t="str">
        <f aca="false">IF($B31=Board!$B$2,COUNTIFS($B$2:$B$31,Board!$B$2,$Y$2:$Y$31,"&gt;"&amp;$Y31)+COUNTIFS($B$1:$B30,Board!$B$2,$Y$1:$Y30,$Y31)+1,"")</f>
        <v/>
      </c>
      <c r="AJ31" s="0" t="str">
        <f aca="false">IFERROR(IF(INDEX(Matches!$D$5:$D$8,MATCH($B31,Matches!$A$5:$A$8,0))=3,"K12","K13"),"K13")</f>
        <v>K12</v>
      </c>
      <c r="AK31" s="12" t="n">
        <f aca="false">IF($AJ31="K12",$AA31,$AC31)</f>
        <v>8.42186012320754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9" t="s">
        <v>264</v>
      </c>
      <c r="B3" s="9" t="s">
        <v>265</v>
      </c>
      <c r="C3" s="9" t="s">
        <v>266</v>
      </c>
    </row>
    <row r="4" customFormat="false" ht="28.35" hidden="false" customHeight="false" outlineLevel="0" collapsed="false">
      <c r="A4" s="4" t="s">
        <v>267</v>
      </c>
      <c r="B4" s="11" t="n">
        <v>2.21</v>
      </c>
      <c r="C4" s="2" t="s">
        <v>268</v>
      </c>
    </row>
    <row r="5" customFormat="false" ht="41.75" hidden="false" customHeight="false" outlineLevel="0" collapsed="false">
      <c r="A5" s="4" t="s">
        <v>269</v>
      </c>
      <c r="B5" s="11" t="n">
        <v>1.77</v>
      </c>
      <c r="C5" s="2" t="s">
        <v>270</v>
      </c>
    </row>
    <row r="6" customFormat="false" ht="28.35" hidden="false" customHeight="false" outlineLevel="0" collapsed="false">
      <c r="A6" s="4" t="s">
        <v>271</v>
      </c>
      <c r="B6" s="11" t="n">
        <v>1.3</v>
      </c>
      <c r="C6" s="2" t="s">
        <v>272</v>
      </c>
    </row>
    <row r="7" customFormat="false" ht="28.35" hidden="false" customHeight="false" outlineLevel="0" collapsed="false">
      <c r="A7" s="4" t="s">
        <v>273</v>
      </c>
      <c r="B7" s="11" t="n">
        <v>1.84</v>
      </c>
      <c r="C7" s="2" t="s">
        <v>274</v>
      </c>
    </row>
    <row r="8" customFormat="false" ht="15" hidden="false" customHeight="false" outlineLevel="0" collapsed="false">
      <c r="A8" s="4" t="s">
        <v>275</v>
      </c>
      <c r="B8" s="11" t="n">
        <v>0.04</v>
      </c>
      <c r="C8" s="2" t="s">
        <v>276</v>
      </c>
    </row>
    <row r="9" customFormat="false" ht="15" hidden="false" customHeight="false" outlineLevel="0" collapsed="false">
      <c r="A9" s="4" t="s">
        <v>277</v>
      </c>
      <c r="B9" s="11" t="n">
        <v>15</v>
      </c>
      <c r="C9" s="2" t="s">
        <v>278</v>
      </c>
    </row>
    <row r="11" customFormat="false" ht="15" hidden="false" customHeight="false" outlineLevel="0" collapsed="false">
      <c r="A11" s="0" t="s">
        <v>279</v>
      </c>
      <c r="B11" s="0" t="s">
        <v>280</v>
      </c>
    </row>
    <row r="12" customFormat="false" ht="15" hidden="false" customHeight="false" outlineLevel="0" collapsed="false">
      <c r="A12" s="0" t="s">
        <v>281</v>
      </c>
      <c r="B12" s="0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205</v>
      </c>
      <c r="B1" s="9" t="s">
        <v>41</v>
      </c>
      <c r="C1" s="9" t="s">
        <v>40</v>
      </c>
      <c r="D1" s="9" t="s">
        <v>283</v>
      </c>
      <c r="E1" s="9" t="s">
        <v>284</v>
      </c>
      <c r="F1" s="9" t="s">
        <v>285</v>
      </c>
      <c r="G1" s="9" t="s">
        <v>286</v>
      </c>
      <c r="H1" s="9" t="s">
        <v>287</v>
      </c>
      <c r="I1" s="9" t="s">
        <v>288</v>
      </c>
      <c r="J1" s="9" t="s">
        <v>289</v>
      </c>
      <c r="K1" s="9" t="s">
        <v>290</v>
      </c>
      <c r="L1" s="9" t="s">
        <v>291</v>
      </c>
      <c r="M1" s="9" t="s">
        <v>292</v>
      </c>
      <c r="N1" s="9" t="s">
        <v>293</v>
      </c>
      <c r="O1" s="9" t="s">
        <v>294</v>
      </c>
      <c r="P1" s="9" t="s">
        <v>295</v>
      </c>
      <c r="Q1" s="9" t="s">
        <v>296</v>
      </c>
      <c r="R1" s="9" t="s">
        <v>297</v>
      </c>
      <c r="S1" s="9" t="s">
        <v>298</v>
      </c>
      <c r="T1" s="9" t="s">
        <v>299</v>
      </c>
    </row>
    <row r="2" customFormat="false" ht="15" hidden="false" customHeight="false" outlineLevel="0" collapsed="false">
      <c r="A2" s="0" t="s">
        <v>250</v>
      </c>
      <c r="B2" s="0" t="s">
        <v>173</v>
      </c>
      <c r="C2" s="0" t="s">
        <v>98</v>
      </c>
      <c r="D2" s="0" t="s">
        <v>300</v>
      </c>
      <c r="E2" s="0" t="n">
        <v>30</v>
      </c>
      <c r="F2" s="13" t="n">
        <v>0.7</v>
      </c>
      <c r="G2" s="0" t="n">
        <v>3.1</v>
      </c>
      <c r="H2" s="0" t="n">
        <v>2.7</v>
      </c>
      <c r="I2" s="0" t="n">
        <v>4.8</v>
      </c>
      <c r="J2" s="0" t="n">
        <v>1.1</v>
      </c>
      <c r="K2" s="0" t="n">
        <v>45</v>
      </c>
      <c r="L2" s="0" t="n">
        <v>2.36</v>
      </c>
      <c r="M2" s="6" t="s">
        <v>301</v>
      </c>
      <c r="N2" s="6" t="s">
        <v>302</v>
      </c>
      <c r="O2" s="6" t="s">
        <v>303</v>
      </c>
      <c r="P2" s="6" t="s">
        <v>304</v>
      </c>
      <c r="T2" s="13"/>
    </row>
    <row r="3" customFormat="false" ht="15" hidden="false" customHeight="false" outlineLevel="0" collapsed="false">
      <c r="A3" s="0" t="s">
        <v>251</v>
      </c>
      <c r="B3" s="0" t="s">
        <v>176</v>
      </c>
      <c r="C3" s="0" t="s">
        <v>98</v>
      </c>
      <c r="D3" s="0" t="s">
        <v>300</v>
      </c>
      <c r="E3" s="0" t="n">
        <v>30</v>
      </c>
      <c r="F3" s="13" t="n">
        <v>0.7</v>
      </c>
      <c r="G3" s="0" t="n">
        <v>3.7</v>
      </c>
      <c r="H3" s="0" t="n">
        <v>2.2</v>
      </c>
      <c r="I3" s="0" t="n">
        <v>5.5</v>
      </c>
      <c r="J3" s="0" t="n">
        <v>1.7</v>
      </c>
      <c r="K3" s="0" t="n">
        <v>45</v>
      </c>
      <c r="L3" s="0" t="n">
        <v>2.78</v>
      </c>
      <c r="M3" s="6" t="s">
        <v>301</v>
      </c>
      <c r="N3" s="6" t="s">
        <v>305</v>
      </c>
      <c r="O3" s="6" t="s">
        <v>303</v>
      </c>
      <c r="P3" s="6" t="s">
        <v>306</v>
      </c>
      <c r="T3" s="13"/>
    </row>
    <row r="4" customFormat="false" ht="15" hidden="false" customHeight="false" outlineLevel="0" collapsed="false">
      <c r="A4" s="0" t="s">
        <v>252</v>
      </c>
      <c r="B4" s="0" t="s">
        <v>178</v>
      </c>
      <c r="C4" s="0" t="s">
        <v>98</v>
      </c>
      <c r="D4" s="0" t="s">
        <v>300</v>
      </c>
      <c r="E4" s="0" t="n">
        <v>30</v>
      </c>
      <c r="F4" s="13" t="n">
        <v>0.7</v>
      </c>
      <c r="G4" s="0" t="n">
        <v>4.6</v>
      </c>
      <c r="H4" s="0" t="n">
        <v>2</v>
      </c>
      <c r="I4" s="0" t="n">
        <v>4.9</v>
      </c>
      <c r="J4" s="0" t="n">
        <v>2.3</v>
      </c>
      <c r="K4" s="0" t="n">
        <v>45</v>
      </c>
      <c r="L4" s="0" t="n">
        <v>3.44</v>
      </c>
      <c r="M4" s="6" t="s">
        <v>301</v>
      </c>
      <c r="N4" s="6" t="s">
        <v>307</v>
      </c>
      <c r="O4" s="6" t="s">
        <v>303</v>
      </c>
      <c r="P4" s="6" t="s">
        <v>308</v>
      </c>
      <c r="T4" s="13"/>
    </row>
    <row r="5" customFormat="false" ht="15" hidden="false" customHeight="false" outlineLevel="0" collapsed="false">
      <c r="A5" s="0" t="s">
        <v>253</v>
      </c>
      <c r="B5" s="0" t="s">
        <v>181</v>
      </c>
      <c r="C5" s="0" t="s">
        <v>97</v>
      </c>
      <c r="D5" s="0" t="s">
        <v>309</v>
      </c>
      <c r="E5" s="0" t="n">
        <v>30</v>
      </c>
      <c r="F5" s="13" t="n">
        <v>0.63</v>
      </c>
      <c r="G5" s="0" t="n">
        <v>4.3</v>
      </c>
      <c r="H5" s="0" t="n">
        <v>2.8</v>
      </c>
      <c r="I5" s="0" t="n">
        <v>6.3</v>
      </c>
      <c r="J5" s="0" t="n">
        <v>1.6</v>
      </c>
      <c r="K5" s="0" t="n">
        <v>45</v>
      </c>
      <c r="L5" s="0" t="n">
        <v>2.64</v>
      </c>
      <c r="M5" s="6" t="s">
        <v>301</v>
      </c>
      <c r="N5" s="6" t="s">
        <v>310</v>
      </c>
      <c r="O5" s="6" t="s">
        <v>303</v>
      </c>
      <c r="P5" s="6" t="s">
        <v>308</v>
      </c>
      <c r="T5" s="13"/>
    </row>
    <row r="6" customFormat="false" ht="15" hidden="false" customHeight="false" outlineLevel="0" collapsed="false">
      <c r="A6" s="0" t="s">
        <v>254</v>
      </c>
      <c r="B6" s="0" t="s">
        <v>183</v>
      </c>
      <c r="C6" s="0" t="s">
        <v>97</v>
      </c>
      <c r="D6" s="0" t="s">
        <v>309</v>
      </c>
      <c r="E6" s="0" t="n">
        <v>30</v>
      </c>
      <c r="F6" s="13" t="n">
        <v>0.53</v>
      </c>
      <c r="G6" s="0" t="n">
        <v>3.1</v>
      </c>
      <c r="H6" s="0" t="n">
        <v>4</v>
      </c>
      <c r="I6" s="0" t="n">
        <v>7.5</v>
      </c>
      <c r="J6" s="0" t="n">
        <v>0.8</v>
      </c>
      <c r="K6" s="0" t="n">
        <v>45</v>
      </c>
      <c r="L6" s="0" t="n">
        <v>2.71</v>
      </c>
      <c r="M6" s="6" t="s">
        <v>301</v>
      </c>
      <c r="N6" s="6" t="s">
        <v>311</v>
      </c>
      <c r="O6" s="6" t="s">
        <v>303</v>
      </c>
      <c r="P6" s="6" t="s">
        <v>312</v>
      </c>
      <c r="T6" s="13"/>
    </row>
    <row r="7" customFormat="false" ht="15" hidden="false" customHeight="false" outlineLevel="0" collapsed="false">
      <c r="A7" s="0" t="s">
        <v>255</v>
      </c>
      <c r="B7" s="0" t="s">
        <v>186</v>
      </c>
      <c r="C7" s="0" t="s">
        <v>97</v>
      </c>
      <c r="D7" s="0" t="s">
        <v>309</v>
      </c>
      <c r="E7" s="0" t="n">
        <v>30</v>
      </c>
      <c r="F7" s="13" t="n">
        <v>0.63</v>
      </c>
      <c r="G7" s="0" t="n">
        <v>5.2</v>
      </c>
      <c r="H7" s="0" t="n">
        <v>1.9</v>
      </c>
      <c r="I7" s="0" t="n">
        <v>6.8</v>
      </c>
      <c r="J7" s="0" t="n">
        <v>2.8</v>
      </c>
      <c r="K7" s="0" t="n">
        <v>45</v>
      </c>
      <c r="L7" s="0" t="n">
        <v>3.96</v>
      </c>
      <c r="M7" s="6" t="s">
        <v>301</v>
      </c>
      <c r="N7" s="6" t="s">
        <v>313</v>
      </c>
      <c r="O7" s="6" t="s">
        <v>303</v>
      </c>
      <c r="P7" s="6" t="s">
        <v>306</v>
      </c>
      <c r="T7" s="13"/>
    </row>
    <row r="8" customFormat="false" ht="15" hidden="false" customHeight="false" outlineLevel="0" collapsed="false">
      <c r="A8" s="0" t="s">
        <v>256</v>
      </c>
      <c r="B8" s="0" t="s">
        <v>188</v>
      </c>
      <c r="C8" s="0" t="s">
        <v>97</v>
      </c>
      <c r="D8" s="0" t="s">
        <v>309</v>
      </c>
      <c r="E8" s="0" t="n">
        <v>30</v>
      </c>
      <c r="F8" s="13" t="n">
        <v>0.63</v>
      </c>
      <c r="G8" s="0" t="n">
        <v>3</v>
      </c>
      <c r="H8" s="0" t="n">
        <v>2.7</v>
      </c>
      <c r="I8" s="0" t="n">
        <v>6.6</v>
      </c>
      <c r="J8" s="0" t="n">
        <v>1.1</v>
      </c>
      <c r="K8" s="0" t="n">
        <v>45</v>
      </c>
      <c r="L8" s="0" t="n">
        <v>2.16</v>
      </c>
      <c r="M8" s="6" t="s">
        <v>301</v>
      </c>
      <c r="N8" s="6" t="s">
        <v>314</v>
      </c>
      <c r="O8" s="6" t="s">
        <v>303</v>
      </c>
      <c r="P8" s="6" t="s">
        <v>304</v>
      </c>
      <c r="T8" s="13"/>
    </row>
    <row r="9" customFormat="false" ht="15" hidden="false" customHeight="false" outlineLevel="0" collapsed="false">
      <c r="A9" s="0" t="s">
        <v>257</v>
      </c>
      <c r="B9" s="0" t="s">
        <v>191</v>
      </c>
      <c r="C9" s="0" t="s">
        <v>92</v>
      </c>
      <c r="D9" s="0" t="s">
        <v>315</v>
      </c>
      <c r="E9" s="0" t="n">
        <v>30</v>
      </c>
      <c r="F9" s="13" t="n">
        <v>0.73</v>
      </c>
      <c r="G9" s="0" t="n">
        <v>3.6</v>
      </c>
      <c r="H9" s="0" t="n">
        <v>2.3</v>
      </c>
      <c r="I9" s="0" t="n">
        <v>6.4</v>
      </c>
      <c r="J9" s="0" t="n">
        <v>1.6</v>
      </c>
      <c r="K9" s="0" t="n">
        <v>45</v>
      </c>
      <c r="L9" s="0" t="n">
        <v>2.98</v>
      </c>
      <c r="M9" s="6" t="s">
        <v>301</v>
      </c>
      <c r="N9" s="6" t="s">
        <v>316</v>
      </c>
      <c r="O9" s="6" t="s">
        <v>303</v>
      </c>
      <c r="P9" s="6" t="s">
        <v>306</v>
      </c>
      <c r="T9" s="13"/>
    </row>
    <row r="10" customFormat="false" ht="15" hidden="false" customHeight="false" outlineLevel="0" collapsed="false">
      <c r="A10" s="0" t="s">
        <v>258</v>
      </c>
      <c r="B10" s="0" t="s">
        <v>194</v>
      </c>
      <c r="C10" s="0" t="s">
        <v>92</v>
      </c>
      <c r="D10" s="0" t="s">
        <v>315</v>
      </c>
      <c r="E10" s="0" t="n">
        <v>30</v>
      </c>
      <c r="F10" s="13" t="n">
        <v>0.73</v>
      </c>
      <c r="G10" s="0" t="n">
        <v>3.8</v>
      </c>
      <c r="H10" s="0" t="n">
        <v>2.7</v>
      </c>
      <c r="I10" s="0" t="n">
        <v>5.2</v>
      </c>
      <c r="J10" s="0" t="n">
        <v>1.4</v>
      </c>
      <c r="K10" s="0" t="n">
        <v>45</v>
      </c>
      <c r="L10" s="0" t="n">
        <v>2.96</v>
      </c>
      <c r="M10" s="6" t="s">
        <v>301</v>
      </c>
      <c r="N10" s="6" t="s">
        <v>317</v>
      </c>
      <c r="O10" s="6" t="s">
        <v>303</v>
      </c>
      <c r="P10" s="6" t="s">
        <v>304</v>
      </c>
      <c r="T10" s="13"/>
    </row>
    <row r="11" customFormat="false" ht="15" hidden="false" customHeight="false" outlineLevel="0" collapsed="false">
      <c r="A11" s="0" t="s">
        <v>233</v>
      </c>
      <c r="B11" s="0" t="s">
        <v>120</v>
      </c>
      <c r="C11" s="0" t="s">
        <v>85</v>
      </c>
      <c r="D11" s="0" t="s">
        <v>318</v>
      </c>
      <c r="E11" s="0" t="n">
        <v>30</v>
      </c>
      <c r="F11" s="13" t="n">
        <v>0.4</v>
      </c>
      <c r="G11" s="0" t="n">
        <v>3.2</v>
      </c>
      <c r="H11" s="0" t="n">
        <v>6.9</v>
      </c>
      <c r="I11" s="0" t="n">
        <v>14.5</v>
      </c>
      <c r="J11" s="0" t="n">
        <v>0.5</v>
      </c>
      <c r="K11" s="0" t="n">
        <v>45</v>
      </c>
      <c r="L11" s="0" t="n">
        <v>2.82</v>
      </c>
      <c r="M11" s="6" t="s">
        <v>301</v>
      </c>
      <c r="N11" s="6" t="s">
        <v>319</v>
      </c>
      <c r="O11" s="6" t="s">
        <v>320</v>
      </c>
      <c r="P11" s="6" t="s">
        <v>321</v>
      </c>
      <c r="T11" s="13"/>
    </row>
    <row r="12" customFormat="false" ht="15" hidden="false" customHeight="false" outlineLevel="0" collapsed="false">
      <c r="A12" s="0" t="s">
        <v>234</v>
      </c>
      <c r="B12" s="0" t="s">
        <v>125</v>
      </c>
      <c r="C12" s="0" t="s">
        <v>85</v>
      </c>
      <c r="D12" s="0" t="s">
        <v>318</v>
      </c>
      <c r="E12" s="0" t="n">
        <v>30</v>
      </c>
      <c r="F12" s="13" t="n">
        <v>0.5</v>
      </c>
      <c r="G12" s="0" t="n">
        <v>6.4</v>
      </c>
      <c r="H12" s="0" t="n">
        <v>4</v>
      </c>
      <c r="I12" s="0" t="n">
        <v>12</v>
      </c>
      <c r="J12" s="0" t="n">
        <v>1.6</v>
      </c>
      <c r="K12" s="0" t="n">
        <v>45</v>
      </c>
      <c r="L12" s="0" t="n">
        <v>6.6</v>
      </c>
      <c r="M12" s="6" t="s">
        <v>301</v>
      </c>
      <c r="N12" s="6" t="s">
        <v>322</v>
      </c>
      <c r="O12" s="6" t="s">
        <v>320</v>
      </c>
      <c r="P12" s="6" t="s">
        <v>323</v>
      </c>
      <c r="T12" s="13"/>
    </row>
    <row r="13" customFormat="false" ht="15" hidden="false" customHeight="false" outlineLevel="0" collapsed="false">
      <c r="A13" s="0" t="s">
        <v>235</v>
      </c>
      <c r="B13" s="0" t="s">
        <v>128</v>
      </c>
      <c r="C13" s="0" t="s">
        <v>85</v>
      </c>
      <c r="D13" s="0" t="s">
        <v>318</v>
      </c>
      <c r="E13" s="0" t="n">
        <v>30</v>
      </c>
      <c r="F13" s="13" t="n">
        <v>0.47</v>
      </c>
      <c r="G13" s="0" t="n">
        <v>8.3</v>
      </c>
      <c r="H13" s="0" t="n">
        <v>3.4</v>
      </c>
      <c r="I13" s="0" t="n">
        <v>9.7</v>
      </c>
      <c r="J13" s="0" t="n">
        <v>2.5</v>
      </c>
      <c r="K13" s="0" t="n">
        <v>45</v>
      </c>
      <c r="L13" s="0" t="n">
        <v>7.09</v>
      </c>
      <c r="M13" s="6" t="s">
        <v>301</v>
      </c>
      <c r="N13" s="6" t="s">
        <v>324</v>
      </c>
      <c r="O13" s="6" t="s">
        <v>320</v>
      </c>
      <c r="P13" s="6" t="s">
        <v>325</v>
      </c>
      <c r="T13" s="13"/>
    </row>
    <row r="14" customFormat="false" ht="15" hidden="false" customHeight="false" outlineLevel="0" collapsed="false">
      <c r="A14" s="0" t="s">
        <v>236</v>
      </c>
      <c r="B14" s="0" t="s">
        <v>131</v>
      </c>
      <c r="C14" s="0" t="s">
        <v>85</v>
      </c>
      <c r="D14" s="0" t="s">
        <v>318</v>
      </c>
      <c r="E14" s="0" t="n">
        <v>30</v>
      </c>
      <c r="F14" s="13" t="n">
        <v>0.4</v>
      </c>
      <c r="G14" s="0" t="n">
        <v>3.9</v>
      </c>
      <c r="H14" s="0" t="n">
        <v>8.4</v>
      </c>
      <c r="I14" s="0" t="n">
        <v>14.9</v>
      </c>
      <c r="J14" s="0" t="n">
        <v>0.5</v>
      </c>
      <c r="K14" s="0" t="n">
        <v>45</v>
      </c>
      <c r="L14" s="0" t="n">
        <v>3.51</v>
      </c>
      <c r="M14" s="6" t="s">
        <v>301</v>
      </c>
      <c r="N14" s="6" t="s">
        <v>326</v>
      </c>
      <c r="O14" s="6" t="s">
        <v>320</v>
      </c>
      <c r="P14" s="6" t="s">
        <v>327</v>
      </c>
      <c r="T14" s="13"/>
    </row>
    <row r="15" customFormat="false" ht="15" hidden="false" customHeight="false" outlineLevel="0" collapsed="false">
      <c r="A15" s="0" t="s">
        <v>237</v>
      </c>
      <c r="B15" s="0" t="s">
        <v>134</v>
      </c>
      <c r="C15" s="0" t="s">
        <v>85</v>
      </c>
      <c r="D15" s="0" t="s">
        <v>318</v>
      </c>
      <c r="E15" s="0" t="n">
        <v>30</v>
      </c>
      <c r="F15" s="13" t="n">
        <v>0.5</v>
      </c>
      <c r="G15" s="0" t="n">
        <v>6.4</v>
      </c>
      <c r="H15" s="0" t="n">
        <v>4.4</v>
      </c>
      <c r="I15" s="0" t="n">
        <v>12.8</v>
      </c>
      <c r="J15" s="0" t="n">
        <v>1.5</v>
      </c>
      <c r="K15" s="0" t="n">
        <v>45</v>
      </c>
      <c r="L15" s="0" t="n">
        <v>5.96</v>
      </c>
      <c r="M15" s="6" t="s">
        <v>301</v>
      </c>
      <c r="N15" s="6" t="s">
        <v>328</v>
      </c>
      <c r="O15" s="6" t="s">
        <v>320</v>
      </c>
      <c r="P15" s="6" t="s">
        <v>329</v>
      </c>
      <c r="T15" s="13"/>
    </row>
    <row r="16" customFormat="false" ht="15" hidden="false" customHeight="false" outlineLevel="0" collapsed="false">
      <c r="A16" s="0" t="s">
        <v>238</v>
      </c>
      <c r="B16" s="0" t="s">
        <v>137</v>
      </c>
      <c r="C16" s="0" t="s">
        <v>84</v>
      </c>
      <c r="D16" s="0" t="s">
        <v>330</v>
      </c>
      <c r="E16" s="0" t="n">
        <v>30</v>
      </c>
      <c r="F16" s="13" t="n">
        <v>0.53</v>
      </c>
      <c r="G16" s="0" t="n">
        <v>6.9</v>
      </c>
      <c r="H16" s="0" t="n">
        <v>3.9</v>
      </c>
      <c r="I16" s="0" t="n">
        <v>7.6</v>
      </c>
      <c r="J16" s="0" t="n">
        <v>1.8</v>
      </c>
      <c r="K16" s="0" t="n">
        <v>45</v>
      </c>
      <c r="L16" s="0" t="n">
        <v>5.27</v>
      </c>
      <c r="M16" s="6" t="s">
        <v>301</v>
      </c>
      <c r="N16" s="6" t="s">
        <v>331</v>
      </c>
      <c r="O16" s="6" t="s">
        <v>320</v>
      </c>
      <c r="P16" s="6" t="s">
        <v>325</v>
      </c>
      <c r="T16" s="13"/>
    </row>
    <row r="17" customFormat="false" ht="15" hidden="false" customHeight="false" outlineLevel="0" collapsed="false">
      <c r="A17" s="0" t="s">
        <v>239</v>
      </c>
      <c r="B17" s="0" t="s">
        <v>140</v>
      </c>
      <c r="C17" s="0" t="s">
        <v>84</v>
      </c>
      <c r="D17" s="0" t="s">
        <v>330</v>
      </c>
      <c r="E17" s="0" t="n">
        <v>30</v>
      </c>
      <c r="F17" s="13" t="n">
        <v>0.6</v>
      </c>
      <c r="G17" s="0" t="n">
        <v>2.9</v>
      </c>
      <c r="H17" s="0" t="n">
        <v>8.5</v>
      </c>
      <c r="I17" s="0" t="n">
        <v>13.6</v>
      </c>
      <c r="J17" s="0" t="n">
        <v>0.3</v>
      </c>
      <c r="K17" s="0" t="n">
        <v>45</v>
      </c>
      <c r="L17" s="0" t="n">
        <v>2.84</v>
      </c>
      <c r="M17" s="6" t="s">
        <v>301</v>
      </c>
      <c r="N17" s="6" t="s">
        <v>332</v>
      </c>
      <c r="O17" s="6" t="s">
        <v>320</v>
      </c>
      <c r="P17" s="6" t="s">
        <v>321</v>
      </c>
      <c r="T17" s="13"/>
    </row>
    <row r="18" customFormat="false" ht="15" hidden="false" customHeight="false" outlineLevel="0" collapsed="false">
      <c r="A18" s="0" t="s">
        <v>240</v>
      </c>
      <c r="B18" s="0" t="s">
        <v>143</v>
      </c>
      <c r="C18" s="0" t="s">
        <v>84</v>
      </c>
      <c r="D18" s="0" t="s">
        <v>330</v>
      </c>
      <c r="E18" s="0" t="n">
        <v>30</v>
      </c>
      <c r="F18" s="13" t="n">
        <v>0.6</v>
      </c>
      <c r="G18" s="0" t="n">
        <v>3.2</v>
      </c>
      <c r="H18" s="0" t="n">
        <v>7.1</v>
      </c>
      <c r="I18" s="0" t="n">
        <v>12.6</v>
      </c>
      <c r="J18" s="0" t="n">
        <v>0.5</v>
      </c>
      <c r="K18" s="0" t="n">
        <v>45</v>
      </c>
      <c r="L18" s="0" t="n">
        <v>2.49</v>
      </c>
      <c r="M18" s="6" t="s">
        <v>301</v>
      </c>
      <c r="N18" s="6" t="s">
        <v>333</v>
      </c>
      <c r="O18" s="6" t="s">
        <v>320</v>
      </c>
      <c r="P18" s="6" t="s">
        <v>327</v>
      </c>
      <c r="T18" s="13"/>
    </row>
    <row r="19" customFormat="false" ht="15" hidden="false" customHeight="false" outlineLevel="0" collapsed="false">
      <c r="A19" s="0" t="s">
        <v>241</v>
      </c>
      <c r="B19" s="0" t="s">
        <v>146</v>
      </c>
      <c r="C19" s="0" t="s">
        <v>84</v>
      </c>
      <c r="D19" s="0" t="s">
        <v>330</v>
      </c>
      <c r="E19" s="0" t="n">
        <v>30</v>
      </c>
      <c r="F19" s="13" t="n">
        <v>0.6</v>
      </c>
      <c r="G19" s="0" t="n">
        <v>6.9</v>
      </c>
      <c r="H19" s="0" t="n">
        <v>4.6</v>
      </c>
      <c r="I19" s="0" t="n">
        <v>11.2</v>
      </c>
      <c r="J19" s="0" t="n">
        <v>1.5</v>
      </c>
      <c r="K19" s="0" t="n">
        <v>45</v>
      </c>
      <c r="L19" s="0" t="n">
        <v>5.67</v>
      </c>
      <c r="M19" s="6" t="s">
        <v>301</v>
      </c>
      <c r="N19" s="6" t="s">
        <v>334</v>
      </c>
      <c r="O19" s="6" t="s">
        <v>320</v>
      </c>
      <c r="P19" s="6" t="s">
        <v>323</v>
      </c>
      <c r="T19" s="13"/>
    </row>
    <row r="20" customFormat="false" ht="15" hidden="false" customHeight="false" outlineLevel="0" collapsed="false">
      <c r="A20" s="0" t="s">
        <v>242</v>
      </c>
      <c r="B20" s="0" t="s">
        <v>149</v>
      </c>
      <c r="C20" s="0" t="s">
        <v>78</v>
      </c>
      <c r="D20" s="0" t="s">
        <v>335</v>
      </c>
      <c r="E20" s="0" t="n">
        <v>30</v>
      </c>
      <c r="F20" s="13" t="n">
        <v>0.67</v>
      </c>
      <c r="G20" s="0" t="n">
        <v>4.9</v>
      </c>
      <c r="H20" s="0" t="n">
        <v>6.7</v>
      </c>
      <c r="I20" s="0" t="n">
        <v>15.5</v>
      </c>
      <c r="J20" s="0" t="n">
        <v>0.7</v>
      </c>
      <c r="K20" s="0" t="n">
        <v>45</v>
      </c>
      <c r="L20" s="0" t="n">
        <v>3.96</v>
      </c>
      <c r="M20" s="6" t="s">
        <v>301</v>
      </c>
      <c r="N20" s="6" t="s">
        <v>336</v>
      </c>
      <c r="O20" s="6" t="s">
        <v>320</v>
      </c>
      <c r="P20" s="6" t="s">
        <v>321</v>
      </c>
      <c r="T20" s="13"/>
    </row>
    <row r="21" customFormat="false" ht="15" hidden="false" customHeight="false" outlineLevel="0" collapsed="false">
      <c r="A21" s="0" t="s">
        <v>243</v>
      </c>
      <c r="B21" s="0" t="s">
        <v>152</v>
      </c>
      <c r="C21" s="0" t="s">
        <v>78</v>
      </c>
      <c r="D21" s="0" t="s">
        <v>335</v>
      </c>
      <c r="E21" s="0" t="n">
        <v>30</v>
      </c>
      <c r="F21" s="13" t="n">
        <v>0.67</v>
      </c>
      <c r="G21" s="0" t="n">
        <v>2.8</v>
      </c>
      <c r="H21" s="0" t="n">
        <v>6.7</v>
      </c>
      <c r="I21" s="0" t="n">
        <v>16.8</v>
      </c>
      <c r="J21" s="0" t="n">
        <v>0.4</v>
      </c>
      <c r="K21" s="0" t="n">
        <v>45</v>
      </c>
      <c r="L21" s="0" t="n">
        <v>2.47</v>
      </c>
      <c r="M21" s="6" t="s">
        <v>301</v>
      </c>
      <c r="N21" s="6" t="s">
        <v>337</v>
      </c>
      <c r="O21" s="6" t="s">
        <v>320</v>
      </c>
      <c r="P21" s="6" t="s">
        <v>327</v>
      </c>
      <c r="T21" s="13"/>
    </row>
    <row r="22" customFormat="false" ht="15" hidden="false" customHeight="false" outlineLevel="0" collapsed="false">
      <c r="A22" s="0" t="s">
        <v>244</v>
      </c>
      <c r="B22" s="0" t="s">
        <v>155</v>
      </c>
      <c r="C22" s="0" t="s">
        <v>78</v>
      </c>
      <c r="D22" s="0" t="s">
        <v>335</v>
      </c>
      <c r="E22" s="0" t="n">
        <v>30</v>
      </c>
      <c r="F22" s="13" t="n">
        <v>0.67</v>
      </c>
      <c r="G22" s="0" t="n">
        <v>7.4</v>
      </c>
      <c r="H22" s="0" t="n">
        <v>3.2</v>
      </c>
      <c r="I22" s="0" t="n">
        <v>14.4</v>
      </c>
      <c r="J22" s="0" t="n">
        <v>2.3</v>
      </c>
      <c r="K22" s="0" t="n">
        <v>45</v>
      </c>
      <c r="L22" s="0" t="n">
        <v>6.11</v>
      </c>
      <c r="M22" s="6" t="s">
        <v>301</v>
      </c>
      <c r="N22" s="6" t="s">
        <v>338</v>
      </c>
      <c r="O22" s="6" t="s">
        <v>320</v>
      </c>
      <c r="P22" s="6" t="s">
        <v>323</v>
      </c>
      <c r="T22" s="13"/>
    </row>
    <row r="23" customFormat="false" ht="15" hidden="false" customHeight="false" outlineLevel="0" collapsed="false">
      <c r="A23" s="0" t="s">
        <v>245</v>
      </c>
      <c r="B23" s="0" t="s">
        <v>158</v>
      </c>
      <c r="C23" s="0" t="s">
        <v>78</v>
      </c>
      <c r="D23" s="0" t="s">
        <v>335</v>
      </c>
      <c r="E23" s="0" t="n">
        <v>30</v>
      </c>
      <c r="F23" s="13" t="n">
        <v>0.67</v>
      </c>
      <c r="G23" s="0" t="n">
        <v>10.8</v>
      </c>
      <c r="H23" s="0" t="n">
        <v>3.2</v>
      </c>
      <c r="I23" s="0" t="n">
        <v>9.3</v>
      </c>
      <c r="J23" s="0" t="n">
        <v>3.3</v>
      </c>
      <c r="K23" s="0" t="n">
        <v>45</v>
      </c>
      <c r="L23" s="0" t="n">
        <v>9.2</v>
      </c>
      <c r="M23" s="6" t="s">
        <v>301</v>
      </c>
      <c r="N23" s="6" t="s">
        <v>339</v>
      </c>
      <c r="O23" s="6" t="s">
        <v>320</v>
      </c>
      <c r="P23" s="6" t="s">
        <v>325</v>
      </c>
      <c r="T23" s="13"/>
    </row>
    <row r="24" customFormat="false" ht="15" hidden="false" customHeight="false" outlineLevel="0" collapsed="false">
      <c r="A24" s="0" t="s">
        <v>259</v>
      </c>
      <c r="B24" s="0" t="s">
        <v>196</v>
      </c>
      <c r="C24" s="0" t="s">
        <v>91</v>
      </c>
      <c r="D24" s="0" t="s">
        <v>340</v>
      </c>
      <c r="E24" s="0" t="n">
        <v>30</v>
      </c>
      <c r="F24" s="13" t="n">
        <v>0.77</v>
      </c>
      <c r="G24" s="0" t="n">
        <v>3.6</v>
      </c>
      <c r="H24" s="0" t="n">
        <v>1.9</v>
      </c>
      <c r="I24" s="0" t="n">
        <v>7.5</v>
      </c>
      <c r="J24" s="0" t="n">
        <v>1.9</v>
      </c>
      <c r="K24" s="0" t="n">
        <v>45</v>
      </c>
      <c r="L24" s="0" t="n">
        <v>2.87</v>
      </c>
      <c r="M24" s="6" t="s">
        <v>301</v>
      </c>
      <c r="N24" s="6" t="s">
        <v>341</v>
      </c>
      <c r="O24" s="6" t="s">
        <v>303</v>
      </c>
      <c r="P24" s="6" t="s">
        <v>312</v>
      </c>
      <c r="T24" s="13"/>
    </row>
    <row r="25" customFormat="false" ht="15" hidden="false" customHeight="false" outlineLevel="0" collapsed="false">
      <c r="A25" s="0" t="s">
        <v>260</v>
      </c>
      <c r="B25" s="0" t="s">
        <v>198</v>
      </c>
      <c r="C25" s="0" t="s">
        <v>91</v>
      </c>
      <c r="D25" s="0" t="s">
        <v>340</v>
      </c>
      <c r="E25" s="0" t="n">
        <v>30</v>
      </c>
      <c r="F25" s="13" t="n">
        <v>0.77</v>
      </c>
      <c r="G25" s="0" t="n">
        <v>2.9</v>
      </c>
      <c r="H25" s="0" t="n">
        <v>1.7</v>
      </c>
      <c r="I25" s="0" t="n">
        <v>6.2</v>
      </c>
      <c r="J25" s="0" t="n">
        <v>1.7</v>
      </c>
      <c r="K25" s="0" t="n">
        <v>45</v>
      </c>
      <c r="L25" s="0" t="n">
        <v>2.16</v>
      </c>
      <c r="M25" s="6" t="s">
        <v>301</v>
      </c>
      <c r="N25" s="6" t="s">
        <v>342</v>
      </c>
      <c r="O25" s="6" t="s">
        <v>303</v>
      </c>
      <c r="P25" s="6" t="s">
        <v>304</v>
      </c>
      <c r="T25" s="13"/>
    </row>
    <row r="26" customFormat="false" ht="15" hidden="false" customHeight="false" outlineLevel="0" collapsed="false">
      <c r="A26" s="0" t="s">
        <v>261</v>
      </c>
      <c r="B26" s="0" t="s">
        <v>200</v>
      </c>
      <c r="C26" s="0" t="s">
        <v>91</v>
      </c>
      <c r="D26" s="0" t="s">
        <v>340</v>
      </c>
      <c r="E26" s="0" t="n">
        <v>30</v>
      </c>
      <c r="F26" s="13" t="n">
        <v>0.77</v>
      </c>
      <c r="G26" s="0" t="n">
        <v>4.5</v>
      </c>
      <c r="H26" s="0" t="n">
        <v>2.3</v>
      </c>
      <c r="I26" s="0" t="n">
        <v>6.8</v>
      </c>
      <c r="J26" s="0" t="n">
        <v>2</v>
      </c>
      <c r="K26" s="0" t="n">
        <v>45</v>
      </c>
      <c r="L26" s="0" t="n">
        <v>3.44</v>
      </c>
      <c r="M26" s="6" t="s">
        <v>301</v>
      </c>
      <c r="N26" s="6" t="s">
        <v>343</v>
      </c>
      <c r="O26" s="6" t="s">
        <v>303</v>
      </c>
      <c r="P26" s="6" t="s">
        <v>306</v>
      </c>
      <c r="T26" s="13"/>
    </row>
    <row r="27" customFormat="false" ht="15" hidden="false" customHeight="false" outlineLevel="0" collapsed="false">
      <c r="A27" s="0" t="s">
        <v>262</v>
      </c>
      <c r="B27" s="0" t="s">
        <v>202</v>
      </c>
      <c r="C27" s="0" t="s">
        <v>91</v>
      </c>
      <c r="D27" s="0" t="s">
        <v>340</v>
      </c>
      <c r="E27" s="0" t="n">
        <v>30</v>
      </c>
      <c r="F27" s="13" t="n">
        <v>0.77</v>
      </c>
      <c r="G27" s="0" t="n">
        <v>4.4</v>
      </c>
      <c r="H27" s="0" t="n">
        <v>1.9</v>
      </c>
      <c r="I27" s="0" t="n">
        <v>6.3</v>
      </c>
      <c r="J27" s="0" t="n">
        <v>2.3</v>
      </c>
      <c r="K27" s="0" t="n">
        <v>45</v>
      </c>
      <c r="L27" s="0" t="n">
        <v>3.44</v>
      </c>
      <c r="M27" s="6" t="s">
        <v>301</v>
      </c>
      <c r="N27" s="6" t="s">
        <v>344</v>
      </c>
      <c r="O27" s="6" t="s">
        <v>303</v>
      </c>
      <c r="P27" s="6" t="s">
        <v>308</v>
      </c>
      <c r="T27" s="13"/>
    </row>
    <row r="28" customFormat="false" ht="15" hidden="false" customHeight="false" outlineLevel="0" collapsed="false">
      <c r="A28" s="0" t="s">
        <v>246</v>
      </c>
      <c r="B28" s="0" t="s">
        <v>161</v>
      </c>
      <c r="C28" s="0" t="s">
        <v>79</v>
      </c>
      <c r="D28" s="0" t="s">
        <v>345</v>
      </c>
      <c r="E28" s="0" t="n">
        <v>30</v>
      </c>
      <c r="F28" s="13" t="n">
        <v>0.63</v>
      </c>
      <c r="G28" s="0" t="n">
        <v>7.9</v>
      </c>
      <c r="H28" s="0" t="n">
        <v>4.1</v>
      </c>
      <c r="I28" s="0" t="n">
        <v>13.5</v>
      </c>
      <c r="J28" s="0" t="n">
        <v>1.9</v>
      </c>
      <c r="K28" s="0" t="n">
        <v>45</v>
      </c>
      <c r="L28" s="0" t="n">
        <v>6.6</v>
      </c>
      <c r="M28" s="6" t="s">
        <v>301</v>
      </c>
      <c r="N28" s="6" t="s">
        <v>346</v>
      </c>
      <c r="O28" s="6" t="s">
        <v>320</v>
      </c>
      <c r="P28" s="6" t="s">
        <v>323</v>
      </c>
      <c r="T28" s="13"/>
    </row>
    <row r="29" customFormat="false" ht="15" hidden="false" customHeight="false" outlineLevel="0" collapsed="false">
      <c r="A29" s="0" t="s">
        <v>247</v>
      </c>
      <c r="B29" s="0" t="s">
        <v>164</v>
      </c>
      <c r="C29" s="0" t="s">
        <v>79</v>
      </c>
      <c r="D29" s="0" t="s">
        <v>345</v>
      </c>
      <c r="E29" s="0" t="n">
        <v>30</v>
      </c>
      <c r="F29" s="13" t="n">
        <v>0.63</v>
      </c>
      <c r="G29" s="0" t="n">
        <v>5.1</v>
      </c>
      <c r="H29" s="0" t="n">
        <v>8.9</v>
      </c>
      <c r="I29" s="0" t="n">
        <v>16</v>
      </c>
      <c r="J29" s="0" t="n">
        <v>0.6</v>
      </c>
      <c r="K29" s="0" t="n">
        <v>45</v>
      </c>
      <c r="L29" s="0" t="n">
        <v>4.36</v>
      </c>
      <c r="M29" s="6" t="s">
        <v>301</v>
      </c>
      <c r="N29" s="6" t="s">
        <v>347</v>
      </c>
      <c r="O29" s="6" t="s">
        <v>320</v>
      </c>
      <c r="P29" s="6" t="s">
        <v>321</v>
      </c>
      <c r="T29" s="13"/>
    </row>
    <row r="30" customFormat="false" ht="15" hidden="false" customHeight="false" outlineLevel="0" collapsed="false">
      <c r="A30" s="0" t="s">
        <v>248</v>
      </c>
      <c r="B30" s="0" t="s">
        <v>167</v>
      </c>
      <c r="C30" s="0" t="s">
        <v>79</v>
      </c>
      <c r="D30" s="0" t="s">
        <v>345</v>
      </c>
      <c r="E30" s="0" t="n">
        <v>30</v>
      </c>
      <c r="F30" s="13" t="n">
        <v>0.63</v>
      </c>
      <c r="G30" s="0" t="n">
        <v>3.7</v>
      </c>
      <c r="H30" s="0" t="n">
        <v>6.3</v>
      </c>
      <c r="I30" s="0" t="n">
        <v>16.8</v>
      </c>
      <c r="J30" s="0" t="n">
        <v>0.6</v>
      </c>
      <c r="K30" s="0" t="n">
        <v>45</v>
      </c>
      <c r="L30" s="0" t="n">
        <v>2.82</v>
      </c>
      <c r="M30" s="6" t="s">
        <v>301</v>
      </c>
      <c r="N30" s="6" t="s">
        <v>348</v>
      </c>
      <c r="O30" s="6" t="s">
        <v>320</v>
      </c>
      <c r="P30" s="6" t="s">
        <v>327</v>
      </c>
      <c r="T30" s="13"/>
    </row>
    <row r="31" customFormat="false" ht="15" hidden="false" customHeight="false" outlineLevel="0" collapsed="false">
      <c r="A31" s="0" t="s">
        <v>249</v>
      </c>
      <c r="B31" s="0" t="s">
        <v>170</v>
      </c>
      <c r="C31" s="0" t="s">
        <v>79</v>
      </c>
      <c r="D31" s="0" t="s">
        <v>345</v>
      </c>
      <c r="E31" s="0" t="n">
        <v>30</v>
      </c>
      <c r="F31" s="13" t="n">
        <v>0.67</v>
      </c>
      <c r="G31" s="0" t="n">
        <v>9.5</v>
      </c>
      <c r="H31" s="0" t="n">
        <v>4.1</v>
      </c>
      <c r="I31" s="0" t="n">
        <v>9</v>
      </c>
      <c r="J31" s="0" t="n">
        <v>2.3</v>
      </c>
      <c r="K31" s="0" t="n">
        <v>45</v>
      </c>
      <c r="L31" s="0" t="n">
        <v>6.69</v>
      </c>
      <c r="M31" s="6" t="s">
        <v>301</v>
      </c>
      <c r="N31" s="6" t="s">
        <v>349</v>
      </c>
      <c r="O31" s="6" t="s">
        <v>320</v>
      </c>
      <c r="P31" s="6" t="s">
        <v>325</v>
      </c>
      <c r="T3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350</v>
      </c>
      <c r="C1" s="9" t="s">
        <v>351</v>
      </c>
      <c r="D1" s="9" t="s">
        <v>352</v>
      </c>
      <c r="E1" s="9" t="s">
        <v>353</v>
      </c>
      <c r="F1" s="9" t="s">
        <v>354</v>
      </c>
      <c r="G1" s="9" t="s">
        <v>355</v>
      </c>
      <c r="H1" s="9" t="s">
        <v>356</v>
      </c>
    </row>
    <row r="2" customFormat="false" ht="15" hidden="false" customHeight="false" outlineLevel="0" collapsed="false">
      <c r="A2" s="0" t="s">
        <v>173</v>
      </c>
      <c r="B2" s="0" t="s">
        <v>357</v>
      </c>
      <c r="C2" s="0" t="s">
        <v>358</v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</row>
    <row r="3" customFormat="false" ht="15" hidden="false" customHeight="false" outlineLevel="0" collapsed="false">
      <c r="A3" s="0" t="s">
        <v>173</v>
      </c>
      <c r="B3" s="0" t="s">
        <v>359</v>
      </c>
      <c r="C3" s="0" t="s">
        <v>92</v>
      </c>
      <c r="D3" s="0" t="n">
        <v>3</v>
      </c>
      <c r="E3" s="0" t="n">
        <v>0</v>
      </c>
      <c r="F3" s="0" t="n">
        <v>0</v>
      </c>
      <c r="G3" s="0" t="n">
        <v>3</v>
      </c>
      <c r="H3" s="0" t="n">
        <v>3</v>
      </c>
    </row>
    <row r="4" customFormat="false" ht="15" hidden="false" customHeight="false" outlineLevel="0" collapsed="false">
      <c r="A4" s="0" t="s">
        <v>173</v>
      </c>
      <c r="B4" s="0" t="s">
        <v>360</v>
      </c>
      <c r="C4" s="0" t="s">
        <v>361</v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1</v>
      </c>
    </row>
    <row r="5" customFormat="false" ht="15" hidden="false" customHeight="false" outlineLevel="0" collapsed="false">
      <c r="A5" s="0" t="s">
        <v>173</v>
      </c>
      <c r="B5" s="0" t="s">
        <v>362</v>
      </c>
      <c r="C5" s="0" t="s">
        <v>363</v>
      </c>
      <c r="D5" s="0" t="n">
        <v>0</v>
      </c>
      <c r="E5" s="0" t="n">
        <v>3</v>
      </c>
      <c r="F5" s="0" t="n">
        <v>3</v>
      </c>
      <c r="G5" s="0" t="n">
        <v>3</v>
      </c>
      <c r="H5" s="0" t="n">
        <v>6</v>
      </c>
    </row>
    <row r="6" customFormat="false" ht="15" hidden="false" customHeight="false" outlineLevel="0" collapsed="false">
      <c r="A6" s="0" t="s">
        <v>173</v>
      </c>
      <c r="B6" s="0" t="s">
        <v>364</v>
      </c>
      <c r="C6" s="0" t="s">
        <v>365</v>
      </c>
      <c r="D6" s="0" t="n">
        <v>3</v>
      </c>
      <c r="E6" s="0" t="n">
        <v>3</v>
      </c>
      <c r="F6" s="0" t="n">
        <v>0</v>
      </c>
      <c r="G6" s="0" t="n">
        <v>6</v>
      </c>
      <c r="H6" s="0" t="n">
        <v>6</v>
      </c>
    </row>
    <row r="7" customFormat="false" ht="15" hidden="false" customHeight="false" outlineLevel="0" collapsed="false">
      <c r="A7" s="0" t="s">
        <v>173</v>
      </c>
      <c r="B7" s="0" t="s">
        <v>366</v>
      </c>
      <c r="C7" s="0" t="s">
        <v>367</v>
      </c>
      <c r="D7" s="0" t="n">
        <v>8</v>
      </c>
      <c r="E7" s="0" t="n">
        <v>4</v>
      </c>
      <c r="F7" s="0" t="n">
        <v>4</v>
      </c>
      <c r="G7" s="0" t="n">
        <v>12</v>
      </c>
      <c r="H7" s="0" t="n">
        <v>16</v>
      </c>
    </row>
    <row r="8" customFormat="false" ht="15" hidden="false" customHeight="false" outlineLevel="0" collapsed="false">
      <c r="A8" s="0" t="s">
        <v>173</v>
      </c>
      <c r="B8" s="0" t="s">
        <v>368</v>
      </c>
      <c r="C8" s="0" t="s">
        <v>369</v>
      </c>
      <c r="D8" s="0" t="n">
        <v>7</v>
      </c>
      <c r="E8" s="0" t="n">
        <v>1</v>
      </c>
      <c r="F8" s="0" t="n">
        <v>0</v>
      </c>
      <c r="G8" s="0" t="n">
        <v>8</v>
      </c>
      <c r="H8" s="0" t="n">
        <v>8</v>
      </c>
    </row>
    <row r="9" customFormat="false" ht="15" hidden="false" customHeight="false" outlineLevel="0" collapsed="false">
      <c r="A9" s="0" t="s">
        <v>173</v>
      </c>
      <c r="B9" s="0" t="s">
        <v>370</v>
      </c>
      <c r="C9" s="0" t="s">
        <v>371</v>
      </c>
      <c r="D9" s="0" t="n">
        <v>4</v>
      </c>
      <c r="E9" s="0" t="n">
        <v>1</v>
      </c>
      <c r="F9" s="0" t="n">
        <v>0</v>
      </c>
      <c r="G9" s="0" t="n">
        <v>5</v>
      </c>
      <c r="H9" s="0" t="n">
        <v>5</v>
      </c>
    </row>
    <row r="10" customFormat="false" ht="15" hidden="false" customHeight="false" outlineLevel="0" collapsed="false">
      <c r="A10" s="0" t="s">
        <v>173</v>
      </c>
      <c r="B10" s="0" t="s">
        <v>372</v>
      </c>
      <c r="C10" s="0" t="s">
        <v>373</v>
      </c>
      <c r="D10" s="0" t="n">
        <v>5</v>
      </c>
      <c r="E10" s="0" t="n">
        <v>3</v>
      </c>
      <c r="F10" s="0" t="n">
        <v>0</v>
      </c>
      <c r="G10" s="0" t="n">
        <v>8</v>
      </c>
      <c r="H10" s="0" t="n">
        <v>8</v>
      </c>
    </row>
    <row r="11" customFormat="false" ht="15" hidden="false" customHeight="false" outlineLevel="0" collapsed="false">
      <c r="A11" s="0" t="s">
        <v>173</v>
      </c>
      <c r="B11" s="0" t="s">
        <v>374</v>
      </c>
      <c r="C11" s="0" t="s">
        <v>375</v>
      </c>
      <c r="D11" s="0" t="n">
        <v>2</v>
      </c>
      <c r="E11" s="0" t="n">
        <v>1</v>
      </c>
      <c r="F11" s="0" t="n">
        <v>0</v>
      </c>
      <c r="G11" s="0" t="n">
        <v>3</v>
      </c>
      <c r="H11" s="0" t="n">
        <v>3</v>
      </c>
    </row>
    <row r="12" customFormat="false" ht="15" hidden="false" customHeight="false" outlineLevel="0" collapsed="false">
      <c r="A12" s="0" t="s">
        <v>173</v>
      </c>
      <c r="B12" s="0" t="s">
        <v>376</v>
      </c>
      <c r="C12" s="0" t="s">
        <v>377</v>
      </c>
      <c r="D12" s="0" t="n">
        <v>7</v>
      </c>
      <c r="E12" s="0" t="n">
        <v>4</v>
      </c>
      <c r="F12" s="0" t="n">
        <v>0</v>
      </c>
      <c r="G12" s="0" t="n">
        <v>11</v>
      </c>
      <c r="H12" s="0" t="n">
        <v>11</v>
      </c>
    </row>
    <row r="13" customFormat="false" ht="15" hidden="false" customHeight="false" outlineLevel="0" collapsed="false">
      <c r="A13" s="0" t="s">
        <v>173</v>
      </c>
      <c r="B13" s="0" t="s">
        <v>378</v>
      </c>
      <c r="C13" s="0" t="s">
        <v>379</v>
      </c>
      <c r="D13" s="0" t="n">
        <v>4</v>
      </c>
      <c r="E13" s="0" t="n">
        <v>6</v>
      </c>
      <c r="F13" s="0" t="n">
        <v>0</v>
      </c>
      <c r="G13" s="0" t="n">
        <v>10</v>
      </c>
      <c r="H13" s="0" t="n">
        <v>10</v>
      </c>
    </row>
    <row r="14" customFormat="false" ht="15" hidden="false" customHeight="false" outlineLevel="0" collapsed="false">
      <c r="A14" s="0" t="s">
        <v>173</v>
      </c>
      <c r="B14" s="0" t="s">
        <v>380</v>
      </c>
      <c r="C14" s="0" t="s">
        <v>365</v>
      </c>
      <c r="D14" s="0" t="n">
        <v>3</v>
      </c>
      <c r="E14" s="0" t="n">
        <v>4</v>
      </c>
      <c r="F14" s="0" t="n">
        <v>3</v>
      </c>
      <c r="G14" s="0" t="n">
        <v>7</v>
      </c>
      <c r="H14" s="0" t="n">
        <v>10</v>
      </c>
    </row>
    <row r="15" customFormat="false" ht="15" hidden="false" customHeight="false" outlineLevel="0" collapsed="false">
      <c r="A15" s="0" t="s">
        <v>173</v>
      </c>
      <c r="B15" s="0" t="s">
        <v>381</v>
      </c>
      <c r="C15" s="0" t="s">
        <v>367</v>
      </c>
      <c r="D15" s="0" t="n">
        <v>6</v>
      </c>
      <c r="E15" s="0" t="n">
        <v>2</v>
      </c>
      <c r="F15" s="0" t="n">
        <v>0</v>
      </c>
      <c r="G15" s="0" t="n">
        <v>8</v>
      </c>
      <c r="H15" s="0" t="n">
        <v>8</v>
      </c>
    </row>
    <row r="16" customFormat="false" ht="15" hidden="false" customHeight="false" outlineLevel="0" collapsed="false">
      <c r="A16" s="0" t="s">
        <v>173</v>
      </c>
      <c r="B16" s="0" t="s">
        <v>382</v>
      </c>
      <c r="C16" s="0" t="s">
        <v>363</v>
      </c>
      <c r="D16" s="0" t="n">
        <v>1</v>
      </c>
      <c r="E16" s="0" t="n">
        <v>5</v>
      </c>
      <c r="F16" s="0" t="n">
        <v>4</v>
      </c>
      <c r="G16" s="0" t="n">
        <v>6</v>
      </c>
      <c r="H16" s="0" t="n">
        <v>10</v>
      </c>
    </row>
    <row r="17" customFormat="false" ht="15" hidden="false" customHeight="false" outlineLevel="0" collapsed="false">
      <c r="A17" s="0" t="s">
        <v>176</v>
      </c>
      <c r="B17" s="0" t="s">
        <v>357</v>
      </c>
      <c r="C17" s="0" t="s">
        <v>358</v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1</v>
      </c>
    </row>
    <row r="18" customFormat="false" ht="15" hidden="false" customHeight="false" outlineLevel="0" collapsed="false">
      <c r="A18" s="0" t="s">
        <v>176</v>
      </c>
      <c r="B18" s="0" t="s">
        <v>359</v>
      </c>
      <c r="C18" s="0" t="s">
        <v>92</v>
      </c>
      <c r="D18" s="0" t="n">
        <v>8</v>
      </c>
      <c r="E18" s="0" t="n">
        <v>0</v>
      </c>
      <c r="F18" s="0" t="n">
        <v>0</v>
      </c>
      <c r="G18" s="0" t="n">
        <v>8</v>
      </c>
      <c r="H18" s="0" t="n">
        <v>8</v>
      </c>
    </row>
    <row r="19" customFormat="false" ht="15" hidden="false" customHeight="false" outlineLevel="0" collapsed="false">
      <c r="A19" s="0" t="s">
        <v>176</v>
      </c>
      <c r="B19" s="0" t="s">
        <v>360</v>
      </c>
      <c r="C19" s="0" t="s">
        <v>361</v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1</v>
      </c>
    </row>
    <row r="20" customFormat="false" ht="15" hidden="false" customHeight="false" outlineLevel="0" collapsed="false">
      <c r="A20" s="0" t="s">
        <v>176</v>
      </c>
      <c r="B20" s="0" t="s">
        <v>362</v>
      </c>
      <c r="C20" s="0" t="s">
        <v>363</v>
      </c>
      <c r="D20" s="0" t="n">
        <v>2</v>
      </c>
      <c r="E20" s="0" t="n">
        <v>6</v>
      </c>
      <c r="F20" s="0" t="n">
        <v>3</v>
      </c>
      <c r="G20" s="0" t="n">
        <v>8</v>
      </c>
      <c r="H20" s="0" t="n">
        <v>11</v>
      </c>
    </row>
    <row r="21" customFormat="false" ht="15" hidden="false" customHeight="false" outlineLevel="0" collapsed="false">
      <c r="A21" s="0" t="s">
        <v>176</v>
      </c>
      <c r="B21" s="0" t="s">
        <v>364</v>
      </c>
      <c r="C21" s="0" t="s">
        <v>365</v>
      </c>
      <c r="D21" s="0" t="n">
        <v>7</v>
      </c>
      <c r="E21" s="0" t="n">
        <v>2</v>
      </c>
      <c r="F21" s="0" t="n">
        <v>1</v>
      </c>
      <c r="G21" s="0" t="n">
        <v>9</v>
      </c>
      <c r="H21" s="0" t="n">
        <v>10</v>
      </c>
    </row>
    <row r="22" customFormat="false" ht="15" hidden="false" customHeight="false" outlineLevel="0" collapsed="false">
      <c r="A22" s="0" t="s">
        <v>176</v>
      </c>
      <c r="B22" s="0" t="s">
        <v>366</v>
      </c>
      <c r="C22" s="0" t="s">
        <v>367</v>
      </c>
      <c r="D22" s="0" t="n">
        <v>7</v>
      </c>
      <c r="E22" s="0" t="n">
        <v>3</v>
      </c>
      <c r="F22" s="0" t="n">
        <v>7</v>
      </c>
      <c r="G22" s="0" t="n">
        <v>10</v>
      </c>
      <c r="H22" s="0" t="n">
        <v>17</v>
      </c>
    </row>
    <row r="23" customFormat="false" ht="15" hidden="false" customHeight="false" outlineLevel="0" collapsed="false">
      <c r="A23" s="0" t="s">
        <v>176</v>
      </c>
      <c r="B23" s="0" t="s">
        <v>368</v>
      </c>
      <c r="C23" s="0" t="s">
        <v>369</v>
      </c>
      <c r="D23" s="0" t="n">
        <v>7</v>
      </c>
      <c r="E23" s="0" t="n">
        <v>3</v>
      </c>
      <c r="F23" s="0" t="n">
        <v>1</v>
      </c>
      <c r="G23" s="0" t="n">
        <v>10</v>
      </c>
      <c r="H23" s="0" t="n">
        <v>11</v>
      </c>
    </row>
    <row r="24" customFormat="false" ht="15" hidden="false" customHeight="false" outlineLevel="0" collapsed="false">
      <c r="A24" s="0" t="s">
        <v>176</v>
      </c>
      <c r="B24" s="0" t="s">
        <v>370</v>
      </c>
      <c r="C24" s="0" t="s">
        <v>371</v>
      </c>
      <c r="D24" s="0" t="n">
        <v>3</v>
      </c>
      <c r="E24" s="0" t="n">
        <v>0</v>
      </c>
      <c r="F24" s="0" t="n">
        <v>0</v>
      </c>
      <c r="G24" s="0" t="n">
        <v>3</v>
      </c>
      <c r="H24" s="0" t="n">
        <v>3</v>
      </c>
    </row>
    <row r="25" customFormat="false" ht="15" hidden="false" customHeight="false" outlineLevel="0" collapsed="false">
      <c r="A25" s="0" t="s">
        <v>176</v>
      </c>
      <c r="B25" s="0" t="s">
        <v>372</v>
      </c>
      <c r="C25" s="0" t="s">
        <v>373</v>
      </c>
      <c r="D25" s="0" t="n">
        <v>4</v>
      </c>
      <c r="E25" s="0" t="n">
        <v>2</v>
      </c>
      <c r="F25" s="0" t="n">
        <v>0</v>
      </c>
      <c r="G25" s="0" t="n">
        <v>6</v>
      </c>
      <c r="H25" s="0" t="n">
        <v>6</v>
      </c>
    </row>
    <row r="26" customFormat="false" ht="15" hidden="false" customHeight="false" outlineLevel="0" collapsed="false">
      <c r="A26" s="0" t="s">
        <v>176</v>
      </c>
      <c r="B26" s="0" t="s">
        <v>374</v>
      </c>
      <c r="C26" s="0" t="s">
        <v>375</v>
      </c>
      <c r="D26" s="0" t="n">
        <v>3</v>
      </c>
      <c r="E26" s="0" t="n">
        <v>2</v>
      </c>
      <c r="F26" s="0" t="n">
        <v>0</v>
      </c>
      <c r="G26" s="0" t="n">
        <v>5</v>
      </c>
      <c r="H26" s="0" t="n">
        <v>5</v>
      </c>
    </row>
    <row r="27" customFormat="false" ht="15" hidden="false" customHeight="false" outlineLevel="0" collapsed="false">
      <c r="A27" s="0" t="s">
        <v>176</v>
      </c>
      <c r="B27" s="0" t="s">
        <v>376</v>
      </c>
      <c r="C27" s="0" t="s">
        <v>377</v>
      </c>
      <c r="D27" s="0" t="n">
        <v>4</v>
      </c>
      <c r="E27" s="0" t="n">
        <v>3</v>
      </c>
      <c r="F27" s="0" t="n">
        <v>0</v>
      </c>
      <c r="G27" s="0" t="n">
        <v>7</v>
      </c>
      <c r="H27" s="0" t="n">
        <v>7</v>
      </c>
    </row>
    <row r="28" customFormat="false" ht="15" hidden="false" customHeight="false" outlineLevel="0" collapsed="false">
      <c r="A28" s="0" t="s">
        <v>176</v>
      </c>
      <c r="B28" s="0" t="s">
        <v>378</v>
      </c>
      <c r="C28" s="0" t="s">
        <v>379</v>
      </c>
      <c r="D28" s="0" t="n">
        <v>5</v>
      </c>
      <c r="E28" s="0" t="n">
        <v>3</v>
      </c>
      <c r="F28" s="0" t="n">
        <v>0</v>
      </c>
      <c r="G28" s="0" t="n">
        <v>8</v>
      </c>
      <c r="H28" s="0" t="n">
        <v>8</v>
      </c>
    </row>
    <row r="29" customFormat="false" ht="15" hidden="false" customHeight="false" outlineLevel="0" collapsed="false">
      <c r="A29" s="0" t="s">
        <v>176</v>
      </c>
      <c r="B29" s="0" t="s">
        <v>380</v>
      </c>
      <c r="C29" s="0" t="s">
        <v>365</v>
      </c>
      <c r="D29" s="0" t="n">
        <v>1</v>
      </c>
      <c r="E29" s="0" t="n">
        <v>5</v>
      </c>
      <c r="F29" s="0" t="n">
        <v>0</v>
      </c>
      <c r="G29" s="0" t="n">
        <v>6</v>
      </c>
      <c r="H29" s="0" t="n">
        <v>6</v>
      </c>
    </row>
    <row r="30" customFormat="false" ht="15" hidden="false" customHeight="false" outlineLevel="0" collapsed="false">
      <c r="A30" s="0" t="s">
        <v>176</v>
      </c>
      <c r="B30" s="0" t="s">
        <v>381</v>
      </c>
      <c r="C30" s="0" t="s">
        <v>367</v>
      </c>
      <c r="D30" s="0" t="n">
        <v>9</v>
      </c>
      <c r="E30" s="0" t="n">
        <v>15</v>
      </c>
      <c r="F30" s="0" t="n">
        <v>0</v>
      </c>
      <c r="G30" s="0" t="n">
        <v>24</v>
      </c>
      <c r="H30" s="0" t="n">
        <v>24</v>
      </c>
    </row>
    <row r="31" customFormat="false" ht="15" hidden="false" customHeight="false" outlineLevel="0" collapsed="false">
      <c r="A31" s="0" t="s">
        <v>176</v>
      </c>
      <c r="B31" s="0" t="s">
        <v>382</v>
      </c>
      <c r="C31" s="0" t="s">
        <v>363</v>
      </c>
      <c r="D31" s="0" t="n">
        <v>0</v>
      </c>
      <c r="E31" s="0" t="n">
        <v>3</v>
      </c>
      <c r="F31" s="0" t="n">
        <v>4</v>
      </c>
      <c r="G31" s="0" t="n">
        <v>3</v>
      </c>
      <c r="H31" s="0" t="n">
        <v>7</v>
      </c>
    </row>
    <row r="32" customFormat="false" ht="15" hidden="false" customHeight="false" outlineLevel="0" collapsed="false">
      <c r="A32" s="0" t="s">
        <v>178</v>
      </c>
      <c r="B32" s="0" t="s">
        <v>357</v>
      </c>
      <c r="C32" s="0" t="s">
        <v>358</v>
      </c>
      <c r="D32" s="0" t="n">
        <v>3</v>
      </c>
      <c r="E32" s="0" t="n">
        <v>0</v>
      </c>
      <c r="F32" s="0" t="n">
        <v>0</v>
      </c>
      <c r="G32" s="0" t="n">
        <v>3</v>
      </c>
      <c r="H32" s="0" t="n">
        <v>3</v>
      </c>
    </row>
    <row r="33" customFormat="false" ht="15" hidden="false" customHeight="false" outlineLevel="0" collapsed="false">
      <c r="A33" s="0" t="s">
        <v>178</v>
      </c>
      <c r="B33" s="0" t="s">
        <v>359</v>
      </c>
      <c r="C33" s="0" t="s">
        <v>92</v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1</v>
      </c>
    </row>
    <row r="34" customFormat="false" ht="15" hidden="false" customHeight="false" outlineLevel="0" collapsed="false">
      <c r="A34" s="0" t="s">
        <v>178</v>
      </c>
      <c r="B34" s="0" t="s">
        <v>360</v>
      </c>
      <c r="C34" s="0" t="s">
        <v>361</v>
      </c>
      <c r="D34" s="0" t="n">
        <v>3</v>
      </c>
      <c r="E34" s="0" t="n">
        <v>0</v>
      </c>
      <c r="F34" s="0" t="n">
        <v>0</v>
      </c>
      <c r="G34" s="0" t="n">
        <v>3</v>
      </c>
      <c r="H34" s="0" t="n">
        <v>3</v>
      </c>
    </row>
    <row r="35" customFormat="false" ht="15" hidden="false" customHeight="false" outlineLevel="0" collapsed="false">
      <c r="A35" s="0" t="s">
        <v>178</v>
      </c>
      <c r="B35" s="0" t="s">
        <v>362</v>
      </c>
      <c r="C35" s="0" t="s">
        <v>363</v>
      </c>
      <c r="D35" s="0" t="n">
        <v>2</v>
      </c>
      <c r="E35" s="0" t="n">
        <v>8</v>
      </c>
      <c r="F35" s="0" t="n">
        <v>3</v>
      </c>
      <c r="G35" s="0" t="n">
        <v>10</v>
      </c>
      <c r="H35" s="0" t="n">
        <v>13</v>
      </c>
    </row>
    <row r="36" customFormat="false" ht="15" hidden="false" customHeight="false" outlineLevel="0" collapsed="false">
      <c r="A36" s="0" t="s">
        <v>178</v>
      </c>
      <c r="B36" s="0" t="s">
        <v>364</v>
      </c>
      <c r="C36" s="0" t="s">
        <v>365</v>
      </c>
      <c r="D36" s="0" t="n">
        <v>5</v>
      </c>
      <c r="E36" s="0" t="n">
        <v>12</v>
      </c>
      <c r="F36" s="0" t="n">
        <v>0</v>
      </c>
      <c r="G36" s="0" t="n">
        <v>17</v>
      </c>
      <c r="H36" s="0" t="n">
        <v>17</v>
      </c>
    </row>
    <row r="37" customFormat="false" ht="15" hidden="false" customHeight="false" outlineLevel="0" collapsed="false">
      <c r="A37" s="0" t="s">
        <v>178</v>
      </c>
      <c r="B37" s="0" t="s">
        <v>366</v>
      </c>
      <c r="C37" s="0" t="s">
        <v>367</v>
      </c>
      <c r="D37" s="0" t="n">
        <v>5</v>
      </c>
      <c r="E37" s="0" t="n">
        <v>6</v>
      </c>
      <c r="F37" s="0" t="n">
        <v>2</v>
      </c>
      <c r="G37" s="0" t="n">
        <v>11</v>
      </c>
      <c r="H37" s="0" t="n">
        <v>13</v>
      </c>
    </row>
    <row r="38" customFormat="false" ht="15" hidden="false" customHeight="false" outlineLevel="0" collapsed="false">
      <c r="A38" s="0" t="s">
        <v>178</v>
      </c>
      <c r="B38" s="0" t="s">
        <v>368</v>
      </c>
      <c r="C38" s="0" t="s">
        <v>369</v>
      </c>
      <c r="D38" s="0" t="n">
        <v>2</v>
      </c>
      <c r="E38" s="0" t="n">
        <v>7</v>
      </c>
      <c r="F38" s="0" t="n">
        <v>1</v>
      </c>
      <c r="G38" s="0" t="n">
        <v>9</v>
      </c>
      <c r="H38" s="0" t="n">
        <v>10</v>
      </c>
    </row>
    <row r="39" customFormat="false" ht="15" hidden="false" customHeight="false" outlineLevel="0" collapsed="false">
      <c r="A39" s="0" t="s">
        <v>178</v>
      </c>
      <c r="B39" s="0" t="s">
        <v>370</v>
      </c>
      <c r="C39" s="0" t="s">
        <v>371</v>
      </c>
      <c r="D39" s="0" t="n">
        <v>2</v>
      </c>
      <c r="E39" s="0" t="n">
        <v>0</v>
      </c>
      <c r="F39" s="0" t="n">
        <v>0</v>
      </c>
      <c r="G39" s="0" t="n">
        <v>2</v>
      </c>
      <c r="H39" s="0" t="n">
        <v>2</v>
      </c>
    </row>
    <row r="40" customFormat="false" ht="15" hidden="false" customHeight="false" outlineLevel="0" collapsed="false">
      <c r="A40" s="0" t="s">
        <v>178</v>
      </c>
      <c r="B40" s="0" t="s">
        <v>372</v>
      </c>
      <c r="C40" s="0" t="s">
        <v>373</v>
      </c>
      <c r="D40" s="0" t="n">
        <v>5</v>
      </c>
      <c r="E40" s="0" t="n">
        <v>10</v>
      </c>
      <c r="F40" s="0" t="n">
        <v>0</v>
      </c>
      <c r="G40" s="0" t="n">
        <v>15</v>
      </c>
      <c r="H40" s="0" t="n">
        <v>15</v>
      </c>
    </row>
    <row r="41" customFormat="false" ht="15" hidden="false" customHeight="false" outlineLevel="0" collapsed="false">
      <c r="A41" s="0" t="s">
        <v>178</v>
      </c>
      <c r="B41" s="0" t="s">
        <v>374</v>
      </c>
      <c r="C41" s="0" t="s">
        <v>375</v>
      </c>
      <c r="D41" s="0" t="n">
        <v>7</v>
      </c>
      <c r="E41" s="0" t="n">
        <v>7</v>
      </c>
      <c r="F41" s="0" t="n">
        <v>0</v>
      </c>
      <c r="G41" s="0" t="n">
        <v>14</v>
      </c>
      <c r="H41" s="0" t="n">
        <v>14</v>
      </c>
    </row>
    <row r="42" customFormat="false" ht="15" hidden="false" customHeight="false" outlineLevel="0" collapsed="false">
      <c r="A42" s="0" t="s">
        <v>178</v>
      </c>
      <c r="B42" s="0" t="s">
        <v>376</v>
      </c>
      <c r="C42" s="0" t="s">
        <v>377</v>
      </c>
      <c r="D42" s="0" t="n">
        <v>3</v>
      </c>
      <c r="E42" s="0" t="n">
        <v>5</v>
      </c>
      <c r="F42" s="0" t="n">
        <v>0</v>
      </c>
      <c r="G42" s="0" t="n">
        <v>8</v>
      </c>
      <c r="H42" s="0" t="n">
        <v>8</v>
      </c>
    </row>
    <row r="43" customFormat="false" ht="15" hidden="false" customHeight="false" outlineLevel="0" collapsed="false">
      <c r="A43" s="0" t="s">
        <v>178</v>
      </c>
      <c r="B43" s="0" t="s">
        <v>378</v>
      </c>
      <c r="C43" s="0" t="s">
        <v>379</v>
      </c>
      <c r="D43" s="0" t="n">
        <v>7</v>
      </c>
      <c r="E43" s="0" t="n">
        <v>9</v>
      </c>
      <c r="F43" s="0" t="n">
        <v>0</v>
      </c>
      <c r="G43" s="0" t="n">
        <v>16</v>
      </c>
      <c r="H43" s="0" t="n">
        <v>16</v>
      </c>
    </row>
    <row r="44" customFormat="false" ht="15" hidden="false" customHeight="false" outlineLevel="0" collapsed="false">
      <c r="A44" s="0" t="s">
        <v>178</v>
      </c>
      <c r="B44" s="0" t="s">
        <v>380</v>
      </c>
      <c r="C44" s="0" t="s">
        <v>365</v>
      </c>
      <c r="D44" s="0" t="n">
        <v>1</v>
      </c>
      <c r="E44" s="0" t="n">
        <v>4</v>
      </c>
      <c r="F44" s="0" t="n">
        <v>13</v>
      </c>
      <c r="G44" s="0" t="n">
        <v>5</v>
      </c>
      <c r="H44" s="0" t="n">
        <v>18</v>
      </c>
    </row>
    <row r="45" customFormat="false" ht="15" hidden="false" customHeight="false" outlineLevel="0" collapsed="false">
      <c r="A45" s="0" t="s">
        <v>178</v>
      </c>
      <c r="B45" s="0" t="s">
        <v>381</v>
      </c>
      <c r="C45" s="0" t="s">
        <v>367</v>
      </c>
      <c r="D45" s="0" t="n">
        <v>3</v>
      </c>
      <c r="E45" s="0" t="n">
        <v>1</v>
      </c>
      <c r="F45" s="0" t="n">
        <v>0</v>
      </c>
      <c r="G45" s="0" t="n">
        <v>4</v>
      </c>
      <c r="H45" s="0" t="n">
        <v>4</v>
      </c>
    </row>
    <row r="46" customFormat="false" ht="15" hidden="false" customHeight="false" outlineLevel="0" collapsed="false">
      <c r="A46" s="0" t="s">
        <v>178</v>
      </c>
      <c r="B46" s="0" t="s">
        <v>382</v>
      </c>
      <c r="C46" s="0" t="s">
        <v>363</v>
      </c>
      <c r="D46" s="0" t="n">
        <v>2</v>
      </c>
      <c r="E46" s="0" t="n">
        <v>10</v>
      </c>
      <c r="F46" s="0" t="n">
        <v>6</v>
      </c>
      <c r="G46" s="0" t="n">
        <v>12</v>
      </c>
      <c r="H46" s="0" t="n">
        <v>18</v>
      </c>
    </row>
    <row r="47" customFormat="false" ht="15" hidden="false" customHeight="false" outlineLevel="0" collapsed="false">
      <c r="A47" s="0" t="s">
        <v>181</v>
      </c>
      <c r="B47" s="0" t="s">
        <v>357</v>
      </c>
      <c r="C47" s="0" t="s">
        <v>383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</row>
    <row r="48" customFormat="false" ht="15" hidden="false" customHeight="false" outlineLevel="0" collapsed="false">
      <c r="A48" s="0" t="s">
        <v>181</v>
      </c>
      <c r="B48" s="0" t="s">
        <v>359</v>
      </c>
      <c r="C48" s="0" t="s">
        <v>384</v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1</v>
      </c>
    </row>
    <row r="49" customFormat="false" ht="15" hidden="false" customHeight="false" outlineLevel="0" collapsed="false">
      <c r="A49" s="0" t="s">
        <v>181</v>
      </c>
      <c r="B49" s="0" t="s">
        <v>360</v>
      </c>
      <c r="C49" s="0" t="s">
        <v>358</v>
      </c>
      <c r="D49" s="0" t="n">
        <v>4</v>
      </c>
      <c r="E49" s="0" t="n">
        <v>0</v>
      </c>
      <c r="F49" s="0" t="n">
        <v>0</v>
      </c>
      <c r="G49" s="0" t="n">
        <v>4</v>
      </c>
      <c r="H49" s="0" t="n">
        <v>4</v>
      </c>
    </row>
    <row r="50" customFormat="false" ht="15" hidden="false" customHeight="false" outlineLevel="0" collapsed="false">
      <c r="A50" s="0" t="s">
        <v>181</v>
      </c>
      <c r="B50" s="0" t="s">
        <v>385</v>
      </c>
      <c r="C50" s="0" t="s">
        <v>386</v>
      </c>
      <c r="D50" s="0" t="n">
        <v>5</v>
      </c>
      <c r="E50" s="0" t="n">
        <v>8</v>
      </c>
      <c r="F50" s="0" t="n">
        <v>5</v>
      </c>
      <c r="G50" s="0" t="n">
        <v>13</v>
      </c>
      <c r="H50" s="0" t="n">
        <v>18</v>
      </c>
    </row>
    <row r="51" customFormat="false" ht="15" hidden="false" customHeight="false" outlineLevel="0" collapsed="false">
      <c r="A51" s="0" t="s">
        <v>181</v>
      </c>
      <c r="B51" s="0" t="s">
        <v>387</v>
      </c>
      <c r="C51" s="0" t="s">
        <v>388</v>
      </c>
      <c r="D51" s="0" t="n">
        <v>5</v>
      </c>
      <c r="E51" s="0" t="n">
        <v>10</v>
      </c>
      <c r="F51" s="0" t="n">
        <v>0</v>
      </c>
      <c r="G51" s="0" t="n">
        <v>15</v>
      </c>
      <c r="H51" s="0" t="n">
        <v>15</v>
      </c>
    </row>
    <row r="52" customFormat="false" ht="15" hidden="false" customHeight="false" outlineLevel="0" collapsed="false">
      <c r="A52" s="0" t="s">
        <v>181</v>
      </c>
      <c r="B52" s="0" t="s">
        <v>389</v>
      </c>
      <c r="C52" s="0" t="s">
        <v>390</v>
      </c>
      <c r="D52" s="0" t="n">
        <v>3</v>
      </c>
      <c r="E52" s="0" t="n">
        <v>0</v>
      </c>
      <c r="F52" s="0" t="n">
        <v>0</v>
      </c>
      <c r="G52" s="0" t="n">
        <v>3</v>
      </c>
      <c r="H52" s="0" t="n">
        <v>3</v>
      </c>
    </row>
    <row r="53" customFormat="false" ht="15" hidden="false" customHeight="false" outlineLevel="0" collapsed="false">
      <c r="A53" s="0" t="s">
        <v>181</v>
      </c>
      <c r="B53" s="0" t="s">
        <v>391</v>
      </c>
      <c r="C53" s="0" t="s">
        <v>384</v>
      </c>
      <c r="D53" s="0" t="n">
        <v>2</v>
      </c>
      <c r="E53" s="0" t="n">
        <v>1</v>
      </c>
      <c r="F53" s="0" t="n">
        <v>0</v>
      </c>
      <c r="G53" s="0" t="n">
        <v>3</v>
      </c>
      <c r="H53" s="0" t="n">
        <v>3</v>
      </c>
    </row>
    <row r="54" customFormat="false" ht="15" hidden="false" customHeight="false" outlineLevel="0" collapsed="false">
      <c r="A54" s="0" t="s">
        <v>181</v>
      </c>
      <c r="B54" s="0" t="s">
        <v>392</v>
      </c>
      <c r="C54" s="0" t="s">
        <v>393</v>
      </c>
      <c r="D54" s="0" t="n">
        <v>9</v>
      </c>
      <c r="E54" s="0" t="n">
        <v>8</v>
      </c>
      <c r="F54" s="0" t="n">
        <v>2</v>
      </c>
      <c r="G54" s="0" t="n">
        <v>17</v>
      </c>
      <c r="H54" s="0" t="n">
        <v>19</v>
      </c>
    </row>
    <row r="55" customFormat="false" ht="15" hidden="false" customHeight="false" outlineLevel="0" collapsed="false">
      <c r="A55" s="0" t="s">
        <v>181</v>
      </c>
      <c r="B55" s="0" t="s">
        <v>366</v>
      </c>
      <c r="C55" s="0" t="s">
        <v>384</v>
      </c>
      <c r="D55" s="0" t="n">
        <v>3</v>
      </c>
      <c r="E55" s="0" t="n">
        <v>8</v>
      </c>
      <c r="F55" s="0" t="n">
        <v>0</v>
      </c>
      <c r="G55" s="0" t="n">
        <v>11</v>
      </c>
      <c r="H55" s="0" t="n">
        <v>11</v>
      </c>
    </row>
    <row r="56" customFormat="false" ht="15" hidden="false" customHeight="false" outlineLevel="0" collapsed="false">
      <c r="A56" s="0" t="s">
        <v>181</v>
      </c>
      <c r="B56" s="0" t="s">
        <v>394</v>
      </c>
      <c r="C56" s="0" t="s">
        <v>393</v>
      </c>
      <c r="D56" s="0" t="n">
        <v>4</v>
      </c>
      <c r="E56" s="0" t="n">
        <v>3</v>
      </c>
      <c r="F56" s="0" t="n">
        <v>5</v>
      </c>
      <c r="G56" s="0" t="n">
        <v>7</v>
      </c>
      <c r="H56" s="0" t="n">
        <v>12</v>
      </c>
    </row>
    <row r="57" customFormat="false" ht="15" hidden="false" customHeight="false" outlineLevel="0" collapsed="false">
      <c r="A57" s="0" t="s">
        <v>181</v>
      </c>
      <c r="B57" s="0" t="s">
        <v>395</v>
      </c>
      <c r="C57" s="0" t="s">
        <v>393</v>
      </c>
      <c r="D57" s="0" t="n">
        <v>1</v>
      </c>
      <c r="E57" s="0" t="n">
        <v>2</v>
      </c>
      <c r="F57" s="0" t="n">
        <v>0</v>
      </c>
      <c r="G57" s="0" t="n">
        <v>3</v>
      </c>
      <c r="H57" s="0" t="n">
        <v>3</v>
      </c>
    </row>
    <row r="58" customFormat="false" ht="15" hidden="false" customHeight="false" outlineLevel="0" collapsed="false">
      <c r="A58" s="0" t="s">
        <v>181</v>
      </c>
      <c r="B58" s="0" t="s">
        <v>396</v>
      </c>
      <c r="C58" s="0" t="s">
        <v>361</v>
      </c>
      <c r="D58" s="0" t="n">
        <v>4</v>
      </c>
      <c r="E58" s="0" t="n">
        <v>4</v>
      </c>
      <c r="F58" s="0" t="n">
        <v>0</v>
      </c>
      <c r="G58" s="0" t="n">
        <v>8</v>
      </c>
      <c r="H58" s="0" t="n">
        <v>8</v>
      </c>
    </row>
    <row r="59" customFormat="false" ht="15" hidden="false" customHeight="false" outlineLevel="0" collapsed="false">
      <c r="A59" s="0" t="s">
        <v>181</v>
      </c>
      <c r="B59" s="0" t="s">
        <v>372</v>
      </c>
      <c r="C59" s="0" t="s">
        <v>397</v>
      </c>
      <c r="D59" s="0" t="n">
        <v>4</v>
      </c>
      <c r="E59" s="0" t="n">
        <v>2</v>
      </c>
      <c r="F59" s="0" t="n">
        <v>6</v>
      </c>
      <c r="G59" s="0" t="n">
        <v>6</v>
      </c>
      <c r="H59" s="0" t="n">
        <v>12</v>
      </c>
    </row>
    <row r="60" customFormat="false" ht="15" hidden="false" customHeight="false" outlineLevel="0" collapsed="false">
      <c r="A60" s="0" t="s">
        <v>181</v>
      </c>
      <c r="B60" s="0" t="s">
        <v>398</v>
      </c>
      <c r="C60" s="0" t="s">
        <v>384</v>
      </c>
      <c r="D60" s="0" t="n">
        <v>0</v>
      </c>
      <c r="E60" s="0" t="n">
        <v>4</v>
      </c>
      <c r="F60" s="0" t="n">
        <v>0</v>
      </c>
      <c r="G60" s="0" t="n">
        <v>4</v>
      </c>
      <c r="H60" s="0" t="n">
        <v>4</v>
      </c>
    </row>
    <row r="61" customFormat="false" ht="15" hidden="false" customHeight="false" outlineLevel="0" collapsed="false">
      <c r="A61" s="0" t="s">
        <v>181</v>
      </c>
      <c r="B61" s="0" t="s">
        <v>374</v>
      </c>
      <c r="C61" s="0" t="s">
        <v>384</v>
      </c>
      <c r="D61" s="0" t="n">
        <v>3</v>
      </c>
      <c r="E61" s="0" t="n">
        <v>0</v>
      </c>
      <c r="F61" s="0" t="n">
        <v>3</v>
      </c>
      <c r="G61" s="0" t="n">
        <v>3</v>
      </c>
      <c r="H61" s="0" t="n">
        <v>6</v>
      </c>
    </row>
    <row r="62" customFormat="false" ht="15" hidden="false" customHeight="false" outlineLevel="0" collapsed="false">
      <c r="A62" s="0" t="s">
        <v>183</v>
      </c>
      <c r="B62" s="0" t="s">
        <v>357</v>
      </c>
      <c r="C62" s="0" t="s">
        <v>383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</row>
    <row r="63" customFormat="false" ht="15" hidden="false" customHeight="false" outlineLevel="0" collapsed="false">
      <c r="A63" s="0" t="s">
        <v>183</v>
      </c>
      <c r="B63" s="0" t="s">
        <v>359</v>
      </c>
      <c r="C63" s="0" t="s">
        <v>384</v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1</v>
      </c>
    </row>
    <row r="64" customFormat="false" ht="15" hidden="false" customHeight="false" outlineLevel="0" collapsed="false">
      <c r="A64" s="0" t="s">
        <v>183</v>
      </c>
      <c r="B64" s="0" t="s">
        <v>360</v>
      </c>
      <c r="C64" s="0" t="s">
        <v>358</v>
      </c>
      <c r="D64" s="0" t="n">
        <v>2</v>
      </c>
      <c r="E64" s="0" t="n">
        <v>0</v>
      </c>
      <c r="F64" s="0" t="n">
        <v>0</v>
      </c>
      <c r="G64" s="0" t="n">
        <v>2</v>
      </c>
      <c r="H64" s="0" t="n">
        <v>2</v>
      </c>
    </row>
    <row r="65" customFormat="false" ht="15" hidden="false" customHeight="false" outlineLevel="0" collapsed="false">
      <c r="A65" s="0" t="s">
        <v>183</v>
      </c>
      <c r="B65" s="0" t="s">
        <v>391</v>
      </c>
      <c r="C65" s="0" t="s">
        <v>384</v>
      </c>
      <c r="D65" s="0" t="n">
        <v>5</v>
      </c>
      <c r="E65" s="0" t="n">
        <v>0</v>
      </c>
      <c r="F65" s="0" t="n">
        <v>0</v>
      </c>
      <c r="G65" s="0" t="n">
        <v>5</v>
      </c>
      <c r="H65" s="0" t="n">
        <v>5</v>
      </c>
    </row>
    <row r="66" customFormat="false" ht="15" hidden="false" customHeight="false" outlineLevel="0" collapsed="false">
      <c r="A66" s="0" t="s">
        <v>183</v>
      </c>
      <c r="B66" s="0" t="s">
        <v>392</v>
      </c>
      <c r="C66" s="0" t="s">
        <v>393</v>
      </c>
      <c r="D66" s="0" t="n">
        <v>1</v>
      </c>
      <c r="E66" s="0" t="n">
        <v>1</v>
      </c>
      <c r="F66" s="0" t="n">
        <v>9</v>
      </c>
      <c r="G66" s="0" t="n">
        <v>2</v>
      </c>
      <c r="H66" s="0" t="n">
        <v>11</v>
      </c>
    </row>
    <row r="67" customFormat="false" ht="15" hidden="false" customHeight="false" outlineLevel="0" collapsed="false">
      <c r="A67" s="0" t="s">
        <v>183</v>
      </c>
      <c r="B67" s="0" t="s">
        <v>366</v>
      </c>
      <c r="C67" s="0" t="s">
        <v>384</v>
      </c>
      <c r="D67" s="0" t="n">
        <v>1</v>
      </c>
      <c r="E67" s="0" t="n">
        <v>3</v>
      </c>
      <c r="F67" s="0" t="n">
        <v>2</v>
      </c>
      <c r="G67" s="0" t="n">
        <v>4</v>
      </c>
      <c r="H67" s="0" t="n">
        <v>6</v>
      </c>
    </row>
    <row r="68" customFormat="false" ht="15" hidden="false" customHeight="false" outlineLevel="0" collapsed="false">
      <c r="A68" s="0" t="s">
        <v>183</v>
      </c>
      <c r="B68" s="0" t="s">
        <v>394</v>
      </c>
      <c r="C68" s="0" t="s">
        <v>393</v>
      </c>
      <c r="D68" s="0" t="n">
        <v>4</v>
      </c>
      <c r="E68" s="0" t="n">
        <v>0</v>
      </c>
      <c r="F68" s="0" t="n">
        <v>3</v>
      </c>
      <c r="G68" s="0" t="n">
        <v>4</v>
      </c>
      <c r="H68" s="0" t="n">
        <v>7</v>
      </c>
    </row>
    <row r="69" customFormat="false" ht="15" hidden="false" customHeight="false" outlineLevel="0" collapsed="false">
      <c r="A69" s="0" t="s">
        <v>183</v>
      </c>
      <c r="B69" s="0" t="s">
        <v>395</v>
      </c>
      <c r="C69" s="0" t="s">
        <v>393</v>
      </c>
      <c r="D69" s="0" t="n">
        <v>8</v>
      </c>
      <c r="E69" s="0" t="n">
        <v>10</v>
      </c>
      <c r="F69" s="0" t="n">
        <v>0</v>
      </c>
      <c r="G69" s="0" t="n">
        <v>18</v>
      </c>
      <c r="H69" s="0" t="n">
        <v>18</v>
      </c>
    </row>
    <row r="70" customFormat="false" ht="15" hidden="false" customHeight="false" outlineLevel="0" collapsed="false">
      <c r="A70" s="0" t="s">
        <v>183</v>
      </c>
      <c r="B70" s="0" t="s">
        <v>396</v>
      </c>
      <c r="C70" s="0" t="s">
        <v>361</v>
      </c>
      <c r="D70" s="0" t="n">
        <v>4</v>
      </c>
      <c r="E70" s="0" t="n">
        <v>4</v>
      </c>
      <c r="F70" s="0" t="n">
        <v>0</v>
      </c>
      <c r="G70" s="0" t="n">
        <v>8</v>
      </c>
      <c r="H70" s="0" t="n">
        <v>8</v>
      </c>
    </row>
    <row r="71" customFormat="false" ht="15" hidden="false" customHeight="false" outlineLevel="0" collapsed="false">
      <c r="A71" s="0" t="s">
        <v>183</v>
      </c>
      <c r="B71" s="0" t="s">
        <v>372</v>
      </c>
      <c r="C71" s="0" t="s">
        <v>397</v>
      </c>
      <c r="D71" s="0" t="n">
        <v>1</v>
      </c>
      <c r="E71" s="0" t="n">
        <v>2</v>
      </c>
      <c r="F71" s="0" t="n">
        <v>2</v>
      </c>
      <c r="G71" s="0" t="n">
        <v>3</v>
      </c>
      <c r="H71" s="0" t="n">
        <v>5</v>
      </c>
    </row>
    <row r="72" customFormat="false" ht="15" hidden="false" customHeight="false" outlineLevel="0" collapsed="false">
      <c r="A72" s="0" t="s">
        <v>183</v>
      </c>
      <c r="B72" s="0" t="s">
        <v>398</v>
      </c>
      <c r="C72" s="0" t="s">
        <v>384</v>
      </c>
      <c r="D72" s="0" t="n">
        <v>1</v>
      </c>
      <c r="E72" s="0" t="n">
        <v>11</v>
      </c>
      <c r="F72" s="0" t="n">
        <v>0</v>
      </c>
      <c r="G72" s="0" t="n">
        <v>12</v>
      </c>
      <c r="H72" s="0" t="n">
        <v>12</v>
      </c>
    </row>
    <row r="73" customFormat="false" ht="15" hidden="false" customHeight="false" outlineLevel="0" collapsed="false">
      <c r="A73" s="0" t="s">
        <v>183</v>
      </c>
      <c r="B73" s="0" t="s">
        <v>374</v>
      </c>
      <c r="C73" s="0" t="s">
        <v>384</v>
      </c>
      <c r="D73" s="0" t="n">
        <v>5</v>
      </c>
      <c r="E73" s="0" t="n">
        <v>2</v>
      </c>
      <c r="F73" s="0" t="n">
        <v>5</v>
      </c>
      <c r="G73" s="0" t="n">
        <v>7</v>
      </c>
      <c r="H73" s="0" t="n">
        <v>12</v>
      </c>
    </row>
    <row r="74" customFormat="false" ht="15" hidden="false" customHeight="false" outlineLevel="0" collapsed="false">
      <c r="A74" s="0" t="s">
        <v>183</v>
      </c>
      <c r="B74" s="0" t="s">
        <v>399</v>
      </c>
      <c r="C74" s="0" t="s">
        <v>393</v>
      </c>
      <c r="D74" s="0" t="n">
        <v>0</v>
      </c>
      <c r="E74" s="0" t="n">
        <v>4</v>
      </c>
      <c r="F74" s="0" t="n">
        <v>6</v>
      </c>
      <c r="G74" s="0" t="n">
        <v>4</v>
      </c>
      <c r="H74" s="0" t="n">
        <v>10</v>
      </c>
    </row>
    <row r="75" customFormat="false" ht="15" hidden="false" customHeight="false" outlineLevel="0" collapsed="false">
      <c r="A75" s="0" t="s">
        <v>183</v>
      </c>
      <c r="B75" s="0" t="s">
        <v>400</v>
      </c>
      <c r="C75" s="0" t="s">
        <v>384</v>
      </c>
      <c r="D75" s="0" t="n">
        <v>1</v>
      </c>
      <c r="E75" s="0" t="n">
        <v>1</v>
      </c>
      <c r="F75" s="0" t="n">
        <v>1</v>
      </c>
      <c r="G75" s="0" t="n">
        <v>2</v>
      </c>
      <c r="H75" s="0" t="n">
        <v>3</v>
      </c>
    </row>
    <row r="76" customFormat="false" ht="15" hidden="false" customHeight="false" outlineLevel="0" collapsed="false">
      <c r="A76" s="0" t="s">
        <v>183</v>
      </c>
      <c r="B76" s="0" t="s">
        <v>401</v>
      </c>
      <c r="C76" s="0" t="s">
        <v>393</v>
      </c>
      <c r="D76" s="0" t="n">
        <v>14</v>
      </c>
      <c r="E76" s="0" t="n">
        <v>4</v>
      </c>
      <c r="F76" s="0" t="n">
        <v>4</v>
      </c>
      <c r="G76" s="0" t="n">
        <v>18</v>
      </c>
      <c r="H76" s="0" t="n">
        <v>22</v>
      </c>
    </row>
    <row r="77" customFormat="false" ht="15" hidden="false" customHeight="false" outlineLevel="0" collapsed="false">
      <c r="A77" s="0" t="s">
        <v>186</v>
      </c>
      <c r="B77" s="0" t="s">
        <v>357</v>
      </c>
      <c r="C77" s="0" t="s">
        <v>383</v>
      </c>
      <c r="D77" s="0" t="n">
        <v>3</v>
      </c>
      <c r="E77" s="0" t="n">
        <v>0</v>
      </c>
      <c r="F77" s="0" t="n">
        <v>0</v>
      </c>
      <c r="G77" s="0" t="n">
        <v>3</v>
      </c>
      <c r="H77" s="0" t="n">
        <v>3</v>
      </c>
    </row>
    <row r="78" customFormat="false" ht="15" hidden="false" customHeight="false" outlineLevel="0" collapsed="false">
      <c r="A78" s="0" t="s">
        <v>186</v>
      </c>
      <c r="B78" s="0" t="s">
        <v>359</v>
      </c>
      <c r="C78" s="0" t="s">
        <v>384</v>
      </c>
      <c r="D78" s="0" t="n">
        <v>5</v>
      </c>
      <c r="E78" s="0" t="n">
        <v>0</v>
      </c>
      <c r="F78" s="0" t="n">
        <v>0</v>
      </c>
      <c r="G78" s="0" t="n">
        <v>5</v>
      </c>
      <c r="H78" s="0" t="n">
        <v>5</v>
      </c>
    </row>
    <row r="79" customFormat="false" ht="15" hidden="false" customHeight="false" outlineLevel="0" collapsed="false">
      <c r="A79" s="0" t="s">
        <v>186</v>
      </c>
      <c r="B79" s="0" t="s">
        <v>360</v>
      </c>
      <c r="C79" s="0" t="s">
        <v>358</v>
      </c>
      <c r="D79" s="0" t="n">
        <v>17</v>
      </c>
      <c r="E79" s="0" t="n">
        <v>0</v>
      </c>
      <c r="F79" s="0" t="n">
        <v>0</v>
      </c>
      <c r="G79" s="0" t="n">
        <v>17</v>
      </c>
      <c r="H79" s="0" t="n">
        <v>17</v>
      </c>
    </row>
    <row r="80" customFormat="false" ht="15" hidden="false" customHeight="false" outlineLevel="0" collapsed="false">
      <c r="A80" s="0" t="s">
        <v>186</v>
      </c>
      <c r="B80" s="0" t="s">
        <v>385</v>
      </c>
      <c r="C80" s="0" t="s">
        <v>386</v>
      </c>
      <c r="D80" s="0" t="n">
        <v>3</v>
      </c>
      <c r="E80" s="0" t="n">
        <v>11</v>
      </c>
      <c r="F80" s="0" t="n">
        <v>5</v>
      </c>
      <c r="G80" s="0" t="n">
        <v>14</v>
      </c>
      <c r="H80" s="0" t="n">
        <v>19</v>
      </c>
    </row>
    <row r="81" customFormat="false" ht="15" hidden="false" customHeight="false" outlineLevel="0" collapsed="false">
      <c r="A81" s="0" t="s">
        <v>186</v>
      </c>
      <c r="B81" s="0" t="s">
        <v>387</v>
      </c>
      <c r="C81" s="0" t="s">
        <v>388</v>
      </c>
      <c r="D81" s="0" t="n">
        <v>9</v>
      </c>
      <c r="E81" s="0" t="n">
        <v>1</v>
      </c>
      <c r="F81" s="0" t="n">
        <v>0</v>
      </c>
      <c r="G81" s="0" t="n">
        <v>10</v>
      </c>
      <c r="H81" s="0" t="n">
        <v>10</v>
      </c>
    </row>
    <row r="82" customFormat="false" ht="15" hidden="false" customHeight="false" outlineLevel="0" collapsed="false">
      <c r="A82" s="0" t="s">
        <v>186</v>
      </c>
      <c r="B82" s="0" t="s">
        <v>389</v>
      </c>
      <c r="C82" s="0" t="s">
        <v>390</v>
      </c>
      <c r="D82" s="0" t="n">
        <v>4</v>
      </c>
      <c r="E82" s="0" t="n">
        <v>0</v>
      </c>
      <c r="F82" s="0" t="n">
        <v>0</v>
      </c>
      <c r="G82" s="0" t="n">
        <v>4</v>
      </c>
      <c r="H82" s="0" t="n">
        <v>4</v>
      </c>
    </row>
    <row r="83" customFormat="false" ht="15" hidden="false" customHeight="false" outlineLevel="0" collapsed="false">
      <c r="A83" s="0" t="s">
        <v>186</v>
      </c>
      <c r="B83" s="0" t="s">
        <v>391</v>
      </c>
      <c r="C83" s="0" t="s">
        <v>384</v>
      </c>
      <c r="D83" s="0" t="n">
        <v>4</v>
      </c>
      <c r="E83" s="0" t="n">
        <v>2</v>
      </c>
      <c r="F83" s="0" t="n">
        <v>2</v>
      </c>
      <c r="G83" s="0" t="n">
        <v>6</v>
      </c>
      <c r="H83" s="0" t="n">
        <v>8</v>
      </c>
    </row>
    <row r="84" customFormat="false" ht="15" hidden="false" customHeight="false" outlineLevel="0" collapsed="false">
      <c r="A84" s="0" t="s">
        <v>186</v>
      </c>
      <c r="B84" s="0" t="s">
        <v>392</v>
      </c>
      <c r="C84" s="0" t="s">
        <v>393</v>
      </c>
      <c r="D84" s="0" t="n">
        <v>6</v>
      </c>
      <c r="E84" s="0" t="n">
        <v>3</v>
      </c>
      <c r="F84" s="0" t="n">
        <v>2</v>
      </c>
      <c r="G84" s="0" t="n">
        <v>9</v>
      </c>
      <c r="H84" s="0" t="n">
        <v>11</v>
      </c>
    </row>
    <row r="85" customFormat="false" ht="15" hidden="false" customHeight="false" outlineLevel="0" collapsed="false">
      <c r="A85" s="0" t="s">
        <v>186</v>
      </c>
      <c r="B85" s="0" t="s">
        <v>366</v>
      </c>
      <c r="C85" s="0" t="s">
        <v>384</v>
      </c>
      <c r="D85" s="0" t="n">
        <v>3</v>
      </c>
      <c r="E85" s="0" t="n">
        <v>9</v>
      </c>
      <c r="F85" s="0" t="n">
        <v>2</v>
      </c>
      <c r="G85" s="0" t="n">
        <v>12</v>
      </c>
      <c r="H85" s="0" t="n">
        <v>14</v>
      </c>
    </row>
    <row r="86" customFormat="false" ht="15" hidden="false" customHeight="false" outlineLevel="0" collapsed="false">
      <c r="A86" s="0" t="s">
        <v>186</v>
      </c>
      <c r="B86" s="0" t="s">
        <v>394</v>
      </c>
      <c r="C86" s="0" t="s">
        <v>393</v>
      </c>
      <c r="D86" s="0" t="n">
        <v>3</v>
      </c>
      <c r="E86" s="0" t="n">
        <v>1</v>
      </c>
      <c r="F86" s="0" t="n">
        <v>9</v>
      </c>
      <c r="G86" s="0" t="n">
        <v>4</v>
      </c>
      <c r="H86" s="0" t="n">
        <v>13</v>
      </c>
    </row>
    <row r="87" customFormat="false" ht="15" hidden="false" customHeight="false" outlineLevel="0" collapsed="false">
      <c r="A87" s="0" t="s">
        <v>186</v>
      </c>
      <c r="B87" s="0" t="s">
        <v>395</v>
      </c>
      <c r="C87" s="0" t="s">
        <v>393</v>
      </c>
      <c r="D87" s="0" t="n">
        <v>3</v>
      </c>
      <c r="E87" s="0" t="n">
        <v>5</v>
      </c>
      <c r="F87" s="0" t="n">
        <v>0</v>
      </c>
      <c r="G87" s="0" t="n">
        <v>8</v>
      </c>
      <c r="H87" s="0" t="n">
        <v>8</v>
      </c>
    </row>
    <row r="88" customFormat="false" ht="15" hidden="false" customHeight="false" outlineLevel="0" collapsed="false">
      <c r="A88" s="0" t="s">
        <v>186</v>
      </c>
      <c r="B88" s="0" t="s">
        <v>396</v>
      </c>
      <c r="C88" s="0" t="s">
        <v>361</v>
      </c>
      <c r="D88" s="0" t="n">
        <v>7</v>
      </c>
      <c r="E88" s="0" t="n">
        <v>12</v>
      </c>
      <c r="F88" s="0" t="n">
        <v>0</v>
      </c>
      <c r="G88" s="0" t="n">
        <v>19</v>
      </c>
      <c r="H88" s="0" t="n">
        <v>19</v>
      </c>
    </row>
    <row r="89" customFormat="false" ht="15" hidden="false" customHeight="false" outlineLevel="0" collapsed="false">
      <c r="A89" s="0" t="s">
        <v>186</v>
      </c>
      <c r="B89" s="0" t="s">
        <v>372</v>
      </c>
      <c r="C89" s="0" t="s">
        <v>397</v>
      </c>
      <c r="D89" s="0" t="n">
        <v>2</v>
      </c>
      <c r="E89" s="0" t="n">
        <v>7</v>
      </c>
      <c r="F89" s="0" t="n">
        <v>3</v>
      </c>
      <c r="G89" s="0" t="n">
        <v>9</v>
      </c>
      <c r="H89" s="0" t="n">
        <v>12</v>
      </c>
    </row>
    <row r="90" customFormat="false" ht="15" hidden="false" customHeight="false" outlineLevel="0" collapsed="false">
      <c r="A90" s="0" t="s">
        <v>186</v>
      </c>
      <c r="B90" s="0" t="s">
        <v>398</v>
      </c>
      <c r="C90" s="0" t="s">
        <v>384</v>
      </c>
      <c r="D90" s="0" t="n">
        <v>3</v>
      </c>
      <c r="E90" s="0" t="n">
        <v>4</v>
      </c>
      <c r="F90" s="0" t="n">
        <v>0</v>
      </c>
      <c r="G90" s="0" t="n">
        <v>7</v>
      </c>
      <c r="H90" s="0" t="n">
        <v>7</v>
      </c>
    </row>
    <row r="91" customFormat="false" ht="15" hidden="false" customHeight="false" outlineLevel="0" collapsed="false">
      <c r="A91" s="0" t="s">
        <v>186</v>
      </c>
      <c r="B91" s="0" t="s">
        <v>374</v>
      </c>
      <c r="C91" s="0" t="s">
        <v>384</v>
      </c>
      <c r="D91" s="0" t="n">
        <v>4</v>
      </c>
      <c r="E91" s="0" t="n">
        <v>18</v>
      </c>
      <c r="F91" s="0" t="n">
        <v>6</v>
      </c>
      <c r="G91" s="0" t="n">
        <v>22</v>
      </c>
      <c r="H91" s="0" t="n">
        <v>28</v>
      </c>
    </row>
    <row r="92" customFormat="false" ht="15" hidden="false" customHeight="false" outlineLevel="0" collapsed="false">
      <c r="A92" s="0" t="s">
        <v>188</v>
      </c>
      <c r="B92" s="0" t="s">
        <v>357</v>
      </c>
      <c r="C92" s="0" t="s">
        <v>383</v>
      </c>
      <c r="D92" s="0" t="n">
        <v>6</v>
      </c>
      <c r="E92" s="0" t="n">
        <v>0</v>
      </c>
      <c r="F92" s="0" t="n">
        <v>0</v>
      </c>
      <c r="G92" s="0" t="n">
        <v>6</v>
      </c>
      <c r="H92" s="0" t="n">
        <v>6</v>
      </c>
    </row>
    <row r="93" customFormat="false" ht="15" hidden="false" customHeight="false" outlineLevel="0" collapsed="false">
      <c r="A93" s="0" t="s">
        <v>188</v>
      </c>
      <c r="B93" s="0" t="s">
        <v>359</v>
      </c>
      <c r="C93" s="0" t="s">
        <v>384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</row>
    <row r="94" customFormat="false" ht="15" hidden="false" customHeight="false" outlineLevel="0" collapsed="false">
      <c r="A94" s="0" t="s">
        <v>188</v>
      </c>
      <c r="B94" s="0" t="s">
        <v>360</v>
      </c>
      <c r="C94" s="0" t="s">
        <v>358</v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1</v>
      </c>
    </row>
    <row r="95" customFormat="false" ht="15" hidden="false" customHeight="false" outlineLevel="0" collapsed="false">
      <c r="A95" s="0" t="s">
        <v>188</v>
      </c>
      <c r="B95" s="0" t="s">
        <v>385</v>
      </c>
      <c r="C95" s="0" t="s">
        <v>386</v>
      </c>
      <c r="D95" s="0" t="n">
        <v>3</v>
      </c>
      <c r="E95" s="0" t="n">
        <v>1</v>
      </c>
      <c r="F95" s="0" t="n">
        <v>0</v>
      </c>
      <c r="G95" s="0" t="n">
        <v>4</v>
      </c>
      <c r="H95" s="0" t="n">
        <v>4</v>
      </c>
    </row>
    <row r="96" customFormat="false" ht="15" hidden="false" customHeight="false" outlineLevel="0" collapsed="false">
      <c r="A96" s="0" t="s">
        <v>188</v>
      </c>
      <c r="B96" s="0" t="s">
        <v>387</v>
      </c>
      <c r="C96" s="0" t="s">
        <v>388</v>
      </c>
      <c r="D96" s="0" t="n">
        <v>0</v>
      </c>
      <c r="E96" s="0" t="n">
        <v>7</v>
      </c>
      <c r="F96" s="0" t="n">
        <v>0</v>
      </c>
      <c r="G96" s="0" t="n">
        <v>7</v>
      </c>
      <c r="H96" s="0" t="n">
        <v>7</v>
      </c>
    </row>
    <row r="97" customFormat="false" ht="15" hidden="false" customHeight="false" outlineLevel="0" collapsed="false">
      <c r="A97" s="0" t="s">
        <v>188</v>
      </c>
      <c r="B97" s="0" t="s">
        <v>389</v>
      </c>
      <c r="C97" s="0" t="s">
        <v>390</v>
      </c>
      <c r="D97" s="0" t="n">
        <v>6</v>
      </c>
      <c r="E97" s="0" t="n">
        <v>0</v>
      </c>
      <c r="F97" s="0" t="n">
        <v>0</v>
      </c>
      <c r="G97" s="0" t="n">
        <v>6</v>
      </c>
      <c r="H97" s="0" t="n">
        <v>6</v>
      </c>
    </row>
    <row r="98" customFormat="false" ht="15" hidden="false" customHeight="false" outlineLevel="0" collapsed="false">
      <c r="A98" s="0" t="s">
        <v>188</v>
      </c>
      <c r="B98" s="0" t="s">
        <v>391</v>
      </c>
      <c r="C98" s="0" t="s">
        <v>384</v>
      </c>
      <c r="D98" s="0" t="n">
        <v>2</v>
      </c>
      <c r="E98" s="0" t="n">
        <v>2</v>
      </c>
      <c r="F98" s="0" t="n">
        <v>2</v>
      </c>
      <c r="G98" s="0" t="n">
        <v>4</v>
      </c>
      <c r="H98" s="0" t="n">
        <v>6</v>
      </c>
    </row>
    <row r="99" customFormat="false" ht="15" hidden="false" customHeight="false" outlineLevel="0" collapsed="false">
      <c r="A99" s="0" t="s">
        <v>188</v>
      </c>
      <c r="B99" s="0" t="s">
        <v>392</v>
      </c>
      <c r="C99" s="0" t="s">
        <v>393</v>
      </c>
      <c r="D99" s="0" t="n">
        <v>2</v>
      </c>
      <c r="E99" s="0" t="n">
        <v>1</v>
      </c>
      <c r="F99" s="0" t="n">
        <v>4</v>
      </c>
      <c r="G99" s="0" t="n">
        <v>3</v>
      </c>
      <c r="H99" s="0" t="n">
        <v>7</v>
      </c>
    </row>
    <row r="100" customFormat="false" ht="15" hidden="false" customHeight="false" outlineLevel="0" collapsed="false">
      <c r="A100" s="0" t="s">
        <v>188</v>
      </c>
      <c r="B100" s="0" t="s">
        <v>366</v>
      </c>
      <c r="C100" s="0" t="s">
        <v>384</v>
      </c>
      <c r="D100" s="0" t="n">
        <v>9</v>
      </c>
      <c r="E100" s="0" t="n">
        <v>7</v>
      </c>
      <c r="F100" s="0" t="n">
        <v>2</v>
      </c>
      <c r="G100" s="0" t="n">
        <v>16</v>
      </c>
      <c r="H100" s="0" t="n">
        <v>18</v>
      </c>
    </row>
    <row r="101" customFormat="false" ht="15" hidden="false" customHeight="false" outlineLevel="0" collapsed="false">
      <c r="A101" s="0" t="s">
        <v>188</v>
      </c>
      <c r="B101" s="0" t="s">
        <v>394</v>
      </c>
      <c r="C101" s="0" t="s">
        <v>393</v>
      </c>
      <c r="D101" s="0" t="n">
        <v>6</v>
      </c>
      <c r="E101" s="0" t="n">
        <v>1</v>
      </c>
      <c r="F101" s="0" t="n">
        <v>1</v>
      </c>
      <c r="G101" s="0" t="n">
        <v>7</v>
      </c>
      <c r="H101" s="0" t="n">
        <v>8</v>
      </c>
    </row>
    <row r="102" customFormat="false" ht="15" hidden="false" customHeight="false" outlineLevel="0" collapsed="false">
      <c r="A102" s="0" t="s">
        <v>188</v>
      </c>
      <c r="B102" s="0" t="s">
        <v>395</v>
      </c>
      <c r="C102" s="0" t="s">
        <v>393</v>
      </c>
      <c r="D102" s="0" t="n">
        <v>2</v>
      </c>
      <c r="E102" s="0" t="n">
        <v>2</v>
      </c>
      <c r="F102" s="0" t="n">
        <v>0</v>
      </c>
      <c r="G102" s="0" t="n">
        <v>4</v>
      </c>
      <c r="H102" s="0" t="n">
        <v>4</v>
      </c>
    </row>
    <row r="103" customFormat="false" ht="15" hidden="false" customHeight="false" outlineLevel="0" collapsed="false">
      <c r="A103" s="0" t="s">
        <v>188</v>
      </c>
      <c r="B103" s="0" t="s">
        <v>396</v>
      </c>
      <c r="C103" s="0" t="s">
        <v>361</v>
      </c>
      <c r="D103" s="0" t="n">
        <v>7</v>
      </c>
      <c r="E103" s="0" t="n">
        <v>3</v>
      </c>
      <c r="F103" s="0" t="n">
        <v>0</v>
      </c>
      <c r="G103" s="0" t="n">
        <v>10</v>
      </c>
      <c r="H103" s="0" t="n">
        <v>10</v>
      </c>
    </row>
    <row r="104" customFormat="false" ht="15" hidden="false" customHeight="false" outlineLevel="0" collapsed="false">
      <c r="A104" s="0" t="s">
        <v>188</v>
      </c>
      <c r="B104" s="0" t="s">
        <v>372</v>
      </c>
      <c r="C104" s="0" t="s">
        <v>397</v>
      </c>
      <c r="D104" s="0" t="n">
        <v>2</v>
      </c>
      <c r="E104" s="0" t="n">
        <v>3</v>
      </c>
      <c r="F104" s="0" t="n">
        <v>5</v>
      </c>
      <c r="G104" s="0" t="n">
        <v>5</v>
      </c>
      <c r="H104" s="0" t="n">
        <v>10</v>
      </c>
    </row>
    <row r="105" customFormat="false" ht="15" hidden="false" customHeight="false" outlineLevel="0" collapsed="false">
      <c r="A105" s="0" t="s">
        <v>188</v>
      </c>
      <c r="B105" s="0" t="s">
        <v>398</v>
      </c>
      <c r="C105" s="0" t="s">
        <v>384</v>
      </c>
      <c r="D105" s="0" t="n">
        <v>3</v>
      </c>
      <c r="E105" s="0" t="n">
        <v>0</v>
      </c>
      <c r="F105" s="0" t="n">
        <v>0</v>
      </c>
      <c r="G105" s="0" t="n">
        <v>3</v>
      </c>
      <c r="H105" s="0" t="n">
        <v>3</v>
      </c>
    </row>
    <row r="106" customFormat="false" ht="15" hidden="false" customHeight="false" outlineLevel="0" collapsed="false">
      <c r="A106" s="0" t="s">
        <v>188</v>
      </c>
      <c r="B106" s="0" t="s">
        <v>374</v>
      </c>
      <c r="C106" s="0" t="s">
        <v>384</v>
      </c>
      <c r="D106" s="0" t="n">
        <v>3</v>
      </c>
      <c r="E106" s="0" t="n">
        <v>2</v>
      </c>
      <c r="F106" s="0" t="n">
        <v>2</v>
      </c>
      <c r="G106" s="0" t="n">
        <v>5</v>
      </c>
      <c r="H106" s="0" t="n">
        <v>7</v>
      </c>
    </row>
    <row r="107" customFormat="false" ht="15" hidden="false" customHeight="false" outlineLevel="0" collapsed="false">
      <c r="A107" s="0" t="s">
        <v>191</v>
      </c>
      <c r="B107" s="0" t="s">
        <v>402</v>
      </c>
      <c r="C107" s="0" t="s">
        <v>403</v>
      </c>
      <c r="D107" s="0" t="n">
        <v>4</v>
      </c>
      <c r="E107" s="0" t="n">
        <v>2</v>
      </c>
      <c r="F107" s="0" t="n">
        <v>0</v>
      </c>
      <c r="G107" s="0" t="n">
        <v>6</v>
      </c>
      <c r="H107" s="0" t="n">
        <v>6</v>
      </c>
    </row>
    <row r="108" customFormat="false" ht="15" hidden="false" customHeight="false" outlineLevel="0" collapsed="false">
      <c r="A108" s="0" t="s">
        <v>191</v>
      </c>
      <c r="B108" s="0" t="s">
        <v>359</v>
      </c>
      <c r="C108" s="0" t="s">
        <v>98</v>
      </c>
      <c r="D108" s="0" t="n">
        <v>2</v>
      </c>
      <c r="E108" s="0" t="n">
        <v>0</v>
      </c>
      <c r="F108" s="0" t="n">
        <v>0</v>
      </c>
      <c r="G108" s="0" t="n">
        <v>2</v>
      </c>
      <c r="H108" s="0" t="n">
        <v>2</v>
      </c>
    </row>
    <row r="109" customFormat="false" ht="15" hidden="false" customHeight="false" outlineLevel="0" collapsed="false">
      <c r="A109" s="0" t="s">
        <v>191</v>
      </c>
      <c r="B109" s="0" t="s">
        <v>360</v>
      </c>
      <c r="C109" s="0" t="s">
        <v>393</v>
      </c>
      <c r="D109" s="0" t="n">
        <v>2</v>
      </c>
      <c r="E109" s="0" t="n">
        <v>0</v>
      </c>
      <c r="F109" s="0" t="n">
        <v>0</v>
      </c>
      <c r="G109" s="0" t="n">
        <v>2</v>
      </c>
      <c r="H109" s="0" t="n">
        <v>2</v>
      </c>
    </row>
    <row r="110" customFormat="false" ht="15" hidden="false" customHeight="false" outlineLevel="0" collapsed="false">
      <c r="A110" s="0" t="s">
        <v>191</v>
      </c>
      <c r="B110" s="0" t="s">
        <v>404</v>
      </c>
      <c r="C110" s="0" t="s">
        <v>405</v>
      </c>
      <c r="D110" s="0" t="n">
        <v>6</v>
      </c>
      <c r="E110" s="0" t="n">
        <v>2</v>
      </c>
      <c r="F110" s="0" t="n">
        <v>2</v>
      </c>
      <c r="G110" s="0" t="n">
        <v>8</v>
      </c>
      <c r="H110" s="0" t="n">
        <v>10</v>
      </c>
    </row>
    <row r="111" customFormat="false" ht="15" hidden="false" customHeight="false" outlineLevel="0" collapsed="false">
      <c r="A111" s="0" t="s">
        <v>191</v>
      </c>
      <c r="B111" s="0" t="s">
        <v>406</v>
      </c>
      <c r="C111" s="0" t="s">
        <v>407</v>
      </c>
      <c r="D111" s="0" t="n">
        <v>4</v>
      </c>
      <c r="E111" s="0" t="n">
        <v>4</v>
      </c>
      <c r="F111" s="0" t="n">
        <v>1</v>
      </c>
      <c r="G111" s="0" t="n">
        <v>8</v>
      </c>
      <c r="H111" s="0" t="n">
        <v>9</v>
      </c>
    </row>
    <row r="112" customFormat="false" ht="15" hidden="false" customHeight="false" outlineLevel="0" collapsed="false">
      <c r="A112" s="0" t="s">
        <v>191</v>
      </c>
      <c r="B112" s="0" t="s">
        <v>387</v>
      </c>
      <c r="C112" s="0" t="s">
        <v>408</v>
      </c>
      <c r="D112" s="0" t="n">
        <v>9</v>
      </c>
      <c r="E112" s="0" t="n">
        <v>6</v>
      </c>
      <c r="F112" s="0" t="n">
        <v>4</v>
      </c>
      <c r="G112" s="0" t="n">
        <v>15</v>
      </c>
      <c r="H112" s="0" t="n">
        <v>19</v>
      </c>
    </row>
    <row r="113" customFormat="false" ht="15" hidden="false" customHeight="false" outlineLevel="0" collapsed="false">
      <c r="A113" s="0" t="s">
        <v>191</v>
      </c>
      <c r="B113" s="0" t="s">
        <v>389</v>
      </c>
      <c r="C113" s="0" t="s">
        <v>405</v>
      </c>
      <c r="D113" s="0" t="n">
        <v>2</v>
      </c>
      <c r="E113" s="0" t="n">
        <v>2</v>
      </c>
      <c r="F113" s="0" t="n">
        <v>9</v>
      </c>
      <c r="G113" s="0" t="n">
        <v>4</v>
      </c>
      <c r="H113" s="0" t="n">
        <v>13</v>
      </c>
    </row>
    <row r="114" customFormat="false" ht="15" hidden="false" customHeight="false" outlineLevel="0" collapsed="false">
      <c r="A114" s="0" t="s">
        <v>191</v>
      </c>
      <c r="B114" s="0" t="s">
        <v>409</v>
      </c>
      <c r="C114" s="0" t="s">
        <v>410</v>
      </c>
      <c r="D114" s="0" t="n">
        <v>8</v>
      </c>
      <c r="E114" s="0" t="n">
        <v>0</v>
      </c>
      <c r="F114" s="0" t="n">
        <v>4</v>
      </c>
      <c r="G114" s="0" t="n">
        <v>8</v>
      </c>
      <c r="H114" s="0" t="n">
        <v>12</v>
      </c>
    </row>
    <row r="115" customFormat="false" ht="15" hidden="false" customHeight="false" outlineLevel="0" collapsed="false">
      <c r="A115" s="0" t="s">
        <v>191</v>
      </c>
      <c r="B115" s="0" t="s">
        <v>392</v>
      </c>
      <c r="C115" s="0" t="s">
        <v>407</v>
      </c>
      <c r="D115" s="0" t="n">
        <v>5</v>
      </c>
      <c r="E115" s="0" t="n">
        <v>3</v>
      </c>
      <c r="F115" s="0" t="n">
        <v>2</v>
      </c>
      <c r="G115" s="0" t="n">
        <v>8</v>
      </c>
      <c r="H115" s="0" t="n">
        <v>10</v>
      </c>
    </row>
    <row r="116" customFormat="false" ht="15" hidden="false" customHeight="false" outlineLevel="0" collapsed="false">
      <c r="A116" s="0" t="s">
        <v>191</v>
      </c>
      <c r="B116" s="0" t="s">
        <v>411</v>
      </c>
      <c r="C116" s="0" t="s">
        <v>412</v>
      </c>
      <c r="D116" s="0" t="n">
        <v>10</v>
      </c>
      <c r="E116" s="0" t="n">
        <v>4</v>
      </c>
      <c r="F116" s="0" t="n">
        <v>5</v>
      </c>
      <c r="G116" s="0" t="n">
        <v>14</v>
      </c>
      <c r="H116" s="0" t="n">
        <v>19</v>
      </c>
    </row>
    <row r="117" customFormat="false" ht="15" hidden="false" customHeight="false" outlineLevel="0" collapsed="false">
      <c r="A117" s="0" t="s">
        <v>191</v>
      </c>
      <c r="B117" s="0" t="s">
        <v>395</v>
      </c>
      <c r="C117" s="0" t="s">
        <v>410</v>
      </c>
      <c r="D117" s="0" t="n">
        <v>1</v>
      </c>
      <c r="E117" s="0" t="n">
        <v>0</v>
      </c>
      <c r="F117" s="0" t="n">
        <v>0</v>
      </c>
      <c r="G117" s="0" t="n">
        <v>1</v>
      </c>
      <c r="H117" s="0" t="n">
        <v>1</v>
      </c>
    </row>
    <row r="118" customFormat="false" ht="15" hidden="false" customHeight="false" outlineLevel="0" collapsed="false">
      <c r="A118" s="0" t="s">
        <v>191</v>
      </c>
      <c r="B118" s="0" t="s">
        <v>372</v>
      </c>
      <c r="C118" s="0" t="s">
        <v>413</v>
      </c>
      <c r="D118" s="0" t="n">
        <v>4</v>
      </c>
      <c r="E118" s="0" t="n">
        <v>6</v>
      </c>
      <c r="F118" s="0" t="n">
        <v>0</v>
      </c>
      <c r="G118" s="0" t="n">
        <v>10</v>
      </c>
      <c r="H118" s="0" t="n">
        <v>10</v>
      </c>
    </row>
    <row r="119" customFormat="false" ht="15" hidden="false" customHeight="false" outlineLevel="0" collapsed="false">
      <c r="A119" s="0" t="s">
        <v>191</v>
      </c>
      <c r="B119" s="0" t="s">
        <v>374</v>
      </c>
      <c r="C119" s="0" t="s">
        <v>414</v>
      </c>
      <c r="D119" s="0" t="n">
        <v>5</v>
      </c>
      <c r="E119" s="0" t="n">
        <v>1</v>
      </c>
      <c r="F119" s="0" t="n">
        <v>0</v>
      </c>
      <c r="G119" s="0" t="n">
        <v>6</v>
      </c>
      <c r="H119" s="0" t="n">
        <v>6</v>
      </c>
    </row>
    <row r="120" customFormat="false" ht="15" hidden="false" customHeight="false" outlineLevel="0" collapsed="false">
      <c r="A120" s="0" t="s">
        <v>191</v>
      </c>
      <c r="B120" s="0" t="s">
        <v>399</v>
      </c>
      <c r="C120" s="0" t="s">
        <v>415</v>
      </c>
      <c r="D120" s="0" t="n">
        <v>2</v>
      </c>
      <c r="E120" s="0" t="n">
        <v>3</v>
      </c>
      <c r="F120" s="0" t="n">
        <v>0</v>
      </c>
      <c r="G120" s="0" t="n">
        <v>5</v>
      </c>
      <c r="H120" s="0" t="n">
        <v>5</v>
      </c>
    </row>
    <row r="121" customFormat="false" ht="15" hidden="false" customHeight="false" outlineLevel="0" collapsed="false">
      <c r="A121" s="0" t="s">
        <v>191</v>
      </c>
      <c r="B121" s="0" t="s">
        <v>378</v>
      </c>
      <c r="C121" s="0" t="s">
        <v>416</v>
      </c>
      <c r="D121" s="0" t="n">
        <v>5</v>
      </c>
      <c r="E121" s="0" t="n">
        <v>5</v>
      </c>
      <c r="F121" s="0" t="n">
        <v>0</v>
      </c>
      <c r="G121" s="0" t="n">
        <v>10</v>
      </c>
      <c r="H121" s="0" t="n">
        <v>10</v>
      </c>
    </row>
    <row r="122" customFormat="false" ht="15" hidden="false" customHeight="false" outlineLevel="0" collapsed="false">
      <c r="A122" s="0" t="s">
        <v>194</v>
      </c>
      <c r="B122" s="0" t="s">
        <v>402</v>
      </c>
      <c r="C122" s="0" t="s">
        <v>403</v>
      </c>
      <c r="D122" s="0" t="n">
        <v>3</v>
      </c>
      <c r="E122" s="0" t="n">
        <v>9</v>
      </c>
      <c r="F122" s="0" t="n">
        <v>0</v>
      </c>
      <c r="G122" s="0" t="n">
        <v>12</v>
      </c>
      <c r="H122" s="0" t="n">
        <v>12</v>
      </c>
    </row>
    <row r="123" customFormat="false" ht="15" hidden="false" customHeight="false" outlineLevel="0" collapsed="false">
      <c r="A123" s="0" t="s">
        <v>194</v>
      </c>
      <c r="B123" s="0" t="s">
        <v>359</v>
      </c>
      <c r="C123" s="0" t="s">
        <v>98</v>
      </c>
      <c r="D123" s="0" t="n">
        <v>3</v>
      </c>
      <c r="E123" s="0" t="n">
        <v>0</v>
      </c>
      <c r="F123" s="0" t="n">
        <v>0</v>
      </c>
      <c r="G123" s="0" t="n">
        <v>3</v>
      </c>
      <c r="H123" s="0" t="n">
        <v>3</v>
      </c>
    </row>
    <row r="124" customFormat="false" ht="15" hidden="false" customHeight="false" outlineLevel="0" collapsed="false">
      <c r="A124" s="0" t="s">
        <v>194</v>
      </c>
      <c r="B124" s="0" t="s">
        <v>360</v>
      </c>
      <c r="C124" s="0" t="s">
        <v>393</v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1</v>
      </c>
    </row>
    <row r="125" customFormat="false" ht="15" hidden="false" customHeight="false" outlineLevel="0" collapsed="false">
      <c r="A125" s="0" t="s">
        <v>194</v>
      </c>
      <c r="B125" s="0" t="s">
        <v>404</v>
      </c>
      <c r="C125" s="0" t="s">
        <v>405</v>
      </c>
      <c r="D125" s="0" t="n">
        <v>4</v>
      </c>
      <c r="E125" s="0" t="n">
        <v>8</v>
      </c>
      <c r="F125" s="0" t="n">
        <v>3</v>
      </c>
      <c r="G125" s="0" t="n">
        <v>12</v>
      </c>
      <c r="H125" s="0" t="n">
        <v>15</v>
      </c>
    </row>
    <row r="126" customFormat="false" ht="15" hidden="false" customHeight="false" outlineLevel="0" collapsed="false">
      <c r="A126" s="0" t="s">
        <v>194</v>
      </c>
      <c r="B126" s="0" t="s">
        <v>406</v>
      </c>
      <c r="C126" s="0" t="s">
        <v>407</v>
      </c>
      <c r="D126" s="0" t="n">
        <v>5</v>
      </c>
      <c r="E126" s="0" t="n">
        <v>1</v>
      </c>
      <c r="F126" s="0" t="n">
        <v>3</v>
      </c>
      <c r="G126" s="0" t="n">
        <v>6</v>
      </c>
      <c r="H126" s="0" t="n">
        <v>9</v>
      </c>
    </row>
    <row r="127" customFormat="false" ht="15" hidden="false" customHeight="false" outlineLevel="0" collapsed="false">
      <c r="A127" s="0" t="s">
        <v>194</v>
      </c>
      <c r="B127" s="0" t="s">
        <v>387</v>
      </c>
      <c r="C127" s="0" t="s">
        <v>408</v>
      </c>
      <c r="D127" s="0" t="n">
        <v>2</v>
      </c>
      <c r="E127" s="0" t="n">
        <v>7</v>
      </c>
      <c r="F127" s="0" t="n">
        <v>2</v>
      </c>
      <c r="G127" s="0" t="n">
        <v>9</v>
      </c>
      <c r="H127" s="0" t="n">
        <v>11</v>
      </c>
    </row>
    <row r="128" customFormat="false" ht="15" hidden="false" customHeight="false" outlineLevel="0" collapsed="false">
      <c r="A128" s="0" t="s">
        <v>194</v>
      </c>
      <c r="B128" s="0" t="s">
        <v>389</v>
      </c>
      <c r="C128" s="0" t="s">
        <v>405</v>
      </c>
      <c r="D128" s="0" t="n">
        <v>2</v>
      </c>
      <c r="E128" s="0" t="n">
        <v>5</v>
      </c>
      <c r="F128" s="0" t="n">
        <v>7</v>
      </c>
      <c r="G128" s="0" t="n">
        <v>7</v>
      </c>
      <c r="H128" s="0" t="n">
        <v>14</v>
      </c>
    </row>
    <row r="129" customFormat="false" ht="15" hidden="false" customHeight="false" outlineLevel="0" collapsed="false">
      <c r="A129" s="0" t="s">
        <v>194</v>
      </c>
      <c r="B129" s="0" t="s">
        <v>409</v>
      </c>
      <c r="C129" s="0" t="s">
        <v>410</v>
      </c>
      <c r="D129" s="0" t="n">
        <v>0</v>
      </c>
      <c r="E129" s="0" t="n">
        <v>3</v>
      </c>
      <c r="F129" s="0" t="n">
        <v>3</v>
      </c>
      <c r="G129" s="0" t="n">
        <v>3</v>
      </c>
      <c r="H129" s="0" t="n">
        <v>6</v>
      </c>
    </row>
    <row r="130" customFormat="false" ht="15" hidden="false" customHeight="false" outlineLevel="0" collapsed="false">
      <c r="A130" s="0" t="s">
        <v>194</v>
      </c>
      <c r="B130" s="0" t="s">
        <v>392</v>
      </c>
      <c r="C130" s="0" t="s">
        <v>407</v>
      </c>
      <c r="D130" s="0" t="n">
        <v>6</v>
      </c>
      <c r="E130" s="0" t="n">
        <v>2</v>
      </c>
      <c r="F130" s="0" t="n">
        <v>3</v>
      </c>
      <c r="G130" s="0" t="n">
        <v>8</v>
      </c>
      <c r="H130" s="0" t="n">
        <v>11</v>
      </c>
    </row>
    <row r="131" customFormat="false" ht="15" hidden="false" customHeight="false" outlineLevel="0" collapsed="false">
      <c r="A131" s="0" t="s">
        <v>194</v>
      </c>
      <c r="B131" s="0" t="s">
        <v>411</v>
      </c>
      <c r="C131" s="0" t="s">
        <v>412</v>
      </c>
      <c r="D131" s="0" t="n">
        <v>1</v>
      </c>
      <c r="E131" s="0" t="n">
        <v>3</v>
      </c>
      <c r="F131" s="0" t="n">
        <v>1</v>
      </c>
      <c r="G131" s="0" t="n">
        <v>4</v>
      </c>
      <c r="H131" s="0" t="n">
        <v>5</v>
      </c>
    </row>
    <row r="132" customFormat="false" ht="15" hidden="false" customHeight="false" outlineLevel="0" collapsed="false">
      <c r="A132" s="0" t="s">
        <v>194</v>
      </c>
      <c r="B132" s="0" t="s">
        <v>395</v>
      </c>
      <c r="C132" s="0" t="s">
        <v>410</v>
      </c>
      <c r="D132" s="0" t="n">
        <v>0</v>
      </c>
      <c r="E132" s="0" t="n">
        <v>1</v>
      </c>
      <c r="F132" s="0" t="n">
        <v>0</v>
      </c>
      <c r="G132" s="0" t="n">
        <v>1</v>
      </c>
      <c r="H132" s="0" t="n">
        <v>1</v>
      </c>
    </row>
    <row r="133" customFormat="false" ht="15" hidden="false" customHeight="false" outlineLevel="0" collapsed="false">
      <c r="A133" s="0" t="s">
        <v>194</v>
      </c>
      <c r="B133" s="0" t="s">
        <v>372</v>
      </c>
      <c r="C133" s="0" t="s">
        <v>413</v>
      </c>
      <c r="D133" s="0" t="n">
        <v>5</v>
      </c>
      <c r="E133" s="0" t="n">
        <v>3</v>
      </c>
      <c r="F133" s="0" t="n">
        <v>0</v>
      </c>
      <c r="G133" s="0" t="n">
        <v>8</v>
      </c>
      <c r="H133" s="0" t="n">
        <v>8</v>
      </c>
    </row>
    <row r="134" customFormat="false" ht="15" hidden="false" customHeight="false" outlineLevel="0" collapsed="false">
      <c r="A134" s="0" t="s">
        <v>194</v>
      </c>
      <c r="B134" s="0" t="s">
        <v>374</v>
      </c>
      <c r="C134" s="0" t="s">
        <v>414</v>
      </c>
      <c r="D134" s="0" t="n">
        <v>7</v>
      </c>
      <c r="E134" s="0" t="n">
        <v>5</v>
      </c>
      <c r="F134" s="0" t="n">
        <v>0</v>
      </c>
      <c r="G134" s="0" t="n">
        <v>12</v>
      </c>
      <c r="H134" s="0" t="n">
        <v>12</v>
      </c>
    </row>
    <row r="135" customFormat="false" ht="15" hidden="false" customHeight="false" outlineLevel="0" collapsed="false">
      <c r="A135" s="0" t="s">
        <v>194</v>
      </c>
      <c r="B135" s="0" t="s">
        <v>399</v>
      </c>
      <c r="C135" s="0" t="s">
        <v>415</v>
      </c>
      <c r="D135" s="0" t="n">
        <v>4</v>
      </c>
      <c r="E135" s="0" t="n">
        <v>5</v>
      </c>
      <c r="F135" s="0" t="n">
        <v>0</v>
      </c>
      <c r="G135" s="0" t="n">
        <v>9</v>
      </c>
      <c r="H135" s="0" t="n">
        <v>9</v>
      </c>
    </row>
    <row r="136" customFormat="false" ht="15" hidden="false" customHeight="false" outlineLevel="0" collapsed="false">
      <c r="A136" s="0" t="s">
        <v>194</v>
      </c>
      <c r="B136" s="0" t="s">
        <v>378</v>
      </c>
      <c r="C136" s="0" t="s">
        <v>416</v>
      </c>
      <c r="D136" s="0" t="n">
        <v>3</v>
      </c>
      <c r="E136" s="0" t="n">
        <v>13</v>
      </c>
      <c r="F136" s="0" t="n">
        <v>0</v>
      </c>
      <c r="G136" s="0" t="n">
        <v>16</v>
      </c>
      <c r="H136" s="0" t="n">
        <v>16</v>
      </c>
    </row>
    <row r="137" customFormat="false" ht="15" hidden="false" customHeight="false" outlineLevel="0" collapsed="false">
      <c r="A137" s="0" t="s">
        <v>120</v>
      </c>
      <c r="B137" s="0" t="s">
        <v>417</v>
      </c>
      <c r="C137" s="0" t="s">
        <v>418</v>
      </c>
      <c r="D137" s="0" t="n">
        <v>4</v>
      </c>
      <c r="E137" s="0" t="n">
        <v>5</v>
      </c>
      <c r="F137" s="0" t="n">
        <v>0</v>
      </c>
      <c r="G137" s="0" t="n">
        <v>9</v>
      </c>
      <c r="H137" s="0" t="n">
        <v>9</v>
      </c>
    </row>
    <row r="138" customFormat="false" ht="15" hidden="false" customHeight="false" outlineLevel="0" collapsed="false">
      <c r="A138" s="0" t="s">
        <v>120</v>
      </c>
      <c r="B138" s="0" t="s">
        <v>419</v>
      </c>
      <c r="C138" s="0" t="s">
        <v>78</v>
      </c>
      <c r="D138" s="0" t="n">
        <v>8</v>
      </c>
      <c r="E138" s="0" t="n">
        <v>2</v>
      </c>
      <c r="F138" s="0" t="n">
        <v>3</v>
      </c>
      <c r="G138" s="0" t="n">
        <v>10</v>
      </c>
      <c r="H138" s="0" t="n">
        <v>13</v>
      </c>
    </row>
    <row r="139" customFormat="false" ht="15" hidden="false" customHeight="false" outlineLevel="0" collapsed="false">
      <c r="A139" s="0" t="s">
        <v>120</v>
      </c>
      <c r="B139" s="0" t="s">
        <v>402</v>
      </c>
      <c r="C139" s="0" t="s">
        <v>420</v>
      </c>
      <c r="D139" s="0" t="n">
        <v>1</v>
      </c>
      <c r="E139" s="0" t="n">
        <v>2</v>
      </c>
      <c r="F139" s="0" t="n">
        <v>1</v>
      </c>
      <c r="G139" s="0" t="n">
        <v>3</v>
      </c>
      <c r="H139" s="0" t="n">
        <v>4</v>
      </c>
    </row>
    <row r="140" customFormat="false" ht="15" hidden="false" customHeight="false" outlineLevel="0" collapsed="false">
      <c r="A140" s="0" t="s">
        <v>120</v>
      </c>
      <c r="B140" s="0" t="s">
        <v>357</v>
      </c>
      <c r="C140" s="0" t="s">
        <v>84</v>
      </c>
      <c r="D140" s="0" t="n">
        <v>2</v>
      </c>
      <c r="E140" s="0" t="n">
        <v>4</v>
      </c>
      <c r="F140" s="0" t="n">
        <v>7</v>
      </c>
      <c r="G140" s="0" t="n">
        <v>6</v>
      </c>
      <c r="H140" s="0" t="n">
        <v>13</v>
      </c>
    </row>
    <row r="141" customFormat="false" ht="15" hidden="false" customHeight="false" outlineLevel="0" collapsed="false">
      <c r="A141" s="0" t="s">
        <v>120</v>
      </c>
      <c r="B141" s="0" t="s">
        <v>360</v>
      </c>
      <c r="C141" s="0" t="s">
        <v>421</v>
      </c>
      <c r="D141" s="0" t="n">
        <v>1</v>
      </c>
      <c r="E141" s="0" t="n">
        <v>7</v>
      </c>
      <c r="F141" s="0" t="n">
        <v>0</v>
      </c>
      <c r="G141" s="0" t="n">
        <v>8</v>
      </c>
      <c r="H141" s="0" t="n">
        <v>8</v>
      </c>
    </row>
    <row r="142" customFormat="false" ht="15" hidden="false" customHeight="false" outlineLevel="0" collapsed="false">
      <c r="A142" s="0" t="s">
        <v>120</v>
      </c>
      <c r="B142" s="0" t="s">
        <v>422</v>
      </c>
      <c r="C142" s="0" t="s">
        <v>423</v>
      </c>
      <c r="D142" s="0" t="n">
        <v>5</v>
      </c>
      <c r="E142" s="0" t="n">
        <v>3</v>
      </c>
      <c r="F142" s="0" t="n">
        <v>0</v>
      </c>
      <c r="G142" s="0" t="n">
        <v>8</v>
      </c>
      <c r="H142" s="0" t="n">
        <v>8</v>
      </c>
    </row>
    <row r="143" customFormat="false" ht="15" hidden="false" customHeight="false" outlineLevel="0" collapsed="false">
      <c r="A143" s="0" t="s">
        <v>120</v>
      </c>
      <c r="B143" s="0" t="s">
        <v>385</v>
      </c>
      <c r="C143" s="0" t="s">
        <v>421</v>
      </c>
      <c r="D143" s="0" t="n">
        <v>3</v>
      </c>
      <c r="E143" s="0" t="n">
        <v>5</v>
      </c>
      <c r="F143" s="0" t="n">
        <v>0</v>
      </c>
      <c r="G143" s="0" t="n">
        <v>8</v>
      </c>
      <c r="H143" s="0" t="n">
        <v>8</v>
      </c>
    </row>
    <row r="144" customFormat="false" ht="15" hidden="false" customHeight="false" outlineLevel="0" collapsed="false">
      <c r="A144" s="0" t="s">
        <v>120</v>
      </c>
      <c r="B144" s="0" t="s">
        <v>387</v>
      </c>
      <c r="C144" s="0" t="s">
        <v>424</v>
      </c>
      <c r="D144" s="0" t="n">
        <v>4</v>
      </c>
      <c r="E144" s="0" t="n">
        <v>3</v>
      </c>
      <c r="F144" s="0" t="n">
        <v>3</v>
      </c>
      <c r="G144" s="0" t="n">
        <v>7</v>
      </c>
      <c r="H144" s="0" t="n">
        <v>10</v>
      </c>
    </row>
    <row r="145" customFormat="false" ht="15" hidden="false" customHeight="false" outlineLevel="0" collapsed="false">
      <c r="A145" s="0" t="s">
        <v>120</v>
      </c>
      <c r="B145" s="0" t="s">
        <v>425</v>
      </c>
      <c r="C145" s="0" t="s">
        <v>426</v>
      </c>
      <c r="D145" s="0" t="n">
        <v>2</v>
      </c>
      <c r="E145" s="0" t="n">
        <v>1</v>
      </c>
      <c r="F145" s="0" t="n">
        <v>3</v>
      </c>
      <c r="G145" s="0" t="n">
        <v>3</v>
      </c>
      <c r="H145" s="0" t="n">
        <v>6</v>
      </c>
    </row>
    <row r="146" customFormat="false" ht="15" hidden="false" customHeight="false" outlineLevel="0" collapsed="false">
      <c r="A146" s="0" t="s">
        <v>120</v>
      </c>
      <c r="B146" s="0" t="s">
        <v>427</v>
      </c>
      <c r="C146" s="0" t="s">
        <v>79</v>
      </c>
      <c r="D146" s="0" t="n">
        <v>5</v>
      </c>
      <c r="E146" s="0" t="n">
        <v>1</v>
      </c>
      <c r="F146" s="0" t="n">
        <v>0</v>
      </c>
      <c r="G146" s="0" t="n">
        <v>6</v>
      </c>
      <c r="H146" s="0" t="n">
        <v>6</v>
      </c>
    </row>
    <row r="147" customFormat="false" ht="15" hidden="false" customHeight="false" outlineLevel="0" collapsed="false">
      <c r="A147" s="0" t="s">
        <v>120</v>
      </c>
      <c r="B147" s="0" t="s">
        <v>428</v>
      </c>
      <c r="C147" s="0" t="s">
        <v>429</v>
      </c>
      <c r="D147" s="0" t="n">
        <v>0</v>
      </c>
      <c r="E147" s="0" t="n">
        <v>5</v>
      </c>
      <c r="F147" s="0" t="n">
        <v>2</v>
      </c>
      <c r="G147" s="0" t="n">
        <v>5</v>
      </c>
      <c r="H147" s="0" t="n">
        <v>7</v>
      </c>
    </row>
    <row r="148" customFormat="false" ht="15" hidden="false" customHeight="false" outlineLevel="0" collapsed="false">
      <c r="A148" s="0" t="s">
        <v>120</v>
      </c>
      <c r="B148" s="0" t="s">
        <v>396</v>
      </c>
      <c r="C148" s="0" t="s">
        <v>420</v>
      </c>
      <c r="D148" s="0" t="n">
        <v>3</v>
      </c>
      <c r="E148" s="0" t="n">
        <v>2</v>
      </c>
      <c r="F148" s="0" t="n">
        <v>0</v>
      </c>
      <c r="G148" s="0" t="n">
        <v>5</v>
      </c>
      <c r="H148" s="0" t="n">
        <v>5</v>
      </c>
    </row>
    <row r="149" customFormat="false" ht="15" hidden="false" customHeight="false" outlineLevel="0" collapsed="false">
      <c r="A149" s="0" t="s">
        <v>120</v>
      </c>
      <c r="B149" s="0" t="s">
        <v>372</v>
      </c>
      <c r="C149" s="0" t="s">
        <v>424</v>
      </c>
      <c r="D149" s="0" t="n">
        <v>0</v>
      </c>
      <c r="E149" s="0" t="n">
        <v>5</v>
      </c>
      <c r="F149" s="0" t="n">
        <v>2</v>
      </c>
      <c r="G149" s="0" t="n">
        <v>5</v>
      </c>
      <c r="H149" s="0" t="n">
        <v>7</v>
      </c>
    </row>
    <row r="150" customFormat="false" ht="15" hidden="false" customHeight="false" outlineLevel="0" collapsed="false">
      <c r="A150" s="0" t="s">
        <v>120</v>
      </c>
      <c r="B150" s="0" t="s">
        <v>372</v>
      </c>
      <c r="C150" s="0" t="s">
        <v>430</v>
      </c>
      <c r="D150" s="0" t="n">
        <v>2</v>
      </c>
      <c r="E150" s="0" t="n">
        <v>7</v>
      </c>
      <c r="F150" s="0" t="n">
        <v>4</v>
      </c>
      <c r="G150" s="0" t="n">
        <v>9</v>
      </c>
      <c r="H150" s="0" t="n">
        <v>13</v>
      </c>
    </row>
    <row r="151" customFormat="false" ht="15" hidden="false" customHeight="false" outlineLevel="0" collapsed="false">
      <c r="A151" s="0" t="s">
        <v>120</v>
      </c>
      <c r="B151" s="0" t="s">
        <v>431</v>
      </c>
      <c r="C151" s="0" t="s">
        <v>79</v>
      </c>
      <c r="D151" s="0" t="n">
        <v>4</v>
      </c>
      <c r="E151" s="0" t="n">
        <v>5</v>
      </c>
      <c r="F151" s="0" t="n">
        <v>1</v>
      </c>
      <c r="G151" s="0" t="n">
        <v>9</v>
      </c>
      <c r="H151" s="0" t="n">
        <v>10</v>
      </c>
    </row>
    <row r="152" customFormat="false" ht="15" hidden="false" customHeight="false" outlineLevel="0" collapsed="false">
      <c r="A152" s="0" t="s">
        <v>125</v>
      </c>
      <c r="B152" s="0" t="s">
        <v>417</v>
      </c>
      <c r="C152" s="0" t="s">
        <v>418</v>
      </c>
      <c r="D152" s="0" t="n">
        <v>8</v>
      </c>
      <c r="E152" s="0" t="n">
        <v>7</v>
      </c>
      <c r="F152" s="0" t="n">
        <v>0</v>
      </c>
      <c r="G152" s="0" t="n">
        <v>15</v>
      </c>
      <c r="H152" s="0" t="n">
        <v>15</v>
      </c>
    </row>
    <row r="153" customFormat="false" ht="15" hidden="false" customHeight="false" outlineLevel="0" collapsed="false">
      <c r="A153" s="0" t="s">
        <v>125</v>
      </c>
      <c r="B153" s="0" t="s">
        <v>419</v>
      </c>
      <c r="C153" s="0" t="s">
        <v>78</v>
      </c>
      <c r="D153" s="0" t="n">
        <v>9</v>
      </c>
      <c r="E153" s="0" t="n">
        <v>2</v>
      </c>
      <c r="F153" s="0" t="n">
        <v>4</v>
      </c>
      <c r="G153" s="0" t="n">
        <v>11</v>
      </c>
      <c r="H153" s="0" t="n">
        <v>15</v>
      </c>
    </row>
    <row r="154" customFormat="false" ht="15" hidden="false" customHeight="false" outlineLevel="0" collapsed="false">
      <c r="A154" s="0" t="s">
        <v>125</v>
      </c>
      <c r="B154" s="0" t="s">
        <v>402</v>
      </c>
      <c r="C154" s="0" t="s">
        <v>420</v>
      </c>
      <c r="D154" s="0" t="n">
        <v>3</v>
      </c>
      <c r="E154" s="0" t="n">
        <v>5</v>
      </c>
      <c r="F154" s="0" t="n">
        <v>2</v>
      </c>
      <c r="G154" s="0" t="n">
        <v>8</v>
      </c>
      <c r="H154" s="0" t="n">
        <v>10</v>
      </c>
    </row>
    <row r="155" customFormat="false" ht="15" hidden="false" customHeight="false" outlineLevel="0" collapsed="false">
      <c r="A155" s="0" t="s">
        <v>125</v>
      </c>
      <c r="B155" s="0" t="s">
        <v>357</v>
      </c>
      <c r="C155" s="0" t="s">
        <v>84</v>
      </c>
      <c r="D155" s="0" t="n">
        <v>9</v>
      </c>
      <c r="E155" s="0" t="n">
        <v>9</v>
      </c>
      <c r="F155" s="0" t="n">
        <v>5</v>
      </c>
      <c r="G155" s="0" t="n">
        <v>18</v>
      </c>
      <c r="H155" s="0" t="n">
        <v>23</v>
      </c>
    </row>
    <row r="156" customFormat="false" ht="15" hidden="false" customHeight="false" outlineLevel="0" collapsed="false">
      <c r="A156" s="0" t="s">
        <v>125</v>
      </c>
      <c r="B156" s="0" t="s">
        <v>360</v>
      </c>
      <c r="C156" s="0" t="s">
        <v>421</v>
      </c>
      <c r="D156" s="0" t="n">
        <v>5</v>
      </c>
      <c r="E156" s="0" t="n">
        <v>10</v>
      </c>
      <c r="F156" s="0" t="n">
        <v>0</v>
      </c>
      <c r="G156" s="0" t="n">
        <v>15</v>
      </c>
      <c r="H156" s="0" t="n">
        <v>15</v>
      </c>
    </row>
    <row r="157" customFormat="false" ht="15" hidden="false" customHeight="false" outlineLevel="0" collapsed="false">
      <c r="A157" s="0" t="s">
        <v>125</v>
      </c>
      <c r="B157" s="0" t="s">
        <v>422</v>
      </c>
      <c r="C157" s="0" t="s">
        <v>423</v>
      </c>
      <c r="D157" s="0" t="n">
        <v>9</v>
      </c>
      <c r="E157" s="0" t="n">
        <v>11</v>
      </c>
      <c r="F157" s="0" t="n">
        <v>0</v>
      </c>
      <c r="G157" s="0" t="n">
        <v>20</v>
      </c>
      <c r="H157" s="0" t="n">
        <v>20</v>
      </c>
    </row>
    <row r="158" customFormat="false" ht="15" hidden="false" customHeight="false" outlineLevel="0" collapsed="false">
      <c r="A158" s="0" t="s">
        <v>125</v>
      </c>
      <c r="B158" s="0" t="s">
        <v>428</v>
      </c>
      <c r="C158" s="0" t="s">
        <v>85</v>
      </c>
      <c r="D158" s="0" t="n">
        <v>7</v>
      </c>
      <c r="E158" s="0" t="n">
        <v>5</v>
      </c>
      <c r="F158" s="0" t="n">
        <v>6</v>
      </c>
      <c r="G158" s="0" t="n">
        <v>12</v>
      </c>
      <c r="H158" s="0" t="n">
        <v>18</v>
      </c>
    </row>
    <row r="159" customFormat="false" ht="15" hidden="false" customHeight="false" outlineLevel="0" collapsed="false">
      <c r="A159" s="0" t="s">
        <v>125</v>
      </c>
      <c r="B159" s="0" t="s">
        <v>396</v>
      </c>
      <c r="C159" s="0" t="s">
        <v>432</v>
      </c>
      <c r="D159" s="0" t="n">
        <v>2</v>
      </c>
      <c r="E159" s="0" t="n">
        <v>2</v>
      </c>
      <c r="F159" s="0" t="n">
        <v>10</v>
      </c>
      <c r="G159" s="0" t="n">
        <v>4</v>
      </c>
      <c r="H159" s="0" t="n">
        <v>14</v>
      </c>
    </row>
    <row r="160" customFormat="false" ht="15" hidden="false" customHeight="false" outlineLevel="0" collapsed="false">
      <c r="A160" s="0" t="s">
        <v>125</v>
      </c>
      <c r="B160" s="0" t="s">
        <v>370</v>
      </c>
      <c r="C160" s="0" t="s">
        <v>433</v>
      </c>
      <c r="D160" s="0" t="n">
        <v>9</v>
      </c>
      <c r="E160" s="0" t="n">
        <v>10</v>
      </c>
      <c r="F160" s="0" t="n">
        <v>0</v>
      </c>
      <c r="G160" s="0" t="n">
        <v>19</v>
      </c>
      <c r="H160" s="0" t="n">
        <v>19</v>
      </c>
    </row>
    <row r="161" customFormat="false" ht="15" hidden="false" customHeight="false" outlineLevel="0" collapsed="false">
      <c r="A161" s="0" t="s">
        <v>125</v>
      </c>
      <c r="B161" s="0" t="s">
        <v>372</v>
      </c>
      <c r="C161" s="0" t="s">
        <v>434</v>
      </c>
      <c r="D161" s="0" t="n">
        <v>8</v>
      </c>
      <c r="E161" s="0" t="n">
        <v>0</v>
      </c>
      <c r="F161" s="0" t="n">
        <v>3</v>
      </c>
      <c r="G161" s="0" t="n">
        <v>8</v>
      </c>
      <c r="H161" s="0" t="n">
        <v>11</v>
      </c>
    </row>
    <row r="162" customFormat="false" ht="15" hidden="false" customHeight="false" outlineLevel="0" collapsed="false">
      <c r="A162" s="0" t="s">
        <v>125</v>
      </c>
      <c r="B162" s="0" t="s">
        <v>372</v>
      </c>
      <c r="C162" s="0" t="s">
        <v>421</v>
      </c>
      <c r="D162" s="0" t="n">
        <v>12</v>
      </c>
      <c r="E162" s="0" t="n">
        <v>8</v>
      </c>
      <c r="F162" s="0" t="n">
        <v>9</v>
      </c>
      <c r="G162" s="0" t="n">
        <v>20</v>
      </c>
      <c r="H162" s="0" t="n">
        <v>29</v>
      </c>
    </row>
    <row r="163" customFormat="false" ht="15" hidden="false" customHeight="false" outlineLevel="0" collapsed="false">
      <c r="A163" s="0" t="s">
        <v>125</v>
      </c>
      <c r="B163" s="0" t="s">
        <v>431</v>
      </c>
      <c r="C163" s="0" t="s">
        <v>430</v>
      </c>
      <c r="D163" s="0" t="n">
        <v>17</v>
      </c>
      <c r="E163" s="0" t="n">
        <v>14</v>
      </c>
      <c r="F163" s="0" t="n">
        <v>3</v>
      </c>
      <c r="G163" s="0" t="n">
        <v>31</v>
      </c>
      <c r="H163" s="0" t="n">
        <v>34</v>
      </c>
    </row>
    <row r="164" customFormat="false" ht="15" hidden="false" customHeight="false" outlineLevel="0" collapsed="false">
      <c r="A164" s="0" t="s">
        <v>125</v>
      </c>
      <c r="B164" s="0" t="s">
        <v>398</v>
      </c>
      <c r="C164" s="0" t="s">
        <v>435</v>
      </c>
      <c r="D164" s="0" t="n">
        <v>11</v>
      </c>
      <c r="E164" s="0" t="n">
        <v>5</v>
      </c>
      <c r="F164" s="0" t="n">
        <v>15</v>
      </c>
      <c r="G164" s="0" t="n">
        <v>16</v>
      </c>
      <c r="H164" s="0" t="n">
        <v>31</v>
      </c>
    </row>
    <row r="165" customFormat="false" ht="15" hidden="false" customHeight="false" outlineLevel="0" collapsed="false">
      <c r="A165" s="0" t="s">
        <v>125</v>
      </c>
      <c r="B165" s="0" t="s">
        <v>398</v>
      </c>
      <c r="C165" s="0" t="s">
        <v>436</v>
      </c>
      <c r="D165" s="0" t="n">
        <v>7</v>
      </c>
      <c r="E165" s="0" t="n">
        <v>10</v>
      </c>
      <c r="F165" s="0" t="n">
        <v>12</v>
      </c>
      <c r="G165" s="0" t="n">
        <v>17</v>
      </c>
      <c r="H165" s="0" t="n">
        <v>29</v>
      </c>
    </row>
    <row r="166" customFormat="false" ht="15" hidden="false" customHeight="false" outlineLevel="0" collapsed="false">
      <c r="A166" s="0" t="s">
        <v>125</v>
      </c>
      <c r="B166" s="0" t="s">
        <v>400</v>
      </c>
      <c r="C166" s="0" t="s">
        <v>85</v>
      </c>
      <c r="D166" s="0" t="n">
        <v>6</v>
      </c>
      <c r="E166" s="0" t="n">
        <v>3</v>
      </c>
      <c r="F166" s="0" t="n">
        <v>5</v>
      </c>
      <c r="G166" s="0" t="n">
        <v>9</v>
      </c>
      <c r="H166" s="0" t="n">
        <v>14</v>
      </c>
    </row>
    <row r="167" customFormat="false" ht="15" hidden="false" customHeight="false" outlineLevel="0" collapsed="false">
      <c r="A167" s="0" t="s">
        <v>128</v>
      </c>
      <c r="B167" s="0" t="s">
        <v>417</v>
      </c>
      <c r="C167" s="0" t="s">
        <v>418</v>
      </c>
      <c r="D167" s="0" t="n">
        <v>14</v>
      </c>
      <c r="E167" s="0" t="n">
        <v>8</v>
      </c>
      <c r="F167" s="0" t="n">
        <v>0</v>
      </c>
      <c r="G167" s="0" t="n">
        <v>22</v>
      </c>
      <c r="H167" s="0" t="n">
        <v>22</v>
      </c>
    </row>
    <row r="168" customFormat="false" ht="15" hidden="false" customHeight="false" outlineLevel="0" collapsed="false">
      <c r="A168" s="0" t="s">
        <v>128</v>
      </c>
      <c r="B168" s="0" t="s">
        <v>419</v>
      </c>
      <c r="C168" s="0" t="s">
        <v>78</v>
      </c>
      <c r="D168" s="0" t="n">
        <v>10</v>
      </c>
      <c r="E168" s="0" t="n">
        <v>5</v>
      </c>
      <c r="F168" s="0" t="n">
        <v>8</v>
      </c>
      <c r="G168" s="0" t="n">
        <v>15</v>
      </c>
      <c r="H168" s="0" t="n">
        <v>23</v>
      </c>
    </row>
    <row r="169" customFormat="false" ht="15" hidden="false" customHeight="false" outlineLevel="0" collapsed="false">
      <c r="A169" s="0" t="s">
        <v>128</v>
      </c>
      <c r="B169" s="0" t="s">
        <v>402</v>
      </c>
      <c r="C169" s="0" t="s">
        <v>420</v>
      </c>
      <c r="D169" s="0" t="n">
        <v>10</v>
      </c>
      <c r="E169" s="0" t="n">
        <v>14</v>
      </c>
      <c r="F169" s="0" t="n">
        <v>1</v>
      </c>
      <c r="G169" s="0" t="n">
        <v>24</v>
      </c>
      <c r="H169" s="0" t="n">
        <v>25</v>
      </c>
    </row>
    <row r="170" customFormat="false" ht="15" hidden="false" customHeight="false" outlineLevel="0" collapsed="false">
      <c r="A170" s="0" t="s">
        <v>128</v>
      </c>
      <c r="B170" s="0" t="s">
        <v>357</v>
      </c>
      <c r="C170" s="0" t="s">
        <v>84</v>
      </c>
      <c r="D170" s="0" t="n">
        <v>13</v>
      </c>
      <c r="E170" s="0" t="n">
        <v>8</v>
      </c>
      <c r="F170" s="0" t="n">
        <v>15</v>
      </c>
      <c r="G170" s="0" t="n">
        <v>21</v>
      </c>
      <c r="H170" s="0" t="n">
        <v>36</v>
      </c>
    </row>
    <row r="171" customFormat="false" ht="15" hidden="false" customHeight="false" outlineLevel="0" collapsed="false">
      <c r="A171" s="0" t="s">
        <v>128</v>
      </c>
      <c r="B171" s="0" t="s">
        <v>422</v>
      </c>
      <c r="C171" s="0" t="s">
        <v>423</v>
      </c>
      <c r="D171" s="0" t="n">
        <v>20</v>
      </c>
      <c r="E171" s="0" t="n">
        <v>9</v>
      </c>
      <c r="F171" s="0" t="n">
        <v>0</v>
      </c>
      <c r="G171" s="0" t="n">
        <v>29</v>
      </c>
      <c r="H171" s="0" t="n">
        <v>29</v>
      </c>
    </row>
    <row r="172" customFormat="false" ht="15" hidden="false" customHeight="false" outlineLevel="0" collapsed="false">
      <c r="A172" s="0" t="s">
        <v>128</v>
      </c>
      <c r="B172" s="0" t="s">
        <v>385</v>
      </c>
      <c r="C172" s="0" t="s">
        <v>421</v>
      </c>
      <c r="D172" s="0" t="n">
        <v>5</v>
      </c>
      <c r="E172" s="0" t="n">
        <v>2</v>
      </c>
      <c r="F172" s="0" t="n">
        <v>0</v>
      </c>
      <c r="G172" s="0" t="n">
        <v>7</v>
      </c>
      <c r="H172" s="0" t="n">
        <v>7</v>
      </c>
    </row>
    <row r="173" customFormat="false" ht="15" hidden="false" customHeight="false" outlineLevel="0" collapsed="false">
      <c r="A173" s="0" t="s">
        <v>128</v>
      </c>
      <c r="B173" s="0" t="s">
        <v>387</v>
      </c>
      <c r="C173" s="0" t="s">
        <v>424</v>
      </c>
      <c r="D173" s="0" t="n">
        <v>18</v>
      </c>
      <c r="E173" s="0" t="n">
        <v>7</v>
      </c>
      <c r="F173" s="0" t="n">
        <v>9</v>
      </c>
      <c r="G173" s="0" t="n">
        <v>25</v>
      </c>
      <c r="H173" s="0" t="n">
        <v>34</v>
      </c>
    </row>
    <row r="174" customFormat="false" ht="15" hidden="false" customHeight="false" outlineLevel="0" collapsed="false">
      <c r="A174" s="0" t="s">
        <v>128</v>
      </c>
      <c r="B174" s="0" t="s">
        <v>425</v>
      </c>
      <c r="C174" s="0" t="s">
        <v>426</v>
      </c>
      <c r="D174" s="0" t="n">
        <v>8</v>
      </c>
      <c r="E174" s="0" t="n">
        <v>2</v>
      </c>
      <c r="F174" s="0" t="n">
        <v>10</v>
      </c>
      <c r="G174" s="0" t="n">
        <v>10</v>
      </c>
      <c r="H174" s="0" t="n">
        <v>20</v>
      </c>
    </row>
    <row r="175" customFormat="false" ht="15" hidden="false" customHeight="false" outlineLevel="0" collapsed="false">
      <c r="A175" s="0" t="s">
        <v>128</v>
      </c>
      <c r="B175" s="0" t="s">
        <v>427</v>
      </c>
      <c r="C175" s="0" t="s">
        <v>79</v>
      </c>
      <c r="D175" s="0" t="n">
        <v>3</v>
      </c>
      <c r="E175" s="0" t="n">
        <v>5</v>
      </c>
      <c r="F175" s="0" t="n">
        <v>0</v>
      </c>
      <c r="G175" s="0" t="n">
        <v>8</v>
      </c>
      <c r="H175" s="0" t="n">
        <v>8</v>
      </c>
    </row>
    <row r="176" customFormat="false" ht="15" hidden="false" customHeight="false" outlineLevel="0" collapsed="false">
      <c r="A176" s="0" t="s">
        <v>128</v>
      </c>
      <c r="B176" s="0" t="s">
        <v>428</v>
      </c>
      <c r="C176" s="0" t="s">
        <v>429</v>
      </c>
      <c r="D176" s="0" t="n">
        <v>6</v>
      </c>
      <c r="E176" s="0" t="n">
        <v>10</v>
      </c>
      <c r="F176" s="0" t="n">
        <v>8</v>
      </c>
      <c r="G176" s="0" t="n">
        <v>16</v>
      </c>
      <c r="H176" s="0" t="n">
        <v>24</v>
      </c>
    </row>
    <row r="177" customFormat="false" ht="15" hidden="false" customHeight="false" outlineLevel="0" collapsed="false">
      <c r="A177" s="0" t="s">
        <v>128</v>
      </c>
      <c r="B177" s="0" t="s">
        <v>396</v>
      </c>
      <c r="C177" s="0" t="s">
        <v>420</v>
      </c>
      <c r="D177" s="0" t="n">
        <v>12</v>
      </c>
      <c r="E177" s="0" t="n">
        <v>0</v>
      </c>
      <c r="F177" s="0" t="n">
        <v>0</v>
      </c>
      <c r="G177" s="0" t="n">
        <v>12</v>
      </c>
      <c r="H177" s="0" t="n">
        <v>12</v>
      </c>
    </row>
    <row r="178" customFormat="false" ht="15" hidden="false" customHeight="false" outlineLevel="0" collapsed="false">
      <c r="A178" s="0" t="s">
        <v>128</v>
      </c>
      <c r="B178" s="0" t="s">
        <v>372</v>
      </c>
      <c r="C178" s="0" t="s">
        <v>424</v>
      </c>
      <c r="D178" s="0" t="n">
        <v>0</v>
      </c>
      <c r="E178" s="0" t="n">
        <v>2</v>
      </c>
      <c r="F178" s="0" t="n">
        <v>8</v>
      </c>
      <c r="G178" s="0" t="n">
        <v>2</v>
      </c>
      <c r="H178" s="0" t="n">
        <v>10</v>
      </c>
    </row>
    <row r="179" customFormat="false" ht="15" hidden="false" customHeight="false" outlineLevel="0" collapsed="false">
      <c r="A179" s="0" t="s">
        <v>128</v>
      </c>
      <c r="B179" s="0" t="s">
        <v>372</v>
      </c>
      <c r="C179" s="0" t="s">
        <v>430</v>
      </c>
      <c r="D179" s="0" t="n">
        <v>2</v>
      </c>
      <c r="E179" s="0" t="n">
        <v>7</v>
      </c>
      <c r="F179" s="0" t="n">
        <v>7</v>
      </c>
      <c r="G179" s="0" t="n">
        <v>9</v>
      </c>
      <c r="H179" s="0" t="n">
        <v>16</v>
      </c>
    </row>
    <row r="180" customFormat="false" ht="15" hidden="false" customHeight="false" outlineLevel="0" collapsed="false">
      <c r="A180" s="0" t="s">
        <v>128</v>
      </c>
      <c r="B180" s="0" t="s">
        <v>431</v>
      </c>
      <c r="C180" s="0" t="s">
        <v>79</v>
      </c>
      <c r="D180" s="0" t="n">
        <v>4</v>
      </c>
      <c r="E180" s="0" t="n">
        <v>14</v>
      </c>
      <c r="F180" s="0" t="n">
        <v>4</v>
      </c>
      <c r="G180" s="0" t="n">
        <v>18</v>
      </c>
      <c r="H180" s="0" t="n">
        <v>22</v>
      </c>
    </row>
    <row r="181" customFormat="false" ht="15" hidden="false" customHeight="false" outlineLevel="0" collapsed="false">
      <c r="A181" s="0" t="s">
        <v>128</v>
      </c>
      <c r="B181" s="0" t="s">
        <v>431</v>
      </c>
      <c r="C181" s="0" t="s">
        <v>420</v>
      </c>
      <c r="D181" s="0" t="n">
        <v>8</v>
      </c>
      <c r="E181" s="0" t="n">
        <v>12</v>
      </c>
      <c r="F181" s="0" t="n">
        <v>11</v>
      </c>
      <c r="G181" s="0" t="n">
        <v>20</v>
      </c>
      <c r="H181" s="0" t="n">
        <v>31</v>
      </c>
    </row>
    <row r="182" customFormat="false" ht="15" hidden="false" customHeight="false" outlineLevel="0" collapsed="false">
      <c r="A182" s="0" t="s">
        <v>131</v>
      </c>
      <c r="B182" s="0" t="s">
        <v>417</v>
      </c>
      <c r="C182" s="0" t="s">
        <v>418</v>
      </c>
      <c r="D182" s="0" t="n">
        <v>0</v>
      </c>
      <c r="E182" s="0" t="n">
        <v>1</v>
      </c>
      <c r="F182" s="0" t="n">
        <v>0</v>
      </c>
      <c r="G182" s="0" t="n">
        <v>1</v>
      </c>
      <c r="H182" s="0" t="n">
        <v>1</v>
      </c>
    </row>
    <row r="183" customFormat="false" ht="15" hidden="false" customHeight="false" outlineLevel="0" collapsed="false">
      <c r="A183" s="0" t="s">
        <v>131</v>
      </c>
      <c r="B183" s="0" t="s">
        <v>419</v>
      </c>
      <c r="C183" s="0" t="s">
        <v>78</v>
      </c>
      <c r="D183" s="0" t="n">
        <v>3</v>
      </c>
      <c r="E183" s="0" t="n">
        <v>2</v>
      </c>
      <c r="F183" s="0" t="n">
        <v>0</v>
      </c>
      <c r="G183" s="0" t="n">
        <v>5</v>
      </c>
      <c r="H183" s="0" t="n">
        <v>5</v>
      </c>
    </row>
    <row r="184" customFormat="false" ht="15" hidden="false" customHeight="false" outlineLevel="0" collapsed="false">
      <c r="A184" s="0" t="s">
        <v>131</v>
      </c>
      <c r="B184" s="0" t="s">
        <v>402</v>
      </c>
      <c r="C184" s="0" t="s">
        <v>420</v>
      </c>
      <c r="D184" s="0" t="n">
        <v>4</v>
      </c>
      <c r="E184" s="0" t="n">
        <v>9</v>
      </c>
      <c r="F184" s="0" t="n">
        <v>0</v>
      </c>
      <c r="G184" s="0" t="n">
        <v>13</v>
      </c>
      <c r="H184" s="0" t="n">
        <v>13</v>
      </c>
    </row>
    <row r="185" customFormat="false" ht="15" hidden="false" customHeight="false" outlineLevel="0" collapsed="false">
      <c r="A185" s="0" t="s">
        <v>131</v>
      </c>
      <c r="B185" s="0" t="s">
        <v>357</v>
      </c>
      <c r="C185" s="0" t="s">
        <v>84</v>
      </c>
      <c r="D185" s="0" t="n">
        <v>4</v>
      </c>
      <c r="E185" s="0" t="n">
        <v>1</v>
      </c>
      <c r="F185" s="0" t="n">
        <v>4</v>
      </c>
      <c r="G185" s="0" t="n">
        <v>5</v>
      </c>
      <c r="H185" s="0" t="n">
        <v>9</v>
      </c>
    </row>
    <row r="186" customFormat="false" ht="15" hidden="false" customHeight="false" outlineLevel="0" collapsed="false">
      <c r="A186" s="0" t="s">
        <v>131</v>
      </c>
      <c r="B186" s="0" t="s">
        <v>360</v>
      </c>
      <c r="C186" s="0" t="s">
        <v>421</v>
      </c>
      <c r="D186" s="0" t="n">
        <v>7</v>
      </c>
      <c r="E186" s="0" t="n">
        <v>7</v>
      </c>
      <c r="F186" s="0" t="n">
        <v>0</v>
      </c>
      <c r="G186" s="0" t="n">
        <v>14</v>
      </c>
      <c r="H186" s="0" t="n">
        <v>14</v>
      </c>
    </row>
    <row r="187" customFormat="false" ht="15" hidden="false" customHeight="false" outlineLevel="0" collapsed="false">
      <c r="A187" s="0" t="s">
        <v>131</v>
      </c>
      <c r="B187" s="0" t="s">
        <v>422</v>
      </c>
      <c r="C187" s="0" t="s">
        <v>423</v>
      </c>
      <c r="D187" s="0" t="n">
        <v>3</v>
      </c>
      <c r="E187" s="0" t="n">
        <v>5</v>
      </c>
      <c r="F187" s="0" t="n">
        <v>0</v>
      </c>
      <c r="G187" s="0" t="n">
        <v>8</v>
      </c>
      <c r="H187" s="0" t="n">
        <v>8</v>
      </c>
    </row>
    <row r="188" customFormat="false" ht="15" hidden="false" customHeight="false" outlineLevel="0" collapsed="false">
      <c r="A188" s="0" t="s">
        <v>131</v>
      </c>
      <c r="B188" s="0" t="s">
        <v>385</v>
      </c>
      <c r="C188" s="0" t="s">
        <v>421</v>
      </c>
      <c r="D188" s="0" t="n">
        <v>3</v>
      </c>
      <c r="E188" s="0" t="n">
        <v>3</v>
      </c>
      <c r="F188" s="0" t="n">
        <v>0</v>
      </c>
      <c r="G188" s="0" t="n">
        <v>6</v>
      </c>
      <c r="H188" s="0" t="n">
        <v>6</v>
      </c>
    </row>
    <row r="189" customFormat="false" ht="15" hidden="false" customHeight="false" outlineLevel="0" collapsed="false">
      <c r="A189" s="0" t="s">
        <v>131</v>
      </c>
      <c r="B189" s="0" t="s">
        <v>387</v>
      </c>
      <c r="C189" s="0" t="s">
        <v>424</v>
      </c>
      <c r="D189" s="0" t="n">
        <v>7</v>
      </c>
      <c r="E189" s="0" t="n">
        <v>4</v>
      </c>
      <c r="F189" s="0" t="n">
        <v>7</v>
      </c>
      <c r="G189" s="0" t="n">
        <v>11</v>
      </c>
      <c r="H189" s="0" t="n">
        <v>18</v>
      </c>
    </row>
    <row r="190" customFormat="false" ht="15" hidden="false" customHeight="false" outlineLevel="0" collapsed="false">
      <c r="A190" s="0" t="s">
        <v>131</v>
      </c>
      <c r="B190" s="0" t="s">
        <v>425</v>
      </c>
      <c r="C190" s="0" t="s">
        <v>426</v>
      </c>
      <c r="D190" s="0" t="n">
        <v>2</v>
      </c>
      <c r="E190" s="0" t="n">
        <v>3</v>
      </c>
      <c r="F190" s="0" t="n">
        <v>2</v>
      </c>
      <c r="G190" s="0" t="n">
        <v>5</v>
      </c>
      <c r="H190" s="0" t="n">
        <v>7</v>
      </c>
    </row>
    <row r="191" customFormat="false" ht="15" hidden="false" customHeight="false" outlineLevel="0" collapsed="false">
      <c r="A191" s="0" t="s">
        <v>131</v>
      </c>
      <c r="B191" s="0" t="s">
        <v>427</v>
      </c>
      <c r="C191" s="0" t="s">
        <v>79</v>
      </c>
      <c r="D191" s="0" t="n">
        <v>5</v>
      </c>
      <c r="E191" s="0" t="n">
        <v>4</v>
      </c>
      <c r="F191" s="0" t="n">
        <v>0</v>
      </c>
      <c r="G191" s="0" t="n">
        <v>9</v>
      </c>
      <c r="H191" s="0" t="n">
        <v>9</v>
      </c>
    </row>
    <row r="192" customFormat="false" ht="15" hidden="false" customHeight="false" outlineLevel="0" collapsed="false">
      <c r="A192" s="0" t="s">
        <v>131</v>
      </c>
      <c r="B192" s="0" t="s">
        <v>428</v>
      </c>
      <c r="C192" s="0" t="s">
        <v>429</v>
      </c>
      <c r="D192" s="0" t="n">
        <v>1</v>
      </c>
      <c r="E192" s="0" t="n">
        <v>8</v>
      </c>
      <c r="F192" s="0" t="n">
        <v>9</v>
      </c>
      <c r="G192" s="0" t="n">
        <v>9</v>
      </c>
      <c r="H192" s="0" t="n">
        <v>18</v>
      </c>
    </row>
    <row r="193" customFormat="false" ht="15" hidden="false" customHeight="false" outlineLevel="0" collapsed="false">
      <c r="A193" s="0" t="s">
        <v>131</v>
      </c>
      <c r="B193" s="0" t="s">
        <v>396</v>
      </c>
      <c r="C193" s="0" t="s">
        <v>420</v>
      </c>
      <c r="D193" s="0" t="n">
        <v>7</v>
      </c>
      <c r="E193" s="0" t="n">
        <v>1</v>
      </c>
      <c r="F193" s="0" t="n">
        <v>0</v>
      </c>
      <c r="G193" s="0" t="n">
        <v>8</v>
      </c>
      <c r="H193" s="0" t="n">
        <v>8</v>
      </c>
    </row>
    <row r="194" customFormat="false" ht="15" hidden="false" customHeight="false" outlineLevel="0" collapsed="false">
      <c r="A194" s="0" t="s">
        <v>131</v>
      </c>
      <c r="B194" s="0" t="s">
        <v>372</v>
      </c>
      <c r="C194" s="0" t="s">
        <v>424</v>
      </c>
      <c r="D194" s="0" t="n">
        <v>2</v>
      </c>
      <c r="E194" s="0" t="n">
        <v>4</v>
      </c>
      <c r="F194" s="0" t="n">
        <v>0</v>
      </c>
      <c r="G194" s="0" t="n">
        <v>6</v>
      </c>
      <c r="H194" s="0" t="n">
        <v>6</v>
      </c>
    </row>
    <row r="195" customFormat="false" ht="15" hidden="false" customHeight="false" outlineLevel="0" collapsed="false">
      <c r="A195" s="0" t="s">
        <v>131</v>
      </c>
      <c r="B195" s="0" t="s">
        <v>372</v>
      </c>
      <c r="C195" s="0" t="s">
        <v>430</v>
      </c>
      <c r="D195" s="0" t="n">
        <v>5</v>
      </c>
      <c r="E195" s="0" t="n">
        <v>9</v>
      </c>
      <c r="F195" s="0" t="n">
        <v>10</v>
      </c>
      <c r="G195" s="0" t="n">
        <v>14</v>
      </c>
      <c r="H195" s="0" t="n">
        <v>24</v>
      </c>
    </row>
    <row r="196" customFormat="false" ht="15" hidden="false" customHeight="false" outlineLevel="0" collapsed="false">
      <c r="A196" s="0" t="s">
        <v>131</v>
      </c>
      <c r="B196" s="0" t="s">
        <v>431</v>
      </c>
      <c r="C196" s="0" t="s">
        <v>79</v>
      </c>
      <c r="D196" s="0" t="n">
        <v>2</v>
      </c>
      <c r="E196" s="0" t="n">
        <v>6</v>
      </c>
      <c r="F196" s="0" t="n">
        <v>4</v>
      </c>
      <c r="G196" s="0" t="n">
        <v>8</v>
      </c>
      <c r="H196" s="0" t="n">
        <v>12</v>
      </c>
    </row>
    <row r="197" customFormat="false" ht="15" hidden="false" customHeight="false" outlineLevel="0" collapsed="false">
      <c r="A197" s="0" t="s">
        <v>134</v>
      </c>
      <c r="B197" s="0" t="s">
        <v>417</v>
      </c>
      <c r="C197" s="0" t="s">
        <v>418</v>
      </c>
      <c r="D197" s="0" t="n">
        <v>8</v>
      </c>
      <c r="E197" s="0" t="n">
        <v>12</v>
      </c>
      <c r="F197" s="0" t="n">
        <v>0</v>
      </c>
      <c r="G197" s="0" t="n">
        <v>20</v>
      </c>
      <c r="H197" s="0" t="n">
        <v>20</v>
      </c>
    </row>
    <row r="198" customFormat="false" ht="15" hidden="false" customHeight="false" outlineLevel="0" collapsed="false">
      <c r="A198" s="0" t="s">
        <v>134</v>
      </c>
      <c r="B198" s="0" t="s">
        <v>419</v>
      </c>
      <c r="C198" s="0" t="s">
        <v>78</v>
      </c>
      <c r="D198" s="0" t="n">
        <v>3</v>
      </c>
      <c r="E198" s="0" t="n">
        <v>6</v>
      </c>
      <c r="F198" s="0" t="n">
        <v>8</v>
      </c>
      <c r="G198" s="0" t="n">
        <v>9</v>
      </c>
      <c r="H198" s="0" t="n">
        <v>17</v>
      </c>
    </row>
    <row r="199" customFormat="false" ht="15" hidden="false" customHeight="false" outlineLevel="0" collapsed="false">
      <c r="A199" s="0" t="s">
        <v>134</v>
      </c>
      <c r="B199" s="0" t="s">
        <v>402</v>
      </c>
      <c r="C199" s="0" t="s">
        <v>420</v>
      </c>
      <c r="D199" s="0" t="n">
        <v>3</v>
      </c>
      <c r="E199" s="0" t="n">
        <v>7</v>
      </c>
      <c r="F199" s="0" t="n">
        <v>6</v>
      </c>
      <c r="G199" s="0" t="n">
        <v>10</v>
      </c>
      <c r="H199" s="0" t="n">
        <v>16</v>
      </c>
    </row>
    <row r="200" customFormat="false" ht="15" hidden="false" customHeight="false" outlineLevel="0" collapsed="false">
      <c r="A200" s="0" t="s">
        <v>134</v>
      </c>
      <c r="B200" s="0" t="s">
        <v>357</v>
      </c>
      <c r="C200" s="0" t="s">
        <v>84</v>
      </c>
      <c r="D200" s="0" t="n">
        <v>9</v>
      </c>
      <c r="E200" s="0" t="n">
        <v>7</v>
      </c>
      <c r="F200" s="0" t="n">
        <v>5</v>
      </c>
      <c r="G200" s="0" t="n">
        <v>16</v>
      </c>
      <c r="H200" s="0" t="n">
        <v>21</v>
      </c>
    </row>
    <row r="201" customFormat="false" ht="15" hidden="false" customHeight="false" outlineLevel="0" collapsed="false">
      <c r="A201" s="0" t="s">
        <v>134</v>
      </c>
      <c r="B201" s="0" t="s">
        <v>360</v>
      </c>
      <c r="C201" s="0" t="s">
        <v>421</v>
      </c>
      <c r="D201" s="0" t="n">
        <v>5</v>
      </c>
      <c r="E201" s="0" t="n">
        <v>5</v>
      </c>
      <c r="F201" s="0" t="n">
        <v>0</v>
      </c>
      <c r="G201" s="0" t="n">
        <v>10</v>
      </c>
      <c r="H201" s="0" t="n">
        <v>10</v>
      </c>
    </row>
    <row r="202" customFormat="false" ht="15" hidden="false" customHeight="false" outlineLevel="0" collapsed="false">
      <c r="A202" s="0" t="s">
        <v>134</v>
      </c>
      <c r="B202" s="0" t="s">
        <v>422</v>
      </c>
      <c r="C202" s="0" t="s">
        <v>423</v>
      </c>
      <c r="D202" s="0" t="n">
        <v>9</v>
      </c>
      <c r="E202" s="0" t="n">
        <v>7</v>
      </c>
      <c r="F202" s="0" t="n">
        <v>0</v>
      </c>
      <c r="G202" s="0" t="n">
        <v>16</v>
      </c>
      <c r="H202" s="0" t="n">
        <v>16</v>
      </c>
    </row>
    <row r="203" customFormat="false" ht="15" hidden="false" customHeight="false" outlineLevel="0" collapsed="false">
      <c r="A203" s="0" t="s">
        <v>134</v>
      </c>
      <c r="B203" s="0" t="s">
        <v>385</v>
      </c>
      <c r="C203" s="0" t="s">
        <v>421</v>
      </c>
      <c r="D203" s="0" t="n">
        <v>4</v>
      </c>
      <c r="E203" s="0" t="n">
        <v>1</v>
      </c>
      <c r="F203" s="0" t="n">
        <v>0</v>
      </c>
      <c r="G203" s="0" t="n">
        <v>5</v>
      </c>
      <c r="H203" s="0" t="n">
        <v>5</v>
      </c>
    </row>
    <row r="204" customFormat="false" ht="15" hidden="false" customHeight="false" outlineLevel="0" collapsed="false">
      <c r="A204" s="0" t="s">
        <v>134</v>
      </c>
      <c r="B204" s="0" t="s">
        <v>387</v>
      </c>
      <c r="C204" s="0" t="s">
        <v>424</v>
      </c>
      <c r="D204" s="0" t="n">
        <v>7</v>
      </c>
      <c r="E204" s="0" t="n">
        <v>3</v>
      </c>
      <c r="F204" s="0" t="n">
        <v>14</v>
      </c>
      <c r="G204" s="0" t="n">
        <v>10</v>
      </c>
      <c r="H204" s="0" t="n">
        <v>24</v>
      </c>
    </row>
    <row r="205" customFormat="false" ht="15" hidden="false" customHeight="false" outlineLevel="0" collapsed="false">
      <c r="A205" s="0" t="s">
        <v>134</v>
      </c>
      <c r="B205" s="0" t="s">
        <v>425</v>
      </c>
      <c r="C205" s="0" t="s">
        <v>426</v>
      </c>
      <c r="D205" s="0" t="n">
        <v>9</v>
      </c>
      <c r="E205" s="0" t="n">
        <v>5</v>
      </c>
      <c r="F205" s="0" t="n">
        <v>11</v>
      </c>
      <c r="G205" s="0" t="n">
        <v>14</v>
      </c>
      <c r="H205" s="0" t="n">
        <v>25</v>
      </c>
    </row>
    <row r="206" customFormat="false" ht="15" hidden="false" customHeight="false" outlineLevel="0" collapsed="false">
      <c r="A206" s="0" t="s">
        <v>134</v>
      </c>
      <c r="B206" s="0" t="s">
        <v>370</v>
      </c>
      <c r="C206" s="0" t="s">
        <v>420</v>
      </c>
      <c r="D206" s="0" t="n">
        <v>3</v>
      </c>
      <c r="E206" s="0" t="n">
        <v>1</v>
      </c>
      <c r="F206" s="0" t="n">
        <v>10</v>
      </c>
      <c r="G206" s="0" t="n">
        <v>4</v>
      </c>
      <c r="H206" s="0" t="n">
        <v>14</v>
      </c>
    </row>
    <row r="207" customFormat="false" ht="15" hidden="false" customHeight="false" outlineLevel="0" collapsed="false">
      <c r="A207" s="0" t="s">
        <v>134</v>
      </c>
      <c r="B207" s="0" t="s">
        <v>372</v>
      </c>
      <c r="C207" s="0" t="s">
        <v>433</v>
      </c>
      <c r="D207" s="0" t="n">
        <v>2</v>
      </c>
      <c r="E207" s="0" t="n">
        <v>7</v>
      </c>
      <c r="F207" s="0" t="n">
        <v>0</v>
      </c>
      <c r="G207" s="0" t="n">
        <v>9</v>
      </c>
      <c r="H207" s="0" t="n">
        <v>9</v>
      </c>
    </row>
    <row r="208" customFormat="false" ht="15" hidden="false" customHeight="false" outlineLevel="0" collapsed="false">
      <c r="A208" s="0" t="s">
        <v>134</v>
      </c>
      <c r="B208" s="0" t="s">
        <v>372</v>
      </c>
      <c r="C208" s="0" t="s">
        <v>437</v>
      </c>
      <c r="D208" s="0" t="n">
        <v>10</v>
      </c>
      <c r="E208" s="0" t="n">
        <v>5</v>
      </c>
      <c r="F208" s="0" t="n">
        <v>10</v>
      </c>
      <c r="G208" s="0" t="n">
        <v>15</v>
      </c>
      <c r="H208" s="0" t="n">
        <v>25</v>
      </c>
    </row>
    <row r="209" customFormat="false" ht="15" hidden="false" customHeight="false" outlineLevel="0" collapsed="false">
      <c r="A209" s="0" t="s">
        <v>134</v>
      </c>
      <c r="B209" s="0" t="s">
        <v>431</v>
      </c>
      <c r="C209" s="0" t="s">
        <v>432</v>
      </c>
      <c r="D209" s="0" t="n">
        <v>13</v>
      </c>
      <c r="E209" s="0" t="n">
        <v>8</v>
      </c>
      <c r="F209" s="0" t="n">
        <v>0</v>
      </c>
      <c r="G209" s="0" t="n">
        <v>21</v>
      </c>
      <c r="H209" s="0" t="n">
        <v>21</v>
      </c>
    </row>
    <row r="210" customFormat="false" ht="15" hidden="false" customHeight="false" outlineLevel="0" collapsed="false">
      <c r="A210" s="0" t="s">
        <v>134</v>
      </c>
      <c r="B210" s="0" t="s">
        <v>398</v>
      </c>
      <c r="C210" s="0" t="s">
        <v>438</v>
      </c>
      <c r="D210" s="0" t="n">
        <v>14</v>
      </c>
      <c r="E210" s="0" t="n">
        <v>7</v>
      </c>
      <c r="F210" s="0" t="n">
        <v>12</v>
      </c>
      <c r="G210" s="0" t="n">
        <v>21</v>
      </c>
      <c r="H210" s="0" t="n">
        <v>33</v>
      </c>
    </row>
    <row r="211" customFormat="false" ht="15" hidden="false" customHeight="false" outlineLevel="0" collapsed="false">
      <c r="A211" s="0" t="s">
        <v>134</v>
      </c>
      <c r="B211" s="0" t="s">
        <v>398</v>
      </c>
      <c r="C211" s="0" t="s">
        <v>429</v>
      </c>
      <c r="D211" s="0" t="n">
        <v>6</v>
      </c>
      <c r="E211" s="0" t="n">
        <v>3</v>
      </c>
      <c r="F211" s="0" t="n">
        <v>3</v>
      </c>
      <c r="G211" s="0" t="n">
        <v>9</v>
      </c>
      <c r="H211" s="0" t="n">
        <v>12</v>
      </c>
    </row>
    <row r="212" customFormat="false" ht="15" hidden="false" customHeight="false" outlineLevel="0" collapsed="false">
      <c r="A212" s="0" t="s">
        <v>137</v>
      </c>
      <c r="B212" s="0" t="s">
        <v>417</v>
      </c>
      <c r="C212" s="0" t="s">
        <v>421</v>
      </c>
      <c r="D212" s="0" t="n">
        <v>2</v>
      </c>
      <c r="E212" s="0" t="n">
        <v>1</v>
      </c>
      <c r="F212" s="0" t="n">
        <v>0</v>
      </c>
      <c r="G212" s="0" t="n">
        <v>3</v>
      </c>
      <c r="H212" s="0" t="n">
        <v>3</v>
      </c>
    </row>
    <row r="213" customFormat="false" ht="15" hidden="false" customHeight="false" outlineLevel="0" collapsed="false">
      <c r="A213" s="0" t="s">
        <v>137</v>
      </c>
      <c r="B213" s="0" t="s">
        <v>419</v>
      </c>
      <c r="C213" s="0" t="s">
        <v>79</v>
      </c>
      <c r="D213" s="0" t="n">
        <v>2</v>
      </c>
      <c r="E213" s="0" t="n">
        <v>10</v>
      </c>
      <c r="F213" s="0" t="n">
        <v>11</v>
      </c>
      <c r="G213" s="0" t="n">
        <v>12</v>
      </c>
      <c r="H213" s="0" t="n">
        <v>23</v>
      </c>
    </row>
    <row r="214" customFormat="false" ht="15" hidden="false" customHeight="false" outlineLevel="0" collapsed="false">
      <c r="A214" s="0" t="s">
        <v>137</v>
      </c>
      <c r="B214" s="0" t="s">
        <v>402</v>
      </c>
      <c r="C214" s="0" t="s">
        <v>421</v>
      </c>
      <c r="D214" s="0" t="n">
        <v>8</v>
      </c>
      <c r="E214" s="0" t="n">
        <v>4</v>
      </c>
      <c r="F214" s="0" t="n">
        <v>0</v>
      </c>
      <c r="G214" s="0" t="n">
        <v>12</v>
      </c>
      <c r="H214" s="0" t="n">
        <v>12</v>
      </c>
    </row>
    <row r="215" customFormat="false" ht="15" hidden="false" customHeight="false" outlineLevel="0" collapsed="false">
      <c r="A215" s="0" t="s">
        <v>137</v>
      </c>
      <c r="B215" s="0" t="s">
        <v>357</v>
      </c>
      <c r="C215" s="0" t="s">
        <v>85</v>
      </c>
      <c r="D215" s="0" t="n">
        <v>12</v>
      </c>
      <c r="E215" s="0" t="n">
        <v>1</v>
      </c>
      <c r="F215" s="0" t="n">
        <v>9</v>
      </c>
      <c r="G215" s="0" t="n">
        <v>13</v>
      </c>
      <c r="H215" s="0" t="n">
        <v>22</v>
      </c>
    </row>
    <row r="216" customFormat="false" ht="15" hidden="false" customHeight="false" outlineLevel="0" collapsed="false">
      <c r="A216" s="0" t="s">
        <v>137</v>
      </c>
      <c r="B216" s="0" t="s">
        <v>359</v>
      </c>
      <c r="C216" s="0" t="s">
        <v>420</v>
      </c>
      <c r="D216" s="0" t="n">
        <v>11</v>
      </c>
      <c r="E216" s="0" t="n">
        <v>9</v>
      </c>
      <c r="F216" s="0" t="n">
        <v>0</v>
      </c>
      <c r="G216" s="0" t="n">
        <v>20</v>
      </c>
      <c r="H216" s="0" t="n">
        <v>20</v>
      </c>
    </row>
    <row r="217" customFormat="false" ht="15" hidden="false" customHeight="false" outlineLevel="0" collapsed="false">
      <c r="A217" s="0" t="s">
        <v>137</v>
      </c>
      <c r="B217" s="0" t="s">
        <v>360</v>
      </c>
      <c r="C217" s="0" t="s">
        <v>423</v>
      </c>
      <c r="D217" s="0" t="n">
        <v>8</v>
      </c>
      <c r="E217" s="0" t="n">
        <v>9</v>
      </c>
      <c r="F217" s="0" t="n">
        <v>0</v>
      </c>
      <c r="G217" s="0" t="n">
        <v>17</v>
      </c>
      <c r="H217" s="0" t="n">
        <v>17</v>
      </c>
    </row>
    <row r="218" customFormat="false" ht="15" hidden="false" customHeight="false" outlineLevel="0" collapsed="false">
      <c r="A218" s="0" t="s">
        <v>137</v>
      </c>
      <c r="B218" s="0" t="s">
        <v>439</v>
      </c>
      <c r="C218" s="0" t="s">
        <v>440</v>
      </c>
      <c r="D218" s="0" t="n">
        <v>9</v>
      </c>
      <c r="E218" s="0" t="n">
        <v>3</v>
      </c>
      <c r="F218" s="0" t="n">
        <v>0</v>
      </c>
      <c r="G218" s="0" t="n">
        <v>12</v>
      </c>
      <c r="H218" s="0" t="n">
        <v>12</v>
      </c>
    </row>
    <row r="219" customFormat="false" ht="15" hidden="false" customHeight="false" outlineLevel="0" collapsed="false">
      <c r="A219" s="0" t="s">
        <v>137</v>
      </c>
      <c r="B219" s="0" t="s">
        <v>441</v>
      </c>
      <c r="C219" s="0" t="s">
        <v>442</v>
      </c>
      <c r="D219" s="0" t="n">
        <v>4</v>
      </c>
      <c r="E219" s="0" t="n">
        <v>6</v>
      </c>
      <c r="F219" s="0" t="n">
        <v>0</v>
      </c>
      <c r="G219" s="0" t="n">
        <v>10</v>
      </c>
      <c r="H219" s="0" t="n">
        <v>10</v>
      </c>
    </row>
    <row r="220" customFormat="false" ht="15" hidden="false" customHeight="false" outlineLevel="0" collapsed="false">
      <c r="A220" s="0" t="s">
        <v>137</v>
      </c>
      <c r="B220" s="0" t="s">
        <v>441</v>
      </c>
      <c r="C220" s="0" t="s">
        <v>443</v>
      </c>
      <c r="D220" s="0" t="n">
        <v>9</v>
      </c>
      <c r="E220" s="0" t="n">
        <v>5</v>
      </c>
      <c r="F220" s="0" t="n">
        <v>0</v>
      </c>
      <c r="G220" s="0" t="n">
        <v>14</v>
      </c>
      <c r="H220" s="0" t="n">
        <v>14</v>
      </c>
    </row>
    <row r="221" customFormat="false" ht="15" hidden="false" customHeight="false" outlineLevel="0" collapsed="false">
      <c r="A221" s="0" t="s">
        <v>137</v>
      </c>
      <c r="B221" s="0" t="s">
        <v>444</v>
      </c>
      <c r="C221" s="0" t="s">
        <v>423</v>
      </c>
      <c r="D221" s="0" t="n">
        <v>6</v>
      </c>
      <c r="E221" s="0" t="n">
        <v>2</v>
      </c>
      <c r="F221" s="0" t="n">
        <v>0</v>
      </c>
      <c r="G221" s="0" t="n">
        <v>8</v>
      </c>
      <c r="H221" s="0" t="n">
        <v>8</v>
      </c>
    </row>
    <row r="222" customFormat="false" ht="15" hidden="false" customHeight="false" outlineLevel="0" collapsed="false">
      <c r="A222" s="0" t="s">
        <v>137</v>
      </c>
      <c r="B222" s="0" t="s">
        <v>385</v>
      </c>
      <c r="C222" s="0" t="s">
        <v>445</v>
      </c>
      <c r="D222" s="0" t="n">
        <v>6</v>
      </c>
      <c r="E222" s="0" t="n">
        <v>9</v>
      </c>
      <c r="F222" s="0" t="n">
        <v>9</v>
      </c>
      <c r="G222" s="0" t="n">
        <v>15</v>
      </c>
      <c r="H222" s="0" t="n">
        <v>24</v>
      </c>
    </row>
    <row r="223" customFormat="false" ht="15" hidden="false" customHeight="false" outlineLevel="0" collapsed="false">
      <c r="A223" s="0" t="s">
        <v>137</v>
      </c>
      <c r="B223" s="0" t="s">
        <v>387</v>
      </c>
      <c r="C223" s="0" t="s">
        <v>446</v>
      </c>
      <c r="D223" s="0" t="n">
        <v>15</v>
      </c>
      <c r="E223" s="0" t="n">
        <v>4</v>
      </c>
      <c r="F223" s="0" t="n">
        <v>0</v>
      </c>
      <c r="G223" s="0" t="n">
        <v>19</v>
      </c>
      <c r="H223" s="0" t="n">
        <v>19</v>
      </c>
    </row>
    <row r="224" customFormat="false" ht="15" hidden="false" customHeight="false" outlineLevel="0" collapsed="false">
      <c r="A224" s="0" t="s">
        <v>137</v>
      </c>
      <c r="B224" s="0" t="s">
        <v>389</v>
      </c>
      <c r="C224" s="0" t="s">
        <v>445</v>
      </c>
      <c r="D224" s="0" t="n">
        <v>1</v>
      </c>
      <c r="E224" s="0" t="n">
        <v>8</v>
      </c>
      <c r="F224" s="0" t="n">
        <v>10</v>
      </c>
      <c r="G224" s="0" t="n">
        <v>9</v>
      </c>
      <c r="H224" s="0" t="n">
        <v>19</v>
      </c>
    </row>
    <row r="225" customFormat="false" ht="15" hidden="false" customHeight="false" outlineLevel="0" collapsed="false">
      <c r="A225" s="0" t="s">
        <v>137</v>
      </c>
      <c r="B225" s="0" t="s">
        <v>372</v>
      </c>
      <c r="C225" s="0" t="s">
        <v>421</v>
      </c>
      <c r="D225" s="0" t="n">
        <v>0</v>
      </c>
      <c r="E225" s="0" t="n">
        <v>3</v>
      </c>
      <c r="F225" s="0" t="n">
        <v>0</v>
      </c>
      <c r="G225" s="0" t="n">
        <v>3</v>
      </c>
      <c r="H225" s="0" t="n">
        <v>3</v>
      </c>
    </row>
    <row r="226" customFormat="false" ht="15" hidden="false" customHeight="false" outlineLevel="0" collapsed="false">
      <c r="A226" s="0" t="s">
        <v>137</v>
      </c>
      <c r="B226" s="0" t="s">
        <v>372</v>
      </c>
      <c r="C226" s="0" t="s">
        <v>447</v>
      </c>
      <c r="D226" s="0" t="n">
        <v>14</v>
      </c>
      <c r="E226" s="0" t="n">
        <v>5</v>
      </c>
      <c r="F226" s="0" t="n">
        <v>12</v>
      </c>
      <c r="G226" s="0" t="n">
        <v>19</v>
      </c>
      <c r="H226" s="0" t="n">
        <v>31</v>
      </c>
    </row>
    <row r="227" customFormat="false" ht="15" hidden="false" customHeight="false" outlineLevel="0" collapsed="false">
      <c r="A227" s="0" t="s">
        <v>140</v>
      </c>
      <c r="B227" s="0" t="s">
        <v>417</v>
      </c>
      <c r="C227" s="0" t="s">
        <v>421</v>
      </c>
      <c r="D227" s="0" t="n">
        <v>2</v>
      </c>
      <c r="E227" s="0" t="n">
        <v>2</v>
      </c>
      <c r="F227" s="0" t="n">
        <v>0</v>
      </c>
      <c r="G227" s="0" t="n">
        <v>4</v>
      </c>
      <c r="H227" s="0" t="n">
        <v>4</v>
      </c>
    </row>
    <row r="228" customFormat="false" ht="15" hidden="false" customHeight="false" outlineLevel="0" collapsed="false">
      <c r="A228" s="0" t="s">
        <v>140</v>
      </c>
      <c r="B228" s="0" t="s">
        <v>419</v>
      </c>
      <c r="C228" s="0" t="s">
        <v>79</v>
      </c>
      <c r="D228" s="0" t="n">
        <v>0</v>
      </c>
      <c r="E228" s="0" t="n">
        <v>2</v>
      </c>
      <c r="F228" s="0" t="n">
        <v>4</v>
      </c>
      <c r="G228" s="0" t="n">
        <v>2</v>
      </c>
      <c r="H228" s="0" t="n">
        <v>6</v>
      </c>
    </row>
    <row r="229" customFormat="false" ht="15" hidden="false" customHeight="false" outlineLevel="0" collapsed="false">
      <c r="A229" s="0" t="s">
        <v>140</v>
      </c>
      <c r="B229" s="0" t="s">
        <v>402</v>
      </c>
      <c r="C229" s="0" t="s">
        <v>421</v>
      </c>
      <c r="D229" s="0" t="n">
        <v>2</v>
      </c>
      <c r="E229" s="0" t="n">
        <v>1</v>
      </c>
      <c r="F229" s="0" t="n">
        <v>0</v>
      </c>
      <c r="G229" s="0" t="n">
        <v>3</v>
      </c>
      <c r="H229" s="0" t="n">
        <v>3</v>
      </c>
    </row>
    <row r="230" customFormat="false" ht="15" hidden="false" customHeight="false" outlineLevel="0" collapsed="false">
      <c r="A230" s="0" t="s">
        <v>140</v>
      </c>
      <c r="B230" s="0" t="s">
        <v>357</v>
      </c>
      <c r="C230" s="0" t="s">
        <v>85</v>
      </c>
      <c r="D230" s="0" t="n">
        <v>1</v>
      </c>
      <c r="E230" s="0" t="n">
        <v>1</v>
      </c>
      <c r="F230" s="0" t="n">
        <v>4</v>
      </c>
      <c r="G230" s="0" t="n">
        <v>2</v>
      </c>
      <c r="H230" s="0" t="n">
        <v>6</v>
      </c>
    </row>
    <row r="231" customFormat="false" ht="15" hidden="false" customHeight="false" outlineLevel="0" collapsed="false">
      <c r="A231" s="0" t="s">
        <v>140</v>
      </c>
      <c r="B231" s="0" t="s">
        <v>359</v>
      </c>
      <c r="C231" s="0" t="s">
        <v>420</v>
      </c>
      <c r="D231" s="0" t="n">
        <v>3</v>
      </c>
      <c r="E231" s="0" t="n">
        <v>4</v>
      </c>
      <c r="F231" s="0" t="n">
        <v>0</v>
      </c>
      <c r="G231" s="0" t="n">
        <v>7</v>
      </c>
      <c r="H231" s="0" t="n">
        <v>7</v>
      </c>
    </row>
    <row r="232" customFormat="false" ht="15" hidden="false" customHeight="false" outlineLevel="0" collapsed="false">
      <c r="A232" s="0" t="s">
        <v>140</v>
      </c>
      <c r="B232" s="0" t="s">
        <v>360</v>
      </c>
      <c r="C232" s="0" t="s">
        <v>423</v>
      </c>
      <c r="D232" s="0" t="n">
        <v>6</v>
      </c>
      <c r="E232" s="0" t="n">
        <v>4</v>
      </c>
      <c r="F232" s="0" t="n">
        <v>0</v>
      </c>
      <c r="G232" s="0" t="n">
        <v>10</v>
      </c>
      <c r="H232" s="0" t="n">
        <v>10</v>
      </c>
    </row>
    <row r="233" customFormat="false" ht="15" hidden="false" customHeight="false" outlineLevel="0" collapsed="false">
      <c r="A233" s="0" t="s">
        <v>140</v>
      </c>
      <c r="B233" s="0" t="s">
        <v>439</v>
      </c>
      <c r="C233" s="0" t="s">
        <v>440</v>
      </c>
      <c r="D233" s="0" t="n">
        <v>5</v>
      </c>
      <c r="E233" s="0" t="n">
        <v>1</v>
      </c>
      <c r="F233" s="0" t="n">
        <v>0</v>
      </c>
      <c r="G233" s="0" t="n">
        <v>6</v>
      </c>
      <c r="H233" s="0" t="n">
        <v>6</v>
      </c>
    </row>
    <row r="234" customFormat="false" ht="15" hidden="false" customHeight="false" outlineLevel="0" collapsed="false">
      <c r="A234" s="0" t="s">
        <v>140</v>
      </c>
      <c r="B234" s="0" t="s">
        <v>441</v>
      </c>
      <c r="C234" s="0" t="s">
        <v>442</v>
      </c>
      <c r="D234" s="0" t="n">
        <v>0</v>
      </c>
      <c r="E234" s="0" t="n">
        <v>1</v>
      </c>
      <c r="F234" s="0" t="n">
        <v>0</v>
      </c>
      <c r="G234" s="0" t="n">
        <v>1</v>
      </c>
      <c r="H234" s="0" t="n">
        <v>1</v>
      </c>
    </row>
    <row r="235" customFormat="false" ht="15" hidden="false" customHeight="false" outlineLevel="0" collapsed="false">
      <c r="A235" s="0" t="s">
        <v>140</v>
      </c>
      <c r="B235" s="0" t="s">
        <v>441</v>
      </c>
      <c r="C235" s="0" t="s">
        <v>443</v>
      </c>
      <c r="D235" s="0" t="n">
        <v>4</v>
      </c>
      <c r="E235" s="0" t="n">
        <v>2</v>
      </c>
      <c r="F235" s="0" t="n">
        <v>0</v>
      </c>
      <c r="G235" s="0" t="n">
        <v>6</v>
      </c>
      <c r="H235" s="0" t="n">
        <v>6</v>
      </c>
    </row>
    <row r="236" customFormat="false" ht="15" hidden="false" customHeight="false" outlineLevel="0" collapsed="false">
      <c r="A236" s="0" t="s">
        <v>140</v>
      </c>
      <c r="B236" s="0" t="s">
        <v>444</v>
      </c>
      <c r="C236" s="0" t="s">
        <v>423</v>
      </c>
      <c r="D236" s="0" t="n">
        <v>9</v>
      </c>
      <c r="E236" s="0" t="n">
        <v>3</v>
      </c>
      <c r="F236" s="0" t="n">
        <v>0</v>
      </c>
      <c r="G236" s="0" t="n">
        <v>12</v>
      </c>
      <c r="H236" s="0" t="n">
        <v>12</v>
      </c>
    </row>
    <row r="237" customFormat="false" ht="15" hidden="false" customHeight="false" outlineLevel="0" collapsed="false">
      <c r="A237" s="0" t="s">
        <v>140</v>
      </c>
      <c r="B237" s="0" t="s">
        <v>385</v>
      </c>
      <c r="C237" s="0" t="s">
        <v>445</v>
      </c>
      <c r="D237" s="0" t="n">
        <v>2</v>
      </c>
      <c r="E237" s="0" t="n">
        <v>2</v>
      </c>
      <c r="F237" s="0" t="n">
        <v>12</v>
      </c>
      <c r="G237" s="0" t="n">
        <v>4</v>
      </c>
      <c r="H237" s="0" t="n">
        <v>16</v>
      </c>
    </row>
    <row r="238" customFormat="false" ht="15" hidden="false" customHeight="false" outlineLevel="0" collapsed="false">
      <c r="A238" s="0" t="s">
        <v>140</v>
      </c>
      <c r="B238" s="0" t="s">
        <v>387</v>
      </c>
      <c r="C238" s="0" t="s">
        <v>446</v>
      </c>
      <c r="D238" s="0" t="n">
        <v>1</v>
      </c>
      <c r="E238" s="0" t="n">
        <v>4</v>
      </c>
      <c r="F238" s="0" t="n">
        <v>0</v>
      </c>
      <c r="G238" s="0" t="n">
        <v>5</v>
      </c>
      <c r="H238" s="0" t="n">
        <v>5</v>
      </c>
    </row>
    <row r="239" customFormat="false" ht="15" hidden="false" customHeight="false" outlineLevel="0" collapsed="false">
      <c r="A239" s="0" t="s">
        <v>140</v>
      </c>
      <c r="B239" s="0" t="s">
        <v>389</v>
      </c>
      <c r="C239" s="0" t="s">
        <v>445</v>
      </c>
      <c r="D239" s="0" t="n">
        <v>0</v>
      </c>
      <c r="E239" s="0" t="n">
        <v>5</v>
      </c>
      <c r="F239" s="0" t="n">
        <v>6</v>
      </c>
      <c r="G239" s="0" t="n">
        <v>5</v>
      </c>
      <c r="H239" s="0" t="n">
        <v>11</v>
      </c>
    </row>
    <row r="240" customFormat="false" ht="15" hidden="false" customHeight="false" outlineLevel="0" collapsed="false">
      <c r="A240" s="0" t="s">
        <v>140</v>
      </c>
      <c r="B240" s="0" t="s">
        <v>448</v>
      </c>
      <c r="C240" s="0" t="s">
        <v>449</v>
      </c>
      <c r="D240" s="0" t="n">
        <v>6</v>
      </c>
      <c r="E240" s="0" t="n">
        <v>5</v>
      </c>
      <c r="F240" s="0" t="n">
        <v>5</v>
      </c>
      <c r="G240" s="0" t="n">
        <v>11</v>
      </c>
      <c r="H240" s="0" t="n">
        <v>16</v>
      </c>
    </row>
    <row r="241" customFormat="false" ht="15" hidden="false" customHeight="false" outlineLevel="0" collapsed="false">
      <c r="A241" s="0" t="s">
        <v>140</v>
      </c>
      <c r="B241" s="0" t="s">
        <v>374</v>
      </c>
      <c r="C241" s="0" t="s">
        <v>450</v>
      </c>
      <c r="D241" s="0" t="n">
        <v>0</v>
      </c>
      <c r="E241" s="0" t="n">
        <v>14</v>
      </c>
      <c r="F241" s="0" t="n">
        <v>5</v>
      </c>
      <c r="G241" s="0" t="n">
        <v>14</v>
      </c>
      <c r="H241" s="0" t="n">
        <v>19</v>
      </c>
    </row>
    <row r="242" customFormat="false" ht="15" hidden="false" customHeight="false" outlineLevel="0" collapsed="false">
      <c r="A242" s="0" t="s">
        <v>143</v>
      </c>
      <c r="B242" s="0" t="s">
        <v>417</v>
      </c>
      <c r="C242" s="0" t="s">
        <v>421</v>
      </c>
      <c r="D242" s="0" t="n">
        <v>0</v>
      </c>
      <c r="E242" s="0" t="n">
        <v>1</v>
      </c>
      <c r="F242" s="0" t="n">
        <v>0</v>
      </c>
      <c r="G242" s="0" t="n">
        <v>1</v>
      </c>
      <c r="H242" s="0" t="n">
        <v>1</v>
      </c>
    </row>
    <row r="243" customFormat="false" ht="15" hidden="false" customHeight="false" outlineLevel="0" collapsed="false">
      <c r="A243" s="0" t="s">
        <v>143</v>
      </c>
      <c r="B243" s="0" t="s">
        <v>419</v>
      </c>
      <c r="C243" s="0" t="s">
        <v>79</v>
      </c>
      <c r="D243" s="0" t="n">
        <v>4</v>
      </c>
      <c r="E243" s="0" t="n">
        <v>3</v>
      </c>
      <c r="F243" s="0" t="n">
        <v>2</v>
      </c>
      <c r="G243" s="0" t="n">
        <v>7</v>
      </c>
      <c r="H243" s="0" t="n">
        <v>9</v>
      </c>
    </row>
    <row r="244" customFormat="false" ht="15" hidden="false" customHeight="false" outlineLevel="0" collapsed="false">
      <c r="A244" s="0" t="s">
        <v>143</v>
      </c>
      <c r="B244" s="0" t="s">
        <v>402</v>
      </c>
      <c r="C244" s="0" t="s">
        <v>421</v>
      </c>
      <c r="D244" s="0" t="n">
        <v>7</v>
      </c>
      <c r="E244" s="0" t="n">
        <v>3</v>
      </c>
      <c r="F244" s="0" t="n">
        <v>1</v>
      </c>
      <c r="G244" s="0" t="n">
        <v>10</v>
      </c>
      <c r="H244" s="0" t="n">
        <v>11</v>
      </c>
    </row>
    <row r="245" customFormat="false" ht="15" hidden="false" customHeight="false" outlineLevel="0" collapsed="false">
      <c r="A245" s="0" t="s">
        <v>143</v>
      </c>
      <c r="B245" s="0" t="s">
        <v>357</v>
      </c>
      <c r="C245" s="0" t="s">
        <v>85</v>
      </c>
      <c r="D245" s="0" t="n">
        <v>5</v>
      </c>
      <c r="E245" s="0" t="n">
        <v>1</v>
      </c>
      <c r="F245" s="0" t="n">
        <v>5</v>
      </c>
      <c r="G245" s="0" t="n">
        <v>6</v>
      </c>
      <c r="H245" s="0" t="n">
        <v>11</v>
      </c>
    </row>
    <row r="246" customFormat="false" ht="15" hidden="false" customHeight="false" outlineLevel="0" collapsed="false">
      <c r="A246" s="0" t="s">
        <v>143</v>
      </c>
      <c r="B246" s="0" t="s">
        <v>359</v>
      </c>
      <c r="C246" s="0" t="s">
        <v>420</v>
      </c>
      <c r="D246" s="0" t="n">
        <v>1</v>
      </c>
      <c r="E246" s="0" t="n">
        <v>2</v>
      </c>
      <c r="F246" s="0" t="n">
        <v>0</v>
      </c>
      <c r="G246" s="0" t="n">
        <v>3</v>
      </c>
      <c r="H246" s="0" t="n">
        <v>3</v>
      </c>
    </row>
    <row r="247" customFormat="false" ht="15" hidden="false" customHeight="false" outlineLevel="0" collapsed="false">
      <c r="A247" s="0" t="s">
        <v>143</v>
      </c>
      <c r="B247" s="0" t="s">
        <v>360</v>
      </c>
      <c r="C247" s="0" t="s">
        <v>423</v>
      </c>
      <c r="D247" s="0" t="n">
        <v>1</v>
      </c>
      <c r="E247" s="0" t="n">
        <v>7</v>
      </c>
      <c r="F247" s="0" t="n">
        <v>0</v>
      </c>
      <c r="G247" s="0" t="n">
        <v>8</v>
      </c>
      <c r="H247" s="0" t="n">
        <v>8</v>
      </c>
    </row>
    <row r="248" customFormat="false" ht="15" hidden="false" customHeight="false" outlineLevel="0" collapsed="false">
      <c r="A248" s="0" t="s">
        <v>143</v>
      </c>
      <c r="B248" s="0" t="s">
        <v>439</v>
      </c>
      <c r="C248" s="0" t="s">
        <v>440</v>
      </c>
      <c r="D248" s="0" t="n">
        <v>1</v>
      </c>
      <c r="E248" s="0" t="n">
        <v>3</v>
      </c>
      <c r="F248" s="0" t="n">
        <v>0</v>
      </c>
      <c r="G248" s="0" t="n">
        <v>4</v>
      </c>
      <c r="H248" s="0" t="n">
        <v>4</v>
      </c>
    </row>
    <row r="249" customFormat="false" ht="15" hidden="false" customHeight="false" outlineLevel="0" collapsed="false">
      <c r="A249" s="0" t="s">
        <v>143</v>
      </c>
      <c r="B249" s="0" t="s">
        <v>441</v>
      </c>
      <c r="C249" s="0" t="s">
        <v>442</v>
      </c>
      <c r="D249" s="0" t="n">
        <v>4</v>
      </c>
      <c r="E249" s="0" t="n">
        <v>2</v>
      </c>
      <c r="F249" s="0" t="n">
        <v>0</v>
      </c>
      <c r="G249" s="0" t="n">
        <v>6</v>
      </c>
      <c r="H249" s="0" t="n">
        <v>6</v>
      </c>
    </row>
    <row r="250" customFormat="false" ht="15" hidden="false" customHeight="false" outlineLevel="0" collapsed="false">
      <c r="A250" s="0" t="s">
        <v>143</v>
      </c>
      <c r="B250" s="0" t="s">
        <v>441</v>
      </c>
      <c r="C250" s="0" t="s">
        <v>443</v>
      </c>
      <c r="D250" s="0" t="n">
        <v>2</v>
      </c>
      <c r="E250" s="0" t="n">
        <v>7</v>
      </c>
      <c r="F250" s="0" t="n">
        <v>0</v>
      </c>
      <c r="G250" s="0" t="n">
        <v>9</v>
      </c>
      <c r="H250" s="0" t="n">
        <v>9</v>
      </c>
    </row>
    <row r="251" customFormat="false" ht="15" hidden="false" customHeight="false" outlineLevel="0" collapsed="false">
      <c r="A251" s="0" t="s">
        <v>143</v>
      </c>
      <c r="B251" s="0" t="s">
        <v>444</v>
      </c>
      <c r="C251" s="0" t="s">
        <v>423</v>
      </c>
      <c r="D251" s="0" t="n">
        <v>1</v>
      </c>
      <c r="E251" s="0" t="n">
        <v>2</v>
      </c>
      <c r="F251" s="0" t="n">
        <v>1</v>
      </c>
      <c r="G251" s="0" t="n">
        <v>3</v>
      </c>
      <c r="H251" s="0" t="n">
        <v>4</v>
      </c>
    </row>
    <row r="252" customFormat="false" ht="15" hidden="false" customHeight="false" outlineLevel="0" collapsed="false">
      <c r="A252" s="0" t="s">
        <v>143</v>
      </c>
      <c r="B252" s="0" t="s">
        <v>385</v>
      </c>
      <c r="C252" s="0" t="s">
        <v>445</v>
      </c>
      <c r="D252" s="0" t="n">
        <v>1</v>
      </c>
      <c r="E252" s="0" t="n">
        <v>6</v>
      </c>
      <c r="F252" s="0" t="n">
        <v>1</v>
      </c>
      <c r="G252" s="0" t="n">
        <v>7</v>
      </c>
      <c r="H252" s="0" t="n">
        <v>8</v>
      </c>
    </row>
    <row r="253" customFormat="false" ht="15" hidden="false" customHeight="false" outlineLevel="0" collapsed="false">
      <c r="A253" s="0" t="s">
        <v>143</v>
      </c>
      <c r="B253" s="0" t="s">
        <v>387</v>
      </c>
      <c r="C253" s="0" t="s">
        <v>446</v>
      </c>
      <c r="D253" s="0" t="n">
        <v>1</v>
      </c>
      <c r="E253" s="0" t="n">
        <v>2</v>
      </c>
      <c r="F253" s="0" t="n">
        <v>0</v>
      </c>
      <c r="G253" s="0" t="n">
        <v>3</v>
      </c>
      <c r="H253" s="0" t="n">
        <v>3</v>
      </c>
    </row>
    <row r="254" customFormat="false" ht="15" hidden="false" customHeight="false" outlineLevel="0" collapsed="false">
      <c r="A254" s="0" t="s">
        <v>143</v>
      </c>
      <c r="B254" s="0" t="s">
        <v>389</v>
      </c>
      <c r="C254" s="0" t="s">
        <v>445</v>
      </c>
      <c r="D254" s="0" t="n">
        <v>7</v>
      </c>
      <c r="E254" s="0" t="n">
        <v>8</v>
      </c>
      <c r="F254" s="0" t="n">
        <v>0</v>
      </c>
      <c r="G254" s="0" t="n">
        <v>15</v>
      </c>
      <c r="H254" s="0" t="n">
        <v>15</v>
      </c>
    </row>
    <row r="255" customFormat="false" ht="15" hidden="false" customHeight="false" outlineLevel="0" collapsed="false">
      <c r="A255" s="0" t="s">
        <v>143</v>
      </c>
      <c r="B255" s="0" t="s">
        <v>372</v>
      </c>
      <c r="C255" s="0" t="s">
        <v>421</v>
      </c>
      <c r="D255" s="0" t="n">
        <v>0</v>
      </c>
      <c r="E255" s="0" t="n">
        <v>1</v>
      </c>
      <c r="F255" s="0" t="n">
        <v>0</v>
      </c>
      <c r="G255" s="0" t="n">
        <v>1</v>
      </c>
      <c r="H255" s="0" t="n">
        <v>1</v>
      </c>
    </row>
    <row r="256" customFormat="false" ht="15" hidden="false" customHeight="false" outlineLevel="0" collapsed="false">
      <c r="A256" s="0" t="s">
        <v>143</v>
      </c>
      <c r="B256" s="0" t="s">
        <v>372</v>
      </c>
      <c r="C256" s="0" t="s">
        <v>447</v>
      </c>
      <c r="D256" s="0" t="n">
        <v>6</v>
      </c>
      <c r="E256" s="0" t="n">
        <v>7</v>
      </c>
      <c r="F256" s="0" t="n">
        <v>6</v>
      </c>
      <c r="G256" s="0" t="n">
        <v>13</v>
      </c>
      <c r="H256" s="0" t="n">
        <v>19</v>
      </c>
    </row>
    <row r="257" customFormat="false" ht="15" hidden="false" customHeight="false" outlineLevel="0" collapsed="false">
      <c r="A257" s="0" t="s">
        <v>146</v>
      </c>
      <c r="B257" s="0" t="s">
        <v>417</v>
      </c>
      <c r="C257" s="0" t="s">
        <v>421</v>
      </c>
      <c r="D257" s="0" t="n">
        <v>1</v>
      </c>
      <c r="E257" s="0" t="n">
        <v>7</v>
      </c>
      <c r="F257" s="0" t="n">
        <v>0</v>
      </c>
      <c r="G257" s="0" t="n">
        <v>8</v>
      </c>
      <c r="H257" s="0" t="n">
        <v>8</v>
      </c>
    </row>
    <row r="258" customFormat="false" ht="15" hidden="false" customHeight="false" outlineLevel="0" collapsed="false">
      <c r="A258" s="0" t="s">
        <v>146</v>
      </c>
      <c r="B258" s="0" t="s">
        <v>419</v>
      </c>
      <c r="C258" s="0" t="s">
        <v>79</v>
      </c>
      <c r="D258" s="0" t="n">
        <v>0</v>
      </c>
      <c r="E258" s="0" t="n">
        <v>13</v>
      </c>
      <c r="F258" s="0" t="n">
        <v>12</v>
      </c>
      <c r="G258" s="0" t="n">
        <v>13</v>
      </c>
      <c r="H258" s="0" t="n">
        <v>25</v>
      </c>
    </row>
    <row r="259" customFormat="false" ht="15" hidden="false" customHeight="false" outlineLevel="0" collapsed="false">
      <c r="A259" s="0" t="s">
        <v>146</v>
      </c>
      <c r="B259" s="0" t="s">
        <v>402</v>
      </c>
      <c r="C259" s="0" t="s">
        <v>421</v>
      </c>
      <c r="D259" s="0" t="n">
        <v>9</v>
      </c>
      <c r="E259" s="0" t="n">
        <v>4</v>
      </c>
      <c r="F259" s="0" t="n">
        <v>4</v>
      </c>
      <c r="G259" s="0" t="n">
        <v>13</v>
      </c>
      <c r="H259" s="0" t="n">
        <v>17</v>
      </c>
    </row>
    <row r="260" customFormat="false" ht="15" hidden="false" customHeight="false" outlineLevel="0" collapsed="false">
      <c r="A260" s="0" t="s">
        <v>146</v>
      </c>
      <c r="B260" s="0" t="s">
        <v>357</v>
      </c>
      <c r="C260" s="0" t="s">
        <v>85</v>
      </c>
      <c r="D260" s="0" t="n">
        <v>11</v>
      </c>
      <c r="E260" s="0" t="n">
        <v>4</v>
      </c>
      <c r="F260" s="0" t="n">
        <v>7</v>
      </c>
      <c r="G260" s="0" t="n">
        <v>15</v>
      </c>
      <c r="H260" s="0" t="n">
        <v>22</v>
      </c>
    </row>
    <row r="261" customFormat="false" ht="15" hidden="false" customHeight="false" outlineLevel="0" collapsed="false">
      <c r="A261" s="0" t="s">
        <v>146</v>
      </c>
      <c r="B261" s="0" t="s">
        <v>359</v>
      </c>
      <c r="C261" s="0" t="s">
        <v>420</v>
      </c>
      <c r="D261" s="0" t="n">
        <v>5</v>
      </c>
      <c r="E261" s="0" t="n">
        <v>11</v>
      </c>
      <c r="F261" s="0" t="n">
        <v>0</v>
      </c>
      <c r="G261" s="0" t="n">
        <v>16</v>
      </c>
      <c r="H261" s="0" t="n">
        <v>16</v>
      </c>
    </row>
    <row r="262" customFormat="false" ht="15" hidden="false" customHeight="false" outlineLevel="0" collapsed="false">
      <c r="A262" s="0" t="s">
        <v>146</v>
      </c>
      <c r="B262" s="0" t="s">
        <v>360</v>
      </c>
      <c r="C262" s="0" t="s">
        <v>423</v>
      </c>
      <c r="D262" s="0" t="n">
        <v>2</v>
      </c>
      <c r="E262" s="0" t="n">
        <v>16</v>
      </c>
      <c r="F262" s="0" t="n">
        <v>0</v>
      </c>
      <c r="G262" s="0" t="n">
        <v>18</v>
      </c>
      <c r="H262" s="0" t="n">
        <v>18</v>
      </c>
    </row>
    <row r="263" customFormat="false" ht="15" hidden="false" customHeight="false" outlineLevel="0" collapsed="false">
      <c r="A263" s="0" t="s">
        <v>146</v>
      </c>
      <c r="B263" s="0" t="s">
        <v>439</v>
      </c>
      <c r="C263" s="0" t="s">
        <v>440</v>
      </c>
      <c r="D263" s="0" t="n">
        <v>5</v>
      </c>
      <c r="E263" s="0" t="n">
        <v>6</v>
      </c>
      <c r="F263" s="0" t="n">
        <v>0</v>
      </c>
      <c r="G263" s="0" t="n">
        <v>11</v>
      </c>
      <c r="H263" s="0" t="n">
        <v>11</v>
      </c>
    </row>
    <row r="264" customFormat="false" ht="15" hidden="false" customHeight="false" outlineLevel="0" collapsed="false">
      <c r="A264" s="0" t="s">
        <v>146</v>
      </c>
      <c r="B264" s="0" t="s">
        <v>441</v>
      </c>
      <c r="C264" s="0" t="s">
        <v>442</v>
      </c>
      <c r="D264" s="0" t="n">
        <v>13</v>
      </c>
      <c r="E264" s="0" t="n">
        <v>6</v>
      </c>
      <c r="F264" s="0" t="n">
        <v>0</v>
      </c>
      <c r="G264" s="0" t="n">
        <v>19</v>
      </c>
      <c r="H264" s="0" t="n">
        <v>19</v>
      </c>
    </row>
    <row r="265" customFormat="false" ht="15" hidden="false" customHeight="false" outlineLevel="0" collapsed="false">
      <c r="A265" s="0" t="s">
        <v>146</v>
      </c>
      <c r="B265" s="0" t="s">
        <v>441</v>
      </c>
      <c r="C265" s="0" t="s">
        <v>443</v>
      </c>
      <c r="D265" s="0" t="n">
        <v>6</v>
      </c>
      <c r="E265" s="0" t="n">
        <v>8</v>
      </c>
      <c r="F265" s="0" t="n">
        <v>0</v>
      </c>
      <c r="G265" s="0" t="n">
        <v>14</v>
      </c>
      <c r="H265" s="0" t="n">
        <v>14</v>
      </c>
    </row>
    <row r="266" customFormat="false" ht="15" hidden="false" customHeight="false" outlineLevel="0" collapsed="false">
      <c r="A266" s="0" t="s">
        <v>146</v>
      </c>
      <c r="B266" s="0" t="s">
        <v>444</v>
      </c>
      <c r="C266" s="0" t="s">
        <v>423</v>
      </c>
      <c r="D266" s="0" t="n">
        <v>7</v>
      </c>
      <c r="E266" s="0" t="n">
        <v>0</v>
      </c>
      <c r="F266" s="0" t="n">
        <v>3</v>
      </c>
      <c r="G266" s="0" t="n">
        <v>7</v>
      </c>
      <c r="H266" s="0" t="n">
        <v>10</v>
      </c>
    </row>
    <row r="267" customFormat="false" ht="15" hidden="false" customHeight="false" outlineLevel="0" collapsed="false">
      <c r="A267" s="0" t="s">
        <v>146</v>
      </c>
      <c r="B267" s="0" t="s">
        <v>385</v>
      </c>
      <c r="C267" s="0" t="s">
        <v>445</v>
      </c>
      <c r="D267" s="0" t="n">
        <v>6</v>
      </c>
      <c r="E267" s="0" t="n">
        <v>4</v>
      </c>
      <c r="F267" s="0" t="n">
        <v>8</v>
      </c>
      <c r="G267" s="0" t="n">
        <v>10</v>
      </c>
      <c r="H267" s="0" t="n">
        <v>18</v>
      </c>
    </row>
    <row r="268" customFormat="false" ht="15" hidden="false" customHeight="false" outlineLevel="0" collapsed="false">
      <c r="A268" s="0" t="s">
        <v>146</v>
      </c>
      <c r="B268" s="0" t="s">
        <v>387</v>
      </c>
      <c r="C268" s="0" t="s">
        <v>446</v>
      </c>
      <c r="D268" s="0" t="n">
        <v>12</v>
      </c>
      <c r="E268" s="0" t="n">
        <v>7</v>
      </c>
      <c r="F268" s="0" t="n">
        <v>0</v>
      </c>
      <c r="G268" s="0" t="n">
        <v>19</v>
      </c>
      <c r="H268" s="0" t="n">
        <v>19</v>
      </c>
    </row>
    <row r="269" customFormat="false" ht="15" hidden="false" customHeight="false" outlineLevel="0" collapsed="false">
      <c r="A269" s="0" t="s">
        <v>146</v>
      </c>
      <c r="B269" s="0" t="s">
        <v>389</v>
      </c>
      <c r="C269" s="0" t="s">
        <v>445</v>
      </c>
      <c r="D269" s="0" t="n">
        <v>4</v>
      </c>
      <c r="E269" s="0" t="n">
        <v>7</v>
      </c>
      <c r="F269" s="0" t="n">
        <v>10</v>
      </c>
      <c r="G269" s="0" t="n">
        <v>11</v>
      </c>
      <c r="H269" s="0" t="n">
        <v>21</v>
      </c>
    </row>
    <row r="270" customFormat="false" ht="15" hidden="false" customHeight="false" outlineLevel="0" collapsed="false">
      <c r="A270" s="0" t="s">
        <v>146</v>
      </c>
      <c r="B270" s="0" t="s">
        <v>370</v>
      </c>
      <c r="C270" s="0" t="s">
        <v>420</v>
      </c>
      <c r="D270" s="0" t="n">
        <v>10</v>
      </c>
      <c r="E270" s="0" t="n">
        <v>8</v>
      </c>
      <c r="F270" s="0" t="n">
        <v>5</v>
      </c>
      <c r="G270" s="0" t="n">
        <v>18</v>
      </c>
      <c r="H270" s="0" t="n">
        <v>23</v>
      </c>
    </row>
    <row r="271" customFormat="false" ht="15" hidden="false" customHeight="false" outlineLevel="0" collapsed="false">
      <c r="A271" s="0" t="s">
        <v>146</v>
      </c>
      <c r="B271" s="0" t="s">
        <v>372</v>
      </c>
      <c r="C271" s="0" t="s">
        <v>433</v>
      </c>
      <c r="D271" s="0" t="n">
        <v>5</v>
      </c>
      <c r="E271" s="0" t="n">
        <v>9</v>
      </c>
      <c r="F271" s="0" t="n">
        <v>0</v>
      </c>
      <c r="G271" s="0" t="n">
        <v>14</v>
      </c>
      <c r="H271" s="0" t="n">
        <v>14</v>
      </c>
    </row>
    <row r="272" customFormat="false" ht="15" hidden="false" customHeight="false" outlineLevel="0" collapsed="false">
      <c r="A272" s="0" t="s">
        <v>149</v>
      </c>
      <c r="B272" s="0" t="s">
        <v>417</v>
      </c>
      <c r="C272" s="0" t="s">
        <v>420</v>
      </c>
      <c r="D272" s="0" t="n">
        <v>9</v>
      </c>
      <c r="E272" s="0" t="n">
        <v>5</v>
      </c>
      <c r="F272" s="0" t="n">
        <v>3</v>
      </c>
      <c r="G272" s="0" t="n">
        <v>14</v>
      </c>
      <c r="H272" s="0" t="n">
        <v>17</v>
      </c>
    </row>
    <row r="273" customFormat="false" ht="15" hidden="false" customHeight="false" outlineLevel="0" collapsed="false">
      <c r="A273" s="0" t="s">
        <v>149</v>
      </c>
      <c r="B273" s="0" t="s">
        <v>419</v>
      </c>
      <c r="C273" s="0" t="s">
        <v>85</v>
      </c>
      <c r="D273" s="0" t="n">
        <v>3</v>
      </c>
      <c r="E273" s="0" t="n">
        <v>5</v>
      </c>
      <c r="F273" s="0" t="n">
        <v>5</v>
      </c>
      <c r="G273" s="0" t="n">
        <v>8</v>
      </c>
      <c r="H273" s="0" t="n">
        <v>13</v>
      </c>
    </row>
    <row r="274" customFormat="false" ht="15" hidden="false" customHeight="false" outlineLevel="0" collapsed="false">
      <c r="A274" s="0" t="s">
        <v>149</v>
      </c>
      <c r="B274" s="0" t="s">
        <v>402</v>
      </c>
      <c r="C274" s="0" t="s">
        <v>79</v>
      </c>
      <c r="D274" s="0" t="n">
        <v>4</v>
      </c>
      <c r="E274" s="0" t="n">
        <v>3</v>
      </c>
      <c r="F274" s="0" t="n">
        <v>1</v>
      </c>
      <c r="G274" s="0" t="n">
        <v>7</v>
      </c>
      <c r="H274" s="0" t="n">
        <v>8</v>
      </c>
    </row>
    <row r="275" customFormat="false" ht="15" hidden="false" customHeight="false" outlineLevel="0" collapsed="false">
      <c r="A275" s="0" t="s">
        <v>149</v>
      </c>
      <c r="B275" s="0" t="s">
        <v>357</v>
      </c>
      <c r="C275" s="0" t="s">
        <v>445</v>
      </c>
      <c r="D275" s="0" t="n">
        <v>6</v>
      </c>
      <c r="E275" s="0" t="n">
        <v>3</v>
      </c>
      <c r="F275" s="0" t="n">
        <v>0</v>
      </c>
      <c r="G275" s="0" t="n">
        <v>9</v>
      </c>
      <c r="H275" s="0" t="n">
        <v>9</v>
      </c>
    </row>
    <row r="276" customFormat="false" ht="15" hidden="false" customHeight="false" outlineLevel="0" collapsed="false">
      <c r="A276" s="0" t="s">
        <v>149</v>
      </c>
      <c r="B276" s="0" t="s">
        <v>360</v>
      </c>
      <c r="C276" s="0" t="s">
        <v>440</v>
      </c>
      <c r="D276" s="0" t="n">
        <v>4</v>
      </c>
      <c r="E276" s="0" t="n">
        <v>2</v>
      </c>
      <c r="F276" s="0" t="n">
        <v>0</v>
      </c>
      <c r="G276" s="0" t="n">
        <v>6</v>
      </c>
      <c r="H276" s="0" t="n">
        <v>6</v>
      </c>
    </row>
    <row r="277" customFormat="false" ht="15" hidden="false" customHeight="false" outlineLevel="0" collapsed="false">
      <c r="A277" s="0" t="s">
        <v>149</v>
      </c>
      <c r="B277" s="0" t="s">
        <v>422</v>
      </c>
      <c r="C277" s="0" t="s">
        <v>418</v>
      </c>
      <c r="D277" s="0" t="n">
        <v>10</v>
      </c>
      <c r="E277" s="0" t="n">
        <v>7</v>
      </c>
      <c r="F277" s="0" t="n">
        <v>0</v>
      </c>
      <c r="G277" s="0" t="n">
        <v>17</v>
      </c>
      <c r="H277" s="0" t="n">
        <v>17</v>
      </c>
    </row>
    <row r="278" customFormat="false" ht="15" hidden="false" customHeight="false" outlineLevel="0" collapsed="false">
      <c r="A278" s="0" t="s">
        <v>149</v>
      </c>
      <c r="B278" s="0" t="s">
        <v>451</v>
      </c>
      <c r="C278" s="0" t="s">
        <v>79</v>
      </c>
      <c r="D278" s="0" t="n">
        <v>3</v>
      </c>
      <c r="E278" s="0" t="n">
        <v>3</v>
      </c>
      <c r="F278" s="0" t="n">
        <v>1</v>
      </c>
      <c r="G278" s="0" t="n">
        <v>6</v>
      </c>
      <c r="H278" s="0" t="n">
        <v>7</v>
      </c>
    </row>
    <row r="279" customFormat="false" ht="15" hidden="false" customHeight="false" outlineLevel="0" collapsed="false">
      <c r="A279" s="0" t="s">
        <v>149</v>
      </c>
      <c r="B279" s="0" t="s">
        <v>406</v>
      </c>
      <c r="C279" s="0" t="s">
        <v>424</v>
      </c>
      <c r="D279" s="0" t="n">
        <v>12</v>
      </c>
      <c r="E279" s="0" t="n">
        <v>3</v>
      </c>
      <c r="F279" s="0" t="n">
        <v>0</v>
      </c>
      <c r="G279" s="0" t="n">
        <v>15</v>
      </c>
      <c r="H279" s="0" t="n">
        <v>15</v>
      </c>
    </row>
    <row r="280" customFormat="false" ht="15" hidden="false" customHeight="false" outlineLevel="0" collapsed="false">
      <c r="A280" s="0" t="s">
        <v>149</v>
      </c>
      <c r="B280" s="0" t="s">
        <v>452</v>
      </c>
      <c r="C280" s="0" t="s">
        <v>423</v>
      </c>
      <c r="D280" s="0" t="n">
        <v>4</v>
      </c>
      <c r="E280" s="0" t="n">
        <v>7</v>
      </c>
      <c r="F280" s="0" t="n">
        <v>7</v>
      </c>
      <c r="G280" s="0" t="n">
        <v>11</v>
      </c>
      <c r="H280" s="0" t="n">
        <v>18</v>
      </c>
    </row>
    <row r="281" customFormat="false" ht="15" hidden="false" customHeight="false" outlineLevel="0" collapsed="false">
      <c r="A281" s="0" t="s">
        <v>149</v>
      </c>
      <c r="B281" s="0" t="s">
        <v>453</v>
      </c>
      <c r="C281" s="0" t="s">
        <v>420</v>
      </c>
      <c r="D281" s="0" t="n">
        <v>2</v>
      </c>
      <c r="E281" s="0" t="n">
        <v>6</v>
      </c>
      <c r="F281" s="0" t="n">
        <v>4</v>
      </c>
      <c r="G281" s="0" t="n">
        <v>8</v>
      </c>
      <c r="H281" s="0" t="n">
        <v>12</v>
      </c>
    </row>
    <row r="282" customFormat="false" ht="15" hidden="false" customHeight="false" outlineLevel="0" collapsed="false">
      <c r="A282" s="0" t="s">
        <v>149</v>
      </c>
      <c r="B282" s="0" t="s">
        <v>444</v>
      </c>
      <c r="C282" s="0" t="s">
        <v>424</v>
      </c>
      <c r="D282" s="0" t="n">
        <v>6</v>
      </c>
      <c r="E282" s="0" t="n">
        <v>7</v>
      </c>
      <c r="F282" s="0" t="n">
        <v>0</v>
      </c>
      <c r="G282" s="0" t="n">
        <v>13</v>
      </c>
      <c r="H282" s="0" t="n">
        <v>13</v>
      </c>
    </row>
    <row r="283" customFormat="false" ht="15" hidden="false" customHeight="false" outlineLevel="0" collapsed="false">
      <c r="A283" s="0" t="s">
        <v>149</v>
      </c>
      <c r="B283" s="0" t="s">
        <v>389</v>
      </c>
      <c r="C283" s="0" t="s">
        <v>436</v>
      </c>
      <c r="D283" s="0" t="n">
        <v>8</v>
      </c>
      <c r="E283" s="0" t="n">
        <v>5</v>
      </c>
      <c r="F283" s="0" t="n">
        <v>0</v>
      </c>
      <c r="G283" s="0" t="n">
        <v>13</v>
      </c>
      <c r="H283" s="0" t="n">
        <v>13</v>
      </c>
    </row>
    <row r="284" customFormat="false" ht="15" hidden="false" customHeight="false" outlineLevel="0" collapsed="false">
      <c r="A284" s="0" t="s">
        <v>149</v>
      </c>
      <c r="B284" s="0" t="s">
        <v>425</v>
      </c>
      <c r="C284" s="0" t="s">
        <v>454</v>
      </c>
      <c r="D284" s="0" t="n">
        <v>3</v>
      </c>
      <c r="E284" s="0" t="n">
        <v>2</v>
      </c>
      <c r="F284" s="0" t="n">
        <v>0</v>
      </c>
      <c r="G284" s="0" t="n">
        <v>5</v>
      </c>
      <c r="H284" s="0" t="n">
        <v>5</v>
      </c>
    </row>
    <row r="285" customFormat="false" ht="15" hidden="false" customHeight="false" outlineLevel="0" collapsed="false">
      <c r="A285" s="0" t="s">
        <v>149</v>
      </c>
      <c r="B285" s="0" t="s">
        <v>395</v>
      </c>
      <c r="C285" s="0" t="s">
        <v>79</v>
      </c>
      <c r="D285" s="0" t="n">
        <v>5</v>
      </c>
      <c r="E285" s="0" t="n">
        <v>0</v>
      </c>
      <c r="F285" s="0" t="n">
        <v>2</v>
      </c>
      <c r="G285" s="0" t="n">
        <v>5</v>
      </c>
      <c r="H285" s="0" t="n">
        <v>7</v>
      </c>
    </row>
    <row r="286" customFormat="false" ht="15" hidden="false" customHeight="false" outlineLevel="0" collapsed="false">
      <c r="A286" s="0" t="s">
        <v>149</v>
      </c>
      <c r="B286" s="0" t="s">
        <v>427</v>
      </c>
      <c r="C286" s="0" t="s">
        <v>420</v>
      </c>
      <c r="D286" s="0" t="n">
        <v>7</v>
      </c>
      <c r="E286" s="0" t="n">
        <v>3</v>
      </c>
      <c r="F286" s="0" t="n">
        <v>8</v>
      </c>
      <c r="G286" s="0" t="n">
        <v>10</v>
      </c>
      <c r="H286" s="0" t="n">
        <v>18</v>
      </c>
    </row>
    <row r="287" customFormat="false" ht="15" hidden="false" customHeight="false" outlineLevel="0" collapsed="false">
      <c r="A287" s="0" t="s">
        <v>152</v>
      </c>
      <c r="B287" s="0" t="s">
        <v>417</v>
      </c>
      <c r="C287" s="0" t="s">
        <v>420</v>
      </c>
      <c r="D287" s="0" t="n">
        <v>5</v>
      </c>
      <c r="E287" s="0" t="n">
        <v>2</v>
      </c>
      <c r="F287" s="0" t="n">
        <v>1</v>
      </c>
      <c r="G287" s="0" t="n">
        <v>7</v>
      </c>
      <c r="H287" s="0" t="n">
        <v>8</v>
      </c>
    </row>
    <row r="288" customFormat="false" ht="15" hidden="false" customHeight="false" outlineLevel="0" collapsed="false">
      <c r="A288" s="0" t="s">
        <v>152</v>
      </c>
      <c r="B288" s="0" t="s">
        <v>419</v>
      </c>
      <c r="C288" s="0" t="s">
        <v>85</v>
      </c>
      <c r="D288" s="0" t="n">
        <v>3</v>
      </c>
      <c r="E288" s="0" t="n">
        <v>1</v>
      </c>
      <c r="F288" s="0" t="n">
        <v>2</v>
      </c>
      <c r="G288" s="0" t="n">
        <v>4</v>
      </c>
      <c r="H288" s="0" t="n">
        <v>6</v>
      </c>
    </row>
    <row r="289" customFormat="false" ht="15" hidden="false" customHeight="false" outlineLevel="0" collapsed="false">
      <c r="A289" s="0" t="s">
        <v>152</v>
      </c>
      <c r="B289" s="0" t="s">
        <v>402</v>
      </c>
      <c r="C289" s="0" t="s">
        <v>79</v>
      </c>
      <c r="D289" s="0" t="n">
        <v>1</v>
      </c>
      <c r="E289" s="0" t="n">
        <v>1</v>
      </c>
      <c r="F289" s="0" t="n">
        <v>0</v>
      </c>
      <c r="G289" s="0" t="n">
        <v>2</v>
      </c>
      <c r="H289" s="0" t="n">
        <v>2</v>
      </c>
    </row>
    <row r="290" customFormat="false" ht="15" hidden="false" customHeight="false" outlineLevel="0" collapsed="false">
      <c r="A290" s="0" t="s">
        <v>152</v>
      </c>
      <c r="B290" s="0" t="s">
        <v>357</v>
      </c>
      <c r="C290" s="0" t="s">
        <v>445</v>
      </c>
      <c r="D290" s="0" t="n">
        <v>4</v>
      </c>
      <c r="E290" s="0" t="n">
        <v>1</v>
      </c>
      <c r="F290" s="0" t="n">
        <v>0</v>
      </c>
      <c r="G290" s="0" t="n">
        <v>5</v>
      </c>
      <c r="H290" s="0" t="n">
        <v>5</v>
      </c>
    </row>
    <row r="291" customFormat="false" ht="15" hidden="false" customHeight="false" outlineLevel="0" collapsed="false">
      <c r="A291" s="0" t="s">
        <v>152</v>
      </c>
      <c r="B291" s="0" t="s">
        <v>360</v>
      </c>
      <c r="C291" s="0" t="s">
        <v>440</v>
      </c>
      <c r="D291" s="0" t="n">
        <v>4</v>
      </c>
      <c r="E291" s="0" t="n">
        <v>7</v>
      </c>
      <c r="F291" s="0" t="n">
        <v>0</v>
      </c>
      <c r="G291" s="0" t="n">
        <v>11</v>
      </c>
      <c r="H291" s="0" t="n">
        <v>11</v>
      </c>
    </row>
    <row r="292" customFormat="false" ht="15" hidden="false" customHeight="false" outlineLevel="0" collapsed="false">
      <c r="A292" s="0" t="s">
        <v>152</v>
      </c>
      <c r="B292" s="0" t="s">
        <v>422</v>
      </c>
      <c r="C292" s="0" t="s">
        <v>418</v>
      </c>
      <c r="D292" s="0" t="n">
        <v>5</v>
      </c>
      <c r="E292" s="0" t="n">
        <v>5</v>
      </c>
      <c r="F292" s="0" t="n">
        <v>0</v>
      </c>
      <c r="G292" s="0" t="n">
        <v>10</v>
      </c>
      <c r="H292" s="0" t="n">
        <v>10</v>
      </c>
    </row>
    <row r="293" customFormat="false" ht="15" hidden="false" customHeight="false" outlineLevel="0" collapsed="false">
      <c r="A293" s="0" t="s">
        <v>152</v>
      </c>
      <c r="B293" s="0" t="s">
        <v>451</v>
      </c>
      <c r="C293" s="0" t="s">
        <v>79</v>
      </c>
      <c r="D293" s="0" t="n">
        <v>2</v>
      </c>
      <c r="E293" s="0" t="n">
        <v>1</v>
      </c>
      <c r="F293" s="0" t="n">
        <v>1</v>
      </c>
      <c r="G293" s="0" t="n">
        <v>3</v>
      </c>
      <c r="H293" s="0" t="n">
        <v>4</v>
      </c>
    </row>
    <row r="294" customFormat="false" ht="15" hidden="false" customHeight="false" outlineLevel="0" collapsed="false">
      <c r="A294" s="0" t="s">
        <v>152</v>
      </c>
      <c r="B294" s="0" t="s">
        <v>406</v>
      </c>
      <c r="C294" s="0" t="s">
        <v>424</v>
      </c>
      <c r="D294" s="0" t="n">
        <v>2</v>
      </c>
      <c r="E294" s="0" t="n">
        <v>1</v>
      </c>
      <c r="F294" s="0" t="n">
        <v>0</v>
      </c>
      <c r="G294" s="0" t="n">
        <v>3</v>
      </c>
      <c r="H294" s="0" t="n">
        <v>3</v>
      </c>
    </row>
    <row r="295" customFormat="false" ht="15" hidden="false" customHeight="false" outlineLevel="0" collapsed="false">
      <c r="A295" s="0" t="s">
        <v>152</v>
      </c>
      <c r="B295" s="0" t="s">
        <v>452</v>
      </c>
      <c r="C295" s="0" t="s">
        <v>423</v>
      </c>
      <c r="D295" s="0" t="n">
        <v>3</v>
      </c>
      <c r="E295" s="0" t="n">
        <v>1</v>
      </c>
      <c r="F295" s="0" t="n">
        <v>3</v>
      </c>
      <c r="G295" s="0" t="n">
        <v>4</v>
      </c>
      <c r="H295" s="0" t="n">
        <v>7</v>
      </c>
    </row>
    <row r="296" customFormat="false" ht="15" hidden="false" customHeight="false" outlineLevel="0" collapsed="false">
      <c r="A296" s="0" t="s">
        <v>152</v>
      </c>
      <c r="B296" s="0" t="s">
        <v>453</v>
      </c>
      <c r="C296" s="0" t="s">
        <v>420</v>
      </c>
      <c r="D296" s="0" t="n">
        <v>5</v>
      </c>
      <c r="E296" s="0" t="n">
        <v>3</v>
      </c>
      <c r="F296" s="0" t="n">
        <v>2</v>
      </c>
      <c r="G296" s="0" t="n">
        <v>8</v>
      </c>
      <c r="H296" s="0" t="n">
        <v>10</v>
      </c>
    </row>
    <row r="297" customFormat="false" ht="15" hidden="false" customHeight="false" outlineLevel="0" collapsed="false">
      <c r="A297" s="0" t="s">
        <v>152</v>
      </c>
      <c r="B297" s="0" t="s">
        <v>444</v>
      </c>
      <c r="C297" s="0" t="s">
        <v>424</v>
      </c>
      <c r="D297" s="0" t="n">
        <v>3</v>
      </c>
      <c r="E297" s="0" t="n">
        <v>6</v>
      </c>
      <c r="F297" s="0" t="n">
        <v>0</v>
      </c>
      <c r="G297" s="0" t="n">
        <v>9</v>
      </c>
      <c r="H297" s="0" t="n">
        <v>9</v>
      </c>
    </row>
    <row r="298" customFormat="false" ht="15" hidden="false" customHeight="false" outlineLevel="0" collapsed="false">
      <c r="A298" s="0" t="s">
        <v>152</v>
      </c>
      <c r="B298" s="0" t="s">
        <v>389</v>
      </c>
      <c r="C298" s="0" t="s">
        <v>436</v>
      </c>
      <c r="D298" s="0" t="n">
        <v>5</v>
      </c>
      <c r="E298" s="0" t="n">
        <v>3</v>
      </c>
      <c r="F298" s="0" t="n">
        <v>0</v>
      </c>
      <c r="G298" s="0" t="n">
        <v>8</v>
      </c>
      <c r="H298" s="0" t="n">
        <v>8</v>
      </c>
    </row>
    <row r="299" customFormat="false" ht="15" hidden="false" customHeight="false" outlineLevel="0" collapsed="false">
      <c r="A299" s="0" t="s">
        <v>152</v>
      </c>
      <c r="B299" s="0" t="s">
        <v>425</v>
      </c>
      <c r="C299" s="0" t="s">
        <v>454</v>
      </c>
      <c r="D299" s="0" t="n">
        <v>3</v>
      </c>
      <c r="E299" s="0" t="n">
        <v>2</v>
      </c>
      <c r="F299" s="0" t="n">
        <v>0</v>
      </c>
      <c r="G299" s="0" t="n">
        <v>5</v>
      </c>
      <c r="H299" s="0" t="n">
        <v>5</v>
      </c>
    </row>
    <row r="300" customFormat="false" ht="15" hidden="false" customHeight="false" outlineLevel="0" collapsed="false">
      <c r="A300" s="0" t="s">
        <v>152</v>
      </c>
      <c r="B300" s="0" t="s">
        <v>395</v>
      </c>
      <c r="C300" s="0" t="s">
        <v>79</v>
      </c>
      <c r="D300" s="0" t="n">
        <v>3</v>
      </c>
      <c r="E300" s="0" t="n">
        <v>8</v>
      </c>
      <c r="F300" s="0" t="n">
        <v>4</v>
      </c>
      <c r="G300" s="0" t="n">
        <v>11</v>
      </c>
      <c r="H300" s="0" t="n">
        <v>15</v>
      </c>
    </row>
    <row r="301" customFormat="false" ht="15" hidden="false" customHeight="false" outlineLevel="0" collapsed="false">
      <c r="A301" s="0" t="s">
        <v>152</v>
      </c>
      <c r="B301" s="0" t="s">
        <v>427</v>
      </c>
      <c r="C301" s="0" t="s">
        <v>420</v>
      </c>
      <c r="D301" s="0" t="n">
        <v>3</v>
      </c>
      <c r="E301" s="0" t="n">
        <v>0</v>
      </c>
      <c r="F301" s="0" t="n">
        <v>5</v>
      </c>
      <c r="G301" s="0" t="n">
        <v>3</v>
      </c>
      <c r="H301" s="0" t="n">
        <v>8</v>
      </c>
    </row>
    <row r="302" customFormat="false" ht="15" hidden="false" customHeight="false" outlineLevel="0" collapsed="false">
      <c r="A302" s="0" t="s">
        <v>155</v>
      </c>
      <c r="B302" s="0" t="s">
        <v>417</v>
      </c>
      <c r="C302" s="0" t="s">
        <v>420</v>
      </c>
      <c r="D302" s="0" t="n">
        <v>9</v>
      </c>
      <c r="E302" s="0" t="n">
        <v>7</v>
      </c>
      <c r="F302" s="0" t="n">
        <v>2</v>
      </c>
      <c r="G302" s="0" t="n">
        <v>16</v>
      </c>
      <c r="H302" s="0" t="n">
        <v>18</v>
      </c>
    </row>
    <row r="303" customFormat="false" ht="15" hidden="false" customHeight="false" outlineLevel="0" collapsed="false">
      <c r="A303" s="0" t="s">
        <v>155</v>
      </c>
      <c r="B303" s="0" t="s">
        <v>419</v>
      </c>
      <c r="C303" s="0" t="s">
        <v>85</v>
      </c>
      <c r="D303" s="0" t="n">
        <v>4</v>
      </c>
      <c r="E303" s="0" t="n">
        <v>5</v>
      </c>
      <c r="F303" s="0" t="n">
        <v>7</v>
      </c>
      <c r="G303" s="0" t="n">
        <v>9</v>
      </c>
      <c r="H303" s="0" t="n">
        <v>16</v>
      </c>
    </row>
    <row r="304" customFormat="false" ht="15" hidden="false" customHeight="false" outlineLevel="0" collapsed="false">
      <c r="A304" s="0" t="s">
        <v>155</v>
      </c>
      <c r="B304" s="0" t="s">
        <v>402</v>
      </c>
      <c r="C304" s="0" t="s">
        <v>79</v>
      </c>
      <c r="D304" s="0" t="n">
        <v>6</v>
      </c>
      <c r="E304" s="0" t="n">
        <v>2</v>
      </c>
      <c r="F304" s="0" t="n">
        <v>4</v>
      </c>
      <c r="G304" s="0" t="n">
        <v>8</v>
      </c>
      <c r="H304" s="0" t="n">
        <v>12</v>
      </c>
    </row>
    <row r="305" customFormat="false" ht="15" hidden="false" customHeight="false" outlineLevel="0" collapsed="false">
      <c r="A305" s="0" t="s">
        <v>155</v>
      </c>
      <c r="B305" s="0" t="s">
        <v>357</v>
      </c>
      <c r="C305" s="0" t="s">
        <v>445</v>
      </c>
      <c r="D305" s="0" t="n">
        <v>5</v>
      </c>
      <c r="E305" s="0" t="n">
        <v>3</v>
      </c>
      <c r="F305" s="0" t="n">
        <v>0</v>
      </c>
      <c r="G305" s="0" t="n">
        <v>8</v>
      </c>
      <c r="H305" s="0" t="n">
        <v>8</v>
      </c>
    </row>
    <row r="306" customFormat="false" ht="15" hidden="false" customHeight="false" outlineLevel="0" collapsed="false">
      <c r="A306" s="0" t="s">
        <v>155</v>
      </c>
      <c r="B306" s="0" t="s">
        <v>360</v>
      </c>
      <c r="C306" s="0" t="s">
        <v>440</v>
      </c>
      <c r="D306" s="0" t="n">
        <v>11</v>
      </c>
      <c r="E306" s="0" t="n">
        <v>8</v>
      </c>
      <c r="F306" s="0" t="n">
        <v>0</v>
      </c>
      <c r="G306" s="0" t="n">
        <v>19</v>
      </c>
      <c r="H306" s="0" t="n">
        <v>19</v>
      </c>
    </row>
    <row r="307" customFormat="false" ht="15" hidden="false" customHeight="false" outlineLevel="0" collapsed="false">
      <c r="A307" s="0" t="s">
        <v>155</v>
      </c>
      <c r="B307" s="0" t="s">
        <v>422</v>
      </c>
      <c r="C307" s="0" t="s">
        <v>418</v>
      </c>
      <c r="D307" s="0" t="n">
        <v>5</v>
      </c>
      <c r="E307" s="0" t="n">
        <v>4</v>
      </c>
      <c r="F307" s="0" t="n">
        <v>0</v>
      </c>
      <c r="G307" s="0" t="n">
        <v>9</v>
      </c>
      <c r="H307" s="0" t="n">
        <v>9</v>
      </c>
    </row>
    <row r="308" customFormat="false" ht="15" hidden="false" customHeight="false" outlineLevel="0" collapsed="false">
      <c r="A308" s="0" t="s">
        <v>155</v>
      </c>
      <c r="B308" s="0" t="s">
        <v>451</v>
      </c>
      <c r="C308" s="0" t="s">
        <v>79</v>
      </c>
      <c r="D308" s="0" t="n">
        <v>15</v>
      </c>
      <c r="E308" s="0" t="n">
        <v>6</v>
      </c>
      <c r="F308" s="0" t="n">
        <v>4</v>
      </c>
      <c r="G308" s="0" t="n">
        <v>21</v>
      </c>
      <c r="H308" s="0" t="n">
        <v>25</v>
      </c>
    </row>
    <row r="309" customFormat="false" ht="15" hidden="false" customHeight="false" outlineLevel="0" collapsed="false">
      <c r="A309" s="0" t="s">
        <v>155</v>
      </c>
      <c r="B309" s="0" t="s">
        <v>406</v>
      </c>
      <c r="C309" s="0" t="s">
        <v>424</v>
      </c>
      <c r="D309" s="0" t="n">
        <v>8</v>
      </c>
      <c r="E309" s="0" t="n">
        <v>12</v>
      </c>
      <c r="F309" s="0" t="n">
        <v>0</v>
      </c>
      <c r="G309" s="0" t="n">
        <v>20</v>
      </c>
      <c r="H309" s="0" t="n">
        <v>20</v>
      </c>
    </row>
    <row r="310" customFormat="false" ht="15" hidden="false" customHeight="false" outlineLevel="0" collapsed="false">
      <c r="A310" s="0" t="s">
        <v>155</v>
      </c>
      <c r="B310" s="0" t="s">
        <v>452</v>
      </c>
      <c r="C310" s="0" t="s">
        <v>423</v>
      </c>
      <c r="D310" s="0" t="n">
        <v>11</v>
      </c>
      <c r="E310" s="0" t="n">
        <v>6</v>
      </c>
      <c r="F310" s="0" t="n">
        <v>8</v>
      </c>
      <c r="G310" s="0" t="n">
        <v>17</v>
      </c>
      <c r="H310" s="0" t="n">
        <v>25</v>
      </c>
    </row>
    <row r="311" customFormat="false" ht="15" hidden="false" customHeight="false" outlineLevel="0" collapsed="false">
      <c r="A311" s="0" t="s">
        <v>155</v>
      </c>
      <c r="B311" s="0" t="s">
        <v>453</v>
      </c>
      <c r="C311" s="0" t="s">
        <v>420</v>
      </c>
      <c r="D311" s="0" t="n">
        <v>13</v>
      </c>
      <c r="E311" s="0" t="n">
        <v>9</v>
      </c>
      <c r="F311" s="0" t="n">
        <v>10</v>
      </c>
      <c r="G311" s="0" t="n">
        <v>22</v>
      </c>
      <c r="H311" s="0" t="n">
        <v>32</v>
      </c>
    </row>
    <row r="312" customFormat="false" ht="15" hidden="false" customHeight="false" outlineLevel="0" collapsed="false">
      <c r="A312" s="0" t="s">
        <v>155</v>
      </c>
      <c r="B312" s="0" t="s">
        <v>444</v>
      </c>
      <c r="C312" s="0" t="s">
        <v>424</v>
      </c>
      <c r="D312" s="0" t="n">
        <v>9</v>
      </c>
      <c r="E312" s="0" t="n">
        <v>11</v>
      </c>
      <c r="F312" s="0" t="n">
        <v>0</v>
      </c>
      <c r="G312" s="0" t="n">
        <v>20</v>
      </c>
      <c r="H312" s="0" t="n">
        <v>20</v>
      </c>
    </row>
    <row r="313" customFormat="false" ht="15" hidden="false" customHeight="false" outlineLevel="0" collapsed="false">
      <c r="A313" s="0" t="s">
        <v>155</v>
      </c>
      <c r="B313" s="0" t="s">
        <v>389</v>
      </c>
      <c r="C313" s="0" t="s">
        <v>436</v>
      </c>
      <c r="D313" s="0" t="n">
        <v>5</v>
      </c>
      <c r="E313" s="0" t="n">
        <v>13</v>
      </c>
      <c r="F313" s="0" t="n">
        <v>0</v>
      </c>
      <c r="G313" s="0" t="n">
        <v>18</v>
      </c>
      <c r="H313" s="0" t="n">
        <v>18</v>
      </c>
    </row>
    <row r="314" customFormat="false" ht="15" hidden="false" customHeight="false" outlineLevel="0" collapsed="false">
      <c r="A314" s="0" t="s">
        <v>155</v>
      </c>
      <c r="B314" s="0" t="s">
        <v>425</v>
      </c>
      <c r="C314" s="0" t="s">
        <v>454</v>
      </c>
      <c r="D314" s="0" t="n">
        <v>6</v>
      </c>
      <c r="E314" s="0" t="n">
        <v>8</v>
      </c>
      <c r="F314" s="0" t="n">
        <v>0</v>
      </c>
      <c r="G314" s="0" t="n">
        <v>14</v>
      </c>
      <c r="H314" s="0" t="n">
        <v>14</v>
      </c>
    </row>
    <row r="315" customFormat="false" ht="15" hidden="false" customHeight="false" outlineLevel="0" collapsed="false">
      <c r="A315" s="0" t="s">
        <v>155</v>
      </c>
      <c r="B315" s="0" t="s">
        <v>395</v>
      </c>
      <c r="C315" s="0" t="s">
        <v>79</v>
      </c>
      <c r="D315" s="0" t="n">
        <v>4</v>
      </c>
      <c r="E315" s="0" t="n">
        <v>10</v>
      </c>
      <c r="F315" s="0" t="n">
        <v>4</v>
      </c>
      <c r="G315" s="0" t="n">
        <v>14</v>
      </c>
      <c r="H315" s="0" t="n">
        <v>18</v>
      </c>
    </row>
    <row r="316" customFormat="false" ht="15" hidden="false" customHeight="false" outlineLevel="0" collapsed="false">
      <c r="A316" s="0" t="s">
        <v>155</v>
      </c>
      <c r="B316" s="0" t="s">
        <v>427</v>
      </c>
      <c r="C316" s="0" t="s">
        <v>420</v>
      </c>
      <c r="D316" s="0" t="n">
        <v>11</v>
      </c>
      <c r="E316" s="0" t="n">
        <v>6</v>
      </c>
      <c r="F316" s="0" t="n">
        <v>4</v>
      </c>
      <c r="G316" s="0" t="n">
        <v>17</v>
      </c>
      <c r="H316" s="0" t="n">
        <v>21</v>
      </c>
    </row>
    <row r="317" customFormat="false" ht="15" hidden="false" customHeight="false" outlineLevel="0" collapsed="false">
      <c r="A317" s="0" t="s">
        <v>158</v>
      </c>
      <c r="B317" s="0" t="s">
        <v>417</v>
      </c>
      <c r="C317" s="0" t="s">
        <v>420</v>
      </c>
      <c r="D317" s="0" t="n">
        <v>21</v>
      </c>
      <c r="E317" s="0" t="n">
        <v>5</v>
      </c>
      <c r="F317" s="0" t="n">
        <v>9</v>
      </c>
      <c r="G317" s="0" t="n">
        <v>26</v>
      </c>
      <c r="H317" s="0" t="n">
        <v>35</v>
      </c>
    </row>
    <row r="318" customFormat="false" ht="15" hidden="false" customHeight="false" outlineLevel="0" collapsed="false">
      <c r="A318" s="0" t="s">
        <v>158</v>
      </c>
      <c r="B318" s="0" t="s">
        <v>419</v>
      </c>
      <c r="C318" s="0" t="s">
        <v>85</v>
      </c>
      <c r="D318" s="0" t="n">
        <v>3</v>
      </c>
      <c r="E318" s="0" t="n">
        <v>13</v>
      </c>
      <c r="F318" s="0" t="n">
        <v>16</v>
      </c>
      <c r="G318" s="0" t="n">
        <v>16</v>
      </c>
      <c r="H318" s="0" t="n">
        <v>32</v>
      </c>
    </row>
    <row r="319" customFormat="false" ht="15" hidden="false" customHeight="false" outlineLevel="0" collapsed="false">
      <c r="A319" s="0" t="s">
        <v>158</v>
      </c>
      <c r="B319" s="0" t="s">
        <v>402</v>
      </c>
      <c r="C319" s="0" t="s">
        <v>79</v>
      </c>
      <c r="D319" s="0" t="n">
        <v>1</v>
      </c>
      <c r="E319" s="0" t="n">
        <v>20</v>
      </c>
      <c r="F319" s="0" t="n">
        <v>1</v>
      </c>
      <c r="G319" s="0" t="n">
        <v>21</v>
      </c>
      <c r="H319" s="0" t="n">
        <v>22</v>
      </c>
    </row>
    <row r="320" customFormat="false" ht="15" hidden="false" customHeight="false" outlineLevel="0" collapsed="false">
      <c r="A320" s="0" t="s">
        <v>158</v>
      </c>
      <c r="B320" s="0" t="s">
        <v>357</v>
      </c>
      <c r="C320" s="0" t="s">
        <v>445</v>
      </c>
      <c r="D320" s="0" t="n">
        <v>6</v>
      </c>
      <c r="E320" s="0" t="n">
        <v>12</v>
      </c>
      <c r="F320" s="0" t="n">
        <v>0</v>
      </c>
      <c r="G320" s="0" t="n">
        <v>18</v>
      </c>
      <c r="H320" s="0" t="n">
        <v>18</v>
      </c>
    </row>
    <row r="321" customFormat="false" ht="15" hidden="false" customHeight="false" outlineLevel="0" collapsed="false">
      <c r="A321" s="0" t="s">
        <v>158</v>
      </c>
      <c r="B321" s="0" t="s">
        <v>360</v>
      </c>
      <c r="C321" s="0" t="s">
        <v>440</v>
      </c>
      <c r="D321" s="0" t="n">
        <v>9</v>
      </c>
      <c r="E321" s="0" t="n">
        <v>11</v>
      </c>
      <c r="F321" s="0" t="n">
        <v>0</v>
      </c>
      <c r="G321" s="0" t="n">
        <v>20</v>
      </c>
      <c r="H321" s="0" t="n">
        <v>20</v>
      </c>
    </row>
    <row r="322" customFormat="false" ht="15" hidden="false" customHeight="false" outlineLevel="0" collapsed="false">
      <c r="A322" s="0" t="s">
        <v>158</v>
      </c>
      <c r="B322" s="0" t="s">
        <v>422</v>
      </c>
      <c r="C322" s="0" t="s">
        <v>418</v>
      </c>
      <c r="D322" s="0" t="n">
        <v>11</v>
      </c>
      <c r="E322" s="0" t="n">
        <v>15</v>
      </c>
      <c r="F322" s="0" t="n">
        <v>0</v>
      </c>
      <c r="G322" s="0" t="n">
        <v>26</v>
      </c>
      <c r="H322" s="0" t="n">
        <v>26</v>
      </c>
    </row>
    <row r="323" customFormat="false" ht="15" hidden="false" customHeight="false" outlineLevel="0" collapsed="false">
      <c r="A323" s="0" t="s">
        <v>158</v>
      </c>
      <c r="B323" s="0" t="s">
        <v>451</v>
      </c>
      <c r="C323" s="0" t="s">
        <v>79</v>
      </c>
      <c r="D323" s="0" t="n">
        <v>9</v>
      </c>
      <c r="E323" s="0" t="n">
        <v>3</v>
      </c>
      <c r="F323" s="0" t="n">
        <v>6</v>
      </c>
      <c r="G323" s="0" t="n">
        <v>12</v>
      </c>
      <c r="H323" s="0" t="n">
        <v>18</v>
      </c>
    </row>
    <row r="324" customFormat="false" ht="15" hidden="false" customHeight="false" outlineLevel="0" collapsed="false">
      <c r="A324" s="0" t="s">
        <v>158</v>
      </c>
      <c r="B324" s="0" t="s">
        <v>406</v>
      </c>
      <c r="C324" s="0" t="s">
        <v>424</v>
      </c>
      <c r="D324" s="0" t="n">
        <v>24</v>
      </c>
      <c r="E324" s="0" t="n">
        <v>16</v>
      </c>
      <c r="F324" s="0" t="n">
        <v>0</v>
      </c>
      <c r="G324" s="0" t="n">
        <v>40</v>
      </c>
      <c r="H324" s="0" t="n">
        <v>40</v>
      </c>
    </row>
    <row r="325" customFormat="false" ht="15" hidden="false" customHeight="false" outlineLevel="0" collapsed="false">
      <c r="A325" s="0" t="s">
        <v>158</v>
      </c>
      <c r="B325" s="0" t="s">
        <v>452</v>
      </c>
      <c r="C325" s="0" t="s">
        <v>423</v>
      </c>
      <c r="D325" s="0" t="n">
        <v>4</v>
      </c>
      <c r="E325" s="0" t="n">
        <v>22</v>
      </c>
      <c r="F325" s="0" t="n">
        <v>24</v>
      </c>
      <c r="G325" s="0" t="n">
        <v>26</v>
      </c>
      <c r="H325" s="0" t="n">
        <v>50</v>
      </c>
    </row>
    <row r="326" customFormat="false" ht="15" hidden="false" customHeight="false" outlineLevel="0" collapsed="false">
      <c r="A326" s="0" t="s">
        <v>158</v>
      </c>
      <c r="B326" s="0" t="s">
        <v>453</v>
      </c>
      <c r="C326" s="0" t="s">
        <v>420</v>
      </c>
      <c r="D326" s="0" t="n">
        <v>6</v>
      </c>
      <c r="E326" s="0" t="n">
        <v>6</v>
      </c>
      <c r="F326" s="0" t="n">
        <v>7</v>
      </c>
      <c r="G326" s="0" t="n">
        <v>12</v>
      </c>
      <c r="H326" s="0" t="n">
        <v>19</v>
      </c>
    </row>
    <row r="327" customFormat="false" ht="15" hidden="false" customHeight="false" outlineLevel="0" collapsed="false">
      <c r="A327" s="0" t="s">
        <v>158</v>
      </c>
      <c r="B327" s="0" t="s">
        <v>444</v>
      </c>
      <c r="C327" s="0" t="s">
        <v>424</v>
      </c>
      <c r="D327" s="0" t="n">
        <v>12</v>
      </c>
      <c r="E327" s="0" t="n">
        <v>12</v>
      </c>
      <c r="F327" s="0" t="n">
        <v>0</v>
      </c>
      <c r="G327" s="0" t="n">
        <v>24</v>
      </c>
      <c r="H327" s="0" t="n">
        <v>24</v>
      </c>
    </row>
    <row r="328" customFormat="false" ht="15" hidden="false" customHeight="false" outlineLevel="0" collapsed="false">
      <c r="A328" s="0" t="s">
        <v>158</v>
      </c>
      <c r="B328" s="0" t="s">
        <v>389</v>
      </c>
      <c r="C328" s="0" t="s">
        <v>436</v>
      </c>
      <c r="D328" s="0" t="n">
        <v>9</v>
      </c>
      <c r="E328" s="0" t="n">
        <v>11</v>
      </c>
      <c r="F328" s="0" t="n">
        <v>0</v>
      </c>
      <c r="G328" s="0" t="n">
        <v>20</v>
      </c>
      <c r="H328" s="0" t="n">
        <v>20</v>
      </c>
    </row>
    <row r="329" customFormat="false" ht="15" hidden="false" customHeight="false" outlineLevel="0" collapsed="false">
      <c r="A329" s="0" t="s">
        <v>158</v>
      </c>
      <c r="B329" s="0" t="s">
        <v>425</v>
      </c>
      <c r="C329" s="0" t="s">
        <v>454</v>
      </c>
      <c r="D329" s="0" t="n">
        <v>15</v>
      </c>
      <c r="E329" s="0" t="n">
        <v>3</v>
      </c>
      <c r="F329" s="0" t="n">
        <v>0</v>
      </c>
      <c r="G329" s="0" t="n">
        <v>18</v>
      </c>
      <c r="H329" s="0" t="n">
        <v>18</v>
      </c>
    </row>
    <row r="330" customFormat="false" ht="15" hidden="false" customHeight="false" outlineLevel="0" collapsed="false">
      <c r="A330" s="0" t="s">
        <v>158</v>
      </c>
      <c r="B330" s="0" t="s">
        <v>455</v>
      </c>
      <c r="C330" s="0" t="s">
        <v>456</v>
      </c>
      <c r="D330" s="0" t="n">
        <v>12</v>
      </c>
      <c r="E330" s="0" t="n">
        <v>11</v>
      </c>
      <c r="F330" s="0" t="n">
        <v>10</v>
      </c>
      <c r="G330" s="0" t="n">
        <v>23</v>
      </c>
      <c r="H330" s="0" t="n">
        <v>33</v>
      </c>
    </row>
    <row r="331" customFormat="false" ht="15" hidden="false" customHeight="false" outlineLevel="0" collapsed="false">
      <c r="A331" s="0" t="s">
        <v>158</v>
      </c>
      <c r="B331" s="0" t="s">
        <v>455</v>
      </c>
      <c r="C331" s="0" t="s">
        <v>457</v>
      </c>
      <c r="D331" s="0" t="n">
        <v>4</v>
      </c>
      <c r="E331" s="0" t="n">
        <v>13</v>
      </c>
      <c r="F331" s="0" t="n">
        <v>22</v>
      </c>
      <c r="G331" s="0" t="n">
        <v>17</v>
      </c>
      <c r="H331" s="0" t="n">
        <v>39</v>
      </c>
    </row>
    <row r="332" customFormat="false" ht="15" hidden="false" customHeight="false" outlineLevel="0" collapsed="false">
      <c r="A332" s="0" t="s">
        <v>196</v>
      </c>
      <c r="B332" s="0" t="s">
        <v>402</v>
      </c>
      <c r="C332" s="0" t="s">
        <v>458</v>
      </c>
      <c r="D332" s="0" t="n">
        <v>3</v>
      </c>
      <c r="E332" s="0" t="n">
        <v>4</v>
      </c>
      <c r="F332" s="0" t="n">
        <v>0</v>
      </c>
      <c r="G332" s="0" t="n">
        <v>7</v>
      </c>
      <c r="H332" s="0" t="n">
        <v>7</v>
      </c>
    </row>
    <row r="333" customFormat="false" ht="15" hidden="false" customHeight="false" outlineLevel="0" collapsed="false">
      <c r="A333" s="0" t="s">
        <v>196</v>
      </c>
      <c r="B333" s="0" t="s">
        <v>357</v>
      </c>
      <c r="C333" s="0" t="s">
        <v>459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</row>
    <row r="334" customFormat="false" ht="15" hidden="false" customHeight="false" outlineLevel="0" collapsed="false">
      <c r="A334" s="0" t="s">
        <v>196</v>
      </c>
      <c r="B334" s="0" t="s">
        <v>360</v>
      </c>
      <c r="C334" s="0" t="s">
        <v>460</v>
      </c>
      <c r="D334" s="0" t="n">
        <v>3</v>
      </c>
      <c r="E334" s="0" t="n">
        <v>0</v>
      </c>
      <c r="F334" s="0" t="n">
        <v>0</v>
      </c>
      <c r="G334" s="0" t="n">
        <v>3</v>
      </c>
      <c r="H334" s="0" t="n">
        <v>3</v>
      </c>
    </row>
    <row r="335" customFormat="false" ht="15" hidden="false" customHeight="false" outlineLevel="0" collapsed="false">
      <c r="A335" s="0" t="s">
        <v>196</v>
      </c>
      <c r="B335" s="0" t="s">
        <v>461</v>
      </c>
      <c r="C335" s="0" t="s">
        <v>462</v>
      </c>
      <c r="D335" s="0" t="n">
        <v>5</v>
      </c>
      <c r="E335" s="0" t="n">
        <v>8</v>
      </c>
      <c r="F335" s="0" t="n">
        <v>0</v>
      </c>
      <c r="G335" s="0" t="n">
        <v>13</v>
      </c>
      <c r="H335" s="0" t="n">
        <v>13</v>
      </c>
    </row>
    <row r="336" customFormat="false" ht="15" hidden="false" customHeight="false" outlineLevel="0" collapsed="false">
      <c r="A336" s="0" t="s">
        <v>196</v>
      </c>
      <c r="B336" s="0" t="s">
        <v>409</v>
      </c>
      <c r="C336" s="0" t="s">
        <v>463</v>
      </c>
      <c r="D336" s="0" t="n">
        <v>5</v>
      </c>
      <c r="E336" s="0" t="n">
        <v>6</v>
      </c>
      <c r="F336" s="0" t="n">
        <v>1</v>
      </c>
      <c r="G336" s="0" t="n">
        <v>11</v>
      </c>
      <c r="H336" s="0" t="n">
        <v>12</v>
      </c>
    </row>
    <row r="337" customFormat="false" ht="15" hidden="false" customHeight="false" outlineLevel="0" collapsed="false">
      <c r="A337" s="0" t="s">
        <v>196</v>
      </c>
      <c r="B337" s="0" t="s">
        <v>362</v>
      </c>
      <c r="C337" s="0" t="s">
        <v>464</v>
      </c>
      <c r="D337" s="0" t="n">
        <v>3</v>
      </c>
      <c r="E337" s="0" t="n">
        <v>7</v>
      </c>
      <c r="F337" s="0" t="n">
        <v>1</v>
      </c>
      <c r="G337" s="0" t="n">
        <v>10</v>
      </c>
      <c r="H337" s="0" t="n">
        <v>11</v>
      </c>
    </row>
    <row r="338" customFormat="false" ht="15" hidden="false" customHeight="false" outlineLevel="0" collapsed="false">
      <c r="A338" s="0" t="s">
        <v>196</v>
      </c>
      <c r="B338" s="0" t="s">
        <v>366</v>
      </c>
      <c r="C338" s="0" t="s">
        <v>465</v>
      </c>
      <c r="D338" s="0" t="n">
        <v>2</v>
      </c>
      <c r="E338" s="0" t="n">
        <v>10</v>
      </c>
      <c r="F338" s="0" t="n">
        <v>0</v>
      </c>
      <c r="G338" s="0" t="n">
        <v>12</v>
      </c>
      <c r="H338" s="0" t="n">
        <v>12</v>
      </c>
    </row>
    <row r="339" customFormat="false" ht="15" hidden="false" customHeight="false" outlineLevel="0" collapsed="false">
      <c r="A339" s="0" t="s">
        <v>196</v>
      </c>
      <c r="B339" s="0" t="s">
        <v>466</v>
      </c>
      <c r="C339" s="0" t="s">
        <v>462</v>
      </c>
      <c r="D339" s="0" t="n">
        <v>3</v>
      </c>
      <c r="E339" s="0" t="n">
        <v>2</v>
      </c>
      <c r="F339" s="0" t="n">
        <v>0</v>
      </c>
      <c r="G339" s="0" t="n">
        <v>5</v>
      </c>
      <c r="H339" s="0" t="n">
        <v>5</v>
      </c>
    </row>
    <row r="340" customFormat="false" ht="15" hidden="false" customHeight="false" outlineLevel="0" collapsed="false">
      <c r="A340" s="0" t="s">
        <v>196</v>
      </c>
      <c r="B340" s="0" t="s">
        <v>411</v>
      </c>
      <c r="C340" s="0" t="s">
        <v>467</v>
      </c>
      <c r="D340" s="0" t="n">
        <v>1</v>
      </c>
      <c r="E340" s="0" t="n">
        <v>1</v>
      </c>
      <c r="F340" s="0" t="n">
        <v>1</v>
      </c>
      <c r="G340" s="0" t="n">
        <v>2</v>
      </c>
      <c r="H340" s="0" t="n">
        <v>3</v>
      </c>
    </row>
    <row r="341" customFormat="false" ht="15" hidden="false" customHeight="false" outlineLevel="0" collapsed="false">
      <c r="A341" s="0" t="s">
        <v>196</v>
      </c>
      <c r="B341" s="0" t="s">
        <v>372</v>
      </c>
      <c r="C341" s="0" t="s">
        <v>468</v>
      </c>
      <c r="D341" s="0" t="n">
        <v>8</v>
      </c>
      <c r="E341" s="0" t="n">
        <v>12</v>
      </c>
      <c r="F341" s="0" t="n">
        <v>0</v>
      </c>
      <c r="G341" s="0" t="n">
        <v>20</v>
      </c>
      <c r="H341" s="0" t="n">
        <v>20</v>
      </c>
    </row>
    <row r="342" customFormat="false" ht="15" hidden="false" customHeight="false" outlineLevel="0" collapsed="false">
      <c r="A342" s="0" t="s">
        <v>196</v>
      </c>
      <c r="B342" s="0" t="s">
        <v>376</v>
      </c>
      <c r="C342" s="0" t="s">
        <v>464</v>
      </c>
      <c r="D342" s="0" t="n">
        <v>2</v>
      </c>
      <c r="E342" s="0" t="n">
        <v>2</v>
      </c>
      <c r="F342" s="0" t="n">
        <v>0</v>
      </c>
      <c r="G342" s="0" t="n">
        <v>4</v>
      </c>
      <c r="H342" s="0" t="n">
        <v>4</v>
      </c>
    </row>
    <row r="343" customFormat="false" ht="15" hidden="false" customHeight="false" outlineLevel="0" collapsed="false">
      <c r="A343" s="0" t="s">
        <v>196</v>
      </c>
      <c r="B343" s="0" t="s">
        <v>378</v>
      </c>
      <c r="C343" s="0" t="s">
        <v>469</v>
      </c>
      <c r="D343" s="0" t="n">
        <v>1</v>
      </c>
      <c r="E343" s="0" t="n">
        <v>2</v>
      </c>
      <c r="F343" s="0" t="n">
        <v>0</v>
      </c>
      <c r="G343" s="0" t="n">
        <v>3</v>
      </c>
      <c r="H343" s="0" t="n">
        <v>3</v>
      </c>
    </row>
    <row r="344" customFormat="false" ht="15" hidden="false" customHeight="false" outlineLevel="0" collapsed="false">
      <c r="A344" s="0" t="s">
        <v>196</v>
      </c>
      <c r="B344" s="0" t="s">
        <v>380</v>
      </c>
      <c r="C344" s="0" t="s">
        <v>463</v>
      </c>
      <c r="D344" s="0" t="n">
        <v>3</v>
      </c>
      <c r="E344" s="0" t="n">
        <v>3</v>
      </c>
      <c r="F344" s="0" t="n">
        <v>0</v>
      </c>
      <c r="G344" s="0" t="n">
        <v>6</v>
      </c>
      <c r="H344" s="0" t="n">
        <v>6</v>
      </c>
    </row>
    <row r="345" customFormat="false" ht="15" hidden="false" customHeight="false" outlineLevel="0" collapsed="false">
      <c r="A345" s="0" t="s">
        <v>196</v>
      </c>
      <c r="B345" s="0" t="s">
        <v>470</v>
      </c>
      <c r="C345" s="0" t="s">
        <v>393</v>
      </c>
      <c r="D345" s="0" t="n">
        <v>2</v>
      </c>
      <c r="E345" s="0" t="n">
        <v>4</v>
      </c>
      <c r="F345" s="0" t="n">
        <v>2</v>
      </c>
      <c r="G345" s="0" t="n">
        <v>6</v>
      </c>
      <c r="H345" s="0" t="n">
        <v>8</v>
      </c>
    </row>
    <row r="346" customFormat="false" ht="15" hidden="false" customHeight="false" outlineLevel="0" collapsed="false">
      <c r="A346" s="0" t="s">
        <v>196</v>
      </c>
      <c r="B346" s="0" t="s">
        <v>471</v>
      </c>
      <c r="C346" s="0" t="s">
        <v>365</v>
      </c>
      <c r="D346" s="0" t="n">
        <v>1</v>
      </c>
      <c r="E346" s="0" t="n">
        <v>13</v>
      </c>
      <c r="F346" s="0" t="n">
        <v>8</v>
      </c>
      <c r="G346" s="0" t="n">
        <v>14</v>
      </c>
      <c r="H346" s="0" t="n">
        <v>22</v>
      </c>
    </row>
    <row r="347" customFormat="false" ht="15" hidden="false" customHeight="false" outlineLevel="0" collapsed="false">
      <c r="A347" s="0" t="s">
        <v>198</v>
      </c>
      <c r="B347" s="0" t="s">
        <v>402</v>
      </c>
      <c r="C347" s="0" t="s">
        <v>458</v>
      </c>
      <c r="D347" s="0" t="n">
        <v>7</v>
      </c>
      <c r="E347" s="0" t="n">
        <v>2</v>
      </c>
      <c r="F347" s="0" t="n">
        <v>0</v>
      </c>
      <c r="G347" s="0" t="n">
        <v>9</v>
      </c>
      <c r="H347" s="0" t="n">
        <v>9</v>
      </c>
    </row>
    <row r="348" customFormat="false" ht="15" hidden="false" customHeight="false" outlineLevel="0" collapsed="false">
      <c r="A348" s="0" t="s">
        <v>198</v>
      </c>
      <c r="B348" s="0" t="s">
        <v>357</v>
      </c>
      <c r="C348" s="0" t="s">
        <v>459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</row>
    <row r="349" customFormat="false" ht="15" hidden="false" customHeight="false" outlineLevel="0" collapsed="false">
      <c r="A349" s="0" t="s">
        <v>198</v>
      </c>
      <c r="B349" s="0" t="s">
        <v>360</v>
      </c>
      <c r="C349" s="0" t="s">
        <v>460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</row>
    <row r="350" customFormat="false" ht="15" hidden="false" customHeight="false" outlineLevel="0" collapsed="false">
      <c r="A350" s="0" t="s">
        <v>198</v>
      </c>
      <c r="B350" s="0" t="s">
        <v>461</v>
      </c>
      <c r="C350" s="0" t="s">
        <v>462</v>
      </c>
      <c r="D350" s="0" t="n">
        <v>2</v>
      </c>
      <c r="E350" s="0" t="n">
        <v>7</v>
      </c>
      <c r="F350" s="0" t="n">
        <v>0</v>
      </c>
      <c r="G350" s="0" t="n">
        <v>9</v>
      </c>
      <c r="H350" s="0" t="n">
        <v>9</v>
      </c>
    </row>
    <row r="351" customFormat="false" ht="15" hidden="false" customHeight="false" outlineLevel="0" collapsed="false">
      <c r="A351" s="0" t="s">
        <v>198</v>
      </c>
      <c r="B351" s="0" t="s">
        <v>409</v>
      </c>
      <c r="C351" s="0" t="s">
        <v>463</v>
      </c>
      <c r="D351" s="0" t="n">
        <v>6</v>
      </c>
      <c r="E351" s="0" t="n">
        <v>5</v>
      </c>
      <c r="F351" s="0" t="n">
        <v>3</v>
      </c>
      <c r="G351" s="0" t="n">
        <v>11</v>
      </c>
      <c r="H351" s="0" t="n">
        <v>14</v>
      </c>
    </row>
    <row r="352" customFormat="false" ht="15" hidden="false" customHeight="false" outlineLevel="0" collapsed="false">
      <c r="A352" s="0" t="s">
        <v>198</v>
      </c>
      <c r="B352" s="0" t="s">
        <v>362</v>
      </c>
      <c r="C352" s="0" t="s">
        <v>464</v>
      </c>
      <c r="D352" s="0" t="n">
        <v>5</v>
      </c>
      <c r="E352" s="0" t="n">
        <v>0</v>
      </c>
      <c r="F352" s="0" t="n">
        <v>0</v>
      </c>
      <c r="G352" s="0" t="n">
        <v>5</v>
      </c>
      <c r="H352" s="0" t="n">
        <v>5</v>
      </c>
    </row>
    <row r="353" customFormat="false" ht="15" hidden="false" customHeight="false" outlineLevel="0" collapsed="false">
      <c r="A353" s="0" t="s">
        <v>198</v>
      </c>
      <c r="B353" s="0" t="s">
        <v>366</v>
      </c>
      <c r="C353" s="0" t="s">
        <v>465</v>
      </c>
      <c r="D353" s="0" t="n">
        <v>0</v>
      </c>
      <c r="E353" s="0" t="n">
        <v>2</v>
      </c>
      <c r="F353" s="0" t="n">
        <v>0</v>
      </c>
      <c r="G353" s="0" t="n">
        <v>2</v>
      </c>
      <c r="H353" s="0" t="n">
        <v>2</v>
      </c>
    </row>
    <row r="354" customFormat="false" ht="15" hidden="false" customHeight="false" outlineLevel="0" collapsed="false">
      <c r="A354" s="0" t="s">
        <v>198</v>
      </c>
      <c r="B354" s="0" t="s">
        <v>466</v>
      </c>
      <c r="C354" s="0" t="s">
        <v>462</v>
      </c>
      <c r="D354" s="0" t="n">
        <v>0</v>
      </c>
      <c r="E354" s="0" t="n">
        <v>1</v>
      </c>
      <c r="F354" s="0" t="n">
        <v>0</v>
      </c>
      <c r="G354" s="0" t="n">
        <v>1</v>
      </c>
      <c r="H354" s="0" t="n">
        <v>1</v>
      </c>
    </row>
    <row r="355" customFormat="false" ht="15" hidden="false" customHeight="false" outlineLevel="0" collapsed="false">
      <c r="A355" s="0" t="s">
        <v>198</v>
      </c>
      <c r="B355" s="0" t="s">
        <v>411</v>
      </c>
      <c r="C355" s="0" t="s">
        <v>467</v>
      </c>
      <c r="D355" s="0" t="n">
        <v>1</v>
      </c>
      <c r="E355" s="0" t="n">
        <v>3</v>
      </c>
      <c r="F355" s="0" t="n">
        <v>6</v>
      </c>
      <c r="G355" s="0" t="n">
        <v>4</v>
      </c>
      <c r="H355" s="0" t="n">
        <v>10</v>
      </c>
    </row>
    <row r="356" customFormat="false" ht="15" hidden="false" customHeight="false" outlineLevel="0" collapsed="false">
      <c r="A356" s="0" t="s">
        <v>198</v>
      </c>
      <c r="B356" s="0" t="s">
        <v>372</v>
      </c>
      <c r="C356" s="0" t="s">
        <v>468</v>
      </c>
      <c r="D356" s="0" t="n">
        <v>4</v>
      </c>
      <c r="E356" s="0" t="n">
        <v>5</v>
      </c>
      <c r="F356" s="0" t="n">
        <v>0</v>
      </c>
      <c r="G356" s="0" t="n">
        <v>9</v>
      </c>
      <c r="H356" s="0" t="n">
        <v>9</v>
      </c>
    </row>
    <row r="357" customFormat="false" ht="15" hidden="false" customHeight="false" outlineLevel="0" collapsed="false">
      <c r="A357" s="0" t="s">
        <v>198</v>
      </c>
      <c r="B357" s="0" t="s">
        <v>376</v>
      </c>
      <c r="C357" s="0" t="s">
        <v>464</v>
      </c>
      <c r="D357" s="0" t="n">
        <v>7</v>
      </c>
      <c r="E357" s="0" t="n">
        <v>3</v>
      </c>
      <c r="F357" s="0" t="n">
        <v>0</v>
      </c>
      <c r="G357" s="0" t="n">
        <v>10</v>
      </c>
      <c r="H357" s="0" t="n">
        <v>10</v>
      </c>
    </row>
    <row r="358" customFormat="false" ht="15" hidden="false" customHeight="false" outlineLevel="0" collapsed="false">
      <c r="A358" s="0" t="s">
        <v>198</v>
      </c>
      <c r="B358" s="0" t="s">
        <v>378</v>
      </c>
      <c r="C358" s="0" t="s">
        <v>469</v>
      </c>
      <c r="D358" s="0" t="n">
        <v>1</v>
      </c>
      <c r="E358" s="0" t="n">
        <v>3</v>
      </c>
      <c r="F358" s="0" t="n">
        <v>0</v>
      </c>
      <c r="G358" s="0" t="n">
        <v>4</v>
      </c>
      <c r="H358" s="0" t="n">
        <v>4</v>
      </c>
    </row>
    <row r="359" customFormat="false" ht="15" hidden="false" customHeight="false" outlineLevel="0" collapsed="false">
      <c r="A359" s="0" t="s">
        <v>198</v>
      </c>
      <c r="B359" s="0" t="s">
        <v>380</v>
      </c>
      <c r="C359" s="0" t="s">
        <v>463</v>
      </c>
      <c r="D359" s="0" t="n">
        <v>2</v>
      </c>
      <c r="E359" s="0" t="n">
        <v>0</v>
      </c>
      <c r="F359" s="0" t="n">
        <v>0</v>
      </c>
      <c r="G359" s="0" t="n">
        <v>2</v>
      </c>
      <c r="H359" s="0" t="n">
        <v>2</v>
      </c>
    </row>
    <row r="360" customFormat="false" ht="15" hidden="false" customHeight="false" outlineLevel="0" collapsed="false">
      <c r="A360" s="0" t="s">
        <v>198</v>
      </c>
      <c r="B360" s="0" t="s">
        <v>470</v>
      </c>
      <c r="C360" s="0" t="s">
        <v>393</v>
      </c>
      <c r="D360" s="0" t="n">
        <v>3</v>
      </c>
      <c r="E360" s="0" t="n">
        <v>4</v>
      </c>
      <c r="F360" s="0" t="n">
        <v>3</v>
      </c>
      <c r="G360" s="0" t="n">
        <v>7</v>
      </c>
      <c r="H360" s="0" t="n">
        <v>10</v>
      </c>
    </row>
    <row r="361" customFormat="false" ht="15" hidden="false" customHeight="false" outlineLevel="0" collapsed="false">
      <c r="A361" s="0" t="s">
        <v>198</v>
      </c>
      <c r="B361" s="0" t="s">
        <v>471</v>
      </c>
      <c r="C361" s="0" t="s">
        <v>365</v>
      </c>
      <c r="D361" s="0" t="n">
        <v>5</v>
      </c>
      <c r="E361" s="0" t="n">
        <v>2</v>
      </c>
      <c r="F361" s="0" t="n">
        <v>5</v>
      </c>
      <c r="G361" s="0" t="n">
        <v>7</v>
      </c>
      <c r="H361" s="0" t="n">
        <v>12</v>
      </c>
    </row>
    <row r="362" customFormat="false" ht="15" hidden="false" customHeight="false" outlineLevel="0" collapsed="false">
      <c r="A362" s="0" t="s">
        <v>200</v>
      </c>
      <c r="B362" s="0" t="s">
        <v>402</v>
      </c>
      <c r="C362" s="0" t="s">
        <v>458</v>
      </c>
      <c r="D362" s="0" t="n">
        <v>2</v>
      </c>
      <c r="E362" s="0" t="n">
        <v>1</v>
      </c>
      <c r="F362" s="0" t="n">
        <v>0</v>
      </c>
      <c r="G362" s="0" t="n">
        <v>3</v>
      </c>
      <c r="H362" s="0" t="n">
        <v>3</v>
      </c>
    </row>
    <row r="363" customFormat="false" ht="15" hidden="false" customHeight="false" outlineLevel="0" collapsed="false">
      <c r="A363" s="0" t="s">
        <v>200</v>
      </c>
      <c r="B363" s="0" t="s">
        <v>357</v>
      </c>
      <c r="C363" s="0" t="s">
        <v>459</v>
      </c>
      <c r="D363" s="0" t="n">
        <v>2</v>
      </c>
      <c r="E363" s="0" t="n">
        <v>0</v>
      </c>
      <c r="F363" s="0" t="n">
        <v>0</v>
      </c>
      <c r="G363" s="0" t="n">
        <v>2</v>
      </c>
      <c r="H363" s="0" t="n">
        <v>2</v>
      </c>
    </row>
    <row r="364" customFormat="false" ht="15" hidden="false" customHeight="false" outlineLevel="0" collapsed="false">
      <c r="A364" s="0" t="s">
        <v>200</v>
      </c>
      <c r="B364" s="0" t="s">
        <v>360</v>
      </c>
      <c r="C364" s="0" t="s">
        <v>460</v>
      </c>
      <c r="D364" s="0" t="n">
        <v>3</v>
      </c>
      <c r="E364" s="0" t="n">
        <v>0</v>
      </c>
      <c r="F364" s="0" t="n">
        <v>0</v>
      </c>
      <c r="G364" s="0" t="n">
        <v>3</v>
      </c>
      <c r="H364" s="0" t="n">
        <v>3</v>
      </c>
    </row>
    <row r="365" customFormat="false" ht="15" hidden="false" customHeight="false" outlineLevel="0" collapsed="false">
      <c r="A365" s="0" t="s">
        <v>200</v>
      </c>
      <c r="B365" s="0" t="s">
        <v>461</v>
      </c>
      <c r="C365" s="0" t="s">
        <v>462</v>
      </c>
      <c r="D365" s="0" t="n">
        <v>2</v>
      </c>
      <c r="E365" s="0" t="n">
        <v>8</v>
      </c>
      <c r="F365" s="0" t="n">
        <v>1</v>
      </c>
      <c r="G365" s="0" t="n">
        <v>10</v>
      </c>
      <c r="H365" s="0" t="n">
        <v>11</v>
      </c>
    </row>
    <row r="366" customFormat="false" ht="15" hidden="false" customHeight="false" outlineLevel="0" collapsed="false">
      <c r="A366" s="0" t="s">
        <v>200</v>
      </c>
      <c r="B366" s="0" t="s">
        <v>409</v>
      </c>
      <c r="C366" s="0" t="s">
        <v>463</v>
      </c>
      <c r="D366" s="0" t="n">
        <v>5</v>
      </c>
      <c r="E366" s="0" t="n">
        <v>2</v>
      </c>
      <c r="F366" s="0" t="n">
        <v>3</v>
      </c>
      <c r="G366" s="0" t="n">
        <v>7</v>
      </c>
      <c r="H366" s="0" t="n">
        <v>10</v>
      </c>
    </row>
    <row r="367" customFormat="false" ht="15" hidden="false" customHeight="false" outlineLevel="0" collapsed="false">
      <c r="A367" s="0" t="s">
        <v>200</v>
      </c>
      <c r="B367" s="0" t="s">
        <v>362</v>
      </c>
      <c r="C367" s="0" t="s">
        <v>464</v>
      </c>
      <c r="D367" s="0" t="n">
        <v>5</v>
      </c>
      <c r="E367" s="0" t="n">
        <v>9</v>
      </c>
      <c r="F367" s="0" t="n">
        <v>6</v>
      </c>
      <c r="G367" s="0" t="n">
        <v>14</v>
      </c>
      <c r="H367" s="0" t="n">
        <v>20</v>
      </c>
    </row>
    <row r="368" customFormat="false" ht="15" hidden="false" customHeight="false" outlineLevel="0" collapsed="false">
      <c r="A368" s="0" t="s">
        <v>200</v>
      </c>
      <c r="B368" s="0" t="s">
        <v>366</v>
      </c>
      <c r="C368" s="0" t="s">
        <v>465</v>
      </c>
      <c r="D368" s="0" t="n">
        <v>8</v>
      </c>
      <c r="E368" s="0" t="n">
        <v>5</v>
      </c>
      <c r="F368" s="0" t="n">
        <v>0</v>
      </c>
      <c r="G368" s="0" t="n">
        <v>13</v>
      </c>
      <c r="H368" s="0" t="n">
        <v>13</v>
      </c>
    </row>
    <row r="369" customFormat="false" ht="15" hidden="false" customHeight="false" outlineLevel="0" collapsed="false">
      <c r="A369" s="0" t="s">
        <v>200</v>
      </c>
      <c r="B369" s="0" t="s">
        <v>466</v>
      </c>
      <c r="C369" s="0" t="s">
        <v>462</v>
      </c>
      <c r="D369" s="0" t="n">
        <v>3</v>
      </c>
      <c r="E369" s="0" t="n">
        <v>3</v>
      </c>
      <c r="F369" s="0" t="n">
        <v>0</v>
      </c>
      <c r="G369" s="0" t="n">
        <v>6</v>
      </c>
      <c r="H369" s="0" t="n">
        <v>6</v>
      </c>
    </row>
    <row r="370" customFormat="false" ht="15" hidden="false" customHeight="false" outlineLevel="0" collapsed="false">
      <c r="A370" s="0" t="s">
        <v>200</v>
      </c>
      <c r="B370" s="0" t="s">
        <v>411</v>
      </c>
      <c r="C370" s="0" t="s">
        <v>467</v>
      </c>
      <c r="D370" s="0" t="n">
        <v>5</v>
      </c>
      <c r="E370" s="0" t="n">
        <v>6</v>
      </c>
      <c r="F370" s="0" t="n">
        <v>4</v>
      </c>
      <c r="G370" s="0" t="n">
        <v>11</v>
      </c>
      <c r="H370" s="0" t="n">
        <v>15</v>
      </c>
    </row>
    <row r="371" customFormat="false" ht="15" hidden="false" customHeight="false" outlineLevel="0" collapsed="false">
      <c r="A371" s="0" t="s">
        <v>200</v>
      </c>
      <c r="B371" s="0" t="s">
        <v>372</v>
      </c>
      <c r="C371" s="0" t="s">
        <v>468</v>
      </c>
      <c r="D371" s="0" t="n">
        <v>4</v>
      </c>
      <c r="E371" s="0" t="n">
        <v>8</v>
      </c>
      <c r="F371" s="0" t="n">
        <v>0</v>
      </c>
      <c r="G371" s="0" t="n">
        <v>12</v>
      </c>
      <c r="H371" s="0" t="n">
        <v>12</v>
      </c>
    </row>
    <row r="372" customFormat="false" ht="15" hidden="false" customHeight="false" outlineLevel="0" collapsed="false">
      <c r="A372" s="0" t="s">
        <v>200</v>
      </c>
      <c r="B372" s="0" t="s">
        <v>376</v>
      </c>
      <c r="C372" s="0" t="s">
        <v>464</v>
      </c>
      <c r="D372" s="0" t="n">
        <v>8</v>
      </c>
      <c r="E372" s="0" t="n">
        <v>6</v>
      </c>
      <c r="F372" s="0" t="n">
        <v>0</v>
      </c>
      <c r="G372" s="0" t="n">
        <v>14</v>
      </c>
      <c r="H372" s="0" t="n">
        <v>14</v>
      </c>
    </row>
    <row r="373" customFormat="false" ht="15" hidden="false" customHeight="false" outlineLevel="0" collapsed="false">
      <c r="A373" s="0" t="s">
        <v>200</v>
      </c>
      <c r="B373" s="0" t="s">
        <v>378</v>
      </c>
      <c r="C373" s="0" t="s">
        <v>469</v>
      </c>
      <c r="D373" s="0" t="n">
        <v>5</v>
      </c>
      <c r="E373" s="0" t="n">
        <v>1</v>
      </c>
      <c r="F373" s="0" t="n">
        <v>0</v>
      </c>
      <c r="G373" s="0" t="n">
        <v>6</v>
      </c>
      <c r="H373" s="0" t="n">
        <v>6</v>
      </c>
    </row>
    <row r="374" customFormat="false" ht="15" hidden="false" customHeight="false" outlineLevel="0" collapsed="false">
      <c r="A374" s="0" t="s">
        <v>200</v>
      </c>
      <c r="B374" s="0" t="s">
        <v>380</v>
      </c>
      <c r="C374" s="0" t="s">
        <v>463</v>
      </c>
      <c r="D374" s="0" t="n">
        <v>10</v>
      </c>
      <c r="E374" s="0" t="n">
        <v>4</v>
      </c>
      <c r="F374" s="0" t="n">
        <v>0</v>
      </c>
      <c r="G374" s="0" t="n">
        <v>14</v>
      </c>
      <c r="H374" s="0" t="n">
        <v>14</v>
      </c>
    </row>
    <row r="375" customFormat="false" ht="15" hidden="false" customHeight="false" outlineLevel="0" collapsed="false">
      <c r="A375" s="0" t="s">
        <v>200</v>
      </c>
      <c r="B375" s="0" t="s">
        <v>470</v>
      </c>
      <c r="C375" s="0" t="s">
        <v>393</v>
      </c>
      <c r="D375" s="0" t="n">
        <v>3</v>
      </c>
      <c r="E375" s="0" t="n">
        <v>8</v>
      </c>
      <c r="F375" s="0" t="n">
        <v>0</v>
      </c>
      <c r="G375" s="0" t="n">
        <v>11</v>
      </c>
      <c r="H375" s="0" t="n">
        <v>11</v>
      </c>
    </row>
    <row r="376" customFormat="false" ht="15" hidden="false" customHeight="false" outlineLevel="0" collapsed="false">
      <c r="A376" s="0" t="s">
        <v>200</v>
      </c>
      <c r="B376" s="0" t="s">
        <v>471</v>
      </c>
      <c r="C376" s="0" t="s">
        <v>365</v>
      </c>
      <c r="D376" s="0" t="n">
        <v>8</v>
      </c>
      <c r="E376" s="0" t="n">
        <v>1</v>
      </c>
      <c r="F376" s="0" t="n">
        <v>6</v>
      </c>
      <c r="G376" s="0" t="n">
        <v>9</v>
      </c>
      <c r="H376" s="0" t="n">
        <v>15</v>
      </c>
    </row>
    <row r="377" customFormat="false" ht="15" hidden="false" customHeight="false" outlineLevel="0" collapsed="false">
      <c r="A377" s="0" t="s">
        <v>202</v>
      </c>
      <c r="B377" s="0" t="s">
        <v>402</v>
      </c>
      <c r="C377" s="0" t="s">
        <v>458</v>
      </c>
      <c r="D377" s="0" t="n">
        <v>3</v>
      </c>
      <c r="E377" s="0" t="n">
        <v>10</v>
      </c>
      <c r="F377" s="0" t="n">
        <v>0</v>
      </c>
      <c r="G377" s="0" t="n">
        <v>13</v>
      </c>
      <c r="H377" s="0" t="n">
        <v>13</v>
      </c>
    </row>
    <row r="378" customFormat="false" ht="15" hidden="false" customHeight="false" outlineLevel="0" collapsed="false">
      <c r="A378" s="0" t="s">
        <v>202</v>
      </c>
      <c r="B378" s="0" t="s">
        <v>357</v>
      </c>
      <c r="C378" s="0" t="s">
        <v>459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</row>
    <row r="379" customFormat="false" ht="15" hidden="false" customHeight="false" outlineLevel="0" collapsed="false">
      <c r="A379" s="0" t="s">
        <v>202</v>
      </c>
      <c r="B379" s="0" t="s">
        <v>360</v>
      </c>
      <c r="C379" s="0" t="s">
        <v>460</v>
      </c>
      <c r="D379" s="0" t="n">
        <v>5</v>
      </c>
      <c r="E379" s="0" t="n">
        <v>0</v>
      </c>
      <c r="F379" s="0" t="n">
        <v>0</v>
      </c>
      <c r="G379" s="0" t="n">
        <v>5</v>
      </c>
      <c r="H379" s="0" t="n">
        <v>5</v>
      </c>
    </row>
    <row r="380" customFormat="false" ht="15" hidden="false" customHeight="false" outlineLevel="0" collapsed="false">
      <c r="A380" s="0" t="s">
        <v>202</v>
      </c>
      <c r="B380" s="0" t="s">
        <v>461</v>
      </c>
      <c r="C380" s="0" t="s">
        <v>462</v>
      </c>
      <c r="D380" s="0" t="n">
        <v>3</v>
      </c>
      <c r="E380" s="0" t="n">
        <v>0</v>
      </c>
      <c r="F380" s="0" t="n">
        <v>3</v>
      </c>
      <c r="G380" s="0" t="n">
        <v>3</v>
      </c>
      <c r="H380" s="0" t="n">
        <v>6</v>
      </c>
    </row>
    <row r="381" customFormat="false" ht="15" hidden="false" customHeight="false" outlineLevel="0" collapsed="false">
      <c r="A381" s="0" t="s">
        <v>202</v>
      </c>
      <c r="B381" s="0" t="s">
        <v>409</v>
      </c>
      <c r="C381" s="0" t="s">
        <v>463</v>
      </c>
      <c r="D381" s="0" t="n">
        <v>3</v>
      </c>
      <c r="E381" s="0" t="n">
        <v>6</v>
      </c>
      <c r="F381" s="0" t="n">
        <v>1</v>
      </c>
      <c r="G381" s="0" t="n">
        <v>9</v>
      </c>
      <c r="H381" s="0" t="n">
        <v>10</v>
      </c>
    </row>
    <row r="382" customFormat="false" ht="15" hidden="false" customHeight="false" outlineLevel="0" collapsed="false">
      <c r="A382" s="0" t="s">
        <v>202</v>
      </c>
      <c r="B382" s="0" t="s">
        <v>362</v>
      </c>
      <c r="C382" s="0" t="s">
        <v>464</v>
      </c>
      <c r="D382" s="0" t="n">
        <v>4</v>
      </c>
      <c r="E382" s="0" t="n">
        <v>3</v>
      </c>
      <c r="F382" s="0" t="n">
        <v>5</v>
      </c>
      <c r="G382" s="0" t="n">
        <v>7</v>
      </c>
      <c r="H382" s="0" t="n">
        <v>12</v>
      </c>
    </row>
    <row r="383" customFormat="false" ht="15" hidden="false" customHeight="false" outlineLevel="0" collapsed="false">
      <c r="A383" s="0" t="s">
        <v>202</v>
      </c>
      <c r="B383" s="0" t="s">
        <v>366</v>
      </c>
      <c r="C383" s="0" t="s">
        <v>465</v>
      </c>
      <c r="D383" s="0" t="n">
        <v>5</v>
      </c>
      <c r="E383" s="0" t="n">
        <v>3</v>
      </c>
      <c r="F383" s="0" t="n">
        <v>0</v>
      </c>
      <c r="G383" s="0" t="n">
        <v>8</v>
      </c>
      <c r="H383" s="0" t="n">
        <v>8</v>
      </c>
    </row>
    <row r="384" customFormat="false" ht="15" hidden="false" customHeight="false" outlineLevel="0" collapsed="false">
      <c r="A384" s="0" t="s">
        <v>202</v>
      </c>
      <c r="B384" s="0" t="s">
        <v>466</v>
      </c>
      <c r="C384" s="0" t="s">
        <v>462</v>
      </c>
      <c r="D384" s="0" t="n">
        <v>4</v>
      </c>
      <c r="E384" s="0" t="n">
        <v>0</v>
      </c>
      <c r="F384" s="0" t="n">
        <v>0</v>
      </c>
      <c r="G384" s="0" t="n">
        <v>4</v>
      </c>
      <c r="H384" s="0" t="n">
        <v>4</v>
      </c>
    </row>
    <row r="385" customFormat="false" ht="15" hidden="false" customHeight="false" outlineLevel="0" collapsed="false">
      <c r="A385" s="0" t="s">
        <v>202</v>
      </c>
      <c r="B385" s="0" t="s">
        <v>411</v>
      </c>
      <c r="C385" s="0" t="s">
        <v>467</v>
      </c>
      <c r="D385" s="0" t="n">
        <v>0</v>
      </c>
      <c r="E385" s="0" t="n">
        <v>10</v>
      </c>
      <c r="F385" s="0" t="n">
        <v>6</v>
      </c>
      <c r="G385" s="0" t="n">
        <v>10</v>
      </c>
      <c r="H385" s="0" t="n">
        <v>16</v>
      </c>
    </row>
    <row r="386" customFormat="false" ht="15" hidden="false" customHeight="false" outlineLevel="0" collapsed="false">
      <c r="A386" s="0" t="s">
        <v>202</v>
      </c>
      <c r="B386" s="0" t="s">
        <v>372</v>
      </c>
      <c r="C386" s="0" t="s">
        <v>468</v>
      </c>
      <c r="D386" s="0" t="n">
        <v>5</v>
      </c>
      <c r="E386" s="0" t="n">
        <v>7</v>
      </c>
      <c r="F386" s="0" t="n">
        <v>0</v>
      </c>
      <c r="G386" s="0" t="n">
        <v>12</v>
      </c>
      <c r="H386" s="0" t="n">
        <v>12</v>
      </c>
    </row>
    <row r="387" customFormat="false" ht="15" hidden="false" customHeight="false" outlineLevel="0" collapsed="false">
      <c r="A387" s="0" t="s">
        <v>202</v>
      </c>
      <c r="B387" s="0" t="s">
        <v>376</v>
      </c>
      <c r="C387" s="0" t="s">
        <v>464</v>
      </c>
      <c r="D387" s="0" t="n">
        <v>3</v>
      </c>
      <c r="E387" s="0" t="n">
        <v>7</v>
      </c>
      <c r="F387" s="0" t="n">
        <v>0</v>
      </c>
      <c r="G387" s="0" t="n">
        <v>10</v>
      </c>
      <c r="H387" s="0" t="n">
        <v>10</v>
      </c>
    </row>
    <row r="388" customFormat="false" ht="15" hidden="false" customHeight="false" outlineLevel="0" collapsed="false">
      <c r="A388" s="0" t="s">
        <v>202</v>
      </c>
      <c r="B388" s="0" t="s">
        <v>378</v>
      </c>
      <c r="C388" s="0" t="s">
        <v>469</v>
      </c>
      <c r="D388" s="0" t="n">
        <v>7</v>
      </c>
      <c r="E388" s="0" t="n">
        <v>10</v>
      </c>
      <c r="F388" s="0" t="n">
        <v>0</v>
      </c>
      <c r="G388" s="0" t="n">
        <v>17</v>
      </c>
      <c r="H388" s="0" t="n">
        <v>17</v>
      </c>
    </row>
    <row r="389" customFormat="false" ht="15" hidden="false" customHeight="false" outlineLevel="0" collapsed="false">
      <c r="A389" s="0" t="s">
        <v>202</v>
      </c>
      <c r="B389" s="0" t="s">
        <v>380</v>
      </c>
      <c r="C389" s="0" t="s">
        <v>463</v>
      </c>
      <c r="D389" s="0" t="n">
        <v>5</v>
      </c>
      <c r="E389" s="0" t="n">
        <v>8</v>
      </c>
      <c r="F389" s="0" t="n">
        <v>0</v>
      </c>
      <c r="G389" s="0" t="n">
        <v>13</v>
      </c>
      <c r="H389" s="0" t="n">
        <v>13</v>
      </c>
    </row>
    <row r="390" customFormat="false" ht="15" hidden="false" customHeight="false" outlineLevel="0" collapsed="false">
      <c r="A390" s="0" t="s">
        <v>202</v>
      </c>
      <c r="B390" s="0" t="s">
        <v>470</v>
      </c>
      <c r="C390" s="0" t="s">
        <v>393</v>
      </c>
      <c r="D390" s="0" t="n">
        <v>2</v>
      </c>
      <c r="E390" s="0" t="n">
        <v>14</v>
      </c>
      <c r="F390" s="0" t="n">
        <v>0</v>
      </c>
      <c r="G390" s="0" t="n">
        <v>16</v>
      </c>
      <c r="H390" s="0" t="n">
        <v>16</v>
      </c>
    </row>
    <row r="391" customFormat="false" ht="15" hidden="false" customHeight="false" outlineLevel="0" collapsed="false">
      <c r="A391" s="0" t="s">
        <v>202</v>
      </c>
      <c r="B391" s="0" t="s">
        <v>471</v>
      </c>
      <c r="C391" s="0" t="s">
        <v>365</v>
      </c>
      <c r="D391" s="0" t="n">
        <v>4</v>
      </c>
      <c r="E391" s="0" t="n">
        <v>6</v>
      </c>
      <c r="F391" s="0" t="n">
        <v>3</v>
      </c>
      <c r="G391" s="0" t="n">
        <v>10</v>
      </c>
      <c r="H391" s="0" t="n">
        <v>13</v>
      </c>
    </row>
    <row r="392" customFormat="false" ht="15" hidden="false" customHeight="false" outlineLevel="0" collapsed="false">
      <c r="A392" s="0" t="s">
        <v>161</v>
      </c>
      <c r="B392" s="0" t="s">
        <v>417</v>
      </c>
      <c r="C392" s="0" t="s">
        <v>440</v>
      </c>
      <c r="D392" s="0" t="n">
        <v>6</v>
      </c>
      <c r="E392" s="0" t="n">
        <v>4</v>
      </c>
      <c r="F392" s="0" t="n">
        <v>0</v>
      </c>
      <c r="G392" s="0" t="n">
        <v>10</v>
      </c>
      <c r="H392" s="0" t="n">
        <v>10</v>
      </c>
    </row>
    <row r="393" customFormat="false" ht="15" hidden="false" customHeight="false" outlineLevel="0" collapsed="false">
      <c r="A393" s="0" t="s">
        <v>161</v>
      </c>
      <c r="B393" s="0" t="s">
        <v>419</v>
      </c>
      <c r="C393" s="0" t="s">
        <v>84</v>
      </c>
      <c r="D393" s="0" t="n">
        <v>9</v>
      </c>
      <c r="E393" s="0" t="n">
        <v>6</v>
      </c>
      <c r="F393" s="0" t="n">
        <v>1</v>
      </c>
      <c r="G393" s="0" t="n">
        <v>15</v>
      </c>
      <c r="H393" s="0" t="n">
        <v>16</v>
      </c>
    </row>
    <row r="394" customFormat="false" ht="15" hidden="false" customHeight="false" outlineLevel="0" collapsed="false">
      <c r="A394" s="0" t="s">
        <v>161</v>
      </c>
      <c r="B394" s="0" t="s">
        <v>402</v>
      </c>
      <c r="C394" s="0" t="s">
        <v>78</v>
      </c>
      <c r="D394" s="0" t="n">
        <v>10</v>
      </c>
      <c r="E394" s="0" t="n">
        <v>4</v>
      </c>
      <c r="F394" s="0" t="n">
        <v>15</v>
      </c>
      <c r="G394" s="0" t="n">
        <v>14</v>
      </c>
      <c r="H394" s="0" t="n">
        <v>29</v>
      </c>
    </row>
    <row r="395" customFormat="false" ht="15" hidden="false" customHeight="false" outlineLevel="0" collapsed="false">
      <c r="A395" s="0" t="s">
        <v>161</v>
      </c>
      <c r="B395" s="0" t="s">
        <v>357</v>
      </c>
      <c r="C395" s="0" t="s">
        <v>418</v>
      </c>
      <c r="D395" s="0" t="n">
        <v>4</v>
      </c>
      <c r="E395" s="0" t="n">
        <v>10</v>
      </c>
      <c r="F395" s="0" t="n">
        <v>0</v>
      </c>
      <c r="G395" s="0" t="n">
        <v>14</v>
      </c>
      <c r="H395" s="0" t="n">
        <v>14</v>
      </c>
    </row>
    <row r="396" customFormat="false" ht="15" hidden="false" customHeight="false" outlineLevel="0" collapsed="false">
      <c r="A396" s="0" t="s">
        <v>161</v>
      </c>
      <c r="B396" s="0" t="s">
        <v>359</v>
      </c>
      <c r="C396" s="0" t="s">
        <v>445</v>
      </c>
      <c r="D396" s="0" t="n">
        <v>13</v>
      </c>
      <c r="E396" s="0" t="n">
        <v>9</v>
      </c>
      <c r="F396" s="0" t="n">
        <v>0</v>
      </c>
      <c r="G396" s="0" t="n">
        <v>22</v>
      </c>
      <c r="H396" s="0" t="n">
        <v>22</v>
      </c>
    </row>
    <row r="397" customFormat="false" ht="15" hidden="false" customHeight="false" outlineLevel="0" collapsed="false">
      <c r="A397" s="0" t="s">
        <v>161</v>
      </c>
      <c r="B397" s="0" t="s">
        <v>422</v>
      </c>
      <c r="C397" s="0" t="s">
        <v>440</v>
      </c>
      <c r="D397" s="0" t="n">
        <v>16</v>
      </c>
      <c r="E397" s="0" t="n">
        <v>11</v>
      </c>
      <c r="F397" s="0" t="n">
        <v>0</v>
      </c>
      <c r="G397" s="0" t="n">
        <v>27</v>
      </c>
      <c r="H397" s="0" t="n">
        <v>27</v>
      </c>
    </row>
    <row r="398" customFormat="false" ht="15" hidden="false" customHeight="false" outlineLevel="0" collapsed="false">
      <c r="A398" s="0" t="s">
        <v>161</v>
      </c>
      <c r="B398" s="0" t="s">
        <v>451</v>
      </c>
      <c r="C398" s="0" t="s">
        <v>420</v>
      </c>
      <c r="D398" s="0" t="n">
        <v>9</v>
      </c>
      <c r="E398" s="0" t="n">
        <v>12</v>
      </c>
      <c r="F398" s="0" t="n">
        <v>6</v>
      </c>
      <c r="G398" s="0" t="n">
        <v>21</v>
      </c>
      <c r="H398" s="0" t="n">
        <v>27</v>
      </c>
    </row>
    <row r="399" customFormat="false" ht="15" hidden="false" customHeight="false" outlineLevel="0" collapsed="false">
      <c r="A399" s="0" t="s">
        <v>161</v>
      </c>
      <c r="B399" s="0" t="s">
        <v>451</v>
      </c>
      <c r="C399" s="0" t="s">
        <v>78</v>
      </c>
      <c r="D399" s="0" t="n">
        <v>0</v>
      </c>
      <c r="E399" s="0" t="n">
        <v>8</v>
      </c>
      <c r="F399" s="0" t="n">
        <v>8</v>
      </c>
      <c r="G399" s="0" t="n">
        <v>8</v>
      </c>
      <c r="H399" s="0" t="n">
        <v>16</v>
      </c>
    </row>
    <row r="400" customFormat="false" ht="15" hidden="false" customHeight="false" outlineLevel="0" collapsed="false">
      <c r="A400" s="0" t="s">
        <v>161</v>
      </c>
      <c r="B400" s="0" t="s">
        <v>406</v>
      </c>
      <c r="C400" s="0" t="s">
        <v>420</v>
      </c>
      <c r="D400" s="0" t="n">
        <v>1</v>
      </c>
      <c r="E400" s="0" t="n">
        <v>5</v>
      </c>
      <c r="F400" s="0" t="n">
        <v>0</v>
      </c>
      <c r="G400" s="0" t="n">
        <v>6</v>
      </c>
      <c r="H400" s="0" t="n">
        <v>6</v>
      </c>
    </row>
    <row r="401" customFormat="false" ht="15" hidden="false" customHeight="false" outlineLevel="0" collapsed="false">
      <c r="A401" s="0" t="s">
        <v>161</v>
      </c>
      <c r="B401" s="0" t="s">
        <v>452</v>
      </c>
      <c r="C401" s="0" t="s">
        <v>424</v>
      </c>
      <c r="D401" s="0" t="n">
        <v>21</v>
      </c>
      <c r="E401" s="0" t="n">
        <v>7</v>
      </c>
      <c r="F401" s="0" t="n">
        <v>6</v>
      </c>
      <c r="G401" s="0" t="n">
        <v>28</v>
      </c>
      <c r="H401" s="0" t="n">
        <v>34</v>
      </c>
    </row>
    <row r="402" customFormat="false" ht="15" hidden="false" customHeight="false" outlineLevel="0" collapsed="false">
      <c r="A402" s="0" t="s">
        <v>161</v>
      </c>
      <c r="B402" s="0" t="s">
        <v>444</v>
      </c>
      <c r="C402" s="0" t="s">
        <v>420</v>
      </c>
      <c r="D402" s="0" t="n">
        <v>5</v>
      </c>
      <c r="E402" s="0" t="n">
        <v>12</v>
      </c>
      <c r="F402" s="0" t="n">
        <v>6</v>
      </c>
      <c r="G402" s="0" t="n">
        <v>17</v>
      </c>
      <c r="H402" s="0" t="n">
        <v>23</v>
      </c>
    </row>
    <row r="403" customFormat="false" ht="15" hidden="false" customHeight="false" outlineLevel="0" collapsed="false">
      <c r="A403" s="0" t="s">
        <v>161</v>
      </c>
      <c r="B403" s="0" t="s">
        <v>389</v>
      </c>
      <c r="C403" s="0" t="s">
        <v>423</v>
      </c>
      <c r="D403" s="0" t="n">
        <v>7</v>
      </c>
      <c r="E403" s="0" t="n">
        <v>2</v>
      </c>
      <c r="F403" s="0" t="n">
        <v>0</v>
      </c>
      <c r="G403" s="0" t="n">
        <v>9</v>
      </c>
      <c r="H403" s="0" t="n">
        <v>9</v>
      </c>
    </row>
    <row r="404" customFormat="false" ht="15" hidden="false" customHeight="false" outlineLevel="0" collapsed="false">
      <c r="A404" s="0" t="s">
        <v>161</v>
      </c>
      <c r="B404" s="0" t="s">
        <v>425</v>
      </c>
      <c r="C404" s="0" t="s">
        <v>472</v>
      </c>
      <c r="D404" s="0" t="n">
        <v>5</v>
      </c>
      <c r="E404" s="0" t="n">
        <v>10</v>
      </c>
      <c r="F404" s="0" t="n">
        <v>15</v>
      </c>
      <c r="G404" s="0" t="n">
        <v>15</v>
      </c>
      <c r="H404" s="0" t="n">
        <v>30</v>
      </c>
    </row>
    <row r="405" customFormat="false" ht="15" hidden="false" customHeight="false" outlineLevel="0" collapsed="false">
      <c r="A405" s="0" t="s">
        <v>161</v>
      </c>
      <c r="B405" s="0" t="s">
        <v>395</v>
      </c>
      <c r="C405" s="0" t="s">
        <v>435</v>
      </c>
      <c r="D405" s="0" t="n">
        <v>6</v>
      </c>
      <c r="E405" s="0" t="n">
        <v>8</v>
      </c>
      <c r="F405" s="0" t="n">
        <v>4</v>
      </c>
      <c r="G405" s="0" t="n">
        <v>14</v>
      </c>
      <c r="H405" s="0" t="n">
        <v>18</v>
      </c>
    </row>
    <row r="406" customFormat="false" ht="15" hidden="false" customHeight="false" outlineLevel="0" collapsed="false">
      <c r="A406" s="0" t="s">
        <v>161</v>
      </c>
      <c r="B406" s="0" t="s">
        <v>395</v>
      </c>
      <c r="C406" s="0" t="s">
        <v>420</v>
      </c>
      <c r="D406" s="0" t="n">
        <v>3</v>
      </c>
      <c r="E406" s="0" t="n">
        <v>13</v>
      </c>
      <c r="F406" s="0" t="n">
        <v>0</v>
      </c>
      <c r="G406" s="0" t="n">
        <v>16</v>
      </c>
      <c r="H406" s="0" t="n">
        <v>16</v>
      </c>
    </row>
    <row r="407" customFormat="false" ht="15" hidden="false" customHeight="false" outlineLevel="0" collapsed="false">
      <c r="A407" s="0" t="s">
        <v>164</v>
      </c>
      <c r="B407" s="0" t="s">
        <v>417</v>
      </c>
      <c r="C407" s="0" t="s">
        <v>440</v>
      </c>
      <c r="D407" s="0" t="n">
        <v>7</v>
      </c>
      <c r="E407" s="0" t="n">
        <v>5</v>
      </c>
      <c r="F407" s="0" t="n">
        <v>0</v>
      </c>
      <c r="G407" s="0" t="n">
        <v>12</v>
      </c>
      <c r="H407" s="0" t="n">
        <v>12</v>
      </c>
    </row>
    <row r="408" customFormat="false" ht="15" hidden="false" customHeight="false" outlineLevel="0" collapsed="false">
      <c r="A408" s="0" t="s">
        <v>164</v>
      </c>
      <c r="B408" s="0" t="s">
        <v>419</v>
      </c>
      <c r="C408" s="0" t="s">
        <v>84</v>
      </c>
      <c r="D408" s="0" t="n">
        <v>7</v>
      </c>
      <c r="E408" s="0" t="n">
        <v>2</v>
      </c>
      <c r="F408" s="0" t="n">
        <v>3</v>
      </c>
      <c r="G408" s="0" t="n">
        <v>9</v>
      </c>
      <c r="H408" s="0" t="n">
        <v>12</v>
      </c>
    </row>
    <row r="409" customFormat="false" ht="15" hidden="false" customHeight="false" outlineLevel="0" collapsed="false">
      <c r="A409" s="0" t="s">
        <v>164</v>
      </c>
      <c r="B409" s="0" t="s">
        <v>402</v>
      </c>
      <c r="C409" s="0" t="s">
        <v>78</v>
      </c>
      <c r="D409" s="0" t="n">
        <v>5</v>
      </c>
      <c r="E409" s="0" t="n">
        <v>2</v>
      </c>
      <c r="F409" s="0" t="n">
        <v>3</v>
      </c>
      <c r="G409" s="0" t="n">
        <v>7</v>
      </c>
      <c r="H409" s="0" t="n">
        <v>10</v>
      </c>
    </row>
    <row r="410" customFormat="false" ht="15" hidden="false" customHeight="false" outlineLevel="0" collapsed="false">
      <c r="A410" s="0" t="s">
        <v>164</v>
      </c>
      <c r="B410" s="0" t="s">
        <v>357</v>
      </c>
      <c r="C410" s="0" t="s">
        <v>418</v>
      </c>
      <c r="D410" s="0" t="n">
        <v>4</v>
      </c>
      <c r="E410" s="0" t="n">
        <v>1</v>
      </c>
      <c r="F410" s="0" t="n">
        <v>0</v>
      </c>
      <c r="G410" s="0" t="n">
        <v>5</v>
      </c>
      <c r="H410" s="0" t="n">
        <v>5</v>
      </c>
    </row>
    <row r="411" customFormat="false" ht="15" hidden="false" customHeight="false" outlineLevel="0" collapsed="false">
      <c r="A411" s="0" t="s">
        <v>164</v>
      </c>
      <c r="B411" s="0" t="s">
        <v>359</v>
      </c>
      <c r="C411" s="0" t="s">
        <v>445</v>
      </c>
      <c r="D411" s="0" t="n">
        <v>7</v>
      </c>
      <c r="E411" s="0" t="n">
        <v>13</v>
      </c>
      <c r="F411" s="0" t="n">
        <v>0</v>
      </c>
      <c r="G411" s="0" t="n">
        <v>20</v>
      </c>
      <c r="H411" s="0" t="n">
        <v>20</v>
      </c>
    </row>
    <row r="412" customFormat="false" ht="15" hidden="false" customHeight="false" outlineLevel="0" collapsed="false">
      <c r="A412" s="0" t="s">
        <v>164</v>
      </c>
      <c r="B412" s="0" t="s">
        <v>422</v>
      </c>
      <c r="C412" s="0" t="s">
        <v>440</v>
      </c>
      <c r="D412" s="0" t="n">
        <v>5</v>
      </c>
      <c r="E412" s="0" t="n">
        <v>10</v>
      </c>
      <c r="F412" s="0" t="n">
        <v>0</v>
      </c>
      <c r="G412" s="0" t="n">
        <v>15</v>
      </c>
      <c r="H412" s="0" t="n">
        <v>15</v>
      </c>
    </row>
    <row r="413" customFormat="false" ht="15" hidden="false" customHeight="false" outlineLevel="0" collapsed="false">
      <c r="A413" s="0" t="s">
        <v>164</v>
      </c>
      <c r="B413" s="0" t="s">
        <v>439</v>
      </c>
      <c r="C413" s="0" t="s">
        <v>473</v>
      </c>
      <c r="D413" s="0" t="n">
        <v>4</v>
      </c>
      <c r="E413" s="0" t="n">
        <v>11</v>
      </c>
      <c r="F413" s="0" t="n">
        <v>7</v>
      </c>
      <c r="G413" s="0" t="n">
        <v>15</v>
      </c>
      <c r="H413" s="0" t="n">
        <v>22</v>
      </c>
    </row>
    <row r="414" customFormat="false" ht="15" hidden="false" customHeight="false" outlineLevel="0" collapsed="false">
      <c r="A414" s="0" t="s">
        <v>164</v>
      </c>
      <c r="B414" s="0" t="s">
        <v>441</v>
      </c>
      <c r="C414" s="0" t="s">
        <v>473</v>
      </c>
      <c r="D414" s="0" t="n">
        <v>1</v>
      </c>
      <c r="E414" s="0" t="n">
        <v>14</v>
      </c>
      <c r="F414" s="0" t="n">
        <v>5</v>
      </c>
      <c r="G414" s="0" t="n">
        <v>15</v>
      </c>
      <c r="H414" s="0" t="n">
        <v>20</v>
      </c>
    </row>
    <row r="415" customFormat="false" ht="15" hidden="false" customHeight="false" outlineLevel="0" collapsed="false">
      <c r="A415" s="0" t="s">
        <v>164</v>
      </c>
      <c r="B415" s="0" t="s">
        <v>441</v>
      </c>
      <c r="C415" s="0" t="s">
        <v>474</v>
      </c>
      <c r="D415" s="0" t="n">
        <v>1</v>
      </c>
      <c r="E415" s="0" t="n">
        <v>9</v>
      </c>
      <c r="F415" s="0" t="n">
        <v>0</v>
      </c>
      <c r="G415" s="0" t="n">
        <v>10</v>
      </c>
      <c r="H415" s="0" t="n">
        <v>10</v>
      </c>
    </row>
    <row r="416" customFormat="false" ht="15" hidden="false" customHeight="false" outlineLevel="0" collapsed="false">
      <c r="A416" s="0" t="s">
        <v>164</v>
      </c>
      <c r="B416" s="0" t="s">
        <v>475</v>
      </c>
      <c r="C416" s="0" t="s">
        <v>476</v>
      </c>
      <c r="D416" s="0" t="n">
        <v>0</v>
      </c>
      <c r="E416" s="0" t="n">
        <v>4</v>
      </c>
      <c r="F416" s="0" t="n">
        <v>0</v>
      </c>
      <c r="G416" s="0" t="n">
        <v>4</v>
      </c>
      <c r="H416" s="0" t="n">
        <v>4</v>
      </c>
    </row>
    <row r="417" customFormat="false" ht="15" hidden="false" customHeight="false" outlineLevel="0" collapsed="false">
      <c r="A417" s="0" t="s">
        <v>164</v>
      </c>
      <c r="B417" s="0" t="s">
        <v>451</v>
      </c>
      <c r="C417" s="0" t="s">
        <v>420</v>
      </c>
      <c r="D417" s="0" t="n">
        <v>9</v>
      </c>
      <c r="E417" s="0" t="n">
        <v>2</v>
      </c>
      <c r="F417" s="0" t="n">
        <v>2</v>
      </c>
      <c r="G417" s="0" t="n">
        <v>11</v>
      </c>
      <c r="H417" s="0" t="n">
        <v>13</v>
      </c>
    </row>
    <row r="418" customFormat="false" ht="15" hidden="false" customHeight="false" outlineLevel="0" collapsed="false">
      <c r="A418" s="0" t="s">
        <v>164</v>
      </c>
      <c r="B418" s="0" t="s">
        <v>451</v>
      </c>
      <c r="C418" s="0" t="s">
        <v>78</v>
      </c>
      <c r="D418" s="0" t="n">
        <v>3</v>
      </c>
      <c r="E418" s="0" t="n">
        <v>2</v>
      </c>
      <c r="F418" s="0" t="n">
        <v>4</v>
      </c>
      <c r="G418" s="0" t="n">
        <v>5</v>
      </c>
      <c r="H418" s="0" t="n">
        <v>9</v>
      </c>
    </row>
    <row r="419" customFormat="false" ht="15" hidden="false" customHeight="false" outlineLevel="0" collapsed="false">
      <c r="A419" s="0" t="s">
        <v>164</v>
      </c>
      <c r="B419" s="0" t="s">
        <v>406</v>
      </c>
      <c r="C419" s="0" t="s">
        <v>420</v>
      </c>
      <c r="D419" s="0" t="n">
        <v>4</v>
      </c>
      <c r="E419" s="0" t="n">
        <v>4</v>
      </c>
      <c r="F419" s="0" t="n">
        <v>0</v>
      </c>
      <c r="G419" s="0" t="n">
        <v>8</v>
      </c>
      <c r="H419" s="0" t="n">
        <v>8</v>
      </c>
    </row>
    <row r="420" customFormat="false" ht="15" hidden="false" customHeight="false" outlineLevel="0" collapsed="false">
      <c r="A420" s="0" t="s">
        <v>164</v>
      </c>
      <c r="B420" s="0" t="s">
        <v>452</v>
      </c>
      <c r="C420" s="0" t="s">
        <v>424</v>
      </c>
      <c r="D420" s="0" t="n">
        <v>3</v>
      </c>
      <c r="E420" s="0" t="n">
        <v>2</v>
      </c>
      <c r="F420" s="0" t="n">
        <v>14</v>
      </c>
      <c r="G420" s="0" t="n">
        <v>5</v>
      </c>
      <c r="H420" s="0" t="n">
        <v>19</v>
      </c>
    </row>
    <row r="421" customFormat="false" ht="15" hidden="false" customHeight="false" outlineLevel="0" collapsed="false">
      <c r="A421" s="0" t="s">
        <v>164</v>
      </c>
      <c r="B421" s="0" t="s">
        <v>444</v>
      </c>
      <c r="C421" s="0" t="s">
        <v>420</v>
      </c>
      <c r="D421" s="0" t="n">
        <v>5</v>
      </c>
      <c r="E421" s="0" t="n">
        <v>5</v>
      </c>
      <c r="F421" s="0" t="n">
        <v>7</v>
      </c>
      <c r="G421" s="0" t="n">
        <v>10</v>
      </c>
      <c r="H421" s="0" t="n">
        <v>17</v>
      </c>
    </row>
    <row r="422" customFormat="false" ht="15" hidden="false" customHeight="false" outlineLevel="0" collapsed="false">
      <c r="A422" s="0" t="s">
        <v>167</v>
      </c>
      <c r="B422" s="0" t="s">
        <v>417</v>
      </c>
      <c r="C422" s="0" t="s">
        <v>440</v>
      </c>
      <c r="D422" s="0" t="n">
        <v>9</v>
      </c>
      <c r="E422" s="0" t="n">
        <v>5</v>
      </c>
      <c r="F422" s="0" t="n">
        <v>0</v>
      </c>
      <c r="G422" s="0" t="n">
        <v>14</v>
      </c>
      <c r="H422" s="0" t="n">
        <v>14</v>
      </c>
    </row>
    <row r="423" customFormat="false" ht="15" hidden="false" customHeight="false" outlineLevel="0" collapsed="false">
      <c r="A423" s="0" t="s">
        <v>167</v>
      </c>
      <c r="B423" s="0" t="s">
        <v>419</v>
      </c>
      <c r="C423" s="0" t="s">
        <v>84</v>
      </c>
      <c r="D423" s="0" t="n">
        <v>6</v>
      </c>
      <c r="E423" s="0" t="n">
        <v>3</v>
      </c>
      <c r="F423" s="0" t="n">
        <v>3</v>
      </c>
      <c r="G423" s="0" t="n">
        <v>9</v>
      </c>
      <c r="H423" s="0" t="n">
        <v>12</v>
      </c>
    </row>
    <row r="424" customFormat="false" ht="15" hidden="false" customHeight="false" outlineLevel="0" collapsed="false">
      <c r="A424" s="0" t="s">
        <v>167</v>
      </c>
      <c r="B424" s="0" t="s">
        <v>402</v>
      </c>
      <c r="C424" s="0" t="s">
        <v>78</v>
      </c>
      <c r="D424" s="0" t="n">
        <v>1</v>
      </c>
      <c r="E424" s="0" t="n">
        <v>4</v>
      </c>
      <c r="F424" s="0" t="n">
        <v>3</v>
      </c>
      <c r="G424" s="0" t="n">
        <v>5</v>
      </c>
      <c r="H424" s="0" t="n">
        <v>8</v>
      </c>
    </row>
    <row r="425" customFormat="false" ht="15" hidden="false" customHeight="false" outlineLevel="0" collapsed="false">
      <c r="A425" s="0" t="s">
        <v>167</v>
      </c>
      <c r="B425" s="0" t="s">
        <v>357</v>
      </c>
      <c r="C425" s="0" t="s">
        <v>418</v>
      </c>
      <c r="D425" s="0" t="n">
        <v>6</v>
      </c>
      <c r="E425" s="0" t="n">
        <v>6</v>
      </c>
      <c r="F425" s="0" t="n">
        <v>0</v>
      </c>
      <c r="G425" s="0" t="n">
        <v>12</v>
      </c>
      <c r="H425" s="0" t="n">
        <v>12</v>
      </c>
    </row>
    <row r="426" customFormat="false" ht="15" hidden="false" customHeight="false" outlineLevel="0" collapsed="false">
      <c r="A426" s="0" t="s">
        <v>167</v>
      </c>
      <c r="B426" s="0" t="s">
        <v>359</v>
      </c>
      <c r="C426" s="0" t="s">
        <v>445</v>
      </c>
      <c r="D426" s="0" t="n">
        <v>0</v>
      </c>
      <c r="E426" s="0" t="n">
        <v>11</v>
      </c>
      <c r="F426" s="0" t="n">
        <v>0</v>
      </c>
      <c r="G426" s="0" t="n">
        <v>11</v>
      </c>
      <c r="H426" s="0" t="n">
        <v>11</v>
      </c>
    </row>
    <row r="427" customFormat="false" ht="15" hidden="false" customHeight="false" outlineLevel="0" collapsed="false">
      <c r="A427" s="0" t="s">
        <v>167</v>
      </c>
      <c r="B427" s="0" t="s">
        <v>422</v>
      </c>
      <c r="C427" s="0" t="s">
        <v>440</v>
      </c>
      <c r="D427" s="0" t="n">
        <v>8</v>
      </c>
      <c r="E427" s="0" t="n">
        <v>2</v>
      </c>
      <c r="F427" s="0" t="n">
        <v>0</v>
      </c>
      <c r="G427" s="0" t="n">
        <v>10</v>
      </c>
      <c r="H427" s="0" t="n">
        <v>10</v>
      </c>
    </row>
    <row r="428" customFormat="false" ht="15" hidden="false" customHeight="false" outlineLevel="0" collapsed="false">
      <c r="A428" s="0" t="s">
        <v>167</v>
      </c>
      <c r="B428" s="0" t="s">
        <v>451</v>
      </c>
      <c r="C428" s="0" t="s">
        <v>420</v>
      </c>
      <c r="D428" s="0" t="n">
        <v>3</v>
      </c>
      <c r="E428" s="0" t="n">
        <v>2</v>
      </c>
      <c r="F428" s="0" t="n">
        <v>2</v>
      </c>
      <c r="G428" s="0" t="n">
        <v>5</v>
      </c>
      <c r="H428" s="0" t="n">
        <v>7</v>
      </c>
    </row>
    <row r="429" customFormat="false" ht="15" hidden="false" customHeight="false" outlineLevel="0" collapsed="false">
      <c r="A429" s="0" t="s">
        <v>167</v>
      </c>
      <c r="B429" s="0" t="s">
        <v>451</v>
      </c>
      <c r="C429" s="0" t="s">
        <v>78</v>
      </c>
      <c r="D429" s="0" t="n">
        <v>4</v>
      </c>
      <c r="E429" s="0" t="n">
        <v>3</v>
      </c>
      <c r="F429" s="0" t="n">
        <v>5</v>
      </c>
      <c r="G429" s="0" t="n">
        <v>7</v>
      </c>
      <c r="H429" s="0" t="n">
        <v>12</v>
      </c>
    </row>
    <row r="430" customFormat="false" ht="15" hidden="false" customHeight="false" outlineLevel="0" collapsed="false">
      <c r="A430" s="0" t="s">
        <v>167</v>
      </c>
      <c r="B430" s="0" t="s">
        <v>406</v>
      </c>
      <c r="C430" s="0" t="s">
        <v>420</v>
      </c>
      <c r="D430" s="0" t="n">
        <v>1</v>
      </c>
      <c r="E430" s="0" t="n">
        <v>2</v>
      </c>
      <c r="F430" s="0" t="n">
        <v>0</v>
      </c>
      <c r="G430" s="0" t="n">
        <v>3</v>
      </c>
      <c r="H430" s="0" t="n">
        <v>3</v>
      </c>
    </row>
    <row r="431" customFormat="false" ht="15" hidden="false" customHeight="false" outlineLevel="0" collapsed="false">
      <c r="A431" s="0" t="s">
        <v>167</v>
      </c>
      <c r="B431" s="0" t="s">
        <v>452</v>
      </c>
      <c r="C431" s="0" t="s">
        <v>424</v>
      </c>
      <c r="D431" s="0" t="n">
        <v>6</v>
      </c>
      <c r="E431" s="0" t="n">
        <v>0</v>
      </c>
      <c r="F431" s="0" t="n">
        <v>1</v>
      </c>
      <c r="G431" s="0" t="n">
        <v>6</v>
      </c>
      <c r="H431" s="0" t="n">
        <v>7</v>
      </c>
    </row>
    <row r="432" customFormat="false" ht="15" hidden="false" customHeight="false" outlineLevel="0" collapsed="false">
      <c r="A432" s="0" t="s">
        <v>167</v>
      </c>
      <c r="B432" s="0" t="s">
        <v>444</v>
      </c>
      <c r="C432" s="0" t="s">
        <v>420</v>
      </c>
      <c r="D432" s="0" t="n">
        <v>2</v>
      </c>
      <c r="E432" s="0" t="n">
        <v>1</v>
      </c>
      <c r="F432" s="0" t="n">
        <v>8</v>
      </c>
      <c r="G432" s="0" t="n">
        <v>3</v>
      </c>
      <c r="H432" s="0" t="n">
        <v>11</v>
      </c>
    </row>
    <row r="433" customFormat="false" ht="15" hidden="false" customHeight="false" outlineLevel="0" collapsed="false">
      <c r="A433" s="0" t="s">
        <v>167</v>
      </c>
      <c r="B433" s="0" t="s">
        <v>389</v>
      </c>
      <c r="C433" s="0" t="s">
        <v>423</v>
      </c>
      <c r="D433" s="0" t="n">
        <v>2</v>
      </c>
      <c r="E433" s="0" t="n">
        <v>1</v>
      </c>
      <c r="F433" s="0" t="n">
        <v>0</v>
      </c>
      <c r="G433" s="0" t="n">
        <v>3</v>
      </c>
      <c r="H433" s="0" t="n">
        <v>3</v>
      </c>
    </row>
    <row r="434" customFormat="false" ht="15" hidden="false" customHeight="false" outlineLevel="0" collapsed="false">
      <c r="A434" s="0" t="s">
        <v>167</v>
      </c>
      <c r="B434" s="0" t="s">
        <v>425</v>
      </c>
      <c r="C434" s="0" t="s">
        <v>472</v>
      </c>
      <c r="D434" s="0" t="n">
        <v>2</v>
      </c>
      <c r="E434" s="0" t="n">
        <v>3</v>
      </c>
      <c r="F434" s="0" t="n">
        <v>1</v>
      </c>
      <c r="G434" s="0" t="n">
        <v>5</v>
      </c>
      <c r="H434" s="0" t="n">
        <v>6</v>
      </c>
    </row>
    <row r="435" customFormat="false" ht="15" hidden="false" customHeight="false" outlineLevel="0" collapsed="false">
      <c r="A435" s="0" t="s">
        <v>167</v>
      </c>
      <c r="B435" s="0" t="s">
        <v>395</v>
      </c>
      <c r="C435" s="0" t="s">
        <v>435</v>
      </c>
      <c r="D435" s="0" t="n">
        <v>2</v>
      </c>
      <c r="E435" s="0" t="n">
        <v>5</v>
      </c>
      <c r="F435" s="0" t="n">
        <v>1</v>
      </c>
      <c r="G435" s="0" t="n">
        <v>7</v>
      </c>
      <c r="H435" s="0" t="n">
        <v>8</v>
      </c>
    </row>
    <row r="436" customFormat="false" ht="15" hidden="false" customHeight="false" outlineLevel="0" collapsed="false">
      <c r="A436" s="0" t="s">
        <v>167</v>
      </c>
      <c r="B436" s="0" t="s">
        <v>395</v>
      </c>
      <c r="C436" s="0" t="s">
        <v>420</v>
      </c>
      <c r="D436" s="0" t="n">
        <v>1</v>
      </c>
      <c r="E436" s="0" t="n">
        <v>2</v>
      </c>
      <c r="F436" s="0" t="n">
        <v>0</v>
      </c>
      <c r="G436" s="0" t="n">
        <v>3</v>
      </c>
      <c r="H436" s="0" t="n">
        <v>3</v>
      </c>
    </row>
    <row r="437" customFormat="false" ht="15" hidden="false" customHeight="false" outlineLevel="0" collapsed="false">
      <c r="A437" s="0" t="s">
        <v>170</v>
      </c>
      <c r="B437" s="0" t="s">
        <v>417</v>
      </c>
      <c r="C437" s="0" t="s">
        <v>440</v>
      </c>
      <c r="D437" s="0" t="n">
        <v>13</v>
      </c>
      <c r="E437" s="0" t="n">
        <v>17</v>
      </c>
      <c r="F437" s="0" t="n">
        <v>0</v>
      </c>
      <c r="G437" s="0" t="n">
        <v>30</v>
      </c>
      <c r="H437" s="0" t="n">
        <v>30</v>
      </c>
    </row>
    <row r="438" customFormat="false" ht="15" hidden="false" customHeight="false" outlineLevel="0" collapsed="false">
      <c r="A438" s="0" t="s">
        <v>170</v>
      </c>
      <c r="B438" s="0" t="s">
        <v>419</v>
      </c>
      <c r="C438" s="0" t="s">
        <v>84</v>
      </c>
      <c r="D438" s="0" t="n">
        <v>15</v>
      </c>
      <c r="E438" s="0" t="n">
        <v>5</v>
      </c>
      <c r="F438" s="0" t="n">
        <v>8</v>
      </c>
      <c r="G438" s="0" t="n">
        <v>20</v>
      </c>
      <c r="H438" s="0" t="n">
        <v>28</v>
      </c>
    </row>
    <row r="439" customFormat="false" ht="15" hidden="false" customHeight="false" outlineLevel="0" collapsed="false">
      <c r="A439" s="0" t="s">
        <v>170</v>
      </c>
      <c r="B439" s="0" t="s">
        <v>402</v>
      </c>
      <c r="C439" s="0" t="s">
        <v>78</v>
      </c>
      <c r="D439" s="0" t="n">
        <v>4</v>
      </c>
      <c r="E439" s="0" t="n">
        <v>3</v>
      </c>
      <c r="F439" s="0" t="n">
        <v>12</v>
      </c>
      <c r="G439" s="0" t="n">
        <v>7</v>
      </c>
      <c r="H439" s="0" t="n">
        <v>19</v>
      </c>
    </row>
    <row r="440" customFormat="false" ht="15" hidden="false" customHeight="false" outlineLevel="0" collapsed="false">
      <c r="A440" s="0" t="s">
        <v>170</v>
      </c>
      <c r="B440" s="0" t="s">
        <v>357</v>
      </c>
      <c r="C440" s="0" t="s">
        <v>418</v>
      </c>
      <c r="D440" s="0" t="n">
        <v>8</v>
      </c>
      <c r="E440" s="0" t="n">
        <v>9</v>
      </c>
      <c r="F440" s="0" t="n">
        <v>0</v>
      </c>
      <c r="G440" s="0" t="n">
        <v>17</v>
      </c>
      <c r="H440" s="0" t="n">
        <v>17</v>
      </c>
    </row>
    <row r="441" customFormat="false" ht="15" hidden="false" customHeight="false" outlineLevel="0" collapsed="false">
      <c r="A441" s="0" t="s">
        <v>170</v>
      </c>
      <c r="B441" s="0" t="s">
        <v>359</v>
      </c>
      <c r="C441" s="0" t="s">
        <v>445</v>
      </c>
      <c r="D441" s="0" t="n">
        <v>10</v>
      </c>
      <c r="E441" s="0" t="n">
        <v>11</v>
      </c>
      <c r="F441" s="0" t="n">
        <v>0</v>
      </c>
      <c r="G441" s="0" t="n">
        <v>21</v>
      </c>
      <c r="H441" s="0" t="n">
        <v>21</v>
      </c>
    </row>
    <row r="442" customFormat="false" ht="15" hidden="false" customHeight="false" outlineLevel="0" collapsed="false">
      <c r="A442" s="0" t="s">
        <v>170</v>
      </c>
      <c r="B442" s="0" t="s">
        <v>422</v>
      </c>
      <c r="C442" s="0" t="s">
        <v>440</v>
      </c>
      <c r="D442" s="0" t="n">
        <v>7</v>
      </c>
      <c r="E442" s="0" t="n">
        <v>17</v>
      </c>
      <c r="F442" s="0" t="n">
        <v>0</v>
      </c>
      <c r="G442" s="0" t="n">
        <v>24</v>
      </c>
      <c r="H442" s="0" t="n">
        <v>24</v>
      </c>
    </row>
    <row r="443" customFormat="false" ht="15" hidden="false" customHeight="false" outlineLevel="0" collapsed="false">
      <c r="A443" s="0" t="s">
        <v>170</v>
      </c>
      <c r="B443" s="0" t="s">
        <v>477</v>
      </c>
      <c r="C443" s="0" t="s">
        <v>478</v>
      </c>
      <c r="D443" s="0" t="n">
        <v>12</v>
      </c>
      <c r="E443" s="0" t="n">
        <v>0</v>
      </c>
      <c r="F443" s="0" t="n">
        <v>0</v>
      </c>
      <c r="G443" s="0" t="n">
        <v>12</v>
      </c>
      <c r="H443" s="0" t="n">
        <v>12</v>
      </c>
    </row>
    <row r="444" customFormat="false" ht="15" hidden="false" customHeight="false" outlineLevel="0" collapsed="false">
      <c r="A444" s="0" t="s">
        <v>170</v>
      </c>
      <c r="B444" s="0" t="s">
        <v>477</v>
      </c>
      <c r="C444" s="0" t="s">
        <v>474</v>
      </c>
      <c r="D444" s="0" t="n">
        <v>6</v>
      </c>
      <c r="E444" s="0" t="n">
        <v>1</v>
      </c>
      <c r="F444" s="0" t="n">
        <v>9</v>
      </c>
      <c r="G444" s="0" t="n">
        <v>7</v>
      </c>
      <c r="H444" s="0" t="n">
        <v>16</v>
      </c>
    </row>
    <row r="445" customFormat="false" ht="15" hidden="false" customHeight="false" outlineLevel="0" collapsed="false">
      <c r="A445" s="0" t="s">
        <v>170</v>
      </c>
      <c r="B445" s="0" t="s">
        <v>439</v>
      </c>
      <c r="C445" s="0" t="s">
        <v>397</v>
      </c>
      <c r="D445" s="0" t="n">
        <v>19</v>
      </c>
      <c r="E445" s="0" t="n">
        <v>7</v>
      </c>
      <c r="F445" s="0" t="n">
        <v>3</v>
      </c>
      <c r="G445" s="0" t="n">
        <v>26</v>
      </c>
      <c r="H445" s="0" t="n">
        <v>29</v>
      </c>
    </row>
    <row r="446" customFormat="false" ht="15" hidden="false" customHeight="false" outlineLevel="0" collapsed="false">
      <c r="A446" s="0" t="s">
        <v>170</v>
      </c>
      <c r="B446" s="0" t="s">
        <v>441</v>
      </c>
      <c r="C446" s="0" t="s">
        <v>397</v>
      </c>
      <c r="D446" s="0" t="n">
        <v>7</v>
      </c>
      <c r="E446" s="0" t="n">
        <v>2</v>
      </c>
      <c r="F446" s="0" t="n">
        <v>6</v>
      </c>
      <c r="G446" s="0" t="n">
        <v>9</v>
      </c>
      <c r="H446" s="0" t="n">
        <v>15</v>
      </c>
    </row>
    <row r="447" customFormat="false" ht="15" hidden="false" customHeight="false" outlineLevel="0" collapsed="false">
      <c r="A447" s="0" t="s">
        <v>170</v>
      </c>
      <c r="B447" s="0" t="s">
        <v>441</v>
      </c>
      <c r="C447" s="0" t="s">
        <v>474</v>
      </c>
      <c r="D447" s="0" t="n">
        <v>17</v>
      </c>
      <c r="E447" s="0" t="n">
        <v>20</v>
      </c>
      <c r="F447" s="0" t="n">
        <v>0</v>
      </c>
      <c r="G447" s="0" t="n">
        <v>37</v>
      </c>
      <c r="H447" s="0" t="n">
        <v>37</v>
      </c>
    </row>
    <row r="448" customFormat="false" ht="15" hidden="false" customHeight="false" outlineLevel="0" collapsed="false">
      <c r="A448" s="0" t="s">
        <v>170</v>
      </c>
      <c r="B448" s="0" t="s">
        <v>475</v>
      </c>
      <c r="C448" s="0" t="s">
        <v>476</v>
      </c>
      <c r="D448" s="0" t="n">
        <v>1</v>
      </c>
      <c r="E448" s="0" t="n">
        <v>4</v>
      </c>
      <c r="F448" s="0" t="n">
        <v>0</v>
      </c>
      <c r="G448" s="0" t="n">
        <v>5</v>
      </c>
      <c r="H448" s="0" t="n">
        <v>5</v>
      </c>
    </row>
    <row r="449" customFormat="false" ht="15" hidden="false" customHeight="false" outlineLevel="0" collapsed="false">
      <c r="A449" s="0" t="s">
        <v>170</v>
      </c>
      <c r="B449" s="0" t="s">
        <v>479</v>
      </c>
      <c r="C449" s="0" t="s">
        <v>476</v>
      </c>
      <c r="D449" s="0" t="n">
        <v>6</v>
      </c>
      <c r="E449" s="0" t="n">
        <v>2</v>
      </c>
      <c r="F449" s="0" t="n">
        <v>1</v>
      </c>
      <c r="G449" s="0" t="n">
        <v>8</v>
      </c>
      <c r="H449" s="0" t="n">
        <v>9</v>
      </c>
    </row>
    <row r="450" customFormat="false" ht="15" hidden="false" customHeight="false" outlineLevel="0" collapsed="false">
      <c r="A450" s="0" t="s">
        <v>170</v>
      </c>
      <c r="B450" s="0" t="s">
        <v>479</v>
      </c>
      <c r="C450" s="0" t="s">
        <v>474</v>
      </c>
      <c r="D450" s="0" t="n">
        <v>3</v>
      </c>
      <c r="E450" s="0" t="n">
        <v>6</v>
      </c>
      <c r="F450" s="0" t="n">
        <v>1</v>
      </c>
      <c r="G450" s="0" t="n">
        <v>9</v>
      </c>
      <c r="H450" s="0" t="n">
        <v>10</v>
      </c>
    </row>
    <row r="451" customFormat="false" ht="15" hidden="false" customHeight="false" outlineLevel="0" collapsed="false">
      <c r="A451" s="0" t="s">
        <v>170</v>
      </c>
      <c r="B451" s="0" t="s">
        <v>451</v>
      </c>
      <c r="C451" s="0" t="s">
        <v>420</v>
      </c>
      <c r="D451" s="0" t="n">
        <v>19</v>
      </c>
      <c r="E451" s="0" t="n">
        <v>7</v>
      </c>
      <c r="F451" s="0" t="n">
        <v>3</v>
      </c>
      <c r="G451" s="0" t="n">
        <v>26</v>
      </c>
      <c r="H451" s="0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480</v>
      </c>
      <c r="C1" s="9" t="s">
        <v>481</v>
      </c>
      <c r="D1" s="9" t="s">
        <v>482</v>
      </c>
      <c r="E1" s="9" t="s">
        <v>483</v>
      </c>
      <c r="F1" s="9" t="s">
        <v>484</v>
      </c>
      <c r="G1" s="9" t="s">
        <v>485</v>
      </c>
    </row>
    <row r="2" customFormat="false" ht="15" hidden="false" customHeight="false" outlineLevel="0" collapsed="false">
      <c r="A2" s="0" t="s">
        <v>27</v>
      </c>
      <c r="B2" s="0" t="s">
        <v>486</v>
      </c>
      <c r="C2" s="0" t="n">
        <v>3.49</v>
      </c>
      <c r="D2" s="0" t="n">
        <v>3.49</v>
      </c>
      <c r="F2" s="0" t="n">
        <v>3</v>
      </c>
      <c r="G2" s="0" t="s">
        <v>242</v>
      </c>
    </row>
    <row r="3" customFormat="false" ht="15" hidden="false" customHeight="false" outlineLevel="0" collapsed="false">
      <c r="A3" s="0" t="s">
        <v>27</v>
      </c>
      <c r="B3" s="0" t="s">
        <v>487</v>
      </c>
      <c r="C3" s="0" t="n">
        <v>4.59</v>
      </c>
      <c r="D3" s="0" t="n">
        <v>4.59</v>
      </c>
      <c r="F3" s="0" t="n">
        <v>3</v>
      </c>
    </row>
    <row r="4" customFormat="false" ht="15" hidden="false" customHeight="false" outlineLevel="0" collapsed="false">
      <c r="A4" s="0" t="s">
        <v>27</v>
      </c>
      <c r="B4" s="0" t="s">
        <v>488</v>
      </c>
      <c r="F4" s="0" t="n">
        <v>1</v>
      </c>
      <c r="G4" s="0" t="s">
        <v>243</v>
      </c>
    </row>
    <row r="5" customFormat="false" ht="15" hidden="false" customHeight="false" outlineLevel="0" collapsed="false">
      <c r="A5" s="0" t="s">
        <v>27</v>
      </c>
      <c r="B5" s="0" t="s">
        <v>489</v>
      </c>
      <c r="C5" s="0" t="n">
        <v>6.48</v>
      </c>
      <c r="D5" s="0" t="n">
        <v>6.48</v>
      </c>
      <c r="F5" s="0" t="n">
        <v>4</v>
      </c>
      <c r="G5" s="0" t="s">
        <v>246</v>
      </c>
    </row>
    <row r="6" customFormat="false" ht="15" hidden="false" customHeight="false" outlineLevel="0" collapsed="false">
      <c r="A6" s="0" t="s">
        <v>27</v>
      </c>
      <c r="B6" s="0" t="s">
        <v>490</v>
      </c>
      <c r="C6" s="0" t="n">
        <v>6.48</v>
      </c>
      <c r="D6" s="0" t="n">
        <v>6.46</v>
      </c>
      <c r="F6" s="0" t="n">
        <v>3</v>
      </c>
    </row>
    <row r="7" customFormat="false" ht="15" hidden="false" customHeight="false" outlineLevel="0" collapsed="false">
      <c r="A7" s="0" t="s">
        <v>27</v>
      </c>
      <c r="B7" s="0" t="s">
        <v>164</v>
      </c>
      <c r="C7" s="0" t="n">
        <v>3.83</v>
      </c>
      <c r="D7" s="0" t="n">
        <v>3.83</v>
      </c>
      <c r="F7" s="0" t="n">
        <v>2</v>
      </c>
      <c r="G7" s="0" t="s">
        <v>247</v>
      </c>
    </row>
    <row r="8" customFormat="false" ht="15" hidden="false" customHeight="false" outlineLevel="0" collapsed="false">
      <c r="A8" s="0" t="s">
        <v>27</v>
      </c>
      <c r="B8" s="0" t="s">
        <v>491</v>
      </c>
      <c r="C8" s="0" t="n">
        <v>4.72</v>
      </c>
      <c r="D8" s="0" t="n">
        <v>4.72</v>
      </c>
      <c r="F8" s="0" t="n">
        <v>3</v>
      </c>
    </row>
    <row r="9" customFormat="false" ht="15" hidden="false" customHeight="false" outlineLevel="0" collapsed="false">
      <c r="A9" s="0" t="s">
        <v>27</v>
      </c>
      <c r="B9" s="0" t="s">
        <v>167</v>
      </c>
      <c r="F9" s="0" t="n">
        <v>1</v>
      </c>
      <c r="G9" s="0" t="s">
        <v>248</v>
      </c>
    </row>
    <row r="10" customFormat="false" ht="15" hidden="false" customHeight="false" outlineLevel="0" collapsed="false">
      <c r="A10" s="0" t="s">
        <v>27</v>
      </c>
      <c r="B10" s="0" t="s">
        <v>492</v>
      </c>
      <c r="C10" s="0" t="n">
        <v>9.64</v>
      </c>
      <c r="D10" s="0" t="n">
        <v>9.64</v>
      </c>
      <c r="F10" s="0" t="n">
        <v>5</v>
      </c>
      <c r="G10" s="0" t="s">
        <v>245</v>
      </c>
    </row>
    <row r="11" customFormat="false" ht="15" hidden="false" customHeight="false" outlineLevel="0" collapsed="false">
      <c r="A11" s="0" t="s">
        <v>27</v>
      </c>
      <c r="B11" s="0" t="s">
        <v>493</v>
      </c>
      <c r="C11" s="0" t="n">
        <v>8.72</v>
      </c>
      <c r="D11" s="0" t="n">
        <v>8.72</v>
      </c>
      <c r="F11" s="0" t="n">
        <v>5</v>
      </c>
      <c r="G11" s="0" t="s">
        <v>249</v>
      </c>
    </row>
    <row r="12" customFormat="false" ht="15" hidden="false" customHeight="false" outlineLevel="0" collapsed="false">
      <c r="A12" s="0" t="s">
        <v>80</v>
      </c>
      <c r="B12" s="0" t="s">
        <v>494</v>
      </c>
      <c r="C12" s="0" t="n">
        <v>2.54</v>
      </c>
      <c r="D12" s="0" t="n">
        <v>2.54</v>
      </c>
      <c r="F12" s="0" t="n">
        <v>2</v>
      </c>
      <c r="G12" s="0" t="s">
        <v>233</v>
      </c>
    </row>
    <row r="13" customFormat="false" ht="15" hidden="false" customHeight="false" outlineLevel="0" collapsed="false">
      <c r="A13" s="0" t="s">
        <v>80</v>
      </c>
      <c r="B13" s="0" t="s">
        <v>495</v>
      </c>
      <c r="C13" s="0" t="n">
        <v>6.67</v>
      </c>
      <c r="D13" s="0" t="n">
        <v>6.65</v>
      </c>
      <c r="F13" s="0" t="n">
        <v>4</v>
      </c>
      <c r="G13" s="0" t="s">
        <v>234</v>
      </c>
    </row>
    <row r="14" customFormat="false" ht="15" hidden="false" customHeight="false" outlineLevel="0" collapsed="false">
      <c r="A14" s="0" t="s">
        <v>80</v>
      </c>
      <c r="B14" s="0" t="s">
        <v>496</v>
      </c>
      <c r="C14" s="0" t="n">
        <v>7.44</v>
      </c>
      <c r="D14" s="0" t="n">
        <v>7.44</v>
      </c>
      <c r="F14" s="0" t="n">
        <v>5</v>
      </c>
      <c r="G14" s="0" t="s">
        <v>235</v>
      </c>
    </row>
    <row r="15" customFormat="false" ht="15" hidden="false" customHeight="false" outlineLevel="0" collapsed="false">
      <c r="A15" s="0" t="s">
        <v>80</v>
      </c>
      <c r="B15" s="0" t="s">
        <v>497</v>
      </c>
      <c r="C15" s="0" t="n">
        <v>6.43</v>
      </c>
      <c r="D15" s="0" t="n">
        <v>6.43</v>
      </c>
      <c r="F15" s="0" t="n">
        <v>3</v>
      </c>
    </row>
    <row r="16" customFormat="false" ht="15" hidden="false" customHeight="false" outlineLevel="0" collapsed="false">
      <c r="A16" s="0" t="s">
        <v>80</v>
      </c>
      <c r="B16" s="0" t="s">
        <v>498</v>
      </c>
      <c r="C16" s="0" t="n">
        <v>3</v>
      </c>
      <c r="D16" s="0" t="n">
        <v>3</v>
      </c>
      <c r="F16" s="0" t="n">
        <v>2</v>
      </c>
      <c r="G16" s="0" t="s">
        <v>239</v>
      </c>
    </row>
    <row r="17" customFormat="false" ht="15" hidden="false" customHeight="false" outlineLevel="0" collapsed="false">
      <c r="A17" s="0" t="s">
        <v>80</v>
      </c>
      <c r="B17" s="0" t="s">
        <v>499</v>
      </c>
      <c r="C17" s="0" t="n">
        <v>2.73</v>
      </c>
      <c r="D17" s="0" t="n">
        <v>2.72</v>
      </c>
      <c r="F17" s="0" t="n">
        <v>2</v>
      </c>
      <c r="G17" s="0" t="s">
        <v>240</v>
      </c>
    </row>
    <row r="18" customFormat="false" ht="15" hidden="false" customHeight="false" outlineLevel="0" collapsed="false">
      <c r="A18" s="0" t="s">
        <v>80</v>
      </c>
      <c r="B18" s="0" t="s">
        <v>500</v>
      </c>
      <c r="C18" s="0" t="n">
        <v>3.6</v>
      </c>
      <c r="D18" s="0" t="n">
        <v>3.59</v>
      </c>
      <c r="F18" s="0" t="n">
        <v>3</v>
      </c>
      <c r="G18" s="0" t="s">
        <v>236</v>
      </c>
    </row>
    <row r="19" customFormat="false" ht="15" hidden="false" customHeight="false" outlineLevel="0" collapsed="false">
      <c r="A19" s="0" t="s">
        <v>80</v>
      </c>
      <c r="B19" s="0" t="s">
        <v>501</v>
      </c>
      <c r="C19" s="0" t="n">
        <v>6.55</v>
      </c>
      <c r="D19" s="0" t="n">
        <v>6.55</v>
      </c>
      <c r="F19" s="0" t="n">
        <v>4</v>
      </c>
      <c r="G19" s="0" t="s">
        <v>241</v>
      </c>
    </row>
    <row r="20" customFormat="false" ht="15" hidden="false" customHeight="false" outlineLevel="0" collapsed="false">
      <c r="A20" s="0" t="s">
        <v>80</v>
      </c>
      <c r="B20" s="0" t="s">
        <v>502</v>
      </c>
      <c r="C20" s="0" t="n">
        <v>5.62</v>
      </c>
      <c r="D20" s="0" t="n">
        <v>5.62</v>
      </c>
      <c r="F20" s="0" t="n">
        <v>3</v>
      </c>
    </row>
    <row r="21" customFormat="false" ht="15" hidden="false" customHeight="false" outlineLevel="0" collapsed="false">
      <c r="A21" s="0" t="s">
        <v>80</v>
      </c>
      <c r="B21" s="0" t="s">
        <v>503</v>
      </c>
      <c r="C21" s="0" t="n">
        <v>6.11</v>
      </c>
      <c r="D21" s="0" t="n">
        <v>6.1</v>
      </c>
      <c r="F21" s="0" t="n">
        <v>4</v>
      </c>
      <c r="G21" s="0" t="s">
        <v>237</v>
      </c>
    </row>
    <row r="22" customFormat="false" ht="15" hidden="false" customHeight="false" outlineLevel="0" collapsed="false">
      <c r="A22" s="0" t="s">
        <v>86</v>
      </c>
      <c r="B22" s="0" t="s">
        <v>504</v>
      </c>
      <c r="F22" s="0" t="n">
        <v>1</v>
      </c>
    </row>
    <row r="23" customFormat="false" ht="15" hidden="false" customHeight="false" outlineLevel="0" collapsed="false">
      <c r="A23" s="0" t="s">
        <v>86</v>
      </c>
      <c r="B23" s="0" t="s">
        <v>505</v>
      </c>
      <c r="F23" s="0" t="n">
        <v>1</v>
      </c>
    </row>
    <row r="24" customFormat="false" ht="15" hidden="false" customHeight="false" outlineLevel="0" collapsed="false">
      <c r="A24" s="0" t="s">
        <v>86</v>
      </c>
      <c r="B24" s="0" t="s">
        <v>506</v>
      </c>
      <c r="C24" s="0" t="n">
        <v>1.34</v>
      </c>
      <c r="F24" s="0" t="n">
        <v>3</v>
      </c>
    </row>
    <row r="25" customFormat="false" ht="15" hidden="false" customHeight="false" outlineLevel="0" collapsed="false">
      <c r="A25" s="0" t="s">
        <v>86</v>
      </c>
      <c r="B25" s="0" t="s">
        <v>507</v>
      </c>
      <c r="C25" s="0" t="n">
        <v>2.64</v>
      </c>
      <c r="F25" s="0" t="n">
        <v>3</v>
      </c>
    </row>
    <row r="26" customFormat="false" ht="15" hidden="false" customHeight="false" outlineLevel="0" collapsed="false">
      <c r="A26" s="0" t="s">
        <v>86</v>
      </c>
      <c r="B26" s="0" t="s">
        <v>508</v>
      </c>
      <c r="C26" s="0" t="n">
        <v>1.93</v>
      </c>
      <c r="F26" s="0" t="n">
        <v>3</v>
      </c>
      <c r="G26" s="0" t="s">
        <v>257</v>
      </c>
    </row>
    <row r="27" customFormat="false" ht="15" hidden="false" customHeight="false" outlineLevel="0" collapsed="false">
      <c r="A27" s="0" t="s">
        <v>86</v>
      </c>
      <c r="B27" s="0" t="s">
        <v>509</v>
      </c>
      <c r="C27" s="0" t="n">
        <v>3.44</v>
      </c>
      <c r="F27" s="0" t="n">
        <v>3</v>
      </c>
      <c r="G27" s="0" t="s">
        <v>259</v>
      </c>
    </row>
    <row r="28" customFormat="false" ht="15" hidden="false" customHeight="false" outlineLevel="0" collapsed="false">
      <c r="A28" s="0" t="s">
        <v>86</v>
      </c>
      <c r="B28" s="0" t="s">
        <v>510</v>
      </c>
      <c r="C28" s="0" t="n">
        <v>2.35</v>
      </c>
      <c r="F28" s="0" t="n">
        <v>3</v>
      </c>
      <c r="G28" s="0" t="s">
        <v>260</v>
      </c>
    </row>
    <row r="29" customFormat="false" ht="15" hidden="false" customHeight="false" outlineLevel="0" collapsed="false">
      <c r="A29" s="0" t="s">
        <v>86</v>
      </c>
      <c r="B29" s="0" t="s">
        <v>511</v>
      </c>
      <c r="C29" s="0" t="n">
        <v>4.22</v>
      </c>
      <c r="F29" s="0" t="n">
        <v>3</v>
      </c>
      <c r="G29" s="0" t="s">
        <v>261</v>
      </c>
    </row>
    <row r="30" customFormat="false" ht="15" hidden="false" customHeight="false" outlineLevel="0" collapsed="false">
      <c r="A30" s="0" t="s">
        <v>86</v>
      </c>
      <c r="B30" s="0" t="s">
        <v>512</v>
      </c>
      <c r="C30" s="0" t="n">
        <v>3.81</v>
      </c>
      <c r="F30" s="0" t="n">
        <v>3</v>
      </c>
      <c r="G30" s="0" t="s">
        <v>262</v>
      </c>
    </row>
    <row r="31" customFormat="false" ht="15" hidden="false" customHeight="false" outlineLevel="0" collapsed="false">
      <c r="A31" s="0" t="s">
        <v>86</v>
      </c>
      <c r="B31" s="0" t="s">
        <v>513</v>
      </c>
      <c r="C31" s="0" t="n">
        <v>2.16</v>
      </c>
      <c r="F31" s="0" t="n">
        <v>3</v>
      </c>
      <c r="G31" s="0" t="s">
        <v>258</v>
      </c>
    </row>
    <row r="32" customFormat="false" ht="15" hidden="false" customHeight="false" outlineLevel="0" collapsed="false">
      <c r="A32" s="0" t="s">
        <v>93</v>
      </c>
      <c r="B32" s="0" t="s">
        <v>514</v>
      </c>
      <c r="C32" s="0" t="n">
        <v>1.71</v>
      </c>
      <c r="F32" s="0" t="n">
        <v>3</v>
      </c>
      <c r="G32" s="0" t="s">
        <v>250</v>
      </c>
    </row>
    <row r="33" customFormat="false" ht="15" hidden="false" customHeight="false" outlineLevel="0" collapsed="false">
      <c r="A33" s="0" t="s">
        <v>93</v>
      </c>
      <c r="B33" s="0" t="s">
        <v>515</v>
      </c>
      <c r="C33" s="0" t="n">
        <v>2.5</v>
      </c>
      <c r="F33" s="0" t="n">
        <v>3</v>
      </c>
      <c r="G33" s="0" t="s">
        <v>251</v>
      </c>
    </row>
    <row r="34" customFormat="false" ht="15" hidden="false" customHeight="false" outlineLevel="0" collapsed="false">
      <c r="A34" s="0" t="s">
        <v>93</v>
      </c>
      <c r="B34" s="0" t="s">
        <v>516</v>
      </c>
      <c r="F34" s="0" t="n">
        <v>1</v>
      </c>
    </row>
    <row r="35" customFormat="false" ht="15" hidden="false" customHeight="false" outlineLevel="0" collapsed="false">
      <c r="A35" s="0" t="s">
        <v>93</v>
      </c>
      <c r="B35" s="0" t="s">
        <v>517</v>
      </c>
      <c r="C35" s="0" t="n">
        <v>3.88</v>
      </c>
      <c r="F35" s="0" t="n">
        <v>3</v>
      </c>
      <c r="G35" s="0" t="s">
        <v>253</v>
      </c>
    </row>
    <row r="36" customFormat="false" ht="15" hidden="false" customHeight="false" outlineLevel="0" collapsed="false">
      <c r="A36" s="0" t="s">
        <v>93</v>
      </c>
      <c r="B36" s="0" t="s">
        <v>518</v>
      </c>
      <c r="C36" s="0" t="n">
        <v>2.5</v>
      </c>
      <c r="F36" s="0" t="n">
        <v>3</v>
      </c>
      <c r="G36" s="0" t="s">
        <v>252</v>
      </c>
    </row>
    <row r="37" customFormat="false" ht="15" hidden="false" customHeight="false" outlineLevel="0" collapsed="false">
      <c r="A37" s="0" t="s">
        <v>93</v>
      </c>
      <c r="B37" s="0" t="s">
        <v>519</v>
      </c>
      <c r="C37" s="0" t="n">
        <v>3.18</v>
      </c>
      <c r="F37" s="0" t="n">
        <v>3</v>
      </c>
      <c r="G37" s="0" t="s">
        <v>254</v>
      </c>
    </row>
    <row r="38" customFormat="false" ht="15" hidden="false" customHeight="false" outlineLevel="0" collapsed="false">
      <c r="A38" s="0" t="s">
        <v>93</v>
      </c>
      <c r="B38" s="0" t="s">
        <v>520</v>
      </c>
      <c r="F38" s="0" t="n">
        <v>1</v>
      </c>
    </row>
    <row r="39" customFormat="false" ht="15" hidden="false" customHeight="false" outlineLevel="0" collapsed="false">
      <c r="A39" s="0" t="s">
        <v>93</v>
      </c>
      <c r="B39" s="0" t="s">
        <v>521</v>
      </c>
      <c r="C39" s="0" t="n">
        <v>2.45</v>
      </c>
      <c r="F39" s="0" t="n">
        <v>3</v>
      </c>
    </row>
    <row r="40" customFormat="false" ht="15" hidden="false" customHeight="false" outlineLevel="0" collapsed="false">
      <c r="A40" s="0" t="s">
        <v>93</v>
      </c>
      <c r="B40" s="0" t="s">
        <v>522</v>
      </c>
      <c r="C40" s="0" t="n">
        <v>4.28</v>
      </c>
      <c r="F40" s="0" t="n">
        <v>3</v>
      </c>
      <c r="G40" s="0" t="s">
        <v>255</v>
      </c>
    </row>
    <row r="41" customFormat="false" ht="15" hidden="false" customHeight="false" outlineLevel="0" collapsed="false">
      <c r="A41" s="0" t="s">
        <v>93</v>
      </c>
      <c r="B41" s="0" t="s">
        <v>523</v>
      </c>
      <c r="C41" s="0" t="n">
        <v>2.86</v>
      </c>
      <c r="F41" s="0" t="n">
        <v>3</v>
      </c>
      <c r="G41" s="0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524</v>
      </c>
      <c r="B1" s="9" t="s">
        <v>525</v>
      </c>
      <c r="C1" s="9" t="s">
        <v>62</v>
      </c>
      <c r="D1" s="9" t="s">
        <v>41</v>
      </c>
      <c r="E1" s="9" t="s">
        <v>99</v>
      </c>
      <c r="F1" s="9" t="s">
        <v>100</v>
      </c>
      <c r="G1" s="9" t="s">
        <v>101</v>
      </c>
      <c r="H1" s="9" t="s">
        <v>103</v>
      </c>
      <c r="I1" s="9" t="s">
        <v>107</v>
      </c>
      <c r="J1" s="9" t="s">
        <v>108</v>
      </c>
      <c r="K1" s="9" t="s">
        <v>46</v>
      </c>
      <c r="L1" s="9" t="s">
        <v>42</v>
      </c>
      <c r="M1" s="9" t="s">
        <v>109</v>
      </c>
      <c r="N1" s="9" t="s">
        <v>55</v>
      </c>
      <c r="O1" s="9" t="s">
        <v>526</v>
      </c>
      <c r="P1" s="9" t="s">
        <v>527</v>
      </c>
    </row>
    <row r="2" customFormat="false" ht="15" hidden="false" customHeight="false" outlineLevel="0" collapsed="false">
      <c r="A2" s="0" t="s">
        <v>282</v>
      </c>
      <c r="B2" s="0" t="s">
        <v>280</v>
      </c>
      <c r="C2" s="0" t="s">
        <v>80</v>
      </c>
      <c r="D2" s="0" t="s">
        <v>120</v>
      </c>
      <c r="E2" s="0" t="s">
        <v>121</v>
      </c>
      <c r="F2" s="0" t="n">
        <v>7</v>
      </c>
      <c r="G2" s="0" t="n">
        <v>7.01</v>
      </c>
      <c r="H2" s="7" t="n">
        <v>0.4486</v>
      </c>
      <c r="I2" s="0" t="n">
        <v>6.4</v>
      </c>
      <c r="J2" s="7" t="n">
        <v>0.3818</v>
      </c>
      <c r="K2" s="7" t="n">
        <v>0.5608</v>
      </c>
      <c r="L2" s="7" t="n">
        <v>0.4</v>
      </c>
      <c r="M2" s="0" t="n">
        <v>5.09</v>
      </c>
      <c r="N2" s="7" t="n">
        <v>0.6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282</v>
      </c>
      <c r="B3" s="0" t="s">
        <v>280</v>
      </c>
      <c r="C3" s="0" t="s">
        <v>80</v>
      </c>
      <c r="D3" s="0" t="s">
        <v>125</v>
      </c>
      <c r="E3" s="0" t="s">
        <v>121</v>
      </c>
      <c r="F3" s="0" t="n">
        <v>15</v>
      </c>
      <c r="G3" s="0" t="n">
        <v>13.23</v>
      </c>
      <c r="H3" s="7" t="n">
        <v>0.3409</v>
      </c>
      <c r="I3" s="0" t="n">
        <v>12.8</v>
      </c>
      <c r="J3" s="7" t="n">
        <v>0.3098</v>
      </c>
      <c r="K3" s="7" t="n">
        <v>0.5608</v>
      </c>
      <c r="L3" s="7" t="n">
        <v>0.5</v>
      </c>
      <c r="M3" s="0" t="n">
        <v>13.32</v>
      </c>
      <c r="N3" s="7" t="n">
        <v>0.5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282</v>
      </c>
      <c r="B4" s="0" t="s">
        <v>280</v>
      </c>
      <c r="C4" s="0" t="s">
        <v>80</v>
      </c>
      <c r="D4" s="0" t="s">
        <v>128</v>
      </c>
      <c r="E4" s="0" t="s">
        <v>121</v>
      </c>
      <c r="F4" s="0" t="n">
        <v>18</v>
      </c>
      <c r="G4" s="0" t="n">
        <v>17.45</v>
      </c>
      <c r="H4" s="7" t="n">
        <v>0.4365</v>
      </c>
      <c r="I4" s="0" t="n">
        <v>16.6</v>
      </c>
      <c r="J4" s="7" t="n">
        <v>0.3831</v>
      </c>
      <c r="K4" s="7" t="n">
        <v>0.5608</v>
      </c>
      <c r="L4" s="7" t="n">
        <v>0.47</v>
      </c>
      <c r="M4" s="0" t="n">
        <v>14.88</v>
      </c>
      <c r="N4" s="7" t="n">
        <v>0.5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282</v>
      </c>
      <c r="B5" s="0" t="s">
        <v>280</v>
      </c>
      <c r="C5" s="0" t="s">
        <v>80</v>
      </c>
      <c r="D5" s="0" t="s">
        <v>131</v>
      </c>
      <c r="E5" s="0" t="s">
        <v>121</v>
      </c>
      <c r="F5" s="0" t="n">
        <v>6</v>
      </c>
      <c r="G5" s="0" t="n">
        <v>8.54</v>
      </c>
      <c r="H5" s="7" t="n">
        <v>0.6831</v>
      </c>
      <c r="I5" s="0" t="n">
        <v>7.8</v>
      </c>
      <c r="J5" s="7" t="n">
        <v>0.6247</v>
      </c>
      <c r="K5" s="7" t="n">
        <v>0.5608</v>
      </c>
      <c r="L5" s="7" t="n">
        <v>0.4</v>
      </c>
      <c r="M5" s="0" t="n">
        <v>7.19</v>
      </c>
      <c r="N5" s="7" t="n">
        <v>0.6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282</v>
      </c>
      <c r="B6" s="0" t="s">
        <v>280</v>
      </c>
      <c r="C6" s="0" t="s">
        <v>80</v>
      </c>
      <c r="D6" s="0" t="s">
        <v>134</v>
      </c>
      <c r="E6" s="0" t="s">
        <v>121</v>
      </c>
      <c r="F6" s="0" t="n">
        <v>12.5</v>
      </c>
      <c r="G6" s="0" t="n">
        <v>13.23</v>
      </c>
      <c r="H6" s="7" t="n">
        <v>0.5527</v>
      </c>
      <c r="I6" s="0" t="n">
        <v>12.8</v>
      </c>
      <c r="J6" s="7" t="n">
        <v>0.522</v>
      </c>
      <c r="K6" s="7" t="n">
        <v>0.5608</v>
      </c>
      <c r="L6" s="7" t="n">
        <v>0.5</v>
      </c>
      <c r="M6" s="0" t="n">
        <v>12.21</v>
      </c>
      <c r="N6" s="7" t="n">
        <v>0.4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282</v>
      </c>
      <c r="B7" s="0" t="s">
        <v>280</v>
      </c>
      <c r="C7" s="0" t="s">
        <v>80</v>
      </c>
      <c r="D7" s="0" t="s">
        <v>137</v>
      </c>
      <c r="E7" s="0" t="s">
        <v>121</v>
      </c>
      <c r="F7" s="0" t="n">
        <v>15</v>
      </c>
      <c r="G7" s="0" t="n">
        <v>13.11</v>
      </c>
      <c r="H7" s="7" t="n">
        <v>0.3345</v>
      </c>
      <c r="I7" s="0" t="n">
        <v>13.8</v>
      </c>
      <c r="J7" s="7" t="n">
        <v>0.3832</v>
      </c>
      <c r="K7" s="7" t="n">
        <v>0.4392</v>
      </c>
      <c r="L7" s="7" t="n">
        <v>0.53</v>
      </c>
      <c r="N7" s="7" t="n">
        <v>0.2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282</v>
      </c>
      <c r="B8" s="0" t="s">
        <v>280</v>
      </c>
      <c r="C8" s="0" t="s">
        <v>80</v>
      </c>
      <c r="D8" s="0" t="s">
        <v>140</v>
      </c>
      <c r="E8" s="0" t="s">
        <v>121</v>
      </c>
      <c r="F8" s="0" t="n">
        <v>6</v>
      </c>
      <c r="G8" s="0" t="n">
        <v>5.31</v>
      </c>
      <c r="H8" s="7" t="n">
        <v>0.3592</v>
      </c>
      <c r="I8" s="0" t="n">
        <v>5.8</v>
      </c>
      <c r="J8" s="7" t="n">
        <v>0.4197</v>
      </c>
      <c r="K8" s="7" t="n">
        <v>0.4392</v>
      </c>
      <c r="L8" s="7" t="n">
        <v>0.6</v>
      </c>
      <c r="M8" s="0" t="n">
        <v>6</v>
      </c>
      <c r="N8" s="7" t="n">
        <v>0.5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282</v>
      </c>
      <c r="B9" s="0" t="s">
        <v>280</v>
      </c>
      <c r="C9" s="0" t="s">
        <v>80</v>
      </c>
      <c r="D9" s="0" t="s">
        <v>143</v>
      </c>
      <c r="E9" s="0" t="s">
        <v>121</v>
      </c>
      <c r="F9" s="0" t="n">
        <v>5.5</v>
      </c>
      <c r="G9" s="0" t="n">
        <v>5.86</v>
      </c>
      <c r="H9" s="7" t="n">
        <v>0.5409</v>
      </c>
      <c r="I9" s="0" t="n">
        <v>6.4</v>
      </c>
      <c r="J9" s="7" t="n">
        <v>0.5974</v>
      </c>
      <c r="K9" s="7" t="n">
        <v>0.4392</v>
      </c>
      <c r="L9" s="7" t="n">
        <v>0.6</v>
      </c>
      <c r="M9" s="0" t="n">
        <v>5.45</v>
      </c>
      <c r="N9" s="7" t="n">
        <v>0.6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282</v>
      </c>
      <c r="B10" s="0" t="s">
        <v>280</v>
      </c>
      <c r="C10" s="0" t="s">
        <v>80</v>
      </c>
      <c r="D10" s="0" t="s">
        <v>146</v>
      </c>
      <c r="E10" s="0" t="s">
        <v>121</v>
      </c>
      <c r="F10" s="0" t="n">
        <v>13.5</v>
      </c>
      <c r="G10" s="0" t="n">
        <v>12.63</v>
      </c>
      <c r="H10" s="7" t="n">
        <v>0.4367</v>
      </c>
      <c r="I10" s="0" t="n">
        <v>13.8</v>
      </c>
      <c r="J10" s="7" t="n">
        <v>0.521</v>
      </c>
      <c r="K10" s="7" t="n">
        <v>0.4392</v>
      </c>
      <c r="L10" s="7" t="n">
        <v>0.6</v>
      </c>
      <c r="M10" s="0" t="n">
        <v>13.1</v>
      </c>
      <c r="N10" s="7" t="n">
        <v>0.5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282</v>
      </c>
      <c r="B11" s="0" t="s">
        <v>280</v>
      </c>
      <c r="C11" s="0" t="s">
        <v>27</v>
      </c>
      <c r="D11" s="0" t="s">
        <v>149</v>
      </c>
      <c r="E11" s="0" t="s">
        <v>121</v>
      </c>
      <c r="F11" s="0" t="n">
        <v>7</v>
      </c>
      <c r="G11" s="0" t="n">
        <v>9.09</v>
      </c>
      <c r="H11" s="7" t="n">
        <v>0.6398</v>
      </c>
      <c r="I11" s="0" t="n">
        <v>9.8</v>
      </c>
      <c r="J11" s="7" t="n">
        <v>0.6906</v>
      </c>
      <c r="K11" s="7" t="n">
        <v>0.528</v>
      </c>
      <c r="L11" s="7" t="n">
        <v>0.67</v>
      </c>
      <c r="M11" s="0" t="n">
        <v>6.98</v>
      </c>
      <c r="N11" s="7" t="n">
        <v>0.8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282</v>
      </c>
      <c r="B12" s="0" t="s">
        <v>280</v>
      </c>
      <c r="C12" s="0" t="s">
        <v>27</v>
      </c>
      <c r="D12" s="0" t="s">
        <v>152</v>
      </c>
      <c r="E12" s="0" t="s">
        <v>121</v>
      </c>
      <c r="F12" s="0" t="n">
        <v>5.5</v>
      </c>
      <c r="G12" s="0" t="n">
        <v>5.2</v>
      </c>
      <c r="H12" s="7" t="n">
        <v>0.4628</v>
      </c>
      <c r="I12" s="0" t="n">
        <v>5.6</v>
      </c>
      <c r="J12" s="7" t="n">
        <v>0.5118</v>
      </c>
      <c r="K12" s="7" t="n">
        <v>0.528</v>
      </c>
      <c r="L12" s="7" t="n">
        <v>0.67</v>
      </c>
      <c r="N12" s="7" t="n">
        <v>0.4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282</v>
      </c>
      <c r="B13" s="0" t="s">
        <v>280</v>
      </c>
      <c r="C13" s="0" t="s">
        <v>27</v>
      </c>
      <c r="D13" s="0" t="s">
        <v>155</v>
      </c>
      <c r="E13" s="0" t="s">
        <v>121</v>
      </c>
      <c r="F13" s="0" t="n">
        <v>15</v>
      </c>
      <c r="G13" s="0" t="n">
        <v>13.73</v>
      </c>
      <c r="H13" s="7" t="n">
        <v>0.3779</v>
      </c>
      <c r="I13" s="0" t="n">
        <v>14.8</v>
      </c>
      <c r="J13" s="7" t="n">
        <v>0.4528</v>
      </c>
      <c r="K13" s="7" t="n">
        <v>0.528</v>
      </c>
      <c r="L13" s="7" t="n">
        <v>0.67</v>
      </c>
      <c r="N13" s="7" t="n">
        <v>0.6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282</v>
      </c>
      <c r="B14" s="0" t="s">
        <v>280</v>
      </c>
      <c r="C14" s="0" t="s">
        <v>27</v>
      </c>
      <c r="D14" s="0" t="s">
        <v>158</v>
      </c>
      <c r="E14" s="0" t="s">
        <v>121</v>
      </c>
      <c r="F14" s="0" t="n">
        <v>19.5</v>
      </c>
      <c r="G14" s="0" t="n">
        <v>20.04</v>
      </c>
      <c r="H14" s="7" t="n">
        <v>0.53</v>
      </c>
      <c r="I14" s="0" t="n">
        <v>21.6</v>
      </c>
      <c r="J14" s="7" t="n">
        <v>0.6106</v>
      </c>
      <c r="K14" s="7" t="n">
        <v>0.528</v>
      </c>
      <c r="L14" s="7" t="n">
        <v>0.67</v>
      </c>
      <c r="M14" s="0" t="n">
        <v>19.28</v>
      </c>
      <c r="N14" s="7" t="n">
        <v>0.6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282</v>
      </c>
      <c r="B15" s="0" t="s">
        <v>280</v>
      </c>
      <c r="C15" s="0" t="s">
        <v>27</v>
      </c>
      <c r="D15" s="0" t="s">
        <v>161</v>
      </c>
      <c r="E15" s="0" t="s">
        <v>121</v>
      </c>
      <c r="F15" s="0" t="n">
        <v>13.5</v>
      </c>
      <c r="G15" s="0" t="n">
        <v>14.51</v>
      </c>
      <c r="H15" s="7" t="n">
        <v>0.5674</v>
      </c>
      <c r="I15" s="0" t="n">
        <v>15.8</v>
      </c>
      <c r="J15" s="7" t="n">
        <v>0.6451</v>
      </c>
      <c r="K15" s="7" t="n">
        <v>0.472</v>
      </c>
      <c r="L15" s="7" t="n">
        <v>0.63</v>
      </c>
      <c r="M15" s="0" t="n">
        <v>12.96</v>
      </c>
      <c r="N15" s="7" t="n">
        <v>0.7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282</v>
      </c>
      <c r="B16" s="0" t="s">
        <v>280</v>
      </c>
      <c r="C16" s="0" t="s">
        <v>27</v>
      </c>
      <c r="D16" s="0" t="s">
        <v>164</v>
      </c>
      <c r="E16" s="0" t="s">
        <v>121</v>
      </c>
      <c r="F16" s="0" t="n">
        <v>7</v>
      </c>
      <c r="G16" s="0" t="n">
        <v>9.36</v>
      </c>
      <c r="H16" s="7" t="n">
        <v>0.659</v>
      </c>
      <c r="I16" s="0" t="n">
        <v>10.2</v>
      </c>
      <c r="J16" s="7" t="n">
        <v>0.7151</v>
      </c>
      <c r="K16" s="7" t="n">
        <v>0.472</v>
      </c>
      <c r="L16" s="7" t="n">
        <v>0.63</v>
      </c>
      <c r="M16" s="0" t="n">
        <v>7.66</v>
      </c>
      <c r="N16" s="7" t="n">
        <v>0.8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282</v>
      </c>
      <c r="B17" s="0" t="s">
        <v>280</v>
      </c>
      <c r="C17" s="0" t="s">
        <v>27</v>
      </c>
      <c r="D17" s="0" t="s">
        <v>167</v>
      </c>
      <c r="E17" s="0" t="s">
        <v>121</v>
      </c>
      <c r="F17" s="0" t="n">
        <v>5.5</v>
      </c>
      <c r="G17" s="0" t="n">
        <v>6.79</v>
      </c>
      <c r="H17" s="7" t="n">
        <v>0.6337</v>
      </c>
      <c r="I17" s="0" t="n">
        <v>7.4</v>
      </c>
      <c r="J17" s="7" t="n">
        <v>0.6847</v>
      </c>
      <c r="K17" s="7" t="n">
        <v>0.472</v>
      </c>
      <c r="L17" s="7" t="n">
        <v>0.63</v>
      </c>
      <c r="N17" s="7" t="n">
        <v>0.7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282</v>
      </c>
      <c r="B18" s="0" t="s">
        <v>280</v>
      </c>
      <c r="C18" s="0" t="s">
        <v>27</v>
      </c>
      <c r="D18" s="0" t="s">
        <v>170</v>
      </c>
      <c r="E18" s="0" t="s">
        <v>121</v>
      </c>
      <c r="F18" s="0" t="n">
        <v>17.5</v>
      </c>
      <c r="G18" s="0" t="n">
        <v>17.09</v>
      </c>
      <c r="H18" s="7" t="n">
        <v>0.475</v>
      </c>
      <c r="I18" s="0" t="n">
        <v>19</v>
      </c>
      <c r="J18" s="7" t="n">
        <v>0.5858</v>
      </c>
      <c r="K18" s="7" t="n">
        <v>0.472</v>
      </c>
      <c r="L18" s="7" t="n">
        <v>0.67</v>
      </c>
      <c r="M18" s="0" t="n">
        <v>17.44</v>
      </c>
      <c r="N18" s="7" t="n">
        <v>0.6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282</v>
      </c>
      <c r="B19" s="0" t="s">
        <v>280</v>
      </c>
      <c r="C19" s="0" t="s">
        <v>93</v>
      </c>
      <c r="D19" s="0" t="s">
        <v>173</v>
      </c>
      <c r="E19" s="0" t="s">
        <v>121</v>
      </c>
      <c r="F19" s="0" t="n">
        <v>4</v>
      </c>
      <c r="G19" s="0" t="n">
        <v>4.57</v>
      </c>
      <c r="H19" s="7" t="n">
        <v>0.51</v>
      </c>
      <c r="I19" s="0" t="n">
        <v>6.2</v>
      </c>
      <c r="J19" s="7" t="n">
        <v>0.7009</v>
      </c>
      <c r="K19" s="7" t="n">
        <v>0.2986</v>
      </c>
      <c r="L19" s="7" t="n">
        <v>0.7</v>
      </c>
      <c r="N19" s="7" t="n">
        <v>0.8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282</v>
      </c>
      <c r="B20" s="0" t="s">
        <v>280</v>
      </c>
      <c r="C20" s="0" t="s">
        <v>93</v>
      </c>
      <c r="D20" s="0" t="s">
        <v>176</v>
      </c>
      <c r="E20" s="0" t="s">
        <v>121</v>
      </c>
      <c r="F20" s="0" t="n">
        <v>6</v>
      </c>
      <c r="G20" s="0" t="n">
        <v>5.45</v>
      </c>
      <c r="H20" s="7" t="n">
        <v>0.3675</v>
      </c>
      <c r="I20" s="0" t="n">
        <v>7.4</v>
      </c>
      <c r="J20" s="7" t="n">
        <v>0.5987</v>
      </c>
      <c r="K20" s="7" t="n">
        <v>0.2986</v>
      </c>
      <c r="L20" s="7" t="n">
        <v>0.7</v>
      </c>
      <c r="N20" s="7" t="n">
        <v>0.8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282</v>
      </c>
      <c r="B21" s="0" t="s">
        <v>280</v>
      </c>
      <c r="C21" s="0" t="s">
        <v>93</v>
      </c>
      <c r="D21" s="0" t="s">
        <v>178</v>
      </c>
      <c r="E21" s="0" t="s">
        <v>121</v>
      </c>
      <c r="F21" s="0" t="n">
        <v>6.5</v>
      </c>
      <c r="G21" s="0" t="n">
        <v>6.78</v>
      </c>
      <c r="H21" s="7" t="n">
        <v>0.5315</v>
      </c>
      <c r="I21" s="0" t="n">
        <v>9.2</v>
      </c>
      <c r="J21" s="7" t="n">
        <v>0.743</v>
      </c>
      <c r="K21" s="7" t="n">
        <v>0.2986</v>
      </c>
      <c r="L21" s="7" t="n">
        <v>0.7</v>
      </c>
      <c r="N21" s="7" t="n">
        <v>0.8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282</v>
      </c>
      <c r="B22" s="0" t="s">
        <v>280</v>
      </c>
      <c r="C22" s="0" t="s">
        <v>93</v>
      </c>
      <c r="D22" s="0" t="s">
        <v>181</v>
      </c>
      <c r="E22" s="0" t="s">
        <v>121</v>
      </c>
      <c r="F22" s="0" t="n">
        <v>8.5</v>
      </c>
      <c r="G22" s="0" t="n">
        <v>9.02</v>
      </c>
      <c r="H22" s="7" t="n">
        <v>0.5529</v>
      </c>
      <c r="I22" s="0" t="n">
        <v>8.6</v>
      </c>
      <c r="J22" s="7" t="n">
        <v>0.5104</v>
      </c>
      <c r="K22" s="7" t="n">
        <v>0.7014</v>
      </c>
      <c r="L22" s="7" t="n">
        <v>0.63</v>
      </c>
      <c r="N22" s="7" t="n">
        <v>0.4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282</v>
      </c>
      <c r="B23" s="0" t="s">
        <v>280</v>
      </c>
      <c r="C23" s="0" t="s">
        <v>93</v>
      </c>
      <c r="D23" s="0" t="s">
        <v>183</v>
      </c>
      <c r="E23" s="0" t="s">
        <v>121</v>
      </c>
      <c r="F23" s="0" t="n">
        <v>7</v>
      </c>
      <c r="G23" s="0" t="n">
        <v>6.98</v>
      </c>
      <c r="H23" s="7" t="n">
        <v>0.4388</v>
      </c>
      <c r="I23" s="0" t="n">
        <v>6.2</v>
      </c>
      <c r="J23" s="7" t="n">
        <v>0.3405</v>
      </c>
      <c r="K23" s="7" t="n">
        <v>0.7014</v>
      </c>
      <c r="L23" s="7" t="n">
        <v>0.53</v>
      </c>
      <c r="N23" s="7" t="n">
        <v>0.4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282</v>
      </c>
      <c r="B24" s="0" t="s">
        <v>280</v>
      </c>
      <c r="C24" s="0" t="s">
        <v>93</v>
      </c>
      <c r="D24" s="0" t="s">
        <v>186</v>
      </c>
      <c r="E24" s="0" t="s">
        <v>121</v>
      </c>
      <c r="F24" s="0" t="n">
        <v>9.5</v>
      </c>
      <c r="G24" s="0" t="n">
        <v>10.91</v>
      </c>
      <c r="H24" s="7" t="n">
        <v>0.6252</v>
      </c>
      <c r="I24" s="0" t="n">
        <v>10.4</v>
      </c>
      <c r="J24" s="7" t="n">
        <v>0.5826</v>
      </c>
      <c r="K24" s="7" t="n">
        <v>0.7014</v>
      </c>
      <c r="L24" s="7" t="n">
        <v>0.63</v>
      </c>
      <c r="N24" s="7" t="n">
        <v>0.4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282</v>
      </c>
      <c r="B25" s="0" t="s">
        <v>280</v>
      </c>
      <c r="C25" s="0" t="s">
        <v>93</v>
      </c>
      <c r="D25" s="0" t="s">
        <v>188</v>
      </c>
      <c r="E25" s="0" t="s">
        <v>121</v>
      </c>
      <c r="F25" s="0" t="n">
        <v>6</v>
      </c>
      <c r="G25" s="0" t="n">
        <v>6.29</v>
      </c>
      <c r="H25" s="7" t="n">
        <v>0.474</v>
      </c>
      <c r="I25" s="0" t="n">
        <v>6</v>
      </c>
      <c r="J25" s="7" t="n">
        <v>0.4355</v>
      </c>
      <c r="K25" s="7" t="n">
        <v>0.7014</v>
      </c>
      <c r="L25" s="7" t="n">
        <v>0.63</v>
      </c>
      <c r="N25" s="7" t="n">
        <v>0.4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282</v>
      </c>
      <c r="B26" s="0" t="s">
        <v>280</v>
      </c>
      <c r="C26" s="0" t="s">
        <v>86</v>
      </c>
      <c r="D26" s="0" t="s">
        <v>191</v>
      </c>
      <c r="E26" s="0" t="s">
        <v>121</v>
      </c>
      <c r="F26" s="0" t="n">
        <v>5</v>
      </c>
      <c r="G26" s="0" t="n">
        <v>5.2</v>
      </c>
      <c r="H26" s="7" t="n">
        <v>0.4608</v>
      </c>
      <c r="I26" s="0" t="n">
        <v>7.2</v>
      </c>
      <c r="J26" s="7" t="n">
        <v>0.685</v>
      </c>
      <c r="K26" s="7" t="n">
        <v>0.2986</v>
      </c>
      <c r="L26" s="7" t="n">
        <v>0.73</v>
      </c>
      <c r="N26" s="7" t="n">
        <v>0.8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282</v>
      </c>
      <c r="B27" s="0" t="s">
        <v>280</v>
      </c>
      <c r="C27" s="0" t="s">
        <v>86</v>
      </c>
      <c r="D27" s="0" t="s">
        <v>194</v>
      </c>
      <c r="E27" s="0" t="s">
        <v>121</v>
      </c>
      <c r="F27" s="0" t="n">
        <v>4.5</v>
      </c>
      <c r="G27" s="0" t="n">
        <v>5.49</v>
      </c>
      <c r="H27" s="7" t="n">
        <v>0.6255</v>
      </c>
      <c r="I27" s="0" t="n">
        <v>7.6</v>
      </c>
      <c r="J27" s="7" t="n">
        <v>0.802</v>
      </c>
      <c r="K27" s="7" t="n">
        <v>0.2986</v>
      </c>
      <c r="L27" s="7" t="n">
        <v>0.73</v>
      </c>
      <c r="N27" s="7" t="n">
        <v>0.7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282</v>
      </c>
      <c r="B28" s="0" t="s">
        <v>280</v>
      </c>
      <c r="C28" s="0" t="s">
        <v>86</v>
      </c>
      <c r="D28" s="0" t="s">
        <v>196</v>
      </c>
      <c r="E28" s="0" t="s">
        <v>121</v>
      </c>
      <c r="F28" s="0" t="n">
        <v>7</v>
      </c>
      <c r="G28" s="0" t="n">
        <v>6.89</v>
      </c>
      <c r="H28" s="7" t="n">
        <v>0.4274</v>
      </c>
      <c r="I28" s="0" t="n">
        <v>7.2</v>
      </c>
      <c r="J28" s="7" t="n">
        <v>0.4649</v>
      </c>
      <c r="K28" s="7" t="n">
        <v>0.7014</v>
      </c>
      <c r="L28" s="7" t="n">
        <v>0.77</v>
      </c>
      <c r="N28" s="7" t="n">
        <v>0.6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282</v>
      </c>
      <c r="B29" s="0" t="s">
        <v>280</v>
      </c>
      <c r="C29" s="0" t="s">
        <v>86</v>
      </c>
      <c r="D29" s="0" t="s">
        <v>198</v>
      </c>
      <c r="E29" s="0" t="s">
        <v>121</v>
      </c>
      <c r="F29" s="0" t="n">
        <v>5.5</v>
      </c>
      <c r="G29" s="0" t="n">
        <v>5.55</v>
      </c>
      <c r="H29" s="7" t="n">
        <v>0.5069</v>
      </c>
      <c r="I29" s="0" t="n">
        <v>5.8</v>
      </c>
      <c r="J29" s="7" t="n">
        <v>0.5399</v>
      </c>
      <c r="K29" s="7" t="n">
        <v>0.7014</v>
      </c>
      <c r="L29" s="7" t="n">
        <v>0.77</v>
      </c>
      <c r="N29" s="7" t="n">
        <v>0.5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282</v>
      </c>
      <c r="B30" s="0" t="s">
        <v>280</v>
      </c>
      <c r="C30" s="0" t="s">
        <v>86</v>
      </c>
      <c r="D30" s="0" t="s">
        <v>200</v>
      </c>
      <c r="E30" s="0" t="s">
        <v>121</v>
      </c>
      <c r="F30" s="0" t="n">
        <v>8.5</v>
      </c>
      <c r="G30" s="0" t="n">
        <v>8.61</v>
      </c>
      <c r="H30" s="7" t="n">
        <v>0.5119</v>
      </c>
      <c r="I30" s="0" t="n">
        <v>9</v>
      </c>
      <c r="J30" s="7" t="n">
        <v>0.5511</v>
      </c>
      <c r="K30" s="7" t="n">
        <v>0.7014</v>
      </c>
      <c r="L30" s="7" t="n">
        <v>0.77</v>
      </c>
      <c r="N30" s="7" t="n">
        <v>0.6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282</v>
      </c>
      <c r="B31" s="0" t="s">
        <v>280</v>
      </c>
      <c r="C31" s="0" t="s">
        <v>86</v>
      </c>
      <c r="D31" s="0" t="s">
        <v>202</v>
      </c>
      <c r="E31" s="0" t="s">
        <v>121</v>
      </c>
      <c r="F31" s="0" t="n">
        <v>9</v>
      </c>
      <c r="G31" s="0" t="n">
        <v>8.42</v>
      </c>
      <c r="H31" s="7" t="n">
        <v>0.3871</v>
      </c>
      <c r="I31" s="0" t="n">
        <v>8.8</v>
      </c>
      <c r="J31" s="7" t="n">
        <v>0.4277</v>
      </c>
      <c r="K31" s="7" t="n">
        <v>0.7014</v>
      </c>
      <c r="L31" s="7" t="n">
        <v>0.77</v>
      </c>
      <c r="N31" s="7" t="n">
        <v>0.6</v>
      </c>
      <c r="O31" s="11"/>
      <c r="P31" s="0" t="str">
        <f aca="false">IF(O31="","",IF(O31&gt;F31,"OVER",IF(O31&lt;F31,"UNDER","PUSH")))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528</v>
      </c>
      <c r="B1" s="9" t="s">
        <v>527</v>
      </c>
    </row>
    <row r="2" customFormat="false" ht="15" hidden="false" customHeight="false" outlineLevel="0" collapsed="false">
      <c r="A2" s="0" t="s">
        <v>529</v>
      </c>
      <c r="B2" s="0" t="n">
        <v>30</v>
      </c>
    </row>
    <row r="3" customFormat="false" ht="15" hidden="false" customHeight="false" outlineLevel="0" collapsed="false">
      <c r="A3" s="0" t="s">
        <v>530</v>
      </c>
      <c r="B3" s="0" t="n">
        <v>30</v>
      </c>
    </row>
    <row r="4" customFormat="false" ht="15" hidden="false" customHeight="false" outlineLevel="0" collapsed="false">
      <c r="A4" s="0" t="s">
        <v>531</v>
      </c>
      <c r="B4" s="0" t="s">
        <v>532</v>
      </c>
    </row>
    <row r="5" customFormat="false" ht="15" hidden="false" customHeight="false" outlineLevel="0" collapsed="false">
      <c r="A5" s="0" t="s">
        <v>533</v>
      </c>
      <c r="B5" s="0" t="s">
        <v>534</v>
      </c>
    </row>
    <row r="6" customFormat="false" ht="15" hidden="false" customHeight="false" outlineLevel="0" collapsed="false">
      <c r="A6" s="0" t="s">
        <v>535</v>
      </c>
      <c r="B6" s="0" t="n">
        <v>28</v>
      </c>
    </row>
    <row r="7" customFormat="false" ht="15" hidden="false" customHeight="false" outlineLevel="0" collapsed="false">
      <c r="A7" s="0" t="s">
        <v>536</v>
      </c>
      <c r="B7" s="0" t="n">
        <f aca="false">SUMPRODUCT(--ISERROR(Projections!F2:M31))</f>
        <v>0</v>
      </c>
    </row>
    <row r="8" customFormat="false" ht="15" hidden="false" customHeight="false" outlineLevel="0" collapsed="false">
      <c r="A8" s="0" t="s">
        <v>537</v>
      </c>
      <c r="B8" s="0" t="n">
        <f aca="false">COUNTBLANK(Projections!F2:F31)</f>
        <v>0</v>
      </c>
    </row>
    <row r="9" customFormat="false" ht="15" hidden="false" customHeight="false" outlineLevel="0" collapsed="false">
      <c r="A9" s="0" t="s">
        <v>538</v>
      </c>
      <c r="B9" s="0" t="n">
        <f aca="false">SUMPRODUCT(MAX(ABS(N(+Projections!F2:F31)-N(+Log!G2:G31))))</f>
        <v>0.00479241531141383</v>
      </c>
    </row>
    <row r="10" customFormat="false" ht="15" hidden="false" customHeight="false" outlineLevel="0" collapsed="false">
      <c r="A10" s="0" t="s">
        <v>539</v>
      </c>
      <c r="B10" s="0" t="n">
        <f aca="false">SUMPRODUCT((ABS(N(+Projections!O2:O31)-N(+Projections!P2:P31))&lt;0.00001)*(ABS(N(+Projections!F2:F31)-N(+Projections!L2:L31))&gt;0.001)*(Projections!D2:D31="Map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2026-10-30T03:26:15Z</dcterms:created>
  <dc:creator>openpyxl</dc:creator>
  <dc:description/>
  <dc:language>en-US</dc:language>
  <cp:lastModifiedBy/>
  <dcterms:modified xsi:type="dcterms:W3CDTF">2026-10-30T03:26:15Z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